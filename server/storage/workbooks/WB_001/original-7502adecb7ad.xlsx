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PS\Downloads\"/>
    </mc:Choice>
  </mc:AlternateContent>
  <bookViews>
    <workbookView xWindow="0" yWindow="0" windowWidth="20490" windowHeight="7455" activeTab="3"/>
  </bookViews>
  <sheets>
    <sheet name="READ ME" sheetId="1" r:id="rId1"/>
    <sheet name="PDB ADHB" sheetId="2" r:id="rId2"/>
    <sheet name="Penyusutan" sheetId="3" r:id="rId3"/>
    <sheet name="SUT (Rasio Penyediaan)" sheetId="4" r:id="rId4"/>
    <sheet name="Penyediaan" sheetId="5" r:id="rId5"/>
    <sheet name="Stok Kapital" sheetId="6" r:id="rId6"/>
    <sheet name="Aset Moneter" sheetId="7" r:id="rId7"/>
    <sheet name="Neraca Terpadu" sheetId="8" r:id="rId8"/>
    <sheet name="PDB vs PDN1" sheetId="9" r:id="rId9"/>
    <sheet name="Studi PDB" sheetId="10" r:id="rId10"/>
    <sheet name="Penduduk" sheetId="11" r:id="rId11"/>
    <sheet name="National Wealth" sheetId="12" r:id="rId12"/>
  </sheets>
  <calcPr calcId="152511"/>
  <extLst>
    <ext uri="GoogleSheetsCustomDataVersion2">
      <go:sheetsCustomData xmlns:go="http://customooxmlschemas.google.com/" r:id="rId16" roundtripDataChecksum="tF/HC2mvEt9o70uL/loxB8VLwji32phEp/UcD2FDsrE="/>
    </ext>
  </extLst>
</workbook>
</file>

<file path=xl/calcChain.xml><?xml version="1.0" encoding="utf-8"?>
<calcChain xmlns="http://schemas.openxmlformats.org/spreadsheetml/2006/main">
  <c r="A41" i="12" l="1"/>
  <c r="A40" i="12"/>
  <c r="A29" i="12"/>
  <c r="A43" i="12" s="1"/>
  <c r="A25" i="12"/>
  <c r="A39" i="12" s="1"/>
  <c r="C15" i="12"/>
  <c r="C29" i="12" s="1"/>
  <c r="A14" i="12"/>
  <c r="A28" i="12" s="1"/>
  <c r="A42" i="12" s="1"/>
  <c r="A13" i="12"/>
  <c r="A27" i="12" s="1"/>
  <c r="A12" i="12"/>
  <c r="A26" i="12" s="1"/>
  <c r="B11" i="12"/>
  <c r="A9" i="12"/>
  <c r="A23" i="12" s="1"/>
  <c r="A37" i="12" s="1"/>
  <c r="C15" i="11"/>
  <c r="B15" i="11"/>
  <c r="D15" i="11" s="1"/>
  <c r="C14" i="11"/>
  <c r="B14" i="11"/>
  <c r="A14" i="11"/>
  <c r="C13" i="11"/>
  <c r="B13" i="11"/>
  <c r="C12" i="11"/>
  <c r="B12" i="11"/>
  <c r="A12" i="11"/>
  <c r="C11" i="11"/>
  <c r="B11" i="11"/>
  <c r="D11" i="11" s="1"/>
  <c r="A11" i="11"/>
  <c r="C10" i="11"/>
  <c r="B10" i="11"/>
  <c r="A10" i="11"/>
  <c r="B9" i="11"/>
  <c r="D9" i="11" s="1"/>
  <c r="A9" i="11"/>
  <c r="D8" i="11"/>
  <c r="B8" i="11"/>
  <c r="D7" i="11"/>
  <c r="B7" i="11"/>
  <c r="G6" i="11"/>
  <c r="F6" i="11"/>
  <c r="D6" i="11"/>
  <c r="B6" i="11"/>
  <c r="C5" i="11"/>
  <c r="B5" i="11"/>
  <c r="L3" i="10"/>
  <c r="A15" i="12" s="1"/>
  <c r="K3" i="10"/>
  <c r="J3" i="10"/>
  <c r="A13" i="11" s="1"/>
  <c r="I3" i="10"/>
  <c r="H3" i="10"/>
  <c r="A11" i="12" s="1"/>
  <c r="G3" i="10"/>
  <c r="A10" i="12" s="1"/>
  <c r="A24" i="12" s="1"/>
  <c r="A38" i="12" s="1"/>
  <c r="F3" i="10"/>
  <c r="C3" i="10"/>
  <c r="AQ3" i="9"/>
  <c r="AM3" i="9"/>
  <c r="A57" i="9" s="1"/>
  <c r="AI3" i="9"/>
  <c r="A53" i="9" s="1"/>
  <c r="AE3" i="9"/>
  <c r="A49" i="9" s="1"/>
  <c r="AA3" i="9"/>
  <c r="A45" i="9" s="1"/>
  <c r="W3" i="9"/>
  <c r="A41" i="9" s="1"/>
  <c r="S3" i="9"/>
  <c r="A37" i="9" s="1"/>
  <c r="G3" i="9"/>
  <c r="C3" i="9"/>
  <c r="A21" i="9" s="1"/>
  <c r="A25" i="9" s="1"/>
  <c r="A29" i="9" s="1"/>
  <c r="A33" i="9" s="1"/>
  <c r="O77" i="8"/>
  <c r="AP73" i="8"/>
  <c r="BN70" i="8"/>
  <c r="BH70" i="8"/>
  <c r="BB70" i="8"/>
  <c r="AV70" i="8"/>
  <c r="AP70" i="8"/>
  <c r="AJ70" i="8"/>
  <c r="AD70" i="8"/>
  <c r="X70" i="8"/>
  <c r="R70" i="8"/>
  <c r="L70" i="8"/>
  <c r="F70" i="8"/>
  <c r="BN69" i="8"/>
  <c r="BH69" i="8"/>
  <c r="BB69" i="8"/>
  <c r="AV69" i="8"/>
  <c r="AP69" i="8"/>
  <c r="AJ69" i="8"/>
  <c r="AD69" i="8"/>
  <c r="X69" i="8"/>
  <c r="R69" i="8"/>
  <c r="L69" i="8"/>
  <c r="F69" i="8"/>
  <c r="BN68" i="8"/>
  <c r="BH68" i="8"/>
  <c r="BB68" i="8"/>
  <c r="AV68" i="8"/>
  <c r="AP68" i="8"/>
  <c r="AJ68" i="8"/>
  <c r="AD68" i="8"/>
  <c r="X68" i="8"/>
  <c r="R68" i="8"/>
  <c r="L68" i="8"/>
  <c r="F68" i="8"/>
  <c r="BN67" i="8"/>
  <c r="BH67" i="8"/>
  <c r="BB67" i="8"/>
  <c r="AV67" i="8"/>
  <c r="AP67" i="8"/>
  <c r="AJ67" i="8"/>
  <c r="AD67" i="8"/>
  <c r="X67" i="8"/>
  <c r="R67" i="8"/>
  <c r="L67" i="8"/>
  <c r="F67" i="8"/>
  <c r="BN66" i="8"/>
  <c r="BH66" i="8"/>
  <c r="BB66" i="8"/>
  <c r="AV66" i="8"/>
  <c r="AP66" i="8"/>
  <c r="AJ66" i="8"/>
  <c r="AD66" i="8"/>
  <c r="X66" i="8"/>
  <c r="R66" i="8"/>
  <c r="L66" i="8"/>
  <c r="F66" i="8"/>
  <c r="BN65" i="8"/>
  <c r="BH65" i="8"/>
  <c r="BB65" i="8"/>
  <c r="AV65" i="8"/>
  <c r="AP65" i="8"/>
  <c r="AJ65" i="8"/>
  <c r="AD65" i="8"/>
  <c r="X65" i="8"/>
  <c r="R65" i="8"/>
  <c r="L65" i="8"/>
  <c r="F65" i="8"/>
  <c r="BN64" i="8"/>
  <c r="BH64" i="8"/>
  <c r="BB64" i="8"/>
  <c r="AV64" i="8"/>
  <c r="AP64" i="8"/>
  <c r="AJ64" i="8"/>
  <c r="AD64" i="8"/>
  <c r="X64" i="8"/>
  <c r="R64" i="8"/>
  <c r="L64" i="8"/>
  <c r="F64" i="8"/>
  <c r="BN63" i="8"/>
  <c r="BH63" i="8"/>
  <c r="BB63" i="8"/>
  <c r="AV63" i="8"/>
  <c r="AP63" i="8"/>
  <c r="AJ63" i="8"/>
  <c r="AD63" i="8"/>
  <c r="X63" i="8"/>
  <c r="R63" i="8"/>
  <c r="L63" i="8"/>
  <c r="F63" i="8"/>
  <c r="BN62" i="8"/>
  <c r="BH62" i="8"/>
  <c r="BB62" i="8"/>
  <c r="AV62" i="8"/>
  <c r="AP62" i="8"/>
  <c r="AJ62" i="8"/>
  <c r="AD62" i="8"/>
  <c r="X62" i="8"/>
  <c r="R62" i="8"/>
  <c r="L62" i="8"/>
  <c r="C6" i="12" s="1"/>
  <c r="C20" i="12" s="1"/>
  <c r="F62" i="8"/>
  <c r="BN61" i="8"/>
  <c r="BH61" i="8"/>
  <c r="BB61" i="8"/>
  <c r="AV61" i="8"/>
  <c r="AP61" i="8"/>
  <c r="AJ61" i="8"/>
  <c r="AD61" i="8"/>
  <c r="X61" i="8"/>
  <c r="R61" i="8"/>
  <c r="L61" i="8"/>
  <c r="F61" i="8"/>
  <c r="BN60" i="8"/>
  <c r="BA60" i="8"/>
  <c r="AU60" i="8"/>
  <c r="B12" i="12" s="1"/>
  <c r="AP60" i="8"/>
  <c r="AO73" i="8" s="1"/>
  <c r="AO60" i="8"/>
  <c r="AI60" i="8"/>
  <c r="AC60" i="8"/>
  <c r="W60" i="8"/>
  <c r="Q60" i="8"/>
  <c r="K60" i="8"/>
  <c r="B6" i="12" s="1"/>
  <c r="BN58" i="8"/>
  <c r="BH58" i="8"/>
  <c r="BB58" i="8"/>
  <c r="AV58" i="8"/>
  <c r="AP58" i="8"/>
  <c r="AJ58" i="8"/>
  <c r="AD58" i="8"/>
  <c r="X58" i="8"/>
  <c r="R58" i="8"/>
  <c r="L58" i="8"/>
  <c r="F58" i="8"/>
  <c r="BN57" i="8"/>
  <c r="BH57" i="8"/>
  <c r="BB57" i="8"/>
  <c r="AV57" i="8"/>
  <c r="AP57" i="8"/>
  <c r="AJ57" i="8"/>
  <c r="AD57" i="8"/>
  <c r="X57" i="8"/>
  <c r="R57" i="8"/>
  <c r="L57" i="8"/>
  <c r="F57" i="8"/>
  <c r="BN56" i="8"/>
  <c r="BH56" i="8"/>
  <c r="BB56" i="8"/>
  <c r="AV56" i="8"/>
  <c r="AP56" i="8"/>
  <c r="AJ56" i="8"/>
  <c r="AD56" i="8"/>
  <c r="X56" i="8"/>
  <c r="R56" i="8"/>
  <c r="L56" i="8"/>
  <c r="F56" i="8"/>
  <c r="BN55" i="8"/>
  <c r="BH55" i="8"/>
  <c r="BB55" i="8"/>
  <c r="AV55" i="8"/>
  <c r="AP55" i="8"/>
  <c r="AJ55" i="8"/>
  <c r="AD55" i="8"/>
  <c r="X55" i="8"/>
  <c r="R55" i="8"/>
  <c r="L55" i="8"/>
  <c r="F55" i="8"/>
  <c r="BN54" i="8"/>
  <c r="BH54" i="8"/>
  <c r="BB54" i="8"/>
  <c r="AV54" i="8"/>
  <c r="AP54" i="8"/>
  <c r="AJ54" i="8"/>
  <c r="AD54" i="8"/>
  <c r="X54" i="8"/>
  <c r="R54" i="8"/>
  <c r="L54" i="8"/>
  <c r="F54" i="8"/>
  <c r="BN53" i="8"/>
  <c r="BH53" i="8"/>
  <c r="BB53" i="8"/>
  <c r="AV53" i="8"/>
  <c r="AP53" i="8"/>
  <c r="AJ53" i="8"/>
  <c r="AD53" i="8"/>
  <c r="X53" i="8"/>
  <c r="R53" i="8"/>
  <c r="L53" i="8"/>
  <c r="F53" i="8"/>
  <c r="BN52" i="8"/>
  <c r="BH52" i="8"/>
  <c r="BB52" i="8"/>
  <c r="AV52" i="8"/>
  <c r="AP52" i="8"/>
  <c r="AJ52" i="8"/>
  <c r="AD52" i="8"/>
  <c r="X52" i="8"/>
  <c r="R52" i="8"/>
  <c r="L52" i="8"/>
  <c r="F52" i="8"/>
  <c r="BN51" i="8"/>
  <c r="BH51" i="8"/>
  <c r="BB51" i="8"/>
  <c r="AV51" i="8"/>
  <c r="AP51" i="8"/>
  <c r="AJ51" i="8"/>
  <c r="AD51" i="8"/>
  <c r="X51" i="8"/>
  <c r="R51" i="8"/>
  <c r="L51" i="8"/>
  <c r="F51" i="8"/>
  <c r="BN50" i="8"/>
  <c r="BH50" i="8"/>
  <c r="BB50" i="8"/>
  <c r="AV50" i="8"/>
  <c r="AP50" i="8"/>
  <c r="AJ50" i="8"/>
  <c r="AD50" i="8"/>
  <c r="X50" i="8"/>
  <c r="R50" i="8"/>
  <c r="L50" i="8"/>
  <c r="F50" i="8"/>
  <c r="BN49" i="8"/>
  <c r="BH49" i="8"/>
  <c r="BB49" i="8"/>
  <c r="AV49" i="8"/>
  <c r="AP49" i="8"/>
  <c r="AJ49" i="8"/>
  <c r="AD49" i="8"/>
  <c r="X49" i="8"/>
  <c r="R49" i="8"/>
  <c r="L49" i="8"/>
  <c r="F49" i="8"/>
  <c r="BJ46" i="8"/>
  <c r="AZ46" i="8"/>
  <c r="AI7" i="9" s="1"/>
  <c r="H46" i="8"/>
  <c r="BN45" i="8"/>
  <c r="BP45" i="8" s="1"/>
  <c r="BJ45" i="8"/>
  <c r="BH45" i="8"/>
  <c r="BB45" i="8"/>
  <c r="BD45" i="8" s="1"/>
  <c r="AX45" i="8"/>
  <c r="AV45" i="8"/>
  <c r="AP45" i="8"/>
  <c r="AR45" i="8" s="1"/>
  <c r="AL45" i="8"/>
  <c r="AJ45" i="8"/>
  <c r="AD45" i="8"/>
  <c r="AF45" i="8" s="1"/>
  <c r="Z45" i="8"/>
  <c r="X45" i="8"/>
  <c r="R45" i="8"/>
  <c r="T45" i="8" s="1"/>
  <c r="N45" i="8"/>
  <c r="L45" i="8"/>
  <c r="F45" i="8"/>
  <c r="H45" i="8" s="1"/>
  <c r="BP44" i="8"/>
  <c r="BN44" i="8"/>
  <c r="BH44" i="8"/>
  <c r="BJ44" i="8" s="1"/>
  <c r="BD44" i="8"/>
  <c r="BB44" i="8"/>
  <c r="AV44" i="8"/>
  <c r="AX44" i="8" s="1"/>
  <c r="AR44" i="8"/>
  <c r="AP44" i="8"/>
  <c r="AJ44" i="8"/>
  <c r="AL44" i="8" s="1"/>
  <c r="AF44" i="8"/>
  <c r="AD44" i="8"/>
  <c r="X44" i="8"/>
  <c r="Z44" i="8" s="1"/>
  <c r="T44" i="8"/>
  <c r="R44" i="8"/>
  <c r="L44" i="8"/>
  <c r="N44" i="8" s="1"/>
  <c r="H44" i="8"/>
  <c r="F44" i="8"/>
  <c r="BN43" i="8"/>
  <c r="BP43" i="8" s="1"/>
  <c r="BJ43" i="8"/>
  <c r="BH43" i="8"/>
  <c r="BB43" i="8"/>
  <c r="BD43" i="8" s="1"/>
  <c r="AX43" i="8"/>
  <c r="AV43" i="8"/>
  <c r="AP43" i="8"/>
  <c r="AR43" i="8" s="1"/>
  <c r="AL43" i="8"/>
  <c r="AJ43" i="8"/>
  <c r="AD43" i="8"/>
  <c r="AF43" i="8" s="1"/>
  <c r="Z43" i="8"/>
  <c r="X43" i="8"/>
  <c r="R43" i="8"/>
  <c r="T43" i="8" s="1"/>
  <c r="N43" i="8"/>
  <c r="L43" i="8"/>
  <c r="F43" i="8"/>
  <c r="H43" i="8" s="1"/>
  <c r="BP42" i="8"/>
  <c r="BN42" i="8"/>
  <c r="BH42" i="8"/>
  <c r="BJ42" i="8" s="1"/>
  <c r="BD42" i="8"/>
  <c r="BB42" i="8"/>
  <c r="AV42" i="8"/>
  <c r="AX42" i="8" s="1"/>
  <c r="AR42" i="8"/>
  <c r="AP42" i="8"/>
  <c r="AJ42" i="8"/>
  <c r="AL42" i="8" s="1"/>
  <c r="AF42" i="8"/>
  <c r="AD42" i="8"/>
  <c r="X42" i="8"/>
  <c r="Z42" i="8" s="1"/>
  <c r="T42" i="8"/>
  <c r="R42" i="8"/>
  <c r="L42" i="8"/>
  <c r="N42" i="8" s="1"/>
  <c r="H42" i="8"/>
  <c r="F42" i="8"/>
  <c r="BN41" i="8"/>
  <c r="BP41" i="8" s="1"/>
  <c r="BJ41" i="8"/>
  <c r="BH41" i="8"/>
  <c r="BB41" i="8"/>
  <c r="BD41" i="8" s="1"/>
  <c r="AX41" i="8"/>
  <c r="AV41" i="8"/>
  <c r="AP41" i="8"/>
  <c r="AR41" i="8" s="1"/>
  <c r="AL41" i="8"/>
  <c r="AJ41" i="8"/>
  <c r="AD41" i="8"/>
  <c r="AF41" i="8" s="1"/>
  <c r="Z41" i="8"/>
  <c r="X41" i="8"/>
  <c r="R41" i="8"/>
  <c r="T41" i="8" s="1"/>
  <c r="N41" i="8"/>
  <c r="L41" i="8"/>
  <c r="F41" i="8"/>
  <c r="H41" i="8" s="1"/>
  <c r="BP40" i="8"/>
  <c r="BN40" i="8"/>
  <c r="BH40" i="8"/>
  <c r="BJ40" i="8" s="1"/>
  <c r="BD40" i="8"/>
  <c r="BB40" i="8"/>
  <c r="AV40" i="8"/>
  <c r="AX40" i="8" s="1"/>
  <c r="AR40" i="8"/>
  <c r="AP40" i="8"/>
  <c r="AJ40" i="8"/>
  <c r="AL40" i="8" s="1"/>
  <c r="AF40" i="8"/>
  <c r="AD40" i="8"/>
  <c r="X40" i="8"/>
  <c r="Z40" i="8" s="1"/>
  <c r="T40" i="8"/>
  <c r="R40" i="8"/>
  <c r="L40" i="8"/>
  <c r="N40" i="8" s="1"/>
  <c r="H40" i="8"/>
  <c r="F40" i="8"/>
  <c r="BN39" i="8"/>
  <c r="BP39" i="8" s="1"/>
  <c r="BJ39" i="8"/>
  <c r="BH39" i="8"/>
  <c r="BB39" i="8"/>
  <c r="BD39" i="8" s="1"/>
  <c r="AX39" i="8"/>
  <c r="AV39" i="8"/>
  <c r="AP39" i="8"/>
  <c r="AR39" i="8" s="1"/>
  <c r="AL39" i="8"/>
  <c r="AJ39" i="8"/>
  <c r="AD39" i="8"/>
  <c r="AF39" i="8" s="1"/>
  <c r="Z39" i="8"/>
  <c r="X39" i="8"/>
  <c r="R39" i="8"/>
  <c r="T39" i="8" s="1"/>
  <c r="N39" i="8"/>
  <c r="L39" i="8"/>
  <c r="F39" i="8"/>
  <c r="H39" i="8" s="1"/>
  <c r="BP38" i="8"/>
  <c r="BN38" i="8"/>
  <c r="BH38" i="8"/>
  <c r="BJ38" i="8" s="1"/>
  <c r="BD38" i="8"/>
  <c r="BB38" i="8"/>
  <c r="AV38" i="8"/>
  <c r="AX38" i="8" s="1"/>
  <c r="AR38" i="8"/>
  <c r="AP38" i="8"/>
  <c r="AJ38" i="8"/>
  <c r="AL38" i="8" s="1"/>
  <c r="AF38" i="8"/>
  <c r="AD38" i="8"/>
  <c r="X38" i="8"/>
  <c r="Z38" i="8" s="1"/>
  <c r="T38" i="8"/>
  <c r="R38" i="8"/>
  <c r="L38" i="8"/>
  <c r="N38" i="8" s="1"/>
  <c r="H38" i="8"/>
  <c r="F38" i="8"/>
  <c r="BN37" i="8"/>
  <c r="BP37" i="8" s="1"/>
  <c r="BJ37" i="8"/>
  <c r="BH37" i="8"/>
  <c r="BB37" i="8"/>
  <c r="BB35" i="8" s="1"/>
  <c r="AX37" i="8"/>
  <c r="AV37" i="8"/>
  <c r="AP37" i="8"/>
  <c r="AR37" i="8" s="1"/>
  <c r="AL37" i="8"/>
  <c r="AJ37" i="8"/>
  <c r="AD37" i="8"/>
  <c r="AD35" i="8" s="1"/>
  <c r="AF35" i="8" s="1"/>
  <c r="AF46" i="8" s="1"/>
  <c r="Z37" i="8"/>
  <c r="X37" i="8"/>
  <c r="R37" i="8"/>
  <c r="T37" i="8" s="1"/>
  <c r="N37" i="8"/>
  <c r="L37" i="8"/>
  <c r="F37" i="8"/>
  <c r="H37" i="8" s="1"/>
  <c r="BP36" i="8"/>
  <c r="BN36" i="8"/>
  <c r="BH36" i="8"/>
  <c r="BH35" i="8" s="1"/>
  <c r="BJ35" i="8" s="1"/>
  <c r="BD36" i="8"/>
  <c r="BB36" i="8"/>
  <c r="AV36" i="8"/>
  <c r="AV35" i="8" s="1"/>
  <c r="AR36" i="8"/>
  <c r="AP36" i="8"/>
  <c r="AJ36" i="8"/>
  <c r="AJ35" i="8" s="1"/>
  <c r="AF36" i="8"/>
  <c r="AD36" i="8"/>
  <c r="X36" i="8"/>
  <c r="X35" i="8" s="1"/>
  <c r="T36" i="8"/>
  <c r="R36" i="8"/>
  <c r="L36" i="8"/>
  <c r="L35" i="8" s="1"/>
  <c r="H36" i="8"/>
  <c r="F36" i="8"/>
  <c r="BN35" i="8"/>
  <c r="BP35" i="8" s="1"/>
  <c r="BP46" i="8" s="1"/>
  <c r="BD35" i="8"/>
  <c r="BD46" i="8" s="1"/>
  <c r="AX35" i="8"/>
  <c r="AX46" i="8" s="1"/>
  <c r="AL35" i="8"/>
  <c r="AL46" i="8" s="1"/>
  <c r="Z35" i="8"/>
  <c r="Z46" i="8" s="1"/>
  <c r="F35" i="8"/>
  <c r="H35" i="8" s="1"/>
  <c r="BN34" i="8"/>
  <c r="BK34" i="8"/>
  <c r="BE34" i="8"/>
  <c r="BH34" i="8" s="1"/>
  <c r="BB34" i="8"/>
  <c r="AY34" i="8"/>
  <c r="AS34" i="8"/>
  <c r="AV34" i="8" s="1"/>
  <c r="AP34" i="8"/>
  <c r="AM34" i="8"/>
  <c r="AG34" i="8"/>
  <c r="AJ34" i="8" s="1"/>
  <c r="AD34" i="8"/>
  <c r="AA34" i="8"/>
  <c r="U34" i="8"/>
  <c r="X34" i="8" s="1"/>
  <c r="R34" i="8"/>
  <c r="O34" i="8"/>
  <c r="I34" i="8"/>
  <c r="L34" i="8" s="1"/>
  <c r="F34" i="8"/>
  <c r="C34" i="8"/>
  <c r="BK33" i="8"/>
  <c r="BN33" i="8" s="1"/>
  <c r="BH33" i="8"/>
  <c r="BE33" i="8"/>
  <c r="AY33" i="8"/>
  <c r="BB33" i="8" s="1"/>
  <c r="AV33" i="8"/>
  <c r="AS33" i="8"/>
  <c r="AM33" i="8"/>
  <c r="AP33" i="8" s="1"/>
  <c r="AJ33" i="8"/>
  <c r="AG33" i="8"/>
  <c r="AA33" i="8"/>
  <c r="AD33" i="8" s="1"/>
  <c r="X33" i="8"/>
  <c r="U33" i="8"/>
  <c r="O33" i="8"/>
  <c r="R33" i="8" s="1"/>
  <c r="L33" i="8"/>
  <c r="I33" i="8"/>
  <c r="C33" i="8"/>
  <c r="F33" i="8" s="1"/>
  <c r="BN32" i="8"/>
  <c r="BK32" i="8"/>
  <c r="BE32" i="8"/>
  <c r="BH32" i="8" s="1"/>
  <c r="BB32" i="8"/>
  <c r="AY32" i="8"/>
  <c r="AS32" i="8"/>
  <c r="AV32" i="8" s="1"/>
  <c r="AP32" i="8"/>
  <c r="AM32" i="8"/>
  <c r="AG32" i="8"/>
  <c r="AJ32" i="8" s="1"/>
  <c r="AD32" i="8"/>
  <c r="AA32" i="8"/>
  <c r="U32" i="8"/>
  <c r="X32" i="8" s="1"/>
  <c r="R32" i="8"/>
  <c r="O32" i="8"/>
  <c r="I32" i="8"/>
  <c r="L32" i="8" s="1"/>
  <c r="F32" i="8"/>
  <c r="C32" i="8"/>
  <c r="BK31" i="8"/>
  <c r="BN31" i="8" s="1"/>
  <c r="BH31" i="8"/>
  <c r="BE31" i="8"/>
  <c r="AY31" i="8"/>
  <c r="BB31" i="8" s="1"/>
  <c r="AV31" i="8"/>
  <c r="AS31" i="8"/>
  <c r="AM31" i="8"/>
  <c r="AP31" i="8" s="1"/>
  <c r="AJ31" i="8"/>
  <c r="AG31" i="8"/>
  <c r="AA31" i="8"/>
  <c r="AD31" i="8" s="1"/>
  <c r="X31" i="8"/>
  <c r="U31" i="8"/>
  <c r="O31" i="8"/>
  <c r="R31" i="8" s="1"/>
  <c r="L31" i="8"/>
  <c r="I31" i="8"/>
  <c r="C31" i="8"/>
  <c r="F31" i="8" s="1"/>
  <c r="BN30" i="8"/>
  <c r="BK30" i="8"/>
  <c r="BE30" i="8"/>
  <c r="BH30" i="8" s="1"/>
  <c r="BB30" i="8"/>
  <c r="AY30" i="8"/>
  <c r="AS30" i="8"/>
  <c r="AV30" i="8" s="1"/>
  <c r="AP30" i="8"/>
  <c r="AM30" i="8"/>
  <c r="AG30" i="8"/>
  <c r="AJ30" i="8" s="1"/>
  <c r="AD30" i="8"/>
  <c r="AA30" i="8"/>
  <c r="U30" i="8"/>
  <c r="R30" i="8"/>
  <c r="O30" i="8"/>
  <c r="I30" i="8"/>
  <c r="L30" i="8" s="1"/>
  <c r="F30" i="8"/>
  <c r="C30" i="8"/>
  <c r="BK29" i="8"/>
  <c r="BN29" i="8" s="1"/>
  <c r="BH29" i="8"/>
  <c r="BE29" i="8"/>
  <c r="AY29" i="8"/>
  <c r="BB29" i="8" s="1"/>
  <c r="AV29" i="8"/>
  <c r="AS29" i="8"/>
  <c r="AM29" i="8"/>
  <c r="AP29" i="8" s="1"/>
  <c r="AJ29" i="8"/>
  <c r="AG29" i="8"/>
  <c r="AA29" i="8"/>
  <c r="AD29" i="8" s="1"/>
  <c r="X29" i="8"/>
  <c r="U29" i="8"/>
  <c r="O29" i="8"/>
  <c r="R29" i="8" s="1"/>
  <c r="L29" i="8"/>
  <c r="I29" i="8"/>
  <c r="C29" i="8"/>
  <c r="F29" i="8" s="1"/>
  <c r="BN28" i="8"/>
  <c r="BK28" i="8"/>
  <c r="BE28" i="8"/>
  <c r="BB28" i="8"/>
  <c r="AY28" i="8"/>
  <c r="AS28" i="8"/>
  <c r="AV28" i="8" s="1"/>
  <c r="AP28" i="8"/>
  <c r="AM28" i="8"/>
  <c r="AG28" i="8"/>
  <c r="AJ28" i="8" s="1"/>
  <c r="AD28" i="8"/>
  <c r="AA28" i="8"/>
  <c r="U28" i="8"/>
  <c r="X28" i="8" s="1"/>
  <c r="R28" i="8"/>
  <c r="O28" i="8"/>
  <c r="I28" i="8"/>
  <c r="L28" i="8" s="1"/>
  <c r="F28" i="8"/>
  <c r="C28" i="8"/>
  <c r="BK27" i="8"/>
  <c r="BN27" i="8" s="1"/>
  <c r="BH27" i="8"/>
  <c r="BE27" i="8"/>
  <c r="AY27" i="8"/>
  <c r="BB27" i="8" s="1"/>
  <c r="AV27" i="8"/>
  <c r="AS27" i="8"/>
  <c r="AM27" i="8"/>
  <c r="AP27" i="8" s="1"/>
  <c r="AJ27" i="8"/>
  <c r="AG27" i="8"/>
  <c r="AA27" i="8"/>
  <c r="AD27" i="8" s="1"/>
  <c r="X27" i="8"/>
  <c r="U27" i="8"/>
  <c r="O27" i="8"/>
  <c r="R27" i="8" s="1"/>
  <c r="L27" i="8"/>
  <c r="I27" i="8"/>
  <c r="C27" i="8"/>
  <c r="F27" i="8" s="1"/>
  <c r="BN26" i="8"/>
  <c r="BK26" i="8"/>
  <c r="BE26" i="8"/>
  <c r="BH26" i="8" s="1"/>
  <c r="BB26" i="8"/>
  <c r="AY26" i="8"/>
  <c r="AS26" i="8"/>
  <c r="AP26" i="8"/>
  <c r="AM26" i="8"/>
  <c r="AG26" i="8"/>
  <c r="AD26" i="8"/>
  <c r="AA26" i="8"/>
  <c r="U26" i="8"/>
  <c r="X26" i="8" s="1"/>
  <c r="R26" i="8"/>
  <c r="O26" i="8"/>
  <c r="I26" i="8"/>
  <c r="F26" i="8"/>
  <c r="C26" i="8"/>
  <c r="BK25" i="8"/>
  <c r="BH25" i="8"/>
  <c r="BE25" i="8"/>
  <c r="AY25" i="8"/>
  <c r="AV25" i="8"/>
  <c r="AS25" i="8"/>
  <c r="AM25" i="8"/>
  <c r="AJ25" i="8"/>
  <c r="AG25" i="8"/>
  <c r="AA25" i="8"/>
  <c r="X25" i="8"/>
  <c r="U25" i="8"/>
  <c r="O25" i="8"/>
  <c r="L25" i="8"/>
  <c r="I25" i="8"/>
  <c r="C25" i="8"/>
  <c r="AQ23" i="8"/>
  <c r="AB23" i="8"/>
  <c r="BK22" i="8"/>
  <c r="E22" i="8"/>
  <c r="G20" i="8"/>
  <c r="BN19" i="8"/>
  <c r="BH19" i="8"/>
  <c r="BB19" i="8"/>
  <c r="AV19" i="8"/>
  <c r="AP19" i="8"/>
  <c r="AJ19" i="8"/>
  <c r="AD19" i="8"/>
  <c r="X19" i="8"/>
  <c r="R19" i="8"/>
  <c r="L19" i="8"/>
  <c r="F19" i="8"/>
  <c r="BN18" i="8"/>
  <c r="BH18" i="8"/>
  <c r="BB18" i="8"/>
  <c r="AV18" i="8"/>
  <c r="AP18" i="8"/>
  <c r="AJ18" i="8"/>
  <c r="AD18" i="8"/>
  <c r="X18" i="8"/>
  <c r="R18" i="8"/>
  <c r="L18" i="8"/>
  <c r="F18" i="8"/>
  <c r="BN17" i="8"/>
  <c r="BH17" i="8"/>
  <c r="BB17" i="8"/>
  <c r="AV17" i="8"/>
  <c r="AP17" i="8"/>
  <c r="AJ17" i="8"/>
  <c r="AD17" i="8"/>
  <c r="X17" i="8"/>
  <c r="R17" i="8"/>
  <c r="L17" i="8"/>
  <c r="F17" i="8"/>
  <c r="BN16" i="8"/>
  <c r="BH16" i="8"/>
  <c r="BB16" i="8"/>
  <c r="AV16" i="8"/>
  <c r="AP16" i="8"/>
  <c r="AJ16" i="8"/>
  <c r="AD16" i="8"/>
  <c r="X16" i="8"/>
  <c r="R16" i="8"/>
  <c r="L16" i="8"/>
  <c r="F16" i="8"/>
  <c r="BN15" i="8"/>
  <c r="BH15" i="8"/>
  <c r="BB15" i="8"/>
  <c r="AV15" i="8"/>
  <c r="AP15" i="8"/>
  <c r="AJ15" i="8"/>
  <c r="AD15" i="8"/>
  <c r="X15" i="8"/>
  <c r="R15" i="8"/>
  <c r="L15" i="8"/>
  <c r="F15" i="8"/>
  <c r="BN14" i="8"/>
  <c r="BH14" i="8"/>
  <c r="BB14" i="8"/>
  <c r="AV14" i="8"/>
  <c r="AP14" i="8"/>
  <c r="AJ14" i="8"/>
  <c r="AD14" i="8"/>
  <c r="X14" i="8"/>
  <c r="R14" i="8"/>
  <c r="L14" i="8"/>
  <c r="F14" i="8"/>
  <c r="BN13" i="8"/>
  <c r="BH13" i="8"/>
  <c r="BB13" i="8"/>
  <c r="AV13" i="8"/>
  <c r="AP13" i="8"/>
  <c r="AJ13" i="8"/>
  <c r="AD13" i="8"/>
  <c r="X13" i="8"/>
  <c r="R13" i="8"/>
  <c r="L13" i="8"/>
  <c r="F13" i="8"/>
  <c r="BN12" i="8"/>
  <c r="BH12" i="8"/>
  <c r="BB12" i="8"/>
  <c r="AV12" i="8"/>
  <c r="AP12" i="8"/>
  <c r="AJ12" i="8"/>
  <c r="AD12" i="8"/>
  <c r="X12" i="8"/>
  <c r="R12" i="8"/>
  <c r="L12" i="8"/>
  <c r="F12" i="8"/>
  <c r="BN11" i="8"/>
  <c r="BH11" i="8"/>
  <c r="BB11" i="8"/>
  <c r="AV11" i="8"/>
  <c r="AP11" i="8"/>
  <c r="AJ11" i="8"/>
  <c r="AD11" i="8"/>
  <c r="X11" i="8"/>
  <c r="R11" i="8"/>
  <c r="L11" i="8"/>
  <c r="F11" i="8"/>
  <c r="BN10" i="8"/>
  <c r="BH10" i="8"/>
  <c r="BB10" i="8"/>
  <c r="AV10" i="8"/>
  <c r="AP10" i="8"/>
  <c r="AJ10" i="8"/>
  <c r="AD10" i="8"/>
  <c r="X10" i="8"/>
  <c r="R10" i="8"/>
  <c r="L10" i="8"/>
  <c r="F10" i="8"/>
  <c r="BA9" i="8"/>
  <c r="AU9" i="8"/>
  <c r="W9" i="8"/>
  <c r="Q9" i="8"/>
  <c r="E9" i="8"/>
  <c r="BK2" i="8"/>
  <c r="BE2" i="8"/>
  <c r="AY2" i="8"/>
  <c r="AS2" i="8"/>
  <c r="AM2" i="8"/>
  <c r="AG2" i="8"/>
  <c r="AA2" i="8"/>
  <c r="I2" i="8"/>
  <c r="C2" i="8" s="1"/>
  <c r="D101" i="7"/>
  <c r="E101" i="7" s="1"/>
  <c r="F101" i="7" s="1"/>
  <c r="G101" i="7" s="1"/>
  <c r="H101" i="7" s="1"/>
  <c r="I101" i="7" s="1"/>
  <c r="J101" i="7" s="1"/>
  <c r="D91" i="7"/>
  <c r="E91" i="7" s="1"/>
  <c r="F91" i="7" s="1"/>
  <c r="G91" i="7" s="1"/>
  <c r="H91" i="7" s="1"/>
  <c r="I91" i="7" s="1"/>
  <c r="J91" i="7" s="1"/>
  <c r="L91" i="7" s="1"/>
  <c r="N91" i="7" s="1"/>
  <c r="K90" i="7"/>
  <c r="K100" i="7" s="1"/>
  <c r="E81" i="7"/>
  <c r="F81" i="7" s="1"/>
  <c r="G81" i="7" s="1"/>
  <c r="H81" i="7" s="1"/>
  <c r="I81" i="7" s="1"/>
  <c r="J81" i="7" s="1"/>
  <c r="D81" i="7"/>
  <c r="I80" i="7"/>
  <c r="I90" i="7" s="1"/>
  <c r="I100" i="7" s="1"/>
  <c r="D71" i="7"/>
  <c r="E71" i="7" s="1"/>
  <c r="F71" i="7" s="1"/>
  <c r="G71" i="7" s="1"/>
  <c r="H71" i="7" s="1"/>
  <c r="I71" i="7" s="1"/>
  <c r="J71" i="7" s="1"/>
  <c r="L71" i="7" s="1"/>
  <c r="N71" i="7" s="1"/>
  <c r="H70" i="7"/>
  <c r="H80" i="7" s="1"/>
  <c r="H90" i="7" s="1"/>
  <c r="H100" i="7" s="1"/>
  <c r="K61" i="7"/>
  <c r="M61" i="7" s="1"/>
  <c r="E61" i="7"/>
  <c r="F61" i="7" s="1"/>
  <c r="G61" i="7" s="1"/>
  <c r="H61" i="7" s="1"/>
  <c r="I61" i="7" s="1"/>
  <c r="J61" i="7" s="1"/>
  <c r="L61" i="7" s="1"/>
  <c r="N61" i="7" s="1"/>
  <c r="D61" i="7"/>
  <c r="G51" i="7"/>
  <c r="H51" i="7" s="1"/>
  <c r="I51" i="7" s="1"/>
  <c r="J51" i="7" s="1"/>
  <c r="E51" i="7"/>
  <c r="F51" i="7" s="1"/>
  <c r="D51" i="7"/>
  <c r="L50" i="7"/>
  <c r="L60" i="7" s="1"/>
  <c r="L70" i="7" s="1"/>
  <c r="L80" i="7" s="1"/>
  <c r="L90" i="7" s="1"/>
  <c r="L100" i="7" s="1"/>
  <c r="F41" i="7"/>
  <c r="G41" i="7" s="1"/>
  <c r="H41" i="7" s="1"/>
  <c r="I41" i="7" s="1"/>
  <c r="J41" i="7" s="1"/>
  <c r="E41" i="7"/>
  <c r="D41" i="7"/>
  <c r="I40" i="7"/>
  <c r="I50" i="7" s="1"/>
  <c r="I60" i="7" s="1"/>
  <c r="I70" i="7" s="1"/>
  <c r="E31" i="7"/>
  <c r="F31" i="7" s="1"/>
  <c r="G31" i="7" s="1"/>
  <c r="H31" i="7" s="1"/>
  <c r="I31" i="7" s="1"/>
  <c r="J31" i="7" s="1"/>
  <c r="D31" i="7"/>
  <c r="N30" i="7"/>
  <c r="N40" i="7" s="1"/>
  <c r="N50" i="7" s="1"/>
  <c r="N60" i="7" s="1"/>
  <c r="N70" i="7" s="1"/>
  <c r="N80" i="7" s="1"/>
  <c r="N90" i="7" s="1"/>
  <c r="N100" i="7" s="1"/>
  <c r="F21" i="7"/>
  <c r="G21" i="7" s="1"/>
  <c r="H21" i="7" s="1"/>
  <c r="I21" i="7" s="1"/>
  <c r="J21" i="7" s="1"/>
  <c r="E21" i="7"/>
  <c r="D21" i="7"/>
  <c r="M20" i="7"/>
  <c r="M30" i="7" s="1"/>
  <c r="M40" i="7" s="1"/>
  <c r="M50" i="7" s="1"/>
  <c r="M60" i="7" s="1"/>
  <c r="M70" i="7" s="1"/>
  <c r="M80" i="7" s="1"/>
  <c r="M90" i="7" s="1"/>
  <c r="M100" i="7" s="1"/>
  <c r="L20" i="7"/>
  <c r="L30" i="7" s="1"/>
  <c r="L40" i="7" s="1"/>
  <c r="I20" i="7"/>
  <c r="I30" i="7" s="1"/>
  <c r="E20" i="7"/>
  <c r="D5" i="7"/>
  <c r="E5" i="7" s="1"/>
  <c r="F5" i="7" s="1"/>
  <c r="G5" i="7" s="1"/>
  <c r="H5" i="7" s="1"/>
  <c r="I5" i="7" s="1"/>
  <c r="J5" i="7" s="1"/>
  <c r="L5" i="7" s="1"/>
  <c r="N5" i="7" s="1"/>
  <c r="N4" i="7"/>
  <c r="N20" i="7" s="1"/>
  <c r="M4" i="7"/>
  <c r="L4" i="7"/>
  <c r="K4" i="7"/>
  <c r="K20" i="7" s="1"/>
  <c r="K30" i="7" s="1"/>
  <c r="K40" i="7" s="1"/>
  <c r="K50" i="7" s="1"/>
  <c r="K60" i="7" s="1"/>
  <c r="K70" i="7" s="1"/>
  <c r="K80" i="7" s="1"/>
  <c r="J4" i="7"/>
  <c r="J20" i="7" s="1"/>
  <c r="J30" i="7" s="1"/>
  <c r="J40" i="7" s="1"/>
  <c r="J50" i="7" s="1"/>
  <c r="J60" i="7" s="1"/>
  <c r="J70" i="7" s="1"/>
  <c r="J80" i="7" s="1"/>
  <c r="J90" i="7" s="1"/>
  <c r="J100" i="7" s="1"/>
  <c r="I4" i="7"/>
  <c r="H4" i="7"/>
  <c r="H20" i="7" s="1"/>
  <c r="H30" i="7" s="1"/>
  <c r="H40" i="7" s="1"/>
  <c r="H50" i="7" s="1"/>
  <c r="H60" i="7" s="1"/>
  <c r="G4" i="7"/>
  <c r="G20" i="7" s="1"/>
  <c r="G30" i="7" s="1"/>
  <c r="G40" i="7" s="1"/>
  <c r="G50" i="7" s="1"/>
  <c r="G60" i="7" s="1"/>
  <c r="G70" i="7" s="1"/>
  <c r="G80" i="7" s="1"/>
  <c r="G90" i="7" s="1"/>
  <c r="G100" i="7" s="1"/>
  <c r="E4" i="7"/>
  <c r="D4" i="7"/>
  <c r="Y10" i="6"/>
  <c r="Q10" i="6"/>
  <c r="I10" i="6"/>
  <c r="CF8" i="6"/>
  <c r="BO21" i="8" s="1"/>
  <c r="BO23" i="8" s="1"/>
  <c r="BG8" i="6"/>
  <c r="AW20" i="8" s="1"/>
  <c r="AQ8" i="6"/>
  <c r="AK20" i="8" s="1"/>
  <c r="AJ8" i="6"/>
  <c r="AE21" i="8" s="1"/>
  <c r="AA8" i="6"/>
  <c r="Y20" i="8" s="1"/>
  <c r="T8" i="6"/>
  <c r="S21" i="8" s="1"/>
  <c r="BV7" i="6"/>
  <c r="CC7" i="6" s="1"/>
  <c r="BN7" i="6"/>
  <c r="BW14" i="6" s="1"/>
  <c r="BF7" i="6"/>
  <c r="AX7" i="6"/>
  <c r="AT7" i="6"/>
  <c r="AP7" i="6"/>
  <c r="AH7" i="6"/>
  <c r="Z7" i="6"/>
  <c r="R7" i="6"/>
  <c r="N7" i="6"/>
  <c r="J7" i="6"/>
  <c r="K9" i="8" s="1"/>
  <c r="CH5" i="6"/>
  <c r="CH7" i="6" s="1"/>
  <c r="CG5" i="6"/>
  <c r="BZ5" i="6"/>
  <c r="BE22" i="8" s="1"/>
  <c r="BS5" i="6"/>
  <c r="J6" i="10" s="1"/>
  <c r="J10" i="10" s="1"/>
  <c r="BR5" i="6"/>
  <c r="AY22" i="8" s="1"/>
  <c r="B41" i="12" s="1"/>
  <c r="BB5" i="6"/>
  <c r="AM22" i="8" s="1"/>
  <c r="BA5" i="6"/>
  <c r="AT5" i="6"/>
  <c r="AG22" i="8" s="1"/>
  <c r="AL5" i="6"/>
  <c r="AA22" i="8" s="1"/>
  <c r="AC22" i="8" s="1"/>
  <c r="AD5" i="6"/>
  <c r="U22" i="8" s="1"/>
  <c r="V5" i="6"/>
  <c r="O22" i="8" s="1"/>
  <c r="U5" i="6"/>
  <c r="N5" i="6"/>
  <c r="I22" i="8" s="1"/>
  <c r="F5" i="6"/>
  <c r="C22" i="8" s="1"/>
  <c r="B33" i="12" s="1"/>
  <c r="CD2" i="6"/>
  <c r="BV2" i="6"/>
  <c r="BN2" i="6"/>
  <c r="BF2" i="6"/>
  <c r="AX2" i="6"/>
  <c r="AP2" i="6"/>
  <c r="AH2" i="6"/>
  <c r="Z2" i="6"/>
  <c r="J2" i="6"/>
  <c r="B2" i="6"/>
  <c r="AG7" i="5"/>
  <c r="AF7" i="5"/>
  <c r="CE8" i="6" s="1"/>
  <c r="BO20" i="8" s="1"/>
  <c r="AD7" i="5"/>
  <c r="BX8" i="6" s="1"/>
  <c r="BI21" i="8" s="1"/>
  <c r="AC7" i="5"/>
  <c r="BW8" i="6" s="1"/>
  <c r="BI20" i="8" s="1"/>
  <c r="AA7" i="5"/>
  <c r="BP8" i="6" s="1"/>
  <c r="BC21" i="8" s="1"/>
  <c r="BC23" i="8" s="1"/>
  <c r="Z7" i="5"/>
  <c r="BO8" i="6" s="1"/>
  <c r="BC20" i="8" s="1"/>
  <c r="X7" i="5"/>
  <c r="BH8" i="6" s="1"/>
  <c r="AW21" i="8" s="1"/>
  <c r="AW23" i="8" s="1"/>
  <c r="W7" i="5"/>
  <c r="U7" i="5"/>
  <c r="AZ8" i="6" s="1"/>
  <c r="AQ21" i="8" s="1"/>
  <c r="T7" i="5"/>
  <c r="AY8" i="6" s="1"/>
  <c r="AQ20" i="8" s="1"/>
  <c r="R7" i="5"/>
  <c r="AR8" i="6" s="1"/>
  <c r="AK21" i="8" s="1"/>
  <c r="AK23" i="8" s="1"/>
  <c r="Q7" i="5"/>
  <c r="O7" i="5"/>
  <c r="N7" i="5"/>
  <c r="AI8" i="6" s="1"/>
  <c r="AE20" i="8" s="1"/>
  <c r="L7" i="5"/>
  <c r="AB8" i="6" s="1"/>
  <c r="Y21" i="8" s="1"/>
  <c r="Y23" i="8" s="1"/>
  <c r="K7" i="5"/>
  <c r="I7" i="5"/>
  <c r="H7" i="5"/>
  <c r="S8" i="6" s="1"/>
  <c r="S20" i="8" s="1"/>
  <c r="F7" i="5"/>
  <c r="L8" i="6" s="1"/>
  <c r="M21" i="8" s="1"/>
  <c r="M23" i="8" s="1"/>
  <c r="E7" i="5"/>
  <c r="K8" i="6" s="1"/>
  <c r="M20" i="8" s="1"/>
  <c r="C7" i="5"/>
  <c r="D8" i="6" s="1"/>
  <c r="G21" i="8" s="1"/>
  <c r="B7" i="5"/>
  <c r="C8" i="6" s="1"/>
  <c r="AG6" i="5"/>
  <c r="CF7" i="6" s="1"/>
  <c r="AD6" i="5"/>
  <c r="BX7" i="6" s="1"/>
  <c r="AA6" i="5"/>
  <c r="BP7" i="6" s="1"/>
  <c r="BA21" i="8" s="1"/>
  <c r="X6" i="5"/>
  <c r="BH7" i="6" s="1"/>
  <c r="U6" i="5"/>
  <c r="AZ7" i="6" s="1"/>
  <c r="R6" i="5"/>
  <c r="AR7" i="6" s="1"/>
  <c r="O6" i="5"/>
  <c r="AJ7" i="6" s="1"/>
  <c r="AC21" i="8" s="1"/>
  <c r="L6" i="5"/>
  <c r="AB7" i="6" s="1"/>
  <c r="I6" i="5"/>
  <c r="T7" i="6" s="1"/>
  <c r="F6" i="5"/>
  <c r="L7" i="6" s="1"/>
  <c r="C6" i="5"/>
  <c r="D7" i="6" s="1"/>
  <c r="E21" i="8" s="1"/>
  <c r="AG5" i="5"/>
  <c r="CF6" i="6" s="1"/>
  <c r="BL21" i="8" s="1"/>
  <c r="BL23" i="8" s="1"/>
  <c r="AD5" i="5"/>
  <c r="BX6" i="6" s="1"/>
  <c r="BF21" i="8" s="1"/>
  <c r="BF23" i="8" s="1"/>
  <c r="AA5" i="5"/>
  <c r="BP6" i="6" s="1"/>
  <c r="AZ21" i="8" s="1"/>
  <c r="AZ23" i="8" s="1"/>
  <c r="AI5" i="9" s="1"/>
  <c r="X5" i="5"/>
  <c r="BH6" i="6" s="1"/>
  <c r="AT21" i="8" s="1"/>
  <c r="AT23" i="8" s="1"/>
  <c r="U5" i="5"/>
  <c r="AZ6" i="6" s="1"/>
  <c r="AN21" i="8" s="1"/>
  <c r="AN23" i="8" s="1"/>
  <c r="R5" i="5"/>
  <c r="AR6" i="6" s="1"/>
  <c r="AH21" i="8" s="1"/>
  <c r="AH23" i="8" s="1"/>
  <c r="O5" i="5"/>
  <c r="AJ6" i="6" s="1"/>
  <c r="AB21" i="8" s="1"/>
  <c r="L5" i="5"/>
  <c r="AB6" i="6" s="1"/>
  <c r="V21" i="8" s="1"/>
  <c r="V23" i="8" s="1"/>
  <c r="I5" i="5"/>
  <c r="T6" i="6" s="1"/>
  <c r="P21" i="8" s="1"/>
  <c r="P23" i="8" s="1"/>
  <c r="F5" i="5"/>
  <c r="L6" i="6" s="1"/>
  <c r="J21" i="8" s="1"/>
  <c r="J23" i="8" s="1"/>
  <c r="C5" i="5"/>
  <c r="D6" i="6" s="1"/>
  <c r="D21" i="8" s="1"/>
  <c r="D23" i="8" s="1"/>
  <c r="AH4" i="5"/>
  <c r="AF4" i="5"/>
  <c r="AE4" i="5"/>
  <c r="BY5" i="6" s="1"/>
  <c r="AC4" i="5"/>
  <c r="AD4" i="5" s="1"/>
  <c r="AB4" i="5"/>
  <c r="BQ5" i="6" s="1"/>
  <c r="J4" i="10" s="1"/>
  <c r="Y4" i="5"/>
  <c r="BI5" i="6" s="1"/>
  <c r="V4" i="5"/>
  <c r="T4" i="5"/>
  <c r="S4" i="5"/>
  <c r="AS5" i="6" s="1"/>
  <c r="P4" i="5"/>
  <c r="M4" i="5"/>
  <c r="AC5" i="6" s="1"/>
  <c r="J4" i="5"/>
  <c r="H4" i="5"/>
  <c r="G4" i="5"/>
  <c r="M5" i="6" s="1"/>
  <c r="E4" i="5"/>
  <c r="F4" i="5" s="1"/>
  <c r="D4" i="5"/>
  <c r="E5" i="6" s="1"/>
  <c r="B4" i="10" s="1"/>
  <c r="AF2" i="5"/>
  <c r="AC2" i="5"/>
  <c r="Z2" i="5"/>
  <c r="W2" i="5"/>
  <c r="T2" i="5"/>
  <c r="Q2" i="5"/>
  <c r="N2" i="5"/>
  <c r="E2" i="5"/>
  <c r="B2" i="5" s="1"/>
  <c r="F5" i="4"/>
  <c r="W4" i="5" s="1"/>
  <c r="E5" i="4"/>
  <c r="D5" i="4"/>
  <c r="Q4" i="5" s="1"/>
  <c r="C5" i="4"/>
  <c r="K4" i="5" s="1"/>
  <c r="B5" i="4"/>
  <c r="B4" i="5" s="1"/>
  <c r="AW21" i="3"/>
  <c r="AW19" i="3"/>
  <c r="BJ5" i="6" s="1"/>
  <c r="AW17" i="3"/>
  <c r="AW16" i="3"/>
  <c r="AW15" i="3"/>
  <c r="AW13" i="3"/>
  <c r="AW11" i="3"/>
  <c r="AW10" i="3"/>
  <c r="AW9" i="3"/>
  <c r="AW6" i="3"/>
  <c r="AM3" i="3"/>
  <c r="AG3" i="3"/>
  <c r="AA3" i="3"/>
  <c r="U3" i="3"/>
  <c r="I3" i="3"/>
  <c r="C3" i="3"/>
  <c r="L2" i="2"/>
  <c r="K2" i="2"/>
  <c r="J2" i="2"/>
  <c r="I2" i="2"/>
  <c r="H2" i="2"/>
  <c r="G2" i="2"/>
  <c r="F2" i="2"/>
  <c r="E2" i="2"/>
  <c r="C2" i="2"/>
  <c r="B2" i="2"/>
  <c r="E1" i="2"/>
  <c r="D1" i="2"/>
  <c r="B1" i="2"/>
  <c r="AA5" i="9" l="1"/>
  <c r="AN46" i="8"/>
  <c r="AA7" i="9" s="1"/>
  <c r="K101" i="7"/>
  <c r="M101" i="7" s="1"/>
  <c r="L101" i="7"/>
  <c r="N101" i="7" s="1"/>
  <c r="L41" i="7"/>
  <c r="N41" i="7" s="1"/>
  <c r="K41" i="7"/>
  <c r="M41" i="7" s="1"/>
  <c r="AK5" i="9"/>
  <c r="BC46" i="8"/>
  <c r="AK7" i="9" s="1"/>
  <c r="G5" i="9"/>
  <c r="J46" i="8"/>
  <c r="G7" i="9" s="1"/>
  <c r="W5" i="9"/>
  <c r="AH46" i="8"/>
  <c r="W7" i="9" s="1"/>
  <c r="BF46" i="8"/>
  <c r="AM7" i="9" s="1"/>
  <c r="AM5" i="9"/>
  <c r="Q21" i="8"/>
  <c r="AO21" i="8"/>
  <c r="AO23" i="8" s="1"/>
  <c r="I5" i="9"/>
  <c r="M46" i="8"/>
  <c r="I7" i="9" s="1"/>
  <c r="BI23" i="8"/>
  <c r="BG5" i="6"/>
  <c r="AS20" i="8" s="1"/>
  <c r="W8" i="5"/>
  <c r="BG9" i="6" s="1"/>
  <c r="N4" i="5"/>
  <c r="AK5" i="6"/>
  <c r="Y46" i="8"/>
  <c r="Q7" i="9" s="1"/>
  <c r="Q5" i="9"/>
  <c r="AG5" i="9"/>
  <c r="AW46" i="8"/>
  <c r="AG7" i="9" s="1"/>
  <c r="CC13" i="6"/>
  <c r="S5" i="9"/>
  <c r="AB46" i="8"/>
  <c r="S7" i="9" s="1"/>
  <c r="AA5" i="6"/>
  <c r="U20" i="8" s="1"/>
  <c r="K8" i="5"/>
  <c r="AA9" i="6" s="1"/>
  <c r="G4" i="10"/>
  <c r="AU5" i="6"/>
  <c r="G6" i="10" s="1"/>
  <c r="G10" i="10" s="1"/>
  <c r="I4" i="10"/>
  <c r="BK5" i="6"/>
  <c r="I6" i="10" s="1"/>
  <c r="AF8" i="5"/>
  <c r="CE9" i="6" s="1"/>
  <c r="AG4" i="5"/>
  <c r="CE5" i="6"/>
  <c r="BK20" i="8" s="1"/>
  <c r="BL46" i="8"/>
  <c r="AQ7" i="9" s="1"/>
  <c r="AQ5" i="9"/>
  <c r="AU21" i="8"/>
  <c r="BK7" i="6"/>
  <c r="BL7" i="6" s="1"/>
  <c r="G5" i="6"/>
  <c r="B6" i="10" s="1"/>
  <c r="B10" i="10" s="1"/>
  <c r="S23" i="8"/>
  <c r="BH28" i="8"/>
  <c r="BE24" i="8"/>
  <c r="AS22" i="8"/>
  <c r="BJ7" i="6"/>
  <c r="L5" i="6"/>
  <c r="I21" i="8" s="1"/>
  <c r="F8" i="5"/>
  <c r="L9" i="6" s="1"/>
  <c r="AE5" i="9"/>
  <c r="AT46" i="8"/>
  <c r="AE7" i="9" s="1"/>
  <c r="AC23" i="8"/>
  <c r="G23" i="8"/>
  <c r="B38" i="12"/>
  <c r="AI22" i="8"/>
  <c r="AG77" i="8"/>
  <c r="L4" i="10"/>
  <c r="CI5" i="6"/>
  <c r="L6" i="10" s="1"/>
  <c r="L10" i="10" s="1"/>
  <c r="M10" i="10" s="1"/>
  <c r="CD7" i="6"/>
  <c r="CK7" i="6" s="1"/>
  <c r="K91" i="7"/>
  <c r="M91" i="7" s="1"/>
  <c r="BM22" i="8"/>
  <c r="B43" i="12"/>
  <c r="D43" i="12" s="1"/>
  <c r="BK77" i="8"/>
  <c r="B8" i="5"/>
  <c r="C9" i="6" s="1"/>
  <c r="C4" i="5"/>
  <c r="H8" i="5"/>
  <c r="S9" i="6" s="1"/>
  <c r="S5" i="6"/>
  <c r="O20" i="8" s="1"/>
  <c r="I4" i="5"/>
  <c r="X4" i="5"/>
  <c r="K4" i="10"/>
  <c r="CA5" i="6"/>
  <c r="K6" i="10" s="1"/>
  <c r="BM21" i="8"/>
  <c r="CI7" i="6"/>
  <c r="AK46" i="8"/>
  <c r="Y7" i="9" s="1"/>
  <c r="Y5" i="9"/>
  <c r="B37" i="12"/>
  <c r="AA77" i="8"/>
  <c r="L31" i="7"/>
  <c r="N31" i="7" s="1"/>
  <c r="K31" i="7"/>
  <c r="M31" i="7" s="1"/>
  <c r="K5" i="9"/>
  <c r="P46" i="8"/>
  <c r="K7" i="9" s="1"/>
  <c r="W21" i="8"/>
  <c r="W23" i="8" s="1"/>
  <c r="B42" i="12"/>
  <c r="D42" i="12" s="1"/>
  <c r="BE77" i="8"/>
  <c r="BG22" i="8"/>
  <c r="BZ7" i="6"/>
  <c r="AQ46" i="8"/>
  <c r="AC7" i="9" s="1"/>
  <c r="AC5" i="9"/>
  <c r="O24" i="8"/>
  <c r="R25" i="8"/>
  <c r="BK24" i="8"/>
  <c r="BN25" i="8"/>
  <c r="AS24" i="8"/>
  <c r="AV26" i="8"/>
  <c r="X30" i="8"/>
  <c r="U24" i="8"/>
  <c r="R4" i="5"/>
  <c r="AQ5" i="6"/>
  <c r="AG20" i="8" s="1"/>
  <c r="Q8" i="5"/>
  <c r="AQ9" i="6" s="1"/>
  <c r="L4" i="5"/>
  <c r="T8" i="5"/>
  <c r="AY9" i="6" s="1"/>
  <c r="AY5" i="6"/>
  <c r="AM20" i="8" s="1"/>
  <c r="U4" i="5"/>
  <c r="O5" i="9"/>
  <c r="V46" i="8"/>
  <c r="O7" i="9" s="1"/>
  <c r="E23" i="8"/>
  <c r="B34" i="12"/>
  <c r="D34" i="12" s="1"/>
  <c r="K22" i="8"/>
  <c r="K81" i="7"/>
  <c r="M81" i="7" s="1"/>
  <c r="L81" i="7"/>
  <c r="N81" i="7" s="1"/>
  <c r="D3" i="10"/>
  <c r="O2" i="8"/>
  <c r="F4" i="7"/>
  <c r="F20" i="7" s="1"/>
  <c r="F30" i="7" s="1"/>
  <c r="F40" i="7" s="1"/>
  <c r="F50" i="7" s="1"/>
  <c r="F60" i="7" s="1"/>
  <c r="F70" i="7" s="1"/>
  <c r="F80" i="7" s="1"/>
  <c r="F90" i="7" s="1"/>
  <c r="F100" i="7" s="1"/>
  <c r="R2" i="6"/>
  <c r="O3" i="3"/>
  <c r="H2" i="5"/>
  <c r="K3" i="9"/>
  <c r="D2" i="2"/>
  <c r="C4" i="10"/>
  <c r="O5" i="6"/>
  <c r="C6" i="10" s="1"/>
  <c r="C10" i="10" s="1"/>
  <c r="E4" i="10"/>
  <c r="AE5" i="6"/>
  <c r="E6" i="10" s="1"/>
  <c r="E10" i="10" s="1"/>
  <c r="BX5" i="6"/>
  <c r="BE21" i="8" s="1"/>
  <c r="AD8" i="5"/>
  <c r="BX9" i="6" s="1"/>
  <c r="C5" i="9"/>
  <c r="D46" i="8"/>
  <c r="C7" i="9" s="1"/>
  <c r="K21" i="8"/>
  <c r="K23" i="8" s="1"/>
  <c r="O7" i="6"/>
  <c r="AI21" i="8"/>
  <c r="AU7" i="6"/>
  <c r="AV7" i="6" s="1"/>
  <c r="BG21" i="8"/>
  <c r="CA7" i="6"/>
  <c r="CB7" i="6" s="1"/>
  <c r="C5" i="6"/>
  <c r="C20" i="8" s="1"/>
  <c r="D4" i="10"/>
  <c r="W5" i="6"/>
  <c r="D6" i="10" s="1"/>
  <c r="D10" i="10" s="1"/>
  <c r="H4" i="10"/>
  <c r="BC5" i="6"/>
  <c r="H6" i="10" s="1"/>
  <c r="AM7" i="6"/>
  <c r="AN7" i="6" s="1"/>
  <c r="BS7" i="6"/>
  <c r="BT7" i="6" s="1"/>
  <c r="AE23" i="8"/>
  <c r="AS5" i="9"/>
  <c r="BO46" i="8"/>
  <c r="AS7" i="9" s="1"/>
  <c r="CE14" i="6"/>
  <c r="K5" i="7"/>
  <c r="M5" i="7" s="1"/>
  <c r="L21" i="7"/>
  <c r="N21" i="7" s="1"/>
  <c r="K21" i="7"/>
  <c r="M21" i="7" s="1"/>
  <c r="L51" i="7"/>
  <c r="N51" i="7" s="1"/>
  <c r="K51" i="7"/>
  <c r="M51" i="7" s="1"/>
  <c r="K71" i="7"/>
  <c r="M71" i="7" s="1"/>
  <c r="BG60" i="8"/>
  <c r="F29" i="12"/>
  <c r="E3" i="10"/>
  <c r="O3" i="9"/>
  <c r="E8" i="5"/>
  <c r="K9" i="6" s="1"/>
  <c r="AC8" i="5"/>
  <c r="BW9" i="6" s="1"/>
  <c r="K5" i="6"/>
  <c r="I20" i="8" s="1"/>
  <c r="B35" i="12"/>
  <c r="Q22" i="8"/>
  <c r="B39" i="12"/>
  <c r="D39" i="12" s="1"/>
  <c r="AM77" i="8"/>
  <c r="BW5" i="6"/>
  <c r="BE20" i="8" s="1"/>
  <c r="BE23" i="8" s="1"/>
  <c r="V7" i="6"/>
  <c r="W7" i="6" s="1"/>
  <c r="X7" i="6" s="1"/>
  <c r="BB7" i="6"/>
  <c r="BC7" i="6" s="1"/>
  <c r="BD7" i="6" s="1"/>
  <c r="U2" i="8"/>
  <c r="AO22" i="8"/>
  <c r="C8" i="12"/>
  <c r="C22" i="12" s="1"/>
  <c r="F22" i="12" s="1"/>
  <c r="X60" i="8"/>
  <c r="X73" i="8" s="1"/>
  <c r="Z4" i="5"/>
  <c r="AM24" i="8"/>
  <c r="AP25" i="8"/>
  <c r="N35" i="8"/>
  <c r="N46" i="8" s="1"/>
  <c r="C24" i="8"/>
  <c r="F25" i="8"/>
  <c r="AY24" i="8"/>
  <c r="BB25" i="8"/>
  <c r="AJ26" i="8"/>
  <c r="AG24" i="8"/>
  <c r="B8" i="12"/>
  <c r="AC9" i="8"/>
  <c r="AV60" i="8"/>
  <c r="AV73" i="8" s="1"/>
  <c r="C12" i="12"/>
  <c r="K2" i="5"/>
  <c r="B36" i="12"/>
  <c r="D36" i="12" s="1"/>
  <c r="U77" i="8"/>
  <c r="P7" i="6"/>
  <c r="AD7" i="6"/>
  <c r="AE7" i="6" s="1"/>
  <c r="AF7" i="6" s="1"/>
  <c r="W22" i="8"/>
  <c r="E60" i="8"/>
  <c r="B9" i="12"/>
  <c r="AI9" i="8"/>
  <c r="C5" i="12"/>
  <c r="AD60" i="8"/>
  <c r="AD73" i="8" s="1"/>
  <c r="C13" i="12"/>
  <c r="C27" i="12" s="1"/>
  <c r="BB60" i="8"/>
  <c r="AJ60" i="8"/>
  <c r="AJ73" i="8" s="1"/>
  <c r="BH60" i="8"/>
  <c r="R60" i="8"/>
  <c r="R73" i="8" s="1"/>
  <c r="C11" i="12"/>
  <c r="C25" i="12" s="1"/>
  <c r="AC73" i="8"/>
  <c r="C9" i="12"/>
  <c r="C23" i="12" s="1"/>
  <c r="F7" i="6"/>
  <c r="G7" i="6" s="1"/>
  <c r="H7" i="6" s="1"/>
  <c r="AL7" i="6"/>
  <c r="BR7" i="6"/>
  <c r="E30" i="7"/>
  <c r="E40" i="7" s="1"/>
  <c r="E50" i="7" s="1"/>
  <c r="E60" i="7" s="1"/>
  <c r="E70" i="7" s="1"/>
  <c r="E80" i="7" s="1"/>
  <c r="E90" i="7" s="1"/>
  <c r="E100" i="7" s="1"/>
  <c r="D20" i="7"/>
  <c r="D30" i="7" s="1"/>
  <c r="D40" i="7" s="1"/>
  <c r="D50" i="7" s="1"/>
  <c r="D60" i="7" s="1"/>
  <c r="D70" i="7" s="1"/>
  <c r="D80" i="7" s="1"/>
  <c r="D90" i="7" s="1"/>
  <c r="D100" i="7" s="1"/>
  <c r="BA22" i="8"/>
  <c r="BA23" i="8" s="1"/>
  <c r="AA24" i="8"/>
  <c r="AD25" i="8"/>
  <c r="L26" i="8"/>
  <c r="I24" i="8"/>
  <c r="R35" i="8"/>
  <c r="AP35" i="8"/>
  <c r="N36" i="8"/>
  <c r="Z36" i="8"/>
  <c r="AL36" i="8"/>
  <c r="AX36" i="8"/>
  <c r="BJ36" i="8"/>
  <c r="AF37" i="8"/>
  <c r="BD37" i="8"/>
  <c r="B10" i="12"/>
  <c r="AI73" i="8"/>
  <c r="AO9" i="8"/>
  <c r="B13" i="12"/>
  <c r="BG9" i="8"/>
  <c r="A6" i="12"/>
  <c r="B3" i="10"/>
  <c r="A5" i="11" s="1"/>
  <c r="A6" i="11"/>
  <c r="B25" i="12"/>
  <c r="B7" i="12"/>
  <c r="B26" i="12"/>
  <c r="C7" i="12"/>
  <c r="C21" i="12" s="1"/>
  <c r="F21" i="12" s="1"/>
  <c r="Q73" i="8"/>
  <c r="AU73" i="8"/>
  <c r="D12" i="11"/>
  <c r="B20" i="12"/>
  <c r="D6" i="12"/>
  <c r="C10" i="12"/>
  <c r="C24" i="12" s="1"/>
  <c r="F24" i="12" s="1"/>
  <c r="C14" i="12"/>
  <c r="C28" i="12" s="1"/>
  <c r="D5" i="11"/>
  <c r="F5" i="11"/>
  <c r="G5" i="11" s="1"/>
  <c r="A15" i="11"/>
  <c r="D13" i="11"/>
  <c r="D10" i="11"/>
  <c r="D14" i="11"/>
  <c r="BA46" i="8" l="1"/>
  <c r="BA48" i="8" s="1"/>
  <c r="AJ5" i="9"/>
  <c r="F25" i="12"/>
  <c r="C26" i="12"/>
  <c r="F26" i="12" s="1"/>
  <c r="D12" i="12"/>
  <c r="L8" i="5"/>
  <c r="AB9" i="6" s="1"/>
  <c r="AB5" i="6"/>
  <c r="U21" i="8" s="1"/>
  <c r="U23" i="8" s="1"/>
  <c r="U46" i="8" s="1"/>
  <c r="R7" i="9" s="1"/>
  <c r="W46" i="8"/>
  <c r="W48" i="8" s="1"/>
  <c r="P5" i="9"/>
  <c r="AO5" i="9"/>
  <c r="BI46" i="8"/>
  <c r="AO7" i="9" s="1"/>
  <c r="C33" i="12"/>
  <c r="F24" i="8"/>
  <c r="F46" i="8" s="1"/>
  <c r="D5" i="6"/>
  <c r="C21" i="8" s="1"/>
  <c r="C8" i="5"/>
  <c r="D9" i="6" s="1"/>
  <c r="AU23" i="8"/>
  <c r="CF5" i="6"/>
  <c r="BK21" i="8" s="1"/>
  <c r="AG8" i="5"/>
  <c r="CF9" i="6" s="1"/>
  <c r="N8" i="5"/>
  <c r="AI9" i="6" s="1"/>
  <c r="O4" i="5"/>
  <c r="AI5" i="6"/>
  <c r="AA20" i="8" s="1"/>
  <c r="C35" i="12"/>
  <c r="P77" i="8"/>
  <c r="R24" i="8"/>
  <c r="T5" i="9"/>
  <c r="AC46" i="8"/>
  <c r="AC48" i="8" s="1"/>
  <c r="BK23" i="8"/>
  <c r="BK46" i="8" s="1"/>
  <c r="AT7" i="9" s="1"/>
  <c r="D20" i="12"/>
  <c r="E6" i="12"/>
  <c r="F6" i="12" s="1"/>
  <c r="A20" i="12"/>
  <c r="A34" i="12" s="1"/>
  <c r="A5" i="12"/>
  <c r="A19" i="12" s="1"/>
  <c r="A33" i="12" s="1"/>
  <c r="B23" i="12"/>
  <c r="D9" i="12"/>
  <c r="D23" i="12" s="1"/>
  <c r="E9" i="12"/>
  <c r="F9" i="12" s="1"/>
  <c r="C39" i="12"/>
  <c r="AN77" i="8"/>
  <c r="AP24" i="8"/>
  <c r="B14" i="12"/>
  <c r="BM9" i="8"/>
  <c r="BG73" i="8"/>
  <c r="BG23" i="8"/>
  <c r="K46" i="8"/>
  <c r="K48" i="8" s="1"/>
  <c r="H5" i="9"/>
  <c r="AZ5" i="6"/>
  <c r="AM21" i="8" s="1"/>
  <c r="U8" i="5"/>
  <c r="AZ9" i="6" s="1"/>
  <c r="C36" i="12"/>
  <c r="E36" i="12" s="1"/>
  <c r="V77" i="8"/>
  <c r="X24" i="8"/>
  <c r="X46" i="8" s="1"/>
  <c r="X8" i="5"/>
  <c r="BH9" i="6" s="1"/>
  <c r="BH5" i="6"/>
  <c r="AS21" i="8" s="1"/>
  <c r="B21" i="12"/>
  <c r="E21" i="12" s="1"/>
  <c r="D7" i="12"/>
  <c r="D21" i="12" s="1"/>
  <c r="G21" i="12" s="1"/>
  <c r="D11" i="12"/>
  <c r="R46" i="8"/>
  <c r="T35" i="8"/>
  <c r="T46" i="8" s="1"/>
  <c r="C37" i="12"/>
  <c r="E37" i="12" s="1"/>
  <c r="AB77" i="8"/>
  <c r="AD24" i="8"/>
  <c r="AD46" i="8" s="1"/>
  <c r="F23" i="12"/>
  <c r="BH73" i="8"/>
  <c r="B5" i="12"/>
  <c r="Z8" i="5"/>
  <c r="BO9" i="6" s="1"/>
  <c r="AA4" i="5"/>
  <c r="BO5" i="6"/>
  <c r="AY20" i="8" s="1"/>
  <c r="BE46" i="8"/>
  <c r="AP7" i="9" s="1"/>
  <c r="D35" i="12"/>
  <c r="E46" i="8"/>
  <c r="E48" i="8" s="1"/>
  <c r="D5" i="9"/>
  <c r="AM23" i="8"/>
  <c r="AM46" i="8" s="1"/>
  <c r="AD7" i="9" s="1"/>
  <c r="AC8" i="9" s="1"/>
  <c r="C43" i="12"/>
  <c r="BL77" i="8"/>
  <c r="BN24" i="8"/>
  <c r="BN46" i="8" s="1"/>
  <c r="D37" i="12"/>
  <c r="BM23" i="8"/>
  <c r="T5" i="6"/>
  <c r="O21" i="8" s="1"/>
  <c r="I8" i="5"/>
  <c r="T9" i="6" s="1"/>
  <c r="D38" i="12"/>
  <c r="B40" i="12"/>
  <c r="AS77" i="8"/>
  <c r="AU22" i="8"/>
  <c r="AY77" i="8"/>
  <c r="S46" i="8"/>
  <c r="M7" i="9" s="1"/>
  <c r="M5" i="9"/>
  <c r="W73" i="8"/>
  <c r="Q23" i="8"/>
  <c r="AA8" i="9"/>
  <c r="BB73" i="8"/>
  <c r="BA73" i="8"/>
  <c r="C38" i="12"/>
  <c r="E38" i="12" s="1"/>
  <c r="AH77" i="8"/>
  <c r="AJ24" i="8"/>
  <c r="AJ46" i="8" s="1"/>
  <c r="R5" i="9"/>
  <c r="Q6" i="9" s="1"/>
  <c r="O6" i="9"/>
  <c r="C40" i="12"/>
  <c r="E40" i="12" s="1"/>
  <c r="AV24" i="8"/>
  <c r="AV46" i="8" s="1"/>
  <c r="AT77" i="8"/>
  <c r="C42" i="12"/>
  <c r="E42" i="12" s="1"/>
  <c r="BH24" i="8"/>
  <c r="BH46" i="8" s="1"/>
  <c r="BF77" i="8"/>
  <c r="F4" i="10"/>
  <c r="AM5" i="6"/>
  <c r="F6" i="10" s="1"/>
  <c r="F10" i="10" s="1"/>
  <c r="AB5" i="9"/>
  <c r="AO46" i="8"/>
  <c r="AO48" i="8" s="1"/>
  <c r="AP46" i="8"/>
  <c r="AR35" i="8"/>
  <c r="AR46" i="8" s="1"/>
  <c r="F28" i="12"/>
  <c r="E26" i="12"/>
  <c r="B27" i="12"/>
  <c r="E27" i="12" s="1"/>
  <c r="D13" i="12"/>
  <c r="D27" i="12" s="1"/>
  <c r="E13" i="12"/>
  <c r="F13" i="12" s="1"/>
  <c r="B24" i="12"/>
  <c r="E24" i="12" s="1"/>
  <c r="E10" i="12"/>
  <c r="F10" i="12" s="1"/>
  <c r="D10" i="12"/>
  <c r="D24" i="12" s="1"/>
  <c r="G24" i="12" s="1"/>
  <c r="L24" i="8"/>
  <c r="L46" i="8" s="1"/>
  <c r="C34" i="12"/>
  <c r="E34" i="12" s="1"/>
  <c r="C19" i="12"/>
  <c r="F20" i="12" s="1"/>
  <c r="K20" i="12"/>
  <c r="B22" i="12"/>
  <c r="D8" i="12"/>
  <c r="D22" i="12" s="1"/>
  <c r="G22" i="12" s="1"/>
  <c r="E8" i="12"/>
  <c r="F8" i="12" s="1"/>
  <c r="C41" i="12"/>
  <c r="AZ77" i="8"/>
  <c r="BB24" i="8"/>
  <c r="BB46" i="8" s="1"/>
  <c r="I23" i="8"/>
  <c r="I46" i="8" s="1"/>
  <c r="J7" i="9" s="1"/>
  <c r="I8" i="9" s="1"/>
  <c r="A8" i="11"/>
  <c r="A8" i="12"/>
  <c r="A22" i="12" s="1"/>
  <c r="A36" i="12" s="1"/>
  <c r="AE46" i="8"/>
  <c r="U7" i="9" s="1"/>
  <c r="U5" i="9"/>
  <c r="V5" i="9" s="1"/>
  <c r="S6" i="9" s="1"/>
  <c r="H10" i="10"/>
  <c r="C23" i="8"/>
  <c r="C46" i="8" s="1"/>
  <c r="F7" i="9" s="1"/>
  <c r="AI23" i="8"/>
  <c r="A7" i="11"/>
  <c r="A7" i="12"/>
  <c r="A21" i="12" s="1"/>
  <c r="A35" i="12" s="1"/>
  <c r="AR5" i="6"/>
  <c r="AG21" i="8" s="1"/>
  <c r="AG23" i="8" s="1"/>
  <c r="AG46" i="8" s="1"/>
  <c r="Z7" i="9" s="1"/>
  <c r="R8" i="5"/>
  <c r="AR9" i="6" s="1"/>
  <c r="K10" i="10"/>
  <c r="O23" i="8"/>
  <c r="O46" i="8" s="1"/>
  <c r="N7" i="9" s="1"/>
  <c r="BM60" i="8"/>
  <c r="CK13" i="6"/>
  <c r="CJ7" i="6"/>
  <c r="G46" i="8"/>
  <c r="E7" i="9" s="1"/>
  <c r="E8" i="9" s="1"/>
  <c r="E5" i="9"/>
  <c r="AQ8" i="9"/>
  <c r="I10" i="10"/>
  <c r="AS23" i="8"/>
  <c r="AS46" i="8" s="1"/>
  <c r="AH7" i="9" s="1"/>
  <c r="AE8" i="9" s="1"/>
  <c r="AA6" i="9"/>
  <c r="AD5" i="9"/>
  <c r="AC6" i="9" s="1"/>
  <c r="P7" i="9" l="1"/>
  <c r="P8" i="9" s="1"/>
  <c r="E8" i="10"/>
  <c r="Q8" i="9"/>
  <c r="O8" i="9"/>
  <c r="G8" i="10"/>
  <c r="X7" i="9"/>
  <c r="X8" i="9" s="1"/>
  <c r="Y8" i="9"/>
  <c r="W8" i="9"/>
  <c r="D8" i="10"/>
  <c r="L7" i="9"/>
  <c r="L8" i="9" s="1"/>
  <c r="AI46" i="8"/>
  <c r="AI48" i="8" s="1"/>
  <c r="X5" i="9"/>
  <c r="AN7" i="9"/>
  <c r="AN8" i="9" s="1"/>
  <c r="K8" i="10"/>
  <c r="B19" i="12"/>
  <c r="E20" i="12" s="1"/>
  <c r="D5" i="12"/>
  <c r="D19" i="12" s="1"/>
  <c r="E5" i="12"/>
  <c r="F5" i="12" s="1"/>
  <c r="E23" i="12"/>
  <c r="G20" i="12"/>
  <c r="L8" i="10"/>
  <c r="AR7" i="9"/>
  <c r="AR8" i="9" s="1"/>
  <c r="AU46" i="8"/>
  <c r="AU48" i="8" s="1"/>
  <c r="AF5" i="9"/>
  <c r="K8" i="9"/>
  <c r="AO8" i="9"/>
  <c r="E6" i="9"/>
  <c r="B8" i="10"/>
  <c r="D7" i="9"/>
  <c r="D8" i="9" s="1"/>
  <c r="E22" i="12"/>
  <c r="AG8" i="9"/>
  <c r="E43" i="12"/>
  <c r="D25" i="12"/>
  <c r="G25" i="12" s="1"/>
  <c r="E11" i="12"/>
  <c r="F11" i="12" s="1"/>
  <c r="F5" i="9"/>
  <c r="C6" i="9" s="1"/>
  <c r="E39" i="12"/>
  <c r="AM8" i="9"/>
  <c r="AP8" i="9" s="1"/>
  <c r="F27" i="12"/>
  <c r="C8" i="10"/>
  <c r="H7" i="9"/>
  <c r="H8" i="9" s="1"/>
  <c r="E25" i="12"/>
  <c r="G8" i="9"/>
  <c r="J8" i="9" s="1"/>
  <c r="I8" i="10"/>
  <c r="AF7" i="9"/>
  <c r="AF8" i="9" s="1"/>
  <c r="AH8" i="9" s="1"/>
  <c r="E41" i="12"/>
  <c r="AB6" i="9"/>
  <c r="AR5" i="9"/>
  <c r="BM46" i="8"/>
  <c r="BP5" i="6"/>
  <c r="AY21" i="8" s="1"/>
  <c r="AY23" i="8" s="1"/>
  <c r="AY46" i="8" s="1"/>
  <c r="AL7" i="9" s="1"/>
  <c r="AA8" i="5"/>
  <c r="BP9" i="6" s="1"/>
  <c r="E7" i="12"/>
  <c r="F7" i="12" s="1"/>
  <c r="AN5" i="9"/>
  <c r="BG46" i="8"/>
  <c r="BG48" i="8" s="1"/>
  <c r="B28" i="12"/>
  <c r="E28" i="12" s="1"/>
  <c r="E14" i="12"/>
  <c r="F14" i="12" s="1"/>
  <c r="D14" i="12"/>
  <c r="D28" i="12" s="1"/>
  <c r="G28" i="12" s="1"/>
  <c r="T6" i="9"/>
  <c r="V6" i="9" s="1"/>
  <c r="E35" i="12"/>
  <c r="AS8" i="9"/>
  <c r="AT8" i="9" s="1"/>
  <c r="J5" i="9"/>
  <c r="AL5" i="9"/>
  <c r="B15" i="12"/>
  <c r="BM48" i="8"/>
  <c r="BM73" i="8"/>
  <c r="BN73" i="8"/>
  <c r="U6" i="9"/>
  <c r="AD8" i="9"/>
  <c r="L5" i="9"/>
  <c r="Q46" i="8"/>
  <c r="Q48" i="8" s="1"/>
  <c r="M8" i="9"/>
  <c r="D40" i="12"/>
  <c r="D41" i="12"/>
  <c r="H8" i="10"/>
  <c r="AB7" i="9"/>
  <c r="AB8" i="9" s="1"/>
  <c r="G23" i="12"/>
  <c r="C8" i="9"/>
  <c r="F8" i="9" s="1"/>
  <c r="AJ5" i="6"/>
  <c r="AA21" i="8" s="1"/>
  <c r="AA23" i="8" s="1"/>
  <c r="AA46" i="8" s="1"/>
  <c r="V7" i="9" s="1"/>
  <c r="O8" i="5"/>
  <c r="AJ9" i="6" s="1"/>
  <c r="P6" i="9"/>
  <c r="R6" i="9" s="1"/>
  <c r="D26" i="12"/>
  <c r="G26" i="12" s="1"/>
  <c r="E12" i="12"/>
  <c r="F12" i="12" s="1"/>
  <c r="J8" i="10" l="1"/>
  <c r="AJ7" i="9"/>
  <c r="AJ8" i="9" s="1"/>
  <c r="AI8" i="9"/>
  <c r="AK8" i="9"/>
  <c r="F8" i="10"/>
  <c r="T7" i="9"/>
  <c r="T8" i="9" s="1"/>
  <c r="S8" i="9"/>
  <c r="U8" i="9"/>
  <c r="G6" i="9"/>
  <c r="I6" i="9"/>
  <c r="C45" i="9" a="1"/>
  <c r="N8" i="9"/>
  <c r="L16" i="10"/>
  <c r="L13" i="10"/>
  <c r="M13" i="10" s="1"/>
  <c r="N12" i="10" s="1"/>
  <c r="E15" i="12"/>
  <c r="F15" i="12" s="1"/>
  <c r="D15" i="12"/>
  <c r="D29" i="12" s="1"/>
  <c r="G29" i="12" s="1"/>
  <c r="B29" i="12"/>
  <c r="E29" i="12" s="1"/>
  <c r="I21" i="12"/>
  <c r="I22" i="12" s="1"/>
  <c r="I19" i="12"/>
  <c r="AN6" i="9"/>
  <c r="AP5" i="9"/>
  <c r="G27" i="12"/>
  <c r="I16" i="10"/>
  <c r="I13" i="10"/>
  <c r="AD6" i="9"/>
  <c r="AH5" i="9"/>
  <c r="D6" i="9"/>
  <c r="D16" i="10"/>
  <c r="D13" i="10"/>
  <c r="E16" i="10"/>
  <c r="E13" i="10"/>
  <c r="AI6" i="9"/>
  <c r="AK6" i="9"/>
  <c r="AR6" i="9"/>
  <c r="AT5" i="9"/>
  <c r="C13" i="10"/>
  <c r="C16" i="10"/>
  <c r="X6" i="9"/>
  <c r="Z5" i="9"/>
  <c r="G13" i="10"/>
  <c r="G16" i="10"/>
  <c r="H16" i="10"/>
  <c r="H13" i="10"/>
  <c r="N5" i="9"/>
  <c r="AJ6" i="9"/>
  <c r="F6" i="9"/>
  <c r="B16" i="10"/>
  <c r="B13" i="10"/>
  <c r="H6" i="9"/>
  <c r="K13" i="10"/>
  <c r="K16" i="10"/>
  <c r="Z8" i="9"/>
  <c r="R8" i="9"/>
  <c r="W6" i="9" l="1"/>
  <c r="Z6" i="9" s="1"/>
  <c r="Y6" i="9"/>
  <c r="AS6" i="9"/>
  <c r="AQ6" i="9"/>
  <c r="AG6" i="9"/>
  <c r="AE6" i="9"/>
  <c r="E48" i="9"/>
  <c r="E47" i="9"/>
  <c r="E46" i="9"/>
  <c r="E45" i="9"/>
  <c r="F48" i="9"/>
  <c r="D47" i="9"/>
  <c r="C46" i="9"/>
  <c r="C45" i="9"/>
  <c r="C47" i="9"/>
  <c r="D45" i="9"/>
  <c r="F46" i="9"/>
  <c r="F47" i="9"/>
  <c r="D46" i="9"/>
  <c r="D48" i="9"/>
  <c r="C48" i="9"/>
  <c r="F45" i="9"/>
  <c r="V8" i="9"/>
  <c r="AL8" i="9"/>
  <c r="C53" i="9" s="1" a="1"/>
  <c r="K6" i="9"/>
  <c r="M6" i="9"/>
  <c r="AF6" i="9"/>
  <c r="L6" i="9"/>
  <c r="AL6" i="9"/>
  <c r="AM6" i="9"/>
  <c r="AO6" i="9"/>
  <c r="J6" i="9"/>
  <c r="F13" i="10"/>
  <c r="F16" i="10"/>
  <c r="J16" i="10"/>
  <c r="J13" i="10"/>
  <c r="E56" i="9" l="1"/>
  <c r="E55" i="9"/>
  <c r="E54" i="9"/>
  <c r="E53" i="9"/>
  <c r="F55" i="9"/>
  <c r="D54" i="9"/>
  <c r="F56" i="9"/>
  <c r="C55" i="9"/>
  <c r="D53" i="9"/>
  <c r="D55" i="9"/>
  <c r="C53" i="9"/>
  <c r="C56" i="9"/>
  <c r="C54" i="9"/>
  <c r="F54" i="9"/>
  <c r="F53" i="9"/>
  <c r="D56" i="9"/>
  <c r="AT6" i="9"/>
  <c r="A61" i="9" a="1"/>
  <c r="AP6" i="9"/>
  <c r="C57" i="9" a="1"/>
  <c r="AH6" i="9"/>
  <c r="C49" i="9" a="1"/>
  <c r="N6" i="9"/>
  <c r="C21" i="9" s="1" a="1"/>
  <c r="D44" i="9" l="1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F43" i="9"/>
  <c r="E42" i="9"/>
  <c r="C41" i="9"/>
  <c r="F39" i="9"/>
  <c r="E38" i="9"/>
  <c r="C37" i="9"/>
  <c r="F35" i="9"/>
  <c r="E34" i="9"/>
  <c r="C33" i="9"/>
  <c r="F31" i="9"/>
  <c r="E30" i="9"/>
  <c r="C29" i="9"/>
  <c r="F27" i="9"/>
  <c r="F26" i="9"/>
  <c r="F25" i="9"/>
  <c r="F24" i="9"/>
  <c r="F23" i="9"/>
  <c r="F22" i="9"/>
  <c r="F21" i="9"/>
  <c r="C21" i="9"/>
  <c r="E43" i="9"/>
  <c r="F41" i="9"/>
  <c r="C40" i="9"/>
  <c r="C38" i="9"/>
  <c r="E36" i="9"/>
  <c r="F34" i="9"/>
  <c r="F32" i="9"/>
  <c r="C31" i="9"/>
  <c r="E29" i="9"/>
  <c r="E27" i="9"/>
  <c r="D26" i="9"/>
  <c r="C25" i="9"/>
  <c r="E23" i="9"/>
  <c r="D22" i="9"/>
  <c r="C44" i="9"/>
  <c r="E41" i="9"/>
  <c r="C39" i="9"/>
  <c r="F36" i="9"/>
  <c r="C34" i="9"/>
  <c r="C32" i="9"/>
  <c r="F29" i="9"/>
  <c r="D27" i="9"/>
  <c r="E25" i="9"/>
  <c r="C24" i="9"/>
  <c r="C22" i="9"/>
  <c r="F42" i="9"/>
  <c r="E39" i="9"/>
  <c r="C36" i="9"/>
  <c r="E33" i="9"/>
  <c r="C30" i="9"/>
  <c r="C27" i="9"/>
  <c r="E24" i="9"/>
  <c r="E22" i="9"/>
  <c r="E44" i="9"/>
  <c r="E40" i="9"/>
  <c r="E35" i="9"/>
  <c r="E31" i="9"/>
  <c r="C28" i="9"/>
  <c r="D24" i="9"/>
  <c r="D21" i="9"/>
  <c r="F40" i="9"/>
  <c r="C35" i="9"/>
  <c r="F28" i="9"/>
  <c r="D25" i="9"/>
  <c r="F44" i="9"/>
  <c r="F38" i="9"/>
  <c r="F33" i="9"/>
  <c r="E28" i="9"/>
  <c r="D23" i="9"/>
  <c r="C43" i="9"/>
  <c r="F37" i="9"/>
  <c r="E32" i="9"/>
  <c r="E26" i="9"/>
  <c r="C23" i="9"/>
  <c r="C42" i="9"/>
  <c r="E37" i="9"/>
  <c r="F30" i="9"/>
  <c r="C26" i="9"/>
  <c r="E21" i="9"/>
  <c r="C60" i="9"/>
  <c r="D60" i="9"/>
  <c r="C59" i="9"/>
  <c r="C58" i="9"/>
  <c r="F60" i="9"/>
  <c r="D59" i="9"/>
  <c r="F57" i="9"/>
  <c r="F59" i="9"/>
  <c r="D58" i="9"/>
  <c r="E59" i="9"/>
  <c r="D57" i="9"/>
  <c r="E58" i="9"/>
  <c r="E57" i="9"/>
  <c r="E60" i="9"/>
  <c r="F58" i="9"/>
  <c r="C57" i="9"/>
  <c r="F64" i="9"/>
  <c r="B64" i="9"/>
  <c r="D63" i="9"/>
  <c r="F62" i="9"/>
  <c r="B62" i="9"/>
  <c r="D61" i="9"/>
  <c r="A61" i="9"/>
  <c r="E64" i="9"/>
  <c r="F63" i="9"/>
  <c r="A63" i="9"/>
  <c r="A62" i="9"/>
  <c r="B61" i="9"/>
  <c r="C64" i="9"/>
  <c r="B63" i="9"/>
  <c r="F61" i="9"/>
  <c r="C63" i="9"/>
  <c r="E61" i="9"/>
  <c r="A64" i="9"/>
  <c r="C62" i="9"/>
  <c r="D64" i="9"/>
  <c r="C61" i="9"/>
  <c r="D62" i="9"/>
  <c r="E63" i="9"/>
  <c r="E62" i="9"/>
  <c r="C52" i="9"/>
  <c r="C51" i="9"/>
  <c r="C50" i="9"/>
  <c r="D52" i="9"/>
  <c r="F50" i="9"/>
  <c r="E49" i="9"/>
  <c r="F51" i="9"/>
  <c r="D50" i="9"/>
  <c r="D51" i="9"/>
  <c r="C49" i="9"/>
  <c r="F52" i="9"/>
  <c r="F49" i="9"/>
  <c r="E50" i="9"/>
  <c r="D49" i="9"/>
  <c r="E52" i="9"/>
  <c r="E51" i="9"/>
</calcChain>
</file>

<file path=xl/comments1.xml><?xml version="1.0" encoding="utf-8"?>
<comments xmlns="http://schemas.openxmlformats.org/spreadsheetml/2006/main">
  <authors>
    <author/>
  </authors>
  <commentList>
    <comment ref="A5" authorId="0" shapeId="0">
      <text>
        <r>
          <rPr>
            <sz val="11"/>
            <color rgb="FF000000"/>
            <rFont val="Calibri"/>
            <scheme val="minor"/>
          </rPr>
          <t>======
ID#AAACDO4QqDs
etjih    (2026-07-17 03:53:28)
Ruta + LNPRT + Gov</t>
        </r>
      </text>
    </comment>
    <comment ref="A6" authorId="0" shapeId="0">
      <text>
        <r>
          <rPr>
            <sz val="11"/>
            <color rgb="FF000000"/>
            <rFont val="Calibri"/>
            <scheme val="minor"/>
          </rPr>
          <t>======
ID#AAACDO4QqDk
BPS    (2026-07-17 03:53:28)
PMTB + Inventori + Diskrep Stat</t>
        </r>
      </text>
    </comment>
    <comment ref="A7" authorId="0" shapeId="0">
      <text>
        <r>
          <rPr>
            <sz val="11"/>
            <color rgb="FF000000"/>
            <rFont val="Calibri"/>
            <scheme val="minor"/>
          </rPr>
          <t>======
ID#AAACDO4QqD4
etjih    (2026-07-17 03:53:28)
X
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G2VLKlZr4YIi+JxNrASUyUukYA=="/>
    </ext>
  </extLst>
</comments>
</file>

<file path=xl/comments2.xml><?xml version="1.0" encoding="utf-8"?>
<comments xmlns="http://schemas.openxmlformats.org/spreadsheetml/2006/main">
  <authors>
    <author/>
  </authors>
  <commentList>
    <comment ref="A6" authorId="0" shapeId="0">
      <text>
        <r>
          <rPr>
            <sz val="11"/>
            <color rgb="FF000000"/>
            <rFont val="Calibri"/>
            <scheme val="minor"/>
          </rPr>
          <t>======
ID#AAACDO4QqDo
etjih    (2026-07-17 03:53:28)
Ruta + LNPRT + Gov</t>
        </r>
      </text>
    </comment>
    <comment ref="A7" authorId="0" shapeId="0">
      <text>
        <r>
          <rPr>
            <sz val="11"/>
            <color rgb="FF000000"/>
            <rFont val="Calibri"/>
            <scheme val="minor"/>
          </rPr>
          <t>======
ID#AAACDO4QqDw
BPS    (2026-07-17 03:53:28)
PMTB + Inventori + Diskrep Stat</t>
        </r>
      </text>
    </comment>
    <comment ref="A8" authorId="0" shapeId="0">
      <text>
        <r>
          <rPr>
            <sz val="11"/>
            <color rgb="FF000000"/>
            <rFont val="Calibri"/>
            <scheme val="minor"/>
          </rPr>
          <t>======
ID#AAACDO4QqD0
etjih    (2026-07-17 03:53:28)
X
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rQXfXJJ0xQAsb54E4QApYcPS0w=="/>
    </ext>
  </extLst>
</comments>
</file>

<file path=xl/sharedStrings.xml><?xml version="1.0" encoding="utf-8"?>
<sst xmlns="http://schemas.openxmlformats.org/spreadsheetml/2006/main" count="809" uniqueCount="281">
  <si>
    <t>Data yang di-update saat penulisan Publikasi Sisnerling 2020 - 2024 (18 November 2025)</t>
  </si>
  <si>
    <t>SUT</t>
  </si>
  <si>
    <t>PDB (P) -&gt; Total NTB</t>
  </si>
  <si>
    <t>National Income (Billion Rp)</t>
  </si>
  <si>
    <r>
      <rPr>
        <b/>
        <sz val="11"/>
        <color rgb="FF000000"/>
        <rFont val="Calibri"/>
        <family val="2"/>
      </rPr>
      <t>Sheet Penyediaan:</t>
    </r>
    <r>
      <rPr>
        <sz val="11"/>
        <color rgb="FF000000"/>
        <rFont val="Calibri"/>
        <family val="2"/>
      </rPr>
      <t xml:space="preserve"> mengalami revisi pada Rasio NTB terhadap Output yang dihitung dari tabel SUT menggunakan SUT 2020 untuk Tahun 2020, SUT 2021 untuk 2021 sd sekarang </t>
    </r>
  </si>
  <si>
    <t>PENDAPATAN NASIONAL</t>
  </si>
  <si>
    <r>
      <rPr>
        <b/>
        <sz val="11"/>
        <color rgb="FF000000"/>
        <rFont val="Calibri"/>
        <family val="2"/>
      </rPr>
      <t>Sheet Stok Kapital:</t>
    </r>
    <r>
      <rPr>
        <sz val="11"/>
        <color rgb="FF000000"/>
        <rFont val="Calibri"/>
        <family val="2"/>
      </rPr>
      <t xml:space="preserve"> Data stok kapital hanya dirilis oleh DNPeng setiap 5 tahun sekali. Data terakhir sampai dengan 2022. Untuk 2023 - 2024, estimasi dilakukan sendiri karena dari pihak DNPeng tidak bersedia mengestimasi</t>
    </r>
  </si>
  <si>
    <t>Output domestik</t>
  </si>
  <si>
    <r>
      <rPr>
        <b/>
        <sz val="11"/>
        <color rgb="FF000000"/>
        <rFont val="Calibri"/>
        <family val="2"/>
      </rPr>
      <t>Kesimpulan:</t>
    </r>
    <r>
      <rPr>
        <sz val="11"/>
        <color rgb="FF000000"/>
        <rFont val="Calibri"/>
        <family val="2"/>
      </rPr>
      <t xml:space="preserve"> Neraca Terintegrasi 2020 - 2024 tidak ada angka tetap karena perubahan data produksi neraca aset mineral. Oleh karena itu, dilakukan pula update rasio penyediaan untuk tahun 2020 - 2024 (meskipun ini tidak beda jauh)</t>
    </r>
  </si>
  <si>
    <t>Rasio Output</t>
  </si>
  <si>
    <t>2023*</t>
  </si>
  <si>
    <t>English</t>
  </si>
  <si>
    <t>2024**</t>
  </si>
  <si>
    <t>PETUNJUK WARNA SHEET</t>
  </si>
  <si>
    <t>Indonesia</t>
  </si>
  <si>
    <t>PDB Penggunaan (Seri 2010)</t>
  </si>
  <si>
    <t>Meminta dengan mengirimkan format ke DNPeng (PDB ADHB dan Penyusutan) atau ke PJ Neraca (Aset Moneter, ingat angka tetap tidak boleh berubah)</t>
  </si>
  <si>
    <t>Perhitungan dengan Sheet "SUT (Rasio Penyediaan)" sebagai sheet bantu, SUT Nas bisa meminta ke KNPN</t>
  </si>
  <si>
    <t>Perhitungan dan meminta nilai Stok Akhir tahun berjalan ke DNPeng (Stok Kapital) dan jumlah penduduk ke PJ PDRB DAU</t>
  </si>
  <si>
    <t>Sheet bantu</t>
  </si>
  <si>
    <t>Full Perhitungan</t>
  </si>
  <si>
    <t>1. Pengeluaran Konsumsi Rumahtangga</t>
  </si>
  <si>
    <t>Q1</t>
  </si>
  <si>
    <t>Q2</t>
  </si>
  <si>
    <t>Q3</t>
  </si>
  <si>
    <t>Q4</t>
  </si>
  <si>
    <t>Total</t>
  </si>
  <si>
    <t>a. Makanan dan Minuman, Selain Restoran</t>
  </si>
  <si>
    <t>Kegiatan Ekonomi</t>
  </si>
  <si>
    <t>b. Pakaian, Alas Kaki dan Jasa Perawatannya</t>
  </si>
  <si>
    <t>c. Perumahan dan Perlengkapan Rumahtangga</t>
  </si>
  <si>
    <t>d. Kesehatan dan Pendidikan</t>
  </si>
  <si>
    <t>e. Transportasi dan Komunikasi</t>
  </si>
  <si>
    <t>Total Penyediaan</t>
  </si>
  <si>
    <t>Total Penggunaan</t>
  </si>
  <si>
    <t>Produk Domestik Bruto</t>
  </si>
  <si>
    <t>f. Restoran dan Hotel</t>
  </si>
  <si>
    <t>g. Lainnya</t>
  </si>
  <si>
    <t>Industri</t>
  </si>
  <si>
    <t>GDP</t>
  </si>
  <si>
    <t>1. PRODUK DOMESTIK BRUTO</t>
  </si>
  <si>
    <t>2. Pengeluaran Konsumsi LNPRT</t>
  </si>
  <si>
    <t>3. Pengeluaran Konsumsi Pemerintah</t>
  </si>
  <si>
    <t>1. Stok Awal</t>
  </si>
  <si>
    <t xml:space="preserve">2. Total penyediaan </t>
  </si>
  <si>
    <t xml:space="preserve">3. Total Penggunaan </t>
  </si>
  <si>
    <t>a. Konsumsi Kolektif</t>
  </si>
  <si>
    <t xml:space="preserve">4. Produk Domestik Bruto </t>
  </si>
  <si>
    <t xml:space="preserve">5. Penyusutan </t>
  </si>
  <si>
    <t xml:space="preserve">6. Produksi Domestik Neto </t>
  </si>
  <si>
    <t xml:space="preserve">7. Revaluasi </t>
  </si>
  <si>
    <t xml:space="preserve">8. Stok Akhir </t>
  </si>
  <si>
    <t>b. Konsumsi Individu</t>
  </si>
  <si>
    <t>4. Pembentukan Modal Tetap Domestik Bruto</t>
  </si>
  <si>
    <t>Konsumsi Akhir</t>
  </si>
  <si>
    <t>a. Bangunan</t>
  </si>
  <si>
    <t>Net factor income</t>
  </si>
  <si>
    <t>2. Pendapatan Neto Terhadap Luar Negeri</t>
  </si>
  <si>
    <t>b. Mesin dan Perlengkapan</t>
  </si>
  <si>
    <t>c. Kendaraan</t>
  </si>
  <si>
    <t>d. Peralatan Lainnya</t>
  </si>
  <si>
    <t>Akumulasi</t>
  </si>
  <si>
    <t>e. CBR</t>
  </si>
  <si>
    <t>from abroad</t>
  </si>
  <si>
    <t xml:space="preserve">    Atas Faktor Produksi</t>
  </si>
  <si>
    <t>f. Produk Kekayaan Intelektual</t>
  </si>
  <si>
    <t>Barang Modal</t>
  </si>
  <si>
    <t>5. Perubahan Inventori</t>
  </si>
  <si>
    <t>6. Ekspor Barang dan Jasa</t>
  </si>
  <si>
    <t>from</t>
  </si>
  <si>
    <t xml:space="preserve">    a. Pendapatan Dari Luar Negeri</t>
  </si>
  <si>
    <t>a. Barang</t>
  </si>
  <si>
    <t>Luar Negeri</t>
  </si>
  <si>
    <t>a.1. Barang Non-migas</t>
  </si>
  <si>
    <t>a.b. Barang migas</t>
  </si>
  <si>
    <t>to</t>
  </si>
  <si>
    <t xml:space="preserve">    b. Pendapatan Ke Luar Negeri</t>
  </si>
  <si>
    <t>b. Jasa</t>
  </si>
  <si>
    <t>7. Dikurangi Impor Barang dan Jasa</t>
  </si>
  <si>
    <t>GNP</t>
  </si>
  <si>
    <t>3. PRODUK NASIONAL BRUTO</t>
  </si>
  <si>
    <t>Diskrepansi Statistik</t>
  </si>
  <si>
    <t>8. PRODUK DOMESTIK BRUTO</t>
  </si>
  <si>
    <t>*LK Stok Kapital untuk based tahun 2005</t>
  </si>
  <si>
    <t>Less indirect taxes (nett)</t>
  </si>
  <si>
    <t>4. Dikurangi Pajak Tidak Langsung Neto (a-b)</t>
  </si>
  <si>
    <t>Indirect taxes</t>
  </si>
  <si>
    <t xml:space="preserve">      a. Pajak Tidak Langsung</t>
  </si>
  <si>
    <t>Akumulasi Kapital yang Diproduksi</t>
  </si>
  <si>
    <t>Subsidy</t>
  </si>
  <si>
    <t xml:space="preserve">      b. Subsidi</t>
  </si>
  <si>
    <t>Less depreciation</t>
  </si>
  <si>
    <t>5. Dikurangi Penyusutan</t>
  </si>
  <si>
    <t>National Income</t>
  </si>
  <si>
    <t>6. PENDAPATAN NASIONAL</t>
  </si>
  <si>
    <t>Sumber Data :</t>
  </si>
  <si>
    <t>Aset Moneter dalam satuan miliar rupiah</t>
  </si>
  <si>
    <t xml:space="preserve">1. Stok Awal </t>
  </si>
  <si>
    <t xml:space="preserve">   - Barang Modal </t>
  </si>
  <si>
    <t>Hasil Hutan</t>
  </si>
  <si>
    <t>S. Akhir Thn sblmnya</t>
  </si>
  <si>
    <t>Output PDB</t>
  </si>
  <si>
    <r>
      <rPr>
        <b/>
        <sz val="10"/>
        <color theme="1"/>
        <rFont val="Helvetica Neue"/>
      </rPr>
      <t>Rincian/</t>
    </r>
    <r>
      <rPr>
        <b/>
        <i/>
        <sz val="10"/>
        <color theme="1"/>
        <rFont val="Calibri"/>
        <family val="2"/>
      </rPr>
      <t>Detail</t>
    </r>
  </si>
  <si>
    <t>Impor</t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</si>
  <si>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</si>
  <si>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t>Penyedia - PDB</t>
  </si>
  <si>
    <t>Konsumsi RT + Pem</t>
  </si>
  <si>
    <t>PMTB + P. Stok+Deskrepancy</t>
  </si>
  <si>
    <t>Ekspor</t>
  </si>
  <si>
    <t>PDB</t>
  </si>
  <si>
    <t>PDB(Penyusutan)</t>
  </si>
  <si>
    <t>- Penyusutan</t>
  </si>
  <si>
    <t>PDB - Penyusut</t>
  </si>
  <si>
    <t>Penggunaan + Penyusut</t>
  </si>
  <si>
    <t>S.Akhir-S.Awal-PDN</t>
  </si>
  <si>
    <t xml:space="preserve">     - Barang Modal </t>
  </si>
  <si>
    <t>S. Awal + PMTB</t>
  </si>
  <si>
    <r>
      <rPr>
        <b/>
        <sz val="10"/>
        <color theme="1"/>
        <rFont val="Calibri"/>
        <family val="2"/>
      </rPr>
      <t>Stok awal tahun/</t>
    </r>
    <r>
      <rPr>
        <b/>
        <i/>
        <sz val="10"/>
        <color theme="1"/>
        <rFont val="Calibri"/>
        <family val="2"/>
      </rPr>
      <t>Opening stock</t>
    </r>
  </si>
  <si>
    <r>
      <rPr>
        <sz val="10"/>
        <color rgb="FF000000"/>
        <rFont val="Calibri"/>
        <family val="2"/>
      </rPr>
      <t>Penambahan stok/</t>
    </r>
    <r>
      <rPr>
        <i/>
        <sz val="10"/>
        <color theme="1"/>
        <rFont val="Calibri"/>
        <family val="2"/>
      </rPr>
      <t>Additions to stock</t>
    </r>
  </si>
  <si>
    <r>
      <rPr>
        <sz val="10"/>
        <color rgb="FF000000"/>
        <rFont val="Calibri"/>
        <family val="2"/>
      </rPr>
      <t>Pertumbuhan alami/</t>
    </r>
    <r>
      <rPr>
        <i/>
        <sz val="10"/>
        <color theme="1"/>
        <rFont val="Calibri"/>
        <family val="2"/>
      </rPr>
      <t>Natural growth</t>
    </r>
  </si>
  <si>
    <t>Merupakan item balancing yang menunjukkan adanya perubahan harga barang modal di awal dan akhir tahun</t>
  </si>
  <si>
    <r>
      <rPr>
        <sz val="10"/>
        <color rgb="FF000000"/>
        <rFont val="Calibri"/>
        <family val="2"/>
      </rPr>
      <t>Reklasifikasi/</t>
    </r>
    <r>
      <rPr>
        <i/>
        <sz val="10"/>
        <color theme="1"/>
        <rFont val="Calibri"/>
        <family val="2"/>
      </rPr>
      <t>Reclassifications</t>
    </r>
  </si>
  <si>
    <t>Update: dihitungkan dan diberikan secara value oleh DNPeng, tapi karena 2023 belum tersedia makanya estimasi</t>
  </si>
  <si>
    <r>
      <rPr>
        <b/>
        <sz val="10"/>
        <color theme="1"/>
        <rFont val="Calibri"/>
        <family val="2"/>
      </rPr>
      <t>Total penambahan/</t>
    </r>
    <r>
      <rPr>
        <b/>
        <i/>
        <sz val="10"/>
        <color theme="1"/>
        <rFont val="Calibri"/>
        <family val="2"/>
      </rPr>
      <t>Total additions to stock</t>
    </r>
  </si>
  <si>
    <r>
      <rPr>
        <sz val="10"/>
        <color rgb="FF000000"/>
        <rFont val="Calibri"/>
        <family val="2"/>
      </rPr>
      <t>Pengurangan stok/</t>
    </r>
    <r>
      <rPr>
        <i/>
        <sz val="10"/>
        <color theme="1"/>
        <rFont val="Calibri"/>
        <family val="2"/>
      </rPr>
      <t>Reductions in stock</t>
    </r>
  </si>
  <si>
    <r>
      <rPr>
        <sz val="10"/>
        <color rgb="FF000000"/>
        <rFont val="Calibri"/>
        <family val="2"/>
      </rPr>
      <t>Penebangan/</t>
    </r>
    <r>
      <rPr>
        <i/>
        <sz val="10"/>
        <color theme="1"/>
        <rFont val="Calibri"/>
        <family val="2"/>
      </rPr>
      <t>Removals</t>
    </r>
  </si>
  <si>
    <r>
      <rPr>
        <sz val="10"/>
        <color rgb="FF000000"/>
        <rFont val="Calibri"/>
        <family val="2"/>
      </rPr>
      <t>Kerusakan dan Reklasifikasi/</t>
    </r>
    <r>
      <rPr>
        <i/>
        <sz val="10"/>
        <color theme="1"/>
        <rFont val="Calibri"/>
        <family val="2"/>
      </rPr>
      <t>Losses and Reclassifiations</t>
    </r>
  </si>
  <si>
    <r>
      <rPr>
        <b/>
        <sz val="10"/>
        <color theme="1"/>
        <rFont val="Calibri"/>
        <family val="2"/>
      </rPr>
      <t>Total pengurangan/</t>
    </r>
    <r>
      <rPr>
        <b/>
        <i/>
        <sz val="10"/>
        <color theme="1"/>
        <rFont val="Calibri"/>
        <family val="2"/>
      </rPr>
      <t>Total reductions in stock</t>
    </r>
  </si>
  <si>
    <t>Revaluasi/Revaluations</t>
  </si>
  <si>
    <r>
      <rPr>
        <b/>
        <sz val="10"/>
        <color theme="1"/>
        <rFont val="Calibri"/>
        <family val="2"/>
      </rPr>
      <t>Stok akhir tahun/</t>
    </r>
    <r>
      <rPr>
        <b/>
        <i/>
        <sz val="10"/>
        <color theme="1"/>
        <rFont val="Calibri"/>
        <family val="2"/>
      </rPr>
      <t>Closing stock</t>
    </r>
  </si>
  <si>
    <t>Minyak Bumi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</si>
  <si>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</si>
  <si>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</si>
  <si>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</si>
  <si>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</si>
  <si>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</si>
  <si>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</si>
  <si>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</si>
  <si>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Gas Alam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</si>
  <si>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</si>
  <si>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</si>
  <si>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</si>
  <si>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</si>
  <si>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</si>
  <si>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</si>
  <si>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</si>
  <si>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Batubara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</si>
  <si>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</si>
  <si>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</si>
  <si>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</si>
  <si>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</si>
  <si>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</si>
  <si>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</si>
  <si>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</si>
  <si>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Emas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</si>
  <si>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</si>
  <si>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</si>
  <si>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</si>
  <si>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</si>
  <si>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</si>
  <si>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</si>
  <si>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</si>
  <si>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Perak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</si>
  <si>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</si>
  <si>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</si>
  <si>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</si>
  <si>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</si>
  <si>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</si>
  <si>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</si>
  <si>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</si>
  <si>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Tembaga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</si>
  <si>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</si>
  <si>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</si>
  <si>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</si>
  <si>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</si>
  <si>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</si>
  <si>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</si>
  <si>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t xml:space="preserve">Komponen Neraca </t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</si>
  <si>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</si>
  <si>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Timah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</si>
  <si>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</si>
  <si>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</si>
  <si>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</si>
  <si>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t xml:space="preserve">Kegiatan Ekonomi </t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</si>
  <si>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</si>
  <si>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t xml:space="preserve">Kapital Lingkungan yang Tidak diproduksi </t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</si>
  <si>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</si>
  <si>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</si>
  <si>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</si>
  <si>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Nikel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</si>
  <si>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</si>
  <si>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</si>
  <si>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t xml:space="preserve">Konsumsi akhir </t>
  </si>
  <si>
    <t xml:space="preserve">Kapital </t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</si>
  <si>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</si>
  <si>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</si>
  <si>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</si>
  <si>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</si>
  <si>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</si>
  <si>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Bauksit</t>
  </si>
  <si>
    <r>
      <rPr>
        <b/>
        <sz val="10"/>
        <color theme="1"/>
        <rFont val="Helvetica Neue"/>
      </rPr>
      <t xml:space="preserve">Uraian
</t>
    </r>
    <r>
      <rPr>
        <b/>
        <i/>
        <sz val="10"/>
        <color theme="1"/>
        <rFont val="Helvetica"/>
      </rPr>
      <t>Description</t>
    </r>
  </si>
  <si>
    <r>
      <rPr>
        <b/>
        <sz val="10"/>
        <color theme="1"/>
        <rFont val="Helvetica Neue"/>
      </rPr>
      <t xml:space="preserve">Tahun / </t>
    </r>
    <r>
      <rPr>
        <b/>
        <i/>
        <sz val="10"/>
        <color theme="1"/>
        <rFont val="Helvetica"/>
      </rPr>
      <t>Year</t>
    </r>
  </si>
  <si>
    <t>Diproduksi (Produced Assets)</t>
  </si>
  <si>
    <t>Buatan Alam (Non-Produced)</t>
  </si>
  <si>
    <r>
      <rPr>
        <b/>
        <sz val="10"/>
        <color theme="1"/>
        <rFont val="Helvetica Neue"/>
      </rPr>
      <t xml:space="preserve">Stok awal tahun
</t>
    </r>
    <r>
      <rPr>
        <b/>
        <i/>
        <sz val="10"/>
        <color theme="1"/>
        <rFont val="Helvetica"/>
      </rPr>
      <t>Opening stock</t>
    </r>
  </si>
  <si>
    <r>
      <rPr>
        <sz val="10"/>
        <color theme="1"/>
        <rFont val="Helvetica Neue"/>
      </rPr>
      <t xml:space="preserve">Ekstraksi
</t>
    </r>
    <r>
      <rPr>
        <i/>
        <sz val="10"/>
        <color theme="1"/>
        <rFont val="Helvetica"/>
      </rPr>
      <t>Extraction</t>
    </r>
  </si>
  <si>
    <r>
      <rPr>
        <sz val="10"/>
        <color theme="1"/>
        <rFont val="Helvetica Neue"/>
      </rPr>
      <t xml:space="preserve">Perubahan lainnya
</t>
    </r>
    <r>
      <rPr>
        <i/>
        <sz val="10"/>
        <color theme="1"/>
        <rFont val="Helvetica"/>
      </rPr>
      <t>Other changes in stock</t>
    </r>
  </si>
  <si>
    <r>
      <rPr>
        <sz val="10"/>
        <color theme="1"/>
        <rFont val="Helvetica Neue"/>
      </rPr>
      <t xml:space="preserve">Revaluasi
</t>
    </r>
    <r>
      <rPr>
        <i/>
        <sz val="10"/>
        <color theme="1"/>
        <rFont val="Helvetica"/>
      </rPr>
      <t>Revaluation</t>
    </r>
  </si>
  <si>
    <t>(1)</t>
  </si>
  <si>
    <t>Komponen</t>
  </si>
  <si>
    <t>(2)</t>
  </si>
  <si>
    <r>
      <rPr>
        <b/>
        <sz val="10"/>
        <color theme="1"/>
        <rFont val="Helvetica Neue"/>
      </rPr>
      <t xml:space="preserve">Stok akhir tahun
</t>
    </r>
    <r>
      <rPr>
        <b/>
        <i/>
        <sz val="10"/>
        <color theme="1"/>
        <rFont val="Helvetica"/>
      </rPr>
      <t>Closing stock</t>
    </r>
  </si>
  <si>
    <t>(4)</t>
  </si>
  <si>
    <t>(5)</t>
  </si>
  <si>
    <t>(6)</t>
  </si>
  <si>
    <t>(3)</t>
  </si>
  <si>
    <t>(7)</t>
  </si>
  <si>
    <t xml:space="preserve">1. Konsumsi Akhir </t>
  </si>
  <si>
    <t xml:space="preserve">2. Akumulasi Kapital, neto </t>
  </si>
  <si>
    <t>3. Ekspor Neto</t>
  </si>
  <si>
    <t xml:space="preserve">4. Jumlah </t>
  </si>
  <si>
    <t>PDN</t>
  </si>
  <si>
    <t>Nilai (Milliar RP)</t>
  </si>
  <si>
    <t>Stok Awal</t>
  </si>
  <si>
    <t xml:space="preserve">Barang Modal </t>
  </si>
  <si>
    <t xml:space="preserve">a. Hasil Hutan </t>
  </si>
  <si>
    <t>Distribusi (%)</t>
  </si>
  <si>
    <t xml:space="preserve">b. Minyak Bumi </t>
  </si>
  <si>
    <t>PDN1</t>
  </si>
  <si>
    <t xml:space="preserve">c. Gas Alam </t>
  </si>
  <si>
    <t>d. Batubara</t>
  </si>
  <si>
    <t>e. Emas</t>
  </si>
  <si>
    <t>Sheet Stokkap</t>
  </si>
  <si>
    <t>Idem PDN</t>
  </si>
  <si>
    <t>Sheet Stokkap = PDN</t>
  </si>
  <si>
    <t>File T-padu = buatan man+alam + lingk</t>
  </si>
  <si>
    <t>f. Perak</t>
  </si>
  <si>
    <t>g. Tembaga</t>
  </si>
  <si>
    <t>h. Timah</t>
  </si>
  <si>
    <t>i. Nikel</t>
  </si>
  <si>
    <t>j. Bauksit</t>
  </si>
  <si>
    <t xml:space="preserve">Penyediaan </t>
  </si>
  <si>
    <t xml:space="preserve">Penggunaan </t>
  </si>
  <si>
    <t xml:space="preserve">Penyusutan </t>
  </si>
  <si>
    <t>Rincian</t>
  </si>
  <si>
    <t>1. PDB</t>
  </si>
  <si>
    <t>Deplesi</t>
  </si>
  <si>
    <t>2. PDN</t>
  </si>
  <si>
    <t>3. PDN 1</t>
  </si>
  <si>
    <r>
      <rPr>
        <b/>
        <sz val="11"/>
        <color theme="1"/>
        <rFont val="Calibri"/>
        <family val="2"/>
      </rPr>
      <t xml:space="preserve">4. </t>
    </r>
    <r>
      <rPr>
        <b/>
        <u/>
        <sz val="11"/>
        <color theme="1"/>
        <rFont val="Calibri"/>
        <family val="2"/>
      </rPr>
      <t>PDN</t>
    </r>
    <r>
      <rPr>
        <b/>
        <sz val="11"/>
        <color theme="1"/>
        <rFont val="Calibri"/>
        <family val="2"/>
      </rPr>
      <t xml:space="preserve">   x  100</t>
    </r>
  </si>
  <si>
    <t xml:space="preserve">    PDB</t>
  </si>
  <si>
    <r>
      <rPr>
        <b/>
        <sz val="11"/>
        <color theme="1"/>
        <rFont val="Calibri"/>
        <family val="2"/>
      </rPr>
      <t xml:space="preserve">5. </t>
    </r>
    <r>
      <rPr>
        <b/>
        <u/>
        <sz val="11"/>
        <color theme="1"/>
        <rFont val="Calibri"/>
        <family val="2"/>
      </rPr>
      <t>PDN1</t>
    </r>
    <r>
      <rPr>
        <b/>
        <sz val="11"/>
        <color theme="1"/>
        <rFont val="Calibri"/>
        <family val="2"/>
      </rPr>
      <t xml:space="preserve">   x  100</t>
    </r>
  </si>
  <si>
    <r>
      <rPr>
        <b/>
        <sz val="11"/>
        <color theme="1"/>
        <rFont val="Calibri"/>
        <family val="2"/>
      </rPr>
      <t xml:space="preserve">6. </t>
    </r>
    <r>
      <rPr>
        <b/>
        <u/>
        <sz val="11"/>
        <color theme="1"/>
        <rFont val="Calibri"/>
        <family val="2"/>
      </rPr>
      <t>PDN1</t>
    </r>
    <r>
      <rPr>
        <b/>
        <sz val="11"/>
        <color theme="1"/>
        <rFont val="Calibri"/>
        <family val="2"/>
      </rPr>
      <t xml:space="preserve">   x  100</t>
    </r>
  </si>
  <si>
    <t xml:space="preserve">    PDN</t>
  </si>
  <si>
    <t>Catatan:</t>
  </si>
  <si>
    <t>:</t>
  </si>
  <si>
    <t>Produk Domestik Neto (PDB dikurangi penyusutan)</t>
  </si>
  <si>
    <t>Produk Domestik Neto yang disesuaikan (PDN dikurangi deplesi sumber daya alam)</t>
  </si>
  <si>
    <t>Tahun</t>
  </si>
  <si>
    <t>PDB Atas Dasar Harga Berlaku (Miliar Rp)</t>
  </si>
  <si>
    <t>Penduduk Pertengahan Tahun (Ribu Orang)</t>
  </si>
  <si>
    <t>PDB Per Kapita (Rp)</t>
  </si>
  <si>
    <t>Kurs Dollar AS</t>
  </si>
  <si>
    <t>PDB Atas Dasar Harga Berlaku (Juta USD)</t>
  </si>
  <si>
    <t>PDB Per Kapita (USD)</t>
  </si>
  <si>
    <t>CATATAN</t>
  </si>
  <si>
    <t>Update data terakhir</t>
  </si>
  <si>
    <t>Nilai Aset di Akhir Tahun (Miliar Rp)</t>
  </si>
  <si>
    <t>Persentase (%)</t>
  </si>
  <si>
    <t>Aset yang Diproduksi (Produced Assets)</t>
  </si>
  <si>
    <t>Aset Alam (Non-Produced Assets)</t>
  </si>
  <si>
    <t>Nilai Aset per Kapita (Ribu Rp)</t>
  </si>
  <si>
    <t>Pertumbuhan (%)</t>
  </si>
  <si>
    <t>Perubahan lainnya</t>
  </si>
  <si>
    <t>Nilai Penyusutan (Miliar Rp)</t>
  </si>
  <si>
    <t>Konsumsi Barang Modal Tetap (Consumption of Fixed Capital)</t>
  </si>
  <si>
    <t>Deplesi Aset Lingkungan</t>
  </si>
  <si>
    <t>PDN 1</t>
  </si>
  <si>
    <t xml:space="preserve">Revaluasi </t>
  </si>
  <si>
    <t xml:space="preserve">Stok Akhir </t>
  </si>
  <si>
    <t xml:space="preserve">TOP SOP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</si>
</sst>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(* #,##0_);_(* \(#,##0\);_(* &quot;-&quot;_);_(@_)"/>
    <numFmt numFmtId="164" formatCode="_(* #,##0.00_);_(* \(#,##0.00\);_(* &quot;-&quot;_);_(@_)"/>
    <numFmt numFmtId="165" formatCode="_-* #,##0.00_-;\-* #,##0.00_-;_-* &quot;-&quot;??_-;_-@"/>
    <numFmt numFmtId="166" formatCode="#,##0.0_);\(#,##0.0\)"/>
    <numFmt numFmtId="167" formatCode="0_);\(0\)"/>
    <numFmt numFmtId="168" formatCode="_-* #,##0_-;\-* #,##0_-;_-* &quot;-&quot;_-;_-@"/>
    <numFmt numFmtId="169" formatCode="#\ ###\ ##0"/>
    <numFmt numFmtId="170" formatCode="0.000"/>
    <numFmt numFmtId="171" formatCode="#,##0.00_ ;\-#,##0.00\ "/>
    <numFmt numFmtId="172" formatCode="#,##0.00000_ ;\-#,##0.00000\ "/>
    <numFmt numFmtId="173" formatCode="_-* #,##0_-;\-* #,##0_-;_-* &quot;-&quot;??_-;_-@"/>
    <numFmt numFmtId="174" formatCode="_(* #,##0.0000000_);_(* \(#,##0.0000000\);_(* &quot;-&quot;_);_(@_)"/>
  </numFmts>
  <fonts count="32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70C0"/>
      <name val="Browallia New"/>
    </font>
    <font>
      <b/>
      <sz val="12"/>
      <color theme="1"/>
      <name val="Browallia New"/>
    </font>
    <font>
      <b/>
      <sz val="12"/>
      <color rgb="FFC00000"/>
      <name val="Browallia New"/>
    </font>
    <font>
      <sz val="12"/>
      <color rgb="FFC00000"/>
      <name val="Browallia New"/>
    </font>
    <font>
      <b/>
      <u/>
      <sz val="11"/>
      <color rgb="FF0000FF"/>
      <name val="Calibri"/>
      <family val="2"/>
    </font>
    <font>
      <b/>
      <sz val="10"/>
      <color rgb="FF000000"/>
      <name val="Calibri"/>
      <family val="2"/>
    </font>
    <font>
      <sz val="11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Helvetica Neue"/>
    </font>
    <font>
      <b/>
      <u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Helvetica Neue"/>
    </font>
    <font>
      <b/>
      <u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theme="1"/>
      <name val="Helvetica"/>
    </font>
    <font>
      <i/>
      <sz val="10"/>
      <color theme="1"/>
      <name val="Calibri"/>
      <family val="2"/>
    </font>
    <font>
      <i/>
      <sz val="10"/>
      <color theme="1"/>
      <name val="Helvetica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CC"/>
        <bgColor rgb="FFFFCCCC"/>
      </patternFill>
    </fill>
    <fill>
      <patternFill patternType="solid">
        <fgColor rgb="FF002142"/>
        <bgColor rgb="FF002142"/>
      </patternFill>
    </fill>
    <fill>
      <patternFill patternType="solid">
        <fgColor rgb="FFCCFF99"/>
        <bgColor rgb="FFCCFF99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  <fill>
      <patternFill patternType="solid">
        <fgColor theme="8"/>
        <bgColor theme="8"/>
      </patternFill>
    </fill>
    <fill>
      <patternFill patternType="solid">
        <fgColor rgb="FFD4D4D4"/>
        <bgColor rgb="FFD4D4D4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FFFCC"/>
        <bgColor rgb="FFFFFFCC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DAEEF3"/>
        <bgColor rgb="FFDAEEF3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indexed="64"/>
      </patternFill>
    </fill>
  </fills>
  <borders count="10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C00000"/>
      </bottom>
      <diagonal/>
    </border>
    <border>
      <left/>
      <right/>
      <top style="thin">
        <color rgb="FFFF0000"/>
      </top>
      <bottom style="thin">
        <color rgb="FFC00000"/>
      </bottom>
      <diagonal/>
    </border>
    <border>
      <left/>
      <right style="thin">
        <color rgb="FFFF0000"/>
      </right>
      <top style="thin">
        <color rgb="FFFF0000"/>
      </top>
      <bottom style="thin">
        <color rgb="FFC0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C00000"/>
      </top>
      <bottom style="thin">
        <color rgb="FFC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double">
        <color rgb="FF333300"/>
      </top>
      <bottom style="double">
        <color rgb="FF333300"/>
      </bottom>
      <diagonal/>
    </border>
    <border>
      <left/>
      <right/>
      <top/>
      <bottom style="hair">
        <color rgb="FF333300"/>
      </bottom>
      <diagonal/>
    </border>
    <border>
      <left/>
      <right/>
      <top/>
      <bottom style="hair">
        <color rgb="FF3333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41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4" fillId="0" borderId="0" xfId="0" applyFont="1"/>
    <xf numFmtId="0" fontId="6" fillId="0" borderId="5" xfId="0" applyFont="1" applyBorder="1" applyAlignment="1">
      <alignment horizontal="center" vertical="center"/>
    </xf>
    <xf numFmtId="0" fontId="4" fillId="3" borderId="1" xfId="0" applyFont="1" applyFill="1" applyBorder="1"/>
    <xf numFmtId="0" fontId="4" fillId="5" borderId="1" xfId="0" applyFont="1" applyFill="1" applyBorder="1"/>
    <xf numFmtId="41" fontId="4" fillId="0" borderId="0" xfId="0" applyNumberFormat="1" applyFont="1"/>
    <xf numFmtId="3" fontId="4" fillId="0" borderId="0" xfId="0" applyNumberFormat="1" applyFont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0" borderId="10" xfId="0" applyFont="1" applyBorder="1"/>
    <xf numFmtId="0" fontId="6" fillId="0" borderId="15" xfId="0" applyFont="1" applyBorder="1" applyAlignment="1">
      <alignment horizontal="center"/>
    </xf>
    <xf numFmtId="0" fontId="1" fillId="9" borderId="17" xfId="0" applyFont="1" applyFill="1" applyBorder="1" applyAlignment="1">
      <alignment wrapText="1"/>
    </xf>
    <xf numFmtId="3" fontId="1" fillId="9" borderId="18" xfId="0" applyNumberFormat="1" applyFont="1" applyFill="1" applyBorder="1" applyAlignment="1">
      <alignment horizontal="right" wrapText="1"/>
    </xf>
    <xf numFmtId="0" fontId="6" fillId="0" borderId="20" xfId="0" applyFont="1" applyBorder="1" applyAlignment="1">
      <alignment horizontal="center"/>
    </xf>
    <xf numFmtId="0" fontId="4" fillId="0" borderId="21" xfId="0" applyFont="1" applyBorder="1"/>
    <xf numFmtId="0" fontId="6" fillId="0" borderId="19" xfId="0" applyFont="1" applyBorder="1" applyAlignment="1">
      <alignment horizontal="center" vertical="center"/>
    </xf>
    <xf numFmtId="0" fontId="6" fillId="0" borderId="10" xfId="0" applyFont="1" applyBorder="1"/>
    <xf numFmtId="0" fontId="4" fillId="10" borderId="22" xfId="0" applyFont="1" applyFill="1" applyBorder="1" applyAlignment="1">
      <alignment horizontal="left" wrapText="1"/>
    </xf>
    <xf numFmtId="3" fontId="4" fillId="10" borderId="24" xfId="0" applyNumberFormat="1" applyFont="1" applyFill="1" applyBorder="1" applyAlignment="1">
      <alignment horizontal="right" wrapText="1"/>
    </xf>
    <xf numFmtId="0" fontId="6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left" wrapText="1"/>
    </xf>
    <xf numFmtId="3" fontId="4" fillId="0" borderId="0" xfId="0" applyNumberFormat="1" applyFont="1" applyAlignment="1">
      <alignment horizontal="right" wrapText="1"/>
    </xf>
    <xf numFmtId="0" fontId="8" fillId="0" borderId="10" xfId="0" applyFont="1" applyBorder="1"/>
    <xf numFmtId="37" fontId="6" fillId="0" borderId="31" xfId="0" applyNumberFormat="1" applyFont="1" applyBorder="1" applyAlignment="1">
      <alignment horizontal="center" vertical="center" wrapText="1"/>
    </xf>
    <xf numFmtId="37" fontId="6" fillId="0" borderId="1" xfId="0" applyNumberFormat="1" applyFont="1" applyBorder="1" applyAlignment="1">
      <alignment horizontal="center" vertical="center" wrapText="1"/>
    </xf>
    <xf numFmtId="37" fontId="6" fillId="0" borderId="33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15" xfId="0" applyFont="1" applyBorder="1"/>
    <xf numFmtId="0" fontId="9" fillId="0" borderId="0" xfId="0" applyFont="1"/>
    <xf numFmtId="0" fontId="4" fillId="10" borderId="34" xfId="0" applyFont="1" applyFill="1" applyBorder="1" applyAlignment="1">
      <alignment horizontal="left" wrapText="1"/>
    </xf>
    <xf numFmtId="3" fontId="4" fillId="10" borderId="35" xfId="0" applyNumberFormat="1" applyFont="1" applyFill="1" applyBorder="1" applyAlignment="1">
      <alignment horizontal="right" wrapText="1"/>
    </xf>
    <xf numFmtId="37" fontId="6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/>
    <xf numFmtId="0" fontId="10" fillId="0" borderId="10" xfId="0" applyFont="1" applyBorder="1" applyAlignment="1">
      <alignment horizontal="left" vertical="center" wrapText="1"/>
    </xf>
    <xf numFmtId="37" fontId="5" fillId="0" borderId="31" xfId="0" applyNumberFormat="1" applyFont="1" applyBorder="1" applyAlignment="1">
      <alignment horizontal="center" vertical="center" wrapText="1"/>
    </xf>
    <xf numFmtId="164" fontId="10" fillId="0" borderId="10" xfId="0" applyNumberFormat="1" applyFont="1" applyBorder="1"/>
    <xf numFmtId="0" fontId="1" fillId="9" borderId="34" xfId="0" applyFont="1" applyFill="1" applyBorder="1" applyAlignment="1">
      <alignment wrapText="1"/>
    </xf>
    <xf numFmtId="37" fontId="5" fillId="0" borderId="1" xfId="0" applyNumberFormat="1" applyFont="1" applyBorder="1" applyAlignment="1">
      <alignment horizontal="center" vertical="center" wrapText="1"/>
    </xf>
    <xf numFmtId="3" fontId="1" fillId="9" borderId="35" xfId="0" applyNumberFormat="1" applyFont="1" applyFill="1" applyBorder="1" applyAlignment="1">
      <alignment horizontal="right" wrapText="1"/>
    </xf>
    <xf numFmtId="37" fontId="5" fillId="0" borderId="33" xfId="0" applyNumberFormat="1" applyFont="1" applyBorder="1" applyAlignment="1">
      <alignment horizontal="center" vertical="center" wrapText="1"/>
    </xf>
    <xf numFmtId="164" fontId="10" fillId="0" borderId="0" xfId="0" applyNumberFormat="1" applyFont="1"/>
    <xf numFmtId="0" fontId="4" fillId="0" borderId="38" xfId="0" applyFont="1" applyBorder="1"/>
    <xf numFmtId="164" fontId="10" fillId="0" borderId="15" xfId="0" applyNumberFormat="1" applyFont="1" applyBorder="1"/>
    <xf numFmtId="0" fontId="1" fillId="9" borderId="22" xfId="0" applyFont="1" applyFill="1" applyBorder="1" applyAlignment="1">
      <alignment wrapText="1"/>
    </xf>
    <xf numFmtId="3" fontId="1" fillId="9" borderId="24" xfId="0" applyNumberFormat="1" applyFont="1" applyFill="1" applyBorder="1" applyAlignment="1">
      <alignment horizontal="right" wrapText="1"/>
    </xf>
    <xf numFmtId="37" fontId="6" fillId="11" borderId="31" xfId="0" applyNumberFormat="1" applyFont="1" applyFill="1" applyBorder="1" applyAlignment="1">
      <alignment horizontal="center" vertical="center" wrapText="1"/>
    </xf>
    <xf numFmtId="165" fontId="9" fillId="0" borderId="0" xfId="0" applyNumberFormat="1" applyFont="1"/>
    <xf numFmtId="37" fontId="6" fillId="11" borderId="33" xfId="0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37" fontId="6" fillId="12" borderId="31" xfId="0" applyNumberFormat="1" applyFont="1" applyFill="1" applyBorder="1" applyAlignment="1">
      <alignment horizontal="center" vertical="center" wrapText="1"/>
    </xf>
    <xf numFmtId="164" fontId="11" fillId="0" borderId="10" xfId="0" applyNumberFormat="1" applyFont="1" applyBorder="1"/>
    <xf numFmtId="37" fontId="6" fillId="12" borderId="33" xfId="0" applyNumberFormat="1" applyFont="1" applyFill="1" applyBorder="1" applyAlignment="1">
      <alignment horizontal="center" vertical="center" wrapText="1"/>
    </xf>
    <xf numFmtId="0" fontId="11" fillId="0" borderId="10" xfId="0" applyFont="1" applyBorder="1"/>
    <xf numFmtId="37" fontId="6" fillId="3" borderId="31" xfId="0" applyNumberFormat="1" applyFont="1" applyFill="1" applyBorder="1" applyAlignment="1">
      <alignment horizontal="center" vertical="center" wrapText="1"/>
    </xf>
    <xf numFmtId="164" fontId="11" fillId="0" borderId="0" xfId="0" applyNumberFormat="1" applyFont="1"/>
    <xf numFmtId="0" fontId="1" fillId="9" borderId="22" xfId="0" applyFont="1" applyFill="1" applyBorder="1"/>
    <xf numFmtId="164" fontId="11" fillId="0" borderId="15" xfId="0" applyNumberFormat="1" applyFont="1" applyBorder="1"/>
    <xf numFmtId="0" fontId="11" fillId="0" borderId="15" xfId="0" applyFont="1" applyBorder="1"/>
    <xf numFmtId="37" fontId="6" fillId="3" borderId="33" xfId="0" applyNumberFormat="1" applyFont="1" applyFill="1" applyBorder="1" applyAlignment="1">
      <alignment horizontal="center" vertical="center" wrapText="1"/>
    </xf>
    <xf numFmtId="37" fontId="6" fillId="13" borderId="31" xfId="0" applyNumberFormat="1" applyFont="1" applyFill="1" applyBorder="1" applyAlignment="1">
      <alignment horizontal="center" vertical="center" wrapText="1"/>
    </xf>
    <xf numFmtId="3" fontId="6" fillId="0" borderId="36" xfId="0" applyNumberFormat="1" applyFont="1" applyBorder="1" applyAlignment="1">
      <alignment horizontal="center" vertical="center" wrapText="1"/>
    </xf>
    <xf numFmtId="37" fontId="5" fillId="17" borderId="31" xfId="0" applyNumberFormat="1" applyFont="1" applyFill="1" applyBorder="1" applyAlignment="1">
      <alignment horizontal="center" vertical="center" wrapText="1"/>
    </xf>
    <xf numFmtId="37" fontId="5" fillId="17" borderId="33" xfId="0" applyNumberFormat="1" applyFont="1" applyFill="1" applyBorder="1" applyAlignment="1">
      <alignment horizontal="center" vertical="center" wrapText="1"/>
    </xf>
    <xf numFmtId="37" fontId="6" fillId="13" borderId="33" xfId="0" applyNumberFormat="1" applyFont="1" applyFill="1" applyBorder="1" applyAlignment="1">
      <alignment horizontal="center" vertical="center" wrapText="1"/>
    </xf>
    <xf numFmtId="37" fontId="6" fillId="5" borderId="31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/>
    </xf>
    <xf numFmtId="37" fontId="6" fillId="5" borderId="33" xfId="0" applyNumberFormat="1" applyFont="1" applyFill="1" applyBorder="1" applyAlignment="1">
      <alignment horizontal="center" vertical="center" wrapText="1"/>
    </xf>
    <xf numFmtId="164" fontId="12" fillId="0" borderId="10" xfId="0" applyNumberFormat="1" applyFont="1" applyBorder="1"/>
    <xf numFmtId="37" fontId="6" fillId="16" borderId="31" xfId="0" applyNumberFormat="1" applyFont="1" applyFill="1" applyBorder="1" applyAlignment="1">
      <alignment horizontal="center" vertical="center" wrapText="1"/>
    </xf>
    <xf numFmtId="0" fontId="12" fillId="0" borderId="10" xfId="0" applyFont="1" applyBorder="1"/>
    <xf numFmtId="37" fontId="6" fillId="16" borderId="33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164" fontId="12" fillId="0" borderId="15" xfId="0" applyNumberFormat="1" applyFont="1" applyBorder="1"/>
    <xf numFmtId="0" fontId="12" fillId="0" borderId="15" xfId="0" applyFont="1" applyBorder="1"/>
    <xf numFmtId="0" fontId="12" fillId="0" borderId="1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wrapText="1"/>
    </xf>
    <xf numFmtId="3" fontId="4" fillId="0" borderId="37" xfId="0" applyNumberFormat="1" applyFont="1" applyBorder="1" applyAlignment="1">
      <alignment horizontal="right" wrapText="1"/>
    </xf>
    <xf numFmtId="37" fontId="6" fillId="11" borderId="43" xfId="0" applyNumberFormat="1" applyFont="1" applyFill="1" applyBorder="1" applyAlignment="1">
      <alignment horizontal="center" vertical="center" wrapText="1"/>
    </xf>
    <xf numFmtId="37" fontId="6" fillId="11" borderId="45" xfId="0" applyNumberFormat="1" applyFont="1" applyFill="1" applyBorder="1" applyAlignment="1">
      <alignment horizontal="center" vertical="center" wrapText="1"/>
    </xf>
    <xf numFmtId="37" fontId="6" fillId="12" borderId="43" xfId="0" applyNumberFormat="1" applyFont="1" applyFill="1" applyBorder="1" applyAlignment="1">
      <alignment horizontal="center" vertical="center" wrapText="1"/>
    </xf>
    <xf numFmtId="37" fontId="6" fillId="12" borderId="45" xfId="0" applyNumberFormat="1" applyFont="1" applyFill="1" applyBorder="1" applyAlignment="1">
      <alignment horizontal="center" vertical="center" wrapText="1"/>
    </xf>
    <xf numFmtId="37" fontId="6" fillId="3" borderId="43" xfId="0" applyNumberFormat="1" applyFont="1" applyFill="1" applyBorder="1" applyAlignment="1">
      <alignment horizontal="center" vertical="center" wrapText="1"/>
    </xf>
    <xf numFmtId="37" fontId="6" fillId="3" borderId="45" xfId="0" applyNumberFormat="1" applyFont="1" applyFill="1" applyBorder="1" applyAlignment="1">
      <alignment horizontal="center" vertical="center" wrapText="1"/>
    </xf>
    <xf numFmtId="37" fontId="6" fillId="13" borderId="43" xfId="0" applyNumberFormat="1" applyFont="1" applyFill="1" applyBorder="1" applyAlignment="1">
      <alignment horizontal="center" vertical="center" wrapText="1"/>
    </xf>
    <xf numFmtId="37" fontId="6" fillId="13" borderId="45" xfId="0" applyNumberFormat="1" applyFont="1" applyFill="1" applyBorder="1" applyAlignment="1">
      <alignment horizontal="center" vertical="center" wrapText="1"/>
    </xf>
    <xf numFmtId="37" fontId="6" fillId="5" borderId="43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37" fontId="6" fillId="5" borderId="45" xfId="0" applyNumberFormat="1" applyFont="1" applyFill="1" applyBorder="1" applyAlignment="1">
      <alignment horizontal="center" vertical="center" wrapText="1"/>
    </xf>
    <xf numFmtId="37" fontId="6" fillId="16" borderId="43" xfId="0" applyNumberFormat="1" applyFont="1" applyFill="1" applyBorder="1" applyAlignment="1">
      <alignment horizontal="center" vertical="center" wrapText="1"/>
    </xf>
    <xf numFmtId="164" fontId="13" fillId="0" borderId="10" xfId="0" applyNumberFormat="1" applyFont="1" applyBorder="1"/>
    <xf numFmtId="37" fontId="6" fillId="16" borderId="45" xfId="0" applyNumberFormat="1" applyFont="1" applyFill="1" applyBorder="1" applyAlignment="1">
      <alignment horizontal="center" vertical="center" wrapText="1"/>
    </xf>
    <xf numFmtId="3" fontId="13" fillId="0" borderId="10" xfId="0" applyNumberFormat="1" applyFont="1" applyBorder="1"/>
    <xf numFmtId="164" fontId="13" fillId="0" borderId="0" xfId="0" applyNumberFormat="1" applyFont="1"/>
    <xf numFmtId="164" fontId="13" fillId="0" borderId="15" xfId="0" applyNumberFormat="1" applyFont="1" applyBorder="1"/>
    <xf numFmtId="37" fontId="6" fillId="0" borderId="2" xfId="0" applyNumberFormat="1" applyFont="1" applyBorder="1" applyAlignment="1">
      <alignment horizontal="center" vertical="center" wrapText="1"/>
    </xf>
    <xf numFmtId="37" fontId="5" fillId="17" borderId="46" xfId="0" applyNumberFormat="1" applyFont="1" applyFill="1" applyBorder="1" applyAlignment="1">
      <alignment horizontal="center" vertical="center" wrapText="1"/>
    </xf>
    <xf numFmtId="37" fontId="5" fillId="0" borderId="44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37" fontId="5" fillId="17" borderId="45" xfId="0" applyNumberFormat="1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left"/>
    </xf>
    <xf numFmtId="3" fontId="6" fillId="0" borderId="47" xfId="0" applyNumberFormat="1" applyFont="1" applyBorder="1" applyAlignment="1">
      <alignment horizontal="center" vertical="center" wrapText="1"/>
    </xf>
    <xf numFmtId="37" fontId="6" fillId="0" borderId="48" xfId="0" applyNumberFormat="1" applyFont="1" applyBorder="1" applyAlignment="1">
      <alignment horizontal="center" vertical="center" wrapText="1"/>
    </xf>
    <xf numFmtId="37" fontId="6" fillId="0" borderId="49" xfId="0" applyNumberFormat="1" applyFont="1" applyBorder="1" applyAlignment="1">
      <alignment horizontal="center" vertical="center" wrapText="1"/>
    </xf>
    <xf numFmtId="37" fontId="6" fillId="17" borderId="50" xfId="0" applyNumberFormat="1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5" fillId="17" borderId="31" xfId="0" applyNumberFormat="1" applyFont="1" applyFill="1" applyBorder="1" applyAlignment="1">
      <alignment horizontal="center" vertical="center" wrapText="1"/>
    </xf>
    <xf numFmtId="3" fontId="5" fillId="17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17" borderId="33" xfId="0" applyNumberFormat="1" applyFont="1" applyFill="1" applyBorder="1" applyAlignment="1">
      <alignment horizontal="center" vertical="center" wrapText="1"/>
    </xf>
    <xf numFmtId="0" fontId="13" fillId="0" borderId="10" xfId="0" applyFont="1" applyBorder="1"/>
    <xf numFmtId="37" fontId="5" fillId="0" borderId="51" xfId="0" applyNumberFormat="1" applyFont="1" applyBorder="1" applyAlignment="1">
      <alignment horizontal="center" vertical="center" wrapText="1"/>
    </xf>
    <xf numFmtId="3" fontId="5" fillId="0" borderId="33" xfId="0" applyNumberFormat="1" applyFont="1" applyBorder="1" applyAlignment="1">
      <alignment horizontal="center" vertical="center" wrapText="1"/>
    </xf>
    <xf numFmtId="3" fontId="5" fillId="18" borderId="33" xfId="0" applyNumberFormat="1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 wrapText="1"/>
    </xf>
    <xf numFmtId="164" fontId="10" fillId="0" borderId="19" xfId="0" applyNumberFormat="1" applyFont="1" applyBorder="1"/>
    <xf numFmtId="164" fontId="10" fillId="0" borderId="52" xfId="0" applyNumberFormat="1" applyFont="1" applyBorder="1"/>
    <xf numFmtId="3" fontId="5" fillId="17" borderId="48" xfId="0" applyNumberFormat="1" applyFont="1" applyFill="1" applyBorder="1" applyAlignment="1">
      <alignment horizontal="center" vertical="center" wrapText="1"/>
    </xf>
    <xf numFmtId="3" fontId="5" fillId="0" borderId="49" xfId="0" applyNumberFormat="1" applyFont="1" applyBorder="1" applyAlignment="1">
      <alignment horizontal="center" vertical="center" wrapText="1"/>
    </xf>
    <xf numFmtId="3" fontId="5" fillId="17" borderId="49" xfId="0" applyNumberFormat="1" applyFont="1" applyFill="1" applyBorder="1" applyAlignment="1">
      <alignment horizontal="center" vertical="center" wrapText="1"/>
    </xf>
    <xf numFmtId="3" fontId="5" fillId="17" borderId="5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37" fontId="4" fillId="0" borderId="0" xfId="0" applyNumberFormat="1" applyFont="1"/>
    <xf numFmtId="166" fontId="14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166" fontId="16" fillId="0" borderId="23" xfId="0" applyNumberFormat="1" applyFont="1" applyBorder="1" applyAlignment="1">
      <alignment vertical="center"/>
    </xf>
    <xf numFmtId="37" fontId="5" fillId="0" borderId="23" xfId="0" applyNumberFormat="1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166" fontId="16" fillId="0" borderId="53" xfId="0" applyNumberFormat="1" applyFont="1" applyBorder="1" applyAlignment="1">
      <alignment vertical="center"/>
    </xf>
    <xf numFmtId="37" fontId="5" fillId="0" borderId="53" xfId="0" applyNumberFormat="1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/>
    </xf>
    <xf numFmtId="166" fontId="5" fillId="0" borderId="53" xfId="0" applyNumberFormat="1" applyFont="1" applyBorder="1" applyAlignment="1">
      <alignment horizontal="left" vertical="center" wrapText="1"/>
    </xf>
    <xf numFmtId="37" fontId="5" fillId="0" borderId="53" xfId="0" quotePrefix="1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166" fontId="16" fillId="0" borderId="56" xfId="0" applyNumberFormat="1" applyFont="1" applyBorder="1" applyAlignment="1">
      <alignment vertical="center"/>
    </xf>
    <xf numFmtId="37" fontId="5" fillId="0" borderId="5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vertical="center"/>
    </xf>
    <xf numFmtId="167" fontId="17" fillId="0" borderId="3" xfId="0" applyNumberFormat="1" applyFont="1" applyBorder="1" applyAlignment="1">
      <alignment horizontal="center" vertical="center" wrapText="1"/>
    </xf>
    <xf numFmtId="166" fontId="20" fillId="0" borderId="0" xfId="0" applyNumberFormat="1" applyFont="1" applyAlignment="1">
      <alignment vertical="center"/>
    </xf>
    <xf numFmtId="166" fontId="5" fillId="0" borderId="23" xfId="0" applyNumberFormat="1" applyFont="1" applyBorder="1" applyAlignment="1">
      <alignment vertical="center"/>
    </xf>
    <xf numFmtId="166" fontId="5" fillId="0" borderId="53" xfId="0" applyNumberFormat="1" applyFont="1" applyBorder="1" applyAlignment="1">
      <alignment vertical="center"/>
    </xf>
    <xf numFmtId="166" fontId="5" fillId="0" borderId="53" xfId="0" applyNumberFormat="1" applyFont="1" applyBorder="1" applyAlignment="1">
      <alignment horizontal="center" vertical="center"/>
    </xf>
    <xf numFmtId="0" fontId="21" fillId="0" borderId="0" xfId="0" applyFont="1"/>
    <xf numFmtId="41" fontId="21" fillId="0" borderId="0" xfId="0" applyNumberFormat="1" applyFont="1"/>
    <xf numFmtId="168" fontId="21" fillId="0" borderId="0" xfId="0" applyNumberFormat="1" applyFont="1"/>
    <xf numFmtId="41" fontId="17" fillId="0" borderId="0" xfId="0" applyNumberFormat="1" applyFont="1"/>
    <xf numFmtId="166" fontId="5" fillId="0" borderId="53" xfId="0" quotePrefix="1" applyNumberFormat="1" applyFont="1" applyBorder="1" applyAlignment="1">
      <alignment horizontal="center" vertical="center"/>
    </xf>
    <xf numFmtId="168" fontId="17" fillId="0" borderId="0" xfId="0" applyNumberFormat="1" applyFont="1"/>
    <xf numFmtId="166" fontId="5" fillId="0" borderId="5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166" fontId="5" fillId="0" borderId="56" xfId="0" applyNumberFormat="1" applyFont="1" applyBorder="1" applyAlignment="1">
      <alignment vertical="center"/>
    </xf>
    <xf numFmtId="166" fontId="5" fillId="0" borderId="56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168" fontId="18" fillId="0" borderId="0" xfId="0" applyNumberFormat="1" applyFont="1"/>
    <xf numFmtId="0" fontId="21" fillId="0" borderId="37" xfId="0" applyFont="1" applyBorder="1"/>
    <xf numFmtId="41" fontId="21" fillId="0" borderId="37" xfId="0" applyNumberFormat="1" applyFont="1" applyBorder="1"/>
    <xf numFmtId="168" fontId="21" fillId="0" borderId="37" xfId="0" applyNumberFormat="1" applyFont="1" applyBorder="1"/>
    <xf numFmtId="164" fontId="21" fillId="0" borderId="0" xfId="0" applyNumberFormat="1" applyFont="1"/>
    <xf numFmtId="0" fontId="19" fillId="0" borderId="3" xfId="0" applyFont="1" applyBorder="1" applyAlignment="1">
      <alignment horizontal="center" vertical="center"/>
    </xf>
    <xf numFmtId="169" fontId="19" fillId="0" borderId="0" xfId="0" applyNumberFormat="1" applyFont="1" applyAlignment="1">
      <alignment vertical="center"/>
    </xf>
    <xf numFmtId="169" fontId="18" fillId="0" borderId="0" xfId="0" applyNumberFormat="1" applyFont="1"/>
    <xf numFmtId="169" fontId="22" fillId="0" borderId="0" xfId="0" applyNumberFormat="1" applyFont="1" applyAlignment="1">
      <alignment vertical="center"/>
    </xf>
    <xf numFmtId="169" fontId="19" fillId="0" borderId="59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/>
    </xf>
    <xf numFmtId="3" fontId="5" fillId="0" borderId="1" xfId="0" quotePrefix="1" applyNumberFormat="1" applyFont="1" applyBorder="1" applyAlignment="1">
      <alignment horizontal="center" vertical="center"/>
    </xf>
    <xf numFmtId="3" fontId="5" fillId="0" borderId="33" xfId="0" quotePrefix="1" applyNumberFormat="1" applyFont="1" applyBorder="1" applyAlignment="1">
      <alignment horizontal="center" vertical="center"/>
    </xf>
    <xf numFmtId="3" fontId="5" fillId="0" borderId="41" xfId="0" applyNumberFormat="1" applyFont="1" applyBorder="1" applyAlignment="1">
      <alignment horizontal="center" vertical="center"/>
    </xf>
    <xf numFmtId="3" fontId="5" fillId="0" borderId="37" xfId="0" applyNumberFormat="1" applyFont="1" applyBorder="1" applyAlignment="1">
      <alignment horizontal="center" vertical="center"/>
    </xf>
    <xf numFmtId="3" fontId="5" fillId="0" borderId="69" xfId="0" applyNumberFormat="1" applyFont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 wrapText="1"/>
    </xf>
    <xf numFmtId="3" fontId="5" fillId="0" borderId="70" xfId="0" applyNumberFormat="1" applyFont="1" applyBorder="1" applyAlignment="1">
      <alignment horizontal="center" vertical="center"/>
    </xf>
    <xf numFmtId="3" fontId="5" fillId="0" borderId="60" xfId="0" applyNumberFormat="1" applyFont="1" applyBorder="1" applyAlignment="1">
      <alignment horizontal="left" vertical="center"/>
    </xf>
    <xf numFmtId="3" fontId="5" fillId="0" borderId="21" xfId="0" applyNumberFormat="1" applyFont="1" applyBorder="1" applyAlignment="1">
      <alignment horizontal="left" vertical="center"/>
    </xf>
    <xf numFmtId="3" fontId="5" fillId="0" borderId="72" xfId="0" applyNumberFormat="1" applyFont="1" applyBorder="1" applyAlignment="1">
      <alignment horizontal="right" vertical="center"/>
    </xf>
    <xf numFmtId="3" fontId="4" fillId="0" borderId="31" xfId="0" applyNumberFormat="1" applyFont="1" applyBorder="1"/>
    <xf numFmtId="3" fontId="5" fillId="0" borderId="67" xfId="0" applyNumberFormat="1" applyFont="1" applyBorder="1" applyAlignment="1">
      <alignment horizontal="right" vertical="center"/>
    </xf>
    <xf numFmtId="3" fontId="4" fillId="0" borderId="1" xfId="0" applyNumberFormat="1" applyFont="1" applyBorder="1"/>
    <xf numFmtId="3" fontId="4" fillId="0" borderId="33" xfId="0" applyNumberFormat="1" applyFont="1" applyBorder="1"/>
    <xf numFmtId="3" fontId="5" fillId="0" borderId="29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3" fontId="5" fillId="0" borderId="73" xfId="0" applyNumberFormat="1" applyFont="1" applyBorder="1" applyAlignment="1">
      <alignment horizontal="right" vertical="center"/>
    </xf>
    <xf numFmtId="3" fontId="5" fillId="0" borderId="74" xfId="0" applyNumberFormat="1" applyFont="1" applyBorder="1" applyAlignment="1">
      <alignment horizontal="right" vertical="center"/>
    </xf>
    <xf numFmtId="3" fontId="5" fillId="19" borderId="75" xfId="0" applyNumberFormat="1" applyFont="1" applyFill="1" applyBorder="1" applyAlignment="1">
      <alignment horizontal="right" vertical="center"/>
    </xf>
    <xf numFmtId="2" fontId="4" fillId="0" borderId="31" xfId="0" applyNumberFormat="1" applyFont="1" applyBorder="1"/>
    <xf numFmtId="2" fontId="4" fillId="0" borderId="1" xfId="0" applyNumberFormat="1" applyFont="1" applyBorder="1"/>
    <xf numFmtId="2" fontId="4" fillId="0" borderId="33" xfId="0" applyNumberFormat="1" applyFont="1" applyBorder="1"/>
    <xf numFmtId="3" fontId="5" fillId="3" borderId="75" xfId="0" applyNumberFormat="1" applyFont="1" applyFill="1" applyBorder="1" applyAlignment="1">
      <alignment horizontal="right" vertical="center"/>
    </xf>
    <xf numFmtId="37" fontId="6" fillId="0" borderId="50" xfId="0" applyNumberFormat="1" applyFont="1" applyBorder="1" applyAlignment="1">
      <alignment horizontal="center" vertical="center" wrapText="1"/>
    </xf>
    <xf numFmtId="2" fontId="4" fillId="0" borderId="48" xfId="0" applyNumberFormat="1" applyFont="1" applyBorder="1"/>
    <xf numFmtId="2" fontId="4" fillId="0" borderId="49" xfId="0" applyNumberFormat="1" applyFont="1" applyBorder="1"/>
    <xf numFmtId="2" fontId="4" fillId="0" borderId="50" xfId="0" applyNumberFormat="1" applyFont="1" applyBorder="1"/>
    <xf numFmtId="170" fontId="4" fillId="0" borderId="48" xfId="0" applyNumberFormat="1" applyFont="1" applyBorder="1"/>
    <xf numFmtId="2" fontId="4" fillId="0" borderId="0" xfId="0" applyNumberFormat="1" applyFont="1"/>
    <xf numFmtId="0" fontId="5" fillId="0" borderId="40" xfId="0" applyFont="1" applyBorder="1" applyAlignment="1">
      <alignment horizontal="left" vertical="center"/>
    </xf>
    <xf numFmtId="37" fontId="5" fillId="0" borderId="40" xfId="0" applyNumberFormat="1" applyFont="1" applyBorder="1" applyAlignment="1">
      <alignment vertical="center"/>
    </xf>
    <xf numFmtId="0" fontId="23" fillId="0" borderId="73" xfId="0" applyFont="1" applyBorder="1" applyAlignment="1">
      <alignment vertical="center"/>
    </xf>
    <xf numFmtId="37" fontId="5" fillId="0" borderId="73" xfId="0" applyNumberFormat="1" applyFont="1" applyBorder="1" applyAlignment="1">
      <alignment vertical="center"/>
    </xf>
    <xf numFmtId="0" fontId="5" fillId="0" borderId="73" xfId="0" applyFont="1" applyBorder="1" applyAlignment="1">
      <alignment horizontal="left" vertical="center"/>
    </xf>
    <xf numFmtId="37" fontId="5" fillId="0" borderId="73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37" fontId="5" fillId="0" borderId="44" xfId="0" applyNumberFormat="1" applyFont="1" applyBorder="1" applyAlignment="1">
      <alignment vertical="center"/>
    </xf>
    <xf numFmtId="37" fontId="6" fillId="0" borderId="81" xfId="0" applyNumberFormat="1" applyFont="1" applyBorder="1" applyAlignment="1">
      <alignment horizontal="center" vertical="center" wrapText="1"/>
    </xf>
    <xf numFmtId="3" fontId="4" fillId="0" borderId="81" xfId="0" applyNumberFormat="1" applyFont="1" applyBorder="1"/>
    <xf numFmtId="2" fontId="4" fillId="0" borderId="81" xfId="0" applyNumberFormat="1" applyFont="1" applyBorder="1"/>
    <xf numFmtId="2" fontId="4" fillId="0" borderId="82" xfId="0" applyNumberFormat="1" applyFont="1" applyBorder="1"/>
    <xf numFmtId="3" fontId="6" fillId="0" borderId="49" xfId="0" applyNumberFormat="1" applyFont="1" applyBorder="1" applyAlignment="1">
      <alignment horizontal="center" vertical="center" wrapText="1"/>
    </xf>
    <xf numFmtId="3" fontId="4" fillId="0" borderId="49" xfId="0" applyNumberFormat="1" applyFont="1" applyBorder="1"/>
    <xf numFmtId="4" fontId="4" fillId="0" borderId="0" xfId="0" applyNumberFormat="1" applyFont="1"/>
    <xf numFmtId="3" fontId="5" fillId="0" borderId="41" xfId="0" applyNumberFormat="1" applyFont="1" applyBorder="1" applyAlignment="1">
      <alignment horizontal="left" vertical="center"/>
    </xf>
    <xf numFmtId="3" fontId="5" fillId="0" borderId="37" xfId="0" applyNumberFormat="1" applyFont="1" applyBorder="1" applyAlignment="1">
      <alignment horizontal="left" vertical="center"/>
    </xf>
    <xf numFmtId="3" fontId="5" fillId="0" borderId="69" xfId="0" applyNumberFormat="1" applyFont="1" applyBorder="1" applyAlignment="1">
      <alignment horizontal="right" vertical="center"/>
    </xf>
    <xf numFmtId="3" fontId="5" fillId="3" borderId="84" xfId="0" applyNumberFormat="1" applyFont="1" applyFill="1" applyBorder="1" applyAlignment="1">
      <alignment horizontal="right" vertical="center"/>
    </xf>
    <xf numFmtId="3" fontId="5" fillId="0" borderId="70" xfId="0" applyNumberFormat="1" applyFont="1" applyBorder="1" applyAlignment="1">
      <alignment horizontal="right" vertical="center"/>
    </xf>
    <xf numFmtId="3" fontId="5" fillId="0" borderId="85" xfId="0" applyNumberFormat="1" applyFont="1" applyBorder="1" applyAlignment="1">
      <alignment horizontal="left" vertical="center"/>
    </xf>
    <xf numFmtId="3" fontId="5" fillId="0" borderId="38" xfId="0" applyNumberFormat="1" applyFont="1" applyBorder="1" applyAlignment="1">
      <alignment horizontal="left" vertical="center"/>
    </xf>
    <xf numFmtId="3" fontId="5" fillId="0" borderId="86" xfId="0" applyNumberFormat="1" applyFont="1" applyBorder="1" applyAlignment="1">
      <alignment horizontal="right" vertical="center"/>
    </xf>
    <xf numFmtId="3" fontId="5" fillId="0" borderId="87" xfId="0" applyNumberFormat="1" applyFont="1" applyBorder="1" applyAlignment="1">
      <alignment horizontal="right" vertical="center"/>
    </xf>
    <xf numFmtId="37" fontId="8" fillId="0" borderId="88" xfId="0" quotePrefix="1" applyNumberFormat="1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37" fontId="6" fillId="20" borderId="90" xfId="0" applyNumberFormat="1" applyFont="1" applyFill="1" applyBorder="1" applyAlignment="1">
      <alignment vertical="center"/>
    </xf>
    <xf numFmtId="37" fontId="5" fillId="20" borderId="91" xfId="0" applyNumberFormat="1" applyFont="1" applyFill="1" applyBorder="1" applyAlignment="1">
      <alignment vertical="center"/>
    </xf>
    <xf numFmtId="37" fontId="5" fillId="20" borderId="92" xfId="0" applyNumberFormat="1" applyFont="1" applyFill="1" applyBorder="1" applyAlignment="1">
      <alignment vertical="center"/>
    </xf>
    <xf numFmtId="37" fontId="6" fillId="20" borderId="93" xfId="0" applyNumberFormat="1" applyFont="1" applyFill="1" applyBorder="1" applyAlignment="1">
      <alignment vertical="center"/>
    </xf>
    <xf numFmtId="37" fontId="5" fillId="20" borderId="84" xfId="0" applyNumberFormat="1" applyFont="1" applyFill="1" applyBorder="1" applyAlignment="1">
      <alignment vertical="center"/>
    </xf>
    <xf numFmtId="37" fontId="5" fillId="20" borderId="94" xfId="0" applyNumberFormat="1" applyFont="1" applyFill="1" applyBorder="1" applyAlignment="1">
      <alignment vertical="center"/>
    </xf>
    <xf numFmtId="37" fontId="6" fillId="0" borderId="80" xfId="0" applyNumberFormat="1" applyFont="1" applyBorder="1" applyAlignment="1">
      <alignment vertical="center"/>
    </xf>
    <xf numFmtId="37" fontId="5" fillId="0" borderId="72" xfId="0" applyNumberFormat="1" applyFont="1" applyBorder="1" applyAlignment="1">
      <alignment vertical="center"/>
    </xf>
    <xf numFmtId="37" fontId="5" fillId="0" borderId="95" xfId="0" applyNumberFormat="1" applyFont="1" applyBorder="1" applyAlignment="1">
      <alignment vertical="center"/>
    </xf>
    <xf numFmtId="37" fontId="6" fillId="0" borderId="76" xfId="0" applyNumberFormat="1" applyFont="1" applyBorder="1" applyAlignment="1">
      <alignment vertical="center"/>
    </xf>
    <xf numFmtId="37" fontId="5" fillId="0" borderId="69" xfId="0" applyNumberFormat="1" applyFont="1" applyBorder="1" applyAlignment="1">
      <alignment vertical="center"/>
    </xf>
    <xf numFmtId="37" fontId="5" fillId="0" borderId="96" xfId="0" applyNumberFormat="1" applyFont="1" applyBorder="1" applyAlignment="1">
      <alignment vertical="center"/>
    </xf>
    <xf numFmtId="3" fontId="5" fillId="19" borderId="75" xfId="0" applyNumberFormat="1" applyFont="1" applyFill="1" applyBorder="1" applyAlignment="1">
      <alignment horizontal="right"/>
    </xf>
    <xf numFmtId="39" fontId="5" fillId="0" borderId="72" xfId="0" applyNumberFormat="1" applyFont="1" applyBorder="1" applyAlignment="1">
      <alignment vertical="center"/>
    </xf>
    <xf numFmtId="39" fontId="5" fillId="0" borderId="95" xfId="0" applyNumberFormat="1" applyFont="1" applyBorder="1" applyAlignment="1">
      <alignment vertical="center"/>
    </xf>
    <xf numFmtId="171" fontId="4" fillId="0" borderId="0" xfId="0" applyNumberFormat="1" applyFont="1"/>
    <xf numFmtId="37" fontId="6" fillId="0" borderId="83" xfId="0" applyNumberFormat="1" applyFont="1" applyBorder="1" applyAlignment="1">
      <alignment vertical="center"/>
    </xf>
    <xf numFmtId="39" fontId="5" fillId="0" borderId="73" xfId="0" applyNumberFormat="1" applyFont="1" applyBorder="1" applyAlignment="1">
      <alignment vertical="center"/>
    </xf>
    <xf numFmtId="39" fontId="5" fillId="0" borderId="63" xfId="0" applyNumberFormat="1" applyFont="1" applyBorder="1" applyAlignment="1">
      <alignment vertical="center"/>
    </xf>
    <xf numFmtId="39" fontId="5" fillId="0" borderId="69" xfId="0" applyNumberFormat="1" applyFont="1" applyBorder="1" applyAlignment="1">
      <alignment vertical="center"/>
    </xf>
    <xf numFmtId="39" fontId="5" fillId="0" borderId="96" xfId="0" applyNumberFormat="1" applyFont="1" applyBorder="1" applyAlignment="1">
      <alignment vertical="center"/>
    </xf>
    <xf numFmtId="172" fontId="4" fillId="0" borderId="0" xfId="0" applyNumberFormat="1" applyFont="1"/>
    <xf numFmtId="39" fontId="5" fillId="20" borderId="91" xfId="0" applyNumberFormat="1" applyFont="1" applyFill="1" applyBorder="1" applyAlignment="1">
      <alignment vertical="center"/>
    </xf>
    <xf numFmtId="39" fontId="5" fillId="20" borderId="92" xfId="0" applyNumberFormat="1" applyFont="1" applyFill="1" applyBorder="1" applyAlignment="1">
      <alignment vertical="center"/>
    </xf>
    <xf numFmtId="37" fontId="6" fillId="20" borderId="97" xfId="0" applyNumberFormat="1" applyFont="1" applyFill="1" applyBorder="1" applyAlignment="1">
      <alignment vertical="center"/>
    </xf>
    <xf numFmtId="39" fontId="5" fillId="20" borderId="75" xfId="0" applyNumberFormat="1" applyFont="1" applyFill="1" applyBorder="1" applyAlignment="1">
      <alignment vertical="center"/>
    </xf>
    <xf numFmtId="39" fontId="5" fillId="20" borderId="98" xfId="0" applyNumberFormat="1" applyFont="1" applyFill="1" applyBorder="1" applyAlignment="1">
      <alignment vertical="center"/>
    </xf>
    <xf numFmtId="39" fontId="5" fillId="20" borderId="84" xfId="0" applyNumberFormat="1" applyFont="1" applyFill="1" applyBorder="1" applyAlignment="1">
      <alignment vertical="center"/>
    </xf>
    <xf numFmtId="3" fontId="5" fillId="3" borderId="75" xfId="0" applyNumberFormat="1" applyFont="1" applyFill="1" applyBorder="1" applyAlignment="1">
      <alignment horizontal="right"/>
    </xf>
    <xf numFmtId="39" fontId="5" fillId="20" borderId="94" xfId="0" applyNumberFormat="1" applyFont="1" applyFill="1" applyBorder="1" applyAlignment="1">
      <alignment vertical="center"/>
    </xf>
    <xf numFmtId="37" fontId="6" fillId="0" borderId="99" xfId="0" applyNumberFormat="1" applyFont="1" applyBorder="1" applyAlignment="1">
      <alignment vertical="center"/>
    </xf>
    <xf numFmtId="37" fontId="5" fillId="0" borderId="63" xfId="0" applyNumberFormat="1" applyFont="1" applyBorder="1" applyAlignment="1">
      <alignment vertical="center"/>
    </xf>
    <xf numFmtId="37" fontId="6" fillId="0" borderId="79" xfId="0" applyNumberFormat="1" applyFont="1" applyBorder="1" applyAlignment="1">
      <alignment vertical="center"/>
    </xf>
    <xf numFmtId="0" fontId="1" fillId="0" borderId="0" xfId="0" applyFont="1"/>
    <xf numFmtId="37" fontId="6" fillId="0" borderId="0" xfId="0" applyNumberFormat="1" applyFont="1" applyAlignment="1">
      <alignment vertical="center"/>
    </xf>
    <xf numFmtId="0" fontId="24" fillId="0" borderId="10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5" fontId="4" fillId="0" borderId="0" xfId="0" applyNumberFormat="1" applyFont="1"/>
    <xf numFmtId="3" fontId="24" fillId="0" borderId="101" xfId="0" applyNumberFormat="1" applyFont="1" applyBorder="1"/>
    <xf numFmtId="3" fontId="24" fillId="11" borderId="102" xfId="0" applyNumberFormat="1" applyFont="1" applyFill="1" applyBorder="1"/>
    <xf numFmtId="4" fontId="24" fillId="0" borderId="101" xfId="0" applyNumberFormat="1" applyFont="1" applyBorder="1"/>
    <xf numFmtId="0" fontId="26" fillId="11" borderId="24" xfId="0" applyFont="1" applyFill="1" applyBorder="1"/>
    <xf numFmtId="3" fontId="26" fillId="0" borderId="0" xfId="0" applyNumberFormat="1" applyFont="1"/>
    <xf numFmtId="0" fontId="26" fillId="0" borderId="0" xfId="0" applyFont="1"/>
    <xf numFmtId="3" fontId="8" fillId="21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9" fontId="4" fillId="0" borderId="1" xfId="0" applyNumberFormat="1" applyFont="1" applyBorder="1"/>
    <xf numFmtId="173" fontId="4" fillId="0" borderId="0" xfId="0" applyNumberFormat="1" applyFont="1"/>
    <xf numFmtId="0" fontId="4" fillId="0" borderId="1" xfId="0" applyFont="1" applyBorder="1" applyAlignment="1">
      <alignment horizontal="right"/>
    </xf>
    <xf numFmtId="1" fontId="4" fillId="0" borderId="0" xfId="0" applyNumberFormat="1" applyFont="1"/>
    <xf numFmtId="3" fontId="8" fillId="5" borderId="1" xfId="0" applyNumberFormat="1" applyFont="1" applyFill="1" applyBorder="1" applyAlignment="1">
      <alignment horizontal="center" vertical="center" wrapText="1"/>
    </xf>
    <xf numFmtId="3" fontId="5" fillId="3" borderId="84" xfId="0" applyNumberFormat="1" applyFont="1" applyFill="1" applyBorder="1" applyAlignment="1">
      <alignment horizontal="right"/>
    </xf>
    <xf numFmtId="3" fontId="27" fillId="22" borderId="1" xfId="0" applyNumberFormat="1" applyFont="1" applyFill="1" applyBorder="1" applyAlignment="1">
      <alignment horizontal="center" vertical="center" wrapText="1"/>
    </xf>
    <xf numFmtId="174" fontId="4" fillId="0" borderId="0" xfId="0" applyNumberFormat="1" applyFont="1"/>
    <xf numFmtId="3" fontId="5" fillId="0" borderId="103" xfId="0" applyNumberFormat="1" applyFont="1" applyBorder="1" applyAlignment="1">
      <alignment horizontal="right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0" fontId="4" fillId="22" borderId="1" xfId="0" applyFont="1" applyFill="1" applyBorder="1"/>
    <xf numFmtId="3" fontId="5" fillId="0" borderId="104" xfId="0" applyNumberFormat="1" applyFont="1" applyBorder="1" applyAlignment="1">
      <alignment horizontal="right" vertical="center"/>
    </xf>
    <xf numFmtId="3" fontId="5" fillId="0" borderId="72" xfId="0" applyNumberFormat="1" applyFont="1" applyBorder="1" applyAlignment="1">
      <alignment vertical="center"/>
    </xf>
    <xf numFmtId="3" fontId="5" fillId="0" borderId="73" xfId="0" applyNumberFormat="1" applyFont="1" applyBorder="1" applyAlignment="1">
      <alignment vertical="center"/>
    </xf>
    <xf numFmtId="0" fontId="4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6" xfId="0" applyFont="1" applyBorder="1"/>
    <xf numFmtId="0" fontId="6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6" fillId="0" borderId="5" xfId="0" applyFont="1" applyBorder="1" applyAlignment="1">
      <alignment horizontal="center" vertical="center"/>
    </xf>
    <xf numFmtId="0" fontId="2" fillId="0" borderId="19" xfId="0" applyFont="1" applyBorder="1"/>
    <xf numFmtId="0" fontId="6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1" fillId="15" borderId="25" xfId="0" applyFont="1" applyFill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1" fillId="13" borderId="25" xfId="0" applyFont="1" applyFill="1" applyBorder="1" applyAlignment="1">
      <alignment horizontal="center"/>
    </xf>
    <xf numFmtId="37" fontId="6" fillId="0" borderId="23" xfId="0" applyNumberFormat="1" applyFont="1" applyBorder="1" applyAlignment="1">
      <alignment horizontal="center" vertical="center" wrapText="1"/>
    </xf>
    <xf numFmtId="0" fontId="2" fillId="0" borderId="30" xfId="0" applyFont="1" applyBorder="1"/>
    <xf numFmtId="0" fontId="1" fillId="11" borderId="25" xfId="0" applyFont="1" applyFill="1" applyBorder="1" applyAlignment="1">
      <alignment horizontal="center"/>
    </xf>
    <xf numFmtId="0" fontId="1" fillId="12" borderId="25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14" borderId="25" xfId="0" applyFont="1" applyFill="1" applyBorder="1" applyAlignment="1">
      <alignment horizontal="center"/>
    </xf>
    <xf numFmtId="37" fontId="6" fillId="5" borderId="40" xfId="0" applyNumberFormat="1" applyFont="1" applyFill="1" applyBorder="1" applyAlignment="1">
      <alignment horizontal="center" vertical="center" wrapText="1"/>
    </xf>
    <xf numFmtId="0" fontId="2" fillId="0" borderId="44" xfId="0" applyFont="1" applyBorder="1"/>
    <xf numFmtId="37" fontId="6" fillId="0" borderId="32" xfId="0" applyNumberFormat="1" applyFont="1" applyBorder="1" applyAlignment="1">
      <alignment horizontal="center" vertical="center" wrapText="1"/>
    </xf>
    <xf numFmtId="0" fontId="2" fillId="0" borderId="39" xfId="0" applyFont="1" applyBorder="1"/>
    <xf numFmtId="0" fontId="2" fillId="0" borderId="42" xfId="0" applyFont="1" applyBorder="1"/>
    <xf numFmtId="0" fontId="1" fillId="16" borderId="25" xfId="0" applyFont="1" applyFill="1" applyBorder="1" applyAlignment="1">
      <alignment horizontal="center"/>
    </xf>
    <xf numFmtId="37" fontId="6" fillId="3" borderId="40" xfId="0" applyNumberFormat="1" applyFont="1" applyFill="1" applyBorder="1" applyAlignment="1">
      <alignment horizontal="center" vertical="center" wrapText="1"/>
    </xf>
    <xf numFmtId="37" fontId="6" fillId="13" borderId="40" xfId="0" applyNumberFormat="1" applyFont="1" applyFill="1" applyBorder="1" applyAlignment="1">
      <alignment horizontal="center" vertical="center" wrapText="1"/>
    </xf>
    <xf numFmtId="37" fontId="6" fillId="16" borderId="40" xfId="0" applyNumberFormat="1" applyFont="1" applyFill="1" applyBorder="1" applyAlignment="1">
      <alignment horizontal="center" vertical="center" wrapText="1"/>
    </xf>
    <xf numFmtId="37" fontId="6" fillId="11" borderId="40" xfId="0" applyNumberFormat="1" applyFont="1" applyFill="1" applyBorder="1" applyAlignment="1">
      <alignment horizontal="center" vertical="center" wrapText="1"/>
    </xf>
    <xf numFmtId="37" fontId="6" fillId="12" borderId="40" xfId="0" applyNumberFormat="1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 vertical="center" wrapText="1"/>
    </xf>
    <xf numFmtId="0" fontId="2" fillId="0" borderId="59" xfId="0" applyFont="1" applyBorder="1"/>
    <xf numFmtId="0" fontId="19" fillId="0" borderId="54" xfId="0" applyFont="1" applyBorder="1" applyAlignment="1">
      <alignment horizontal="center" vertical="center"/>
    </xf>
    <xf numFmtId="0" fontId="2" fillId="0" borderId="54" xfId="0" applyFont="1" applyBorder="1"/>
    <xf numFmtId="0" fontId="19" fillId="0" borderId="57" xfId="0" applyFont="1" applyBorder="1" applyAlignment="1">
      <alignment horizontal="center" vertical="center" wrapText="1"/>
    </xf>
    <xf numFmtId="0" fontId="2" fillId="0" borderId="57" xfId="0" applyFont="1" applyBorder="1"/>
    <xf numFmtId="0" fontId="2" fillId="0" borderId="55" xfId="0" applyFont="1" applyBorder="1"/>
    <xf numFmtId="167" fontId="17" fillId="0" borderId="3" xfId="0" applyNumberFormat="1" applyFont="1" applyBorder="1" applyAlignment="1">
      <alignment horizontal="center" vertical="center" wrapText="1"/>
    </xf>
    <xf numFmtId="0" fontId="19" fillId="0" borderId="58" xfId="0" applyFont="1" applyBorder="1" applyAlignment="1">
      <alignment horizontal="left" vertical="center" wrapText="1"/>
    </xf>
    <xf numFmtId="0" fontId="2" fillId="0" borderId="58" xfId="0" applyFont="1" applyBorder="1"/>
    <xf numFmtId="0" fontId="22" fillId="0" borderId="0" xfId="0" applyFont="1" applyAlignment="1">
      <alignment horizontal="left" vertical="center" wrapText="1"/>
    </xf>
    <xf numFmtId="0" fontId="0" fillId="0" borderId="0" xfId="0" applyFont="1" applyAlignment="1"/>
    <xf numFmtId="0" fontId="15" fillId="0" borderId="0" xfId="0" applyFont="1" applyAlignment="1">
      <alignment horizontal="center"/>
    </xf>
    <xf numFmtId="0" fontId="19" fillId="0" borderId="21" xfId="0" applyFont="1" applyBorder="1" applyAlignment="1">
      <alignment horizontal="center" vertical="center"/>
    </xf>
    <xf numFmtId="0" fontId="2" fillId="0" borderId="21" xfId="0" applyFont="1" applyBorder="1"/>
    <xf numFmtId="3" fontId="6" fillId="0" borderId="2" xfId="0" applyNumberFormat="1" applyFont="1" applyBorder="1" applyAlignment="1">
      <alignment horizontal="center" vertical="center" wrapText="1"/>
    </xf>
    <xf numFmtId="3" fontId="6" fillId="0" borderId="40" xfId="0" applyNumberFormat="1" applyFont="1" applyBorder="1" applyAlignment="1">
      <alignment horizontal="center" vertical="center" wrapText="1"/>
    </xf>
    <xf numFmtId="3" fontId="6" fillId="0" borderId="60" xfId="0" applyNumberFormat="1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64" xfId="0" applyFont="1" applyBorder="1"/>
    <xf numFmtId="0" fontId="1" fillId="0" borderId="61" xfId="0" applyFont="1" applyBorder="1" applyAlignment="1">
      <alignment horizontal="center"/>
    </xf>
    <xf numFmtId="3" fontId="5" fillId="0" borderId="66" xfId="0" quotePrefix="1" applyNumberFormat="1" applyFont="1" applyBorder="1" applyAlignment="1">
      <alignment horizontal="center" vertical="center"/>
    </xf>
    <xf numFmtId="3" fontId="6" fillId="0" borderId="62" xfId="0" applyNumberFormat="1" applyFont="1" applyBorder="1" applyAlignment="1">
      <alignment horizontal="center" vertical="center" wrapText="1"/>
    </xf>
    <xf numFmtId="0" fontId="2" fillId="0" borderId="63" xfId="0" applyFont="1" applyBorder="1"/>
    <xf numFmtId="0" fontId="2" fillId="0" borderId="65" xfId="0" applyFont="1" applyBorder="1"/>
    <xf numFmtId="0" fontId="1" fillId="0" borderId="25" xfId="0" applyFont="1" applyBorder="1" applyAlignment="1">
      <alignment horizontal="center"/>
    </xf>
    <xf numFmtId="0" fontId="1" fillId="0" borderId="60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1" fillId="0" borderId="71" xfId="0" applyFont="1" applyBorder="1" applyAlignment="1">
      <alignment horizontal="center" vertical="center"/>
    </xf>
    <xf numFmtId="0" fontId="2" fillId="0" borderId="51" xfId="0" applyFont="1" applyBorder="1"/>
    <xf numFmtId="0" fontId="2" fillId="0" borderId="76" xfId="0" applyFont="1" applyBorder="1"/>
    <xf numFmtId="0" fontId="2" fillId="0" borderId="77" xfId="0" applyFont="1" applyBorder="1"/>
    <xf numFmtId="0" fontId="2" fillId="0" borderId="41" xfId="0" applyFont="1" applyBorder="1"/>
    <xf numFmtId="0" fontId="2" fillId="0" borderId="79" xfId="0" applyFont="1" applyBorder="1"/>
    <xf numFmtId="0" fontId="1" fillId="0" borderId="61" xfId="0" applyFont="1" applyBorder="1" applyAlignment="1">
      <alignment horizontal="center" vertical="center"/>
    </xf>
    <xf numFmtId="0" fontId="2" fillId="0" borderId="78" xfId="0" applyFont="1" applyBorder="1"/>
    <xf numFmtId="0" fontId="1" fillId="0" borderId="80" xfId="0" applyFont="1" applyBorder="1" applyAlignment="1">
      <alignment horizontal="center"/>
    </xf>
    <xf numFmtId="0" fontId="2" fillId="0" borderId="83" xfId="0" applyFont="1" applyBorder="1"/>
    <xf numFmtId="3" fontId="1" fillId="0" borderId="80" xfId="0" applyNumberFormat="1" applyFont="1" applyBorder="1" applyAlignment="1">
      <alignment horizontal="center"/>
    </xf>
    <xf numFmtId="0" fontId="8" fillId="3" borderId="40" xfId="0" applyFont="1" applyFill="1" applyBorder="1" applyAlignment="1">
      <alignment horizontal="center" vertical="center"/>
    </xf>
    <xf numFmtId="3" fontId="8" fillId="3" borderId="2" xfId="0" applyNumberFormat="1" applyFont="1" applyFill="1" applyBorder="1" applyAlignment="1">
      <alignment horizontal="center" vertical="center"/>
    </xf>
    <xf numFmtId="0" fontId="8" fillId="21" borderId="40" xfId="0" applyFont="1" applyFill="1" applyBorder="1" applyAlignment="1">
      <alignment horizontal="center" vertical="center"/>
    </xf>
    <xf numFmtId="3" fontId="8" fillId="21" borderId="2" xfId="0" applyNumberFormat="1" applyFont="1" applyFill="1" applyBorder="1" applyAlignment="1">
      <alignment horizontal="center" vertical="center"/>
    </xf>
    <xf numFmtId="3" fontId="8" fillId="21" borderId="40" xfId="0" applyNumberFormat="1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0" fontId="0" fillId="23" borderId="0" xfId="0" applyFont="1" applyFill="1" applyAlignment="1"/>
    <xf numFmtId="0" fontId="24" fillId="23" borderId="100" xfId="0" applyFont="1" applyFill="1" applyBorder="1" applyAlignment="1">
      <alignment horizontal="center" vertical="center" wrapText="1"/>
    </xf>
    <xf numFmtId="0" fontId="25" fillId="23" borderId="0" xfId="0" applyFont="1" applyFill="1" applyAlignment="1">
      <alignment horizontal="center" vertical="center" wrapText="1"/>
    </xf>
    <xf numFmtId="3" fontId="24" fillId="23" borderId="101" xfId="0" applyNumberFormat="1" applyFont="1" applyFill="1" applyBorder="1"/>
    <xf numFmtId="3" fontId="24" fillId="23" borderId="101" xfId="0" applyNumberFormat="1" applyFont="1" applyFill="1" applyBorder="1" applyAlignment="1">
      <alignment horizontal="right"/>
    </xf>
    <xf numFmtId="0" fontId="24" fillId="23" borderId="101" xfId="0" applyFont="1" applyFill="1" applyBorder="1" applyAlignment="1">
      <alignment horizontal="center"/>
    </xf>
    <xf numFmtId="37" fontId="24" fillId="23" borderId="10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'National Wealth'!$A$25:$A$29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2023*</c:v>
                </c:pt>
                <c:pt idx="4">
                  <c:v>2024**</c:v>
                </c:pt>
              </c:strCache>
            </c:strRef>
          </c:cat>
          <c:val>
            <c:numRef>
              <c:f>'National Wealth'!$E$25:$E$29</c:f>
              <c:numCache>
                <c:formatCode>0.00</c:formatCode>
                <c:ptCount val="5"/>
                <c:pt idx="0">
                  <c:v>4.9527526735218004</c:v>
                </c:pt>
                <c:pt idx="1">
                  <c:v>8.5248222772116975</c:v>
                </c:pt>
                <c:pt idx="2">
                  <c:v>8.6068079737597856</c:v>
                </c:pt>
                <c:pt idx="3">
                  <c:v>7.0372498296068784</c:v>
                </c:pt>
                <c:pt idx="4">
                  <c:v>6.9068328879902339</c:v>
                </c:pt>
              </c:numCache>
            </c:numRef>
          </c:val>
          <c:smooth val="0"/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'National Wealth'!$A$25:$A$29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2023*</c:v>
                </c:pt>
                <c:pt idx="4">
                  <c:v>2024**</c:v>
                </c:pt>
              </c:strCache>
            </c:strRef>
          </c:cat>
          <c:val>
            <c:numRef>
              <c:f>'National Wealth'!$F$25:$F$29</c:f>
              <c:numCache>
                <c:formatCode>0.00</c:formatCode>
                <c:ptCount val="5"/>
                <c:pt idx="0">
                  <c:v>-1.389197090432944</c:v>
                </c:pt>
                <c:pt idx="1">
                  <c:v>54.224682125348039</c:v>
                </c:pt>
                <c:pt idx="2">
                  <c:v>63.866966864180796</c:v>
                </c:pt>
                <c:pt idx="3">
                  <c:v>-8.858088210031795</c:v>
                </c:pt>
                <c:pt idx="4">
                  <c:v>-16.899021826442038</c:v>
                </c:pt>
              </c:numCache>
            </c:numRef>
          </c:val>
          <c:smooth val="0"/>
        </c:ser>
        <c:ser>
          <c:idx val="2"/>
          <c:order val="2"/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'National Wealth'!$A$25:$A$29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2023*</c:v>
                </c:pt>
                <c:pt idx="4">
                  <c:v>2024**</c:v>
                </c:pt>
              </c:strCache>
            </c:strRef>
          </c:cat>
          <c:val>
            <c:numRef>
              <c:f>'National Wealth'!$G$25:$G$29</c:f>
              <c:numCache>
                <c:formatCode>0.00</c:formatCode>
                <c:ptCount val="5"/>
                <c:pt idx="0">
                  <c:v>4.0864378045635874</c:v>
                </c:pt>
                <c:pt idx="1">
                  <c:v>14.439051982571044</c:v>
                </c:pt>
                <c:pt idx="2">
                  <c:v>18.2445452156839</c:v>
                </c:pt>
                <c:pt idx="3">
                  <c:v>3.1953766862182249</c:v>
                </c:pt>
                <c:pt idx="4">
                  <c:v>1.8250638306296878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930592"/>
        <c:axId val="1448931136"/>
      </c:lineChart>
      <c:catAx>
        <c:axId val="144893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8931136"/>
        <c:crosses val="autoZero"/>
        <c:auto val="1"/>
        <c:lblAlgn val="ctr"/>
        <c:lblOffset val="100"/>
        <c:noMultiLvlLbl val="1"/>
      </c:catAx>
      <c:valAx>
        <c:axId val="1448931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89305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1066800</xdr:colOff>
      <xdr:row>2</xdr:row>
      <xdr:rowOff>47625</xdr:rowOff>
    </xdr:from>
    <xdr:ext cx="5410200" cy="2324100"/>
    <xdr:graphicFrame macro="">
      <xdr:nvGraphicFramePr>
        <xdr:cNvPr id="152903372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000"/>
  <sheetViews>
    <sheetView workbookViewId="0">
      <selection activeCell="B7" sqref="B7:N7"/>
    </sheetView>
  </sheetViews>
  <sheetFormatPr defaultColWidth="14.42578125" defaultRowHeight="15" customHeight="1"/>
  <cols>
    <col min="1" max="26" width="8.7109375" customWidth="1"/>
  </cols>
  <sheetData>
    <row r="1" spans="1:14" ht="14.25" customHeight="1">
      <c r="A1" s="296" t="s">
        <v>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5"/>
    </row>
    <row r="2" spans="1:14" ht="30" customHeight="1">
      <c r="A2" s="297" t="s">
        <v>4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5"/>
    </row>
    <row r="3" spans="1:14" ht="43.5" customHeight="1">
      <c r="A3" s="297" t="s">
        <v>6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5"/>
    </row>
    <row r="4" spans="1:14" ht="33" customHeight="1">
      <c r="A4" s="297" t="s">
        <v>8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5"/>
    </row>
    <row r="5" spans="1:14" ht="14.25" customHeight="1"/>
    <row r="6" spans="1:14" ht="14.25" customHeight="1">
      <c r="A6" s="298" t="s">
        <v>13</v>
      </c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5"/>
    </row>
    <row r="7" spans="1:14" ht="27.75" customHeight="1">
      <c r="A7" s="11"/>
      <c r="B7" s="297" t="s">
        <v>16</v>
      </c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5"/>
    </row>
    <row r="8" spans="1:14" ht="14.25" customHeight="1">
      <c r="A8" s="12"/>
      <c r="B8" s="293" t="s">
        <v>17</v>
      </c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5"/>
    </row>
    <row r="9" spans="1:14" ht="14.25" customHeight="1">
      <c r="A9" s="15"/>
      <c r="B9" s="293" t="s">
        <v>18</v>
      </c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5"/>
    </row>
    <row r="10" spans="1:14" ht="14.25" customHeight="1">
      <c r="A10" s="16"/>
      <c r="B10" s="293" t="s">
        <v>19</v>
      </c>
      <c r="C10" s="294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5"/>
    </row>
    <row r="11" spans="1:14" ht="14.25" customHeight="1">
      <c r="A11" s="17"/>
      <c r="B11" s="293" t="s">
        <v>20</v>
      </c>
      <c r="C11" s="294"/>
      <c r="D11" s="294"/>
      <c r="E11" s="294"/>
      <c r="F11" s="294"/>
      <c r="G11" s="294"/>
      <c r="H11" s="294"/>
      <c r="I11" s="294"/>
      <c r="J11" s="294"/>
      <c r="K11" s="294"/>
      <c r="L11" s="294"/>
      <c r="M11" s="294"/>
      <c r="N11" s="295"/>
    </row>
    <row r="12" spans="1:14" ht="14.25" customHeight="1"/>
    <row r="13" spans="1:14" ht="14.25" customHeight="1"/>
    <row r="14" spans="1:14" ht="14.25" customHeight="1"/>
    <row r="15" spans="1:14" ht="14.25" customHeight="1"/>
    <row r="16" spans="1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9:N9"/>
    <mergeCell ref="B10:N10"/>
    <mergeCell ref="B11:N11"/>
    <mergeCell ref="A1:N1"/>
    <mergeCell ref="A2:N2"/>
    <mergeCell ref="A3:N3"/>
    <mergeCell ref="A4:N4"/>
    <mergeCell ref="A6:N6"/>
    <mergeCell ref="B7:N7"/>
    <mergeCell ref="B8:N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14.42578125" defaultRowHeight="15" customHeight="1"/>
  <cols>
    <col min="1" max="1" width="39.85546875" customWidth="1"/>
    <col min="2" max="2" width="14.42578125" customWidth="1"/>
    <col min="3" max="4" width="14" customWidth="1"/>
    <col min="5" max="5" width="14.42578125" customWidth="1"/>
    <col min="6" max="6" width="14" customWidth="1"/>
    <col min="7" max="12" width="14.42578125" customWidth="1"/>
    <col min="13" max="26" width="9.140625" customWidth="1"/>
  </cols>
  <sheetData>
    <row r="1" spans="1:26" ht="14.25" customHeight="1">
      <c r="B1" s="2">
        <f>C1-1</f>
        <v>2014</v>
      </c>
      <c r="C1" s="4">
        <v>2015</v>
      </c>
      <c r="D1" s="4">
        <f>C1+1</f>
        <v>2016</v>
      </c>
      <c r="E1" s="4">
        <f>C1+2</f>
        <v>2017</v>
      </c>
      <c r="F1" s="4">
        <v>2018</v>
      </c>
      <c r="G1" s="4">
        <v>2019</v>
      </c>
      <c r="H1" s="4">
        <v>2020</v>
      </c>
      <c r="I1" s="4">
        <v>2021</v>
      </c>
      <c r="J1" s="2">
        <v>2022</v>
      </c>
      <c r="K1" s="2" t="s">
        <v>10</v>
      </c>
      <c r="L1" s="2" t="s">
        <v>12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299" t="s">
        <v>15</v>
      </c>
      <c r="B2" s="299">
        <f t="shared" ref="B2:L2" si="0">B1</f>
        <v>2014</v>
      </c>
      <c r="C2" s="299">
        <f t="shared" si="0"/>
        <v>2015</v>
      </c>
      <c r="D2" s="299">
        <f t="shared" si="0"/>
        <v>2016</v>
      </c>
      <c r="E2" s="299">
        <f t="shared" si="0"/>
        <v>2017</v>
      </c>
      <c r="F2" s="299">
        <f t="shared" si="0"/>
        <v>2018</v>
      </c>
      <c r="G2" s="299">
        <f t="shared" si="0"/>
        <v>2019</v>
      </c>
      <c r="H2" s="299">
        <f t="shared" si="0"/>
        <v>2020</v>
      </c>
      <c r="I2" s="299">
        <f t="shared" si="0"/>
        <v>2021</v>
      </c>
      <c r="J2" s="299">
        <f t="shared" si="0"/>
        <v>2022</v>
      </c>
      <c r="K2" s="299" t="str">
        <f t="shared" si="0"/>
        <v>2023*</v>
      </c>
      <c r="L2" s="299" t="str">
        <f t="shared" si="0"/>
        <v>2024**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>
      <c r="A3" s="300"/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>
      <c r="A4" s="300"/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>
      <c r="A5" s="301"/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customHeight="1">
      <c r="A6" s="20" t="s">
        <v>21</v>
      </c>
      <c r="B6" s="21">
        <v>5915194.2341652662</v>
      </c>
      <c r="C6" s="21">
        <v>6490929.6847918406</v>
      </c>
      <c r="D6" s="21">
        <v>7027023.4569066353</v>
      </c>
      <c r="E6" s="21">
        <v>7623056.1056673015</v>
      </c>
      <c r="F6" s="21">
        <v>8274214.4286727998</v>
      </c>
      <c r="G6" s="21">
        <v>8965837.3855956998</v>
      </c>
      <c r="H6" s="21">
        <v>8899917.5799170993</v>
      </c>
      <c r="I6" s="21">
        <v>9236049.1081875004</v>
      </c>
      <c r="J6" s="21">
        <v>10161713.455969399</v>
      </c>
      <c r="K6" s="21">
        <v>11109565.971268</v>
      </c>
      <c r="L6" s="21">
        <v>11964946.618470602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" customHeight="1">
      <c r="A7" s="26" t="s">
        <v>27</v>
      </c>
      <c r="B7" s="27">
        <v>2247450.5853399304</v>
      </c>
      <c r="C7" s="27">
        <v>2495433.4397512907</v>
      </c>
      <c r="D7" s="27">
        <v>2759334.9501742953</v>
      </c>
      <c r="E7" s="27">
        <v>2986882.0145350611</v>
      </c>
      <c r="F7" s="27">
        <v>3255945.8910560999</v>
      </c>
      <c r="G7" s="27">
        <v>3529891.6760852002</v>
      </c>
      <c r="H7" s="27">
        <v>3669993.4708986999</v>
      </c>
      <c r="I7" s="27">
        <v>3803853.3796978304</v>
      </c>
      <c r="J7" s="27">
        <v>4174005.1909453198</v>
      </c>
      <c r="K7" s="27">
        <v>4542099.2537582796</v>
      </c>
      <c r="L7" s="27">
        <v>4925152.2095318297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customHeight="1">
      <c r="A8" s="29" t="s">
        <v>29</v>
      </c>
      <c r="B8" s="30">
        <v>221633.20251614464</v>
      </c>
      <c r="C8" s="30">
        <v>239644.36053779876</v>
      </c>
      <c r="D8" s="30">
        <v>256951.35152311722</v>
      </c>
      <c r="E8" s="30">
        <v>273621.2866217859</v>
      </c>
      <c r="F8" s="30">
        <v>296092.19399960001</v>
      </c>
      <c r="G8" s="30">
        <v>321705.23503002001</v>
      </c>
      <c r="H8" s="30">
        <v>316446.60204331001</v>
      </c>
      <c r="I8" s="30">
        <v>319886.33101172902</v>
      </c>
      <c r="J8" s="30">
        <v>339007.53948223504</v>
      </c>
      <c r="K8" s="30">
        <v>358339.98677402904</v>
      </c>
      <c r="L8" s="30">
        <v>370749.13352795801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 customHeight="1">
      <c r="A9" s="26" t="s">
        <v>30</v>
      </c>
      <c r="B9" s="27">
        <v>774867.35937885544</v>
      </c>
      <c r="C9" s="27">
        <v>849310.40715991636</v>
      </c>
      <c r="D9" s="27">
        <v>902678.59077800438</v>
      </c>
      <c r="E9" s="27">
        <v>980387.89030351746</v>
      </c>
      <c r="F9" s="27">
        <v>1060517.0157618001</v>
      </c>
      <c r="G9" s="27">
        <v>1144776.68013</v>
      </c>
      <c r="H9" s="27">
        <v>1186899.9599025999</v>
      </c>
      <c r="I9" s="27">
        <v>1223129.689606627</v>
      </c>
      <c r="J9" s="27">
        <v>1296548.03943522</v>
      </c>
      <c r="K9" s="27">
        <v>1375977.6839107401</v>
      </c>
      <c r="L9" s="27">
        <v>1445425.69375349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7.25" customHeight="1">
      <c r="A10" s="29" t="s">
        <v>31</v>
      </c>
      <c r="B10" s="30">
        <v>394267.50445919309</v>
      </c>
      <c r="C10" s="30">
        <v>433073.00822728837</v>
      </c>
      <c r="D10" s="30">
        <v>473136.66585840995</v>
      </c>
      <c r="E10" s="30">
        <v>515134.08165658615</v>
      </c>
      <c r="F10" s="30">
        <v>558969.25556108996</v>
      </c>
      <c r="G10" s="30">
        <v>616504.64462569996</v>
      </c>
      <c r="H10" s="30">
        <v>652831.62997101003</v>
      </c>
      <c r="I10" s="30">
        <v>677159.59223919897</v>
      </c>
      <c r="J10" s="30">
        <v>708941.914939265</v>
      </c>
      <c r="K10" s="30">
        <v>755651.11203520501</v>
      </c>
      <c r="L10" s="30">
        <v>801067.94237037702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7.25" customHeight="1">
      <c r="A11" s="26" t="s">
        <v>32</v>
      </c>
      <c r="B11" s="27">
        <v>1420289.1486432734</v>
      </c>
      <c r="C11" s="27">
        <v>1518754.7071264384</v>
      </c>
      <c r="D11" s="27">
        <v>1597642.7736008754</v>
      </c>
      <c r="E11" s="27">
        <v>1748905.2352753435</v>
      </c>
      <c r="F11" s="27">
        <v>1894012.5818704001</v>
      </c>
      <c r="G11" s="27">
        <v>2042268.4980102</v>
      </c>
      <c r="H11" s="27">
        <v>1796642.8466248</v>
      </c>
      <c r="I11" s="27">
        <v>1861337.4092202149</v>
      </c>
      <c r="J11" s="27">
        <v>2165432.49512809</v>
      </c>
      <c r="K11" s="27">
        <v>2469012.383375078</v>
      </c>
      <c r="L11" s="27">
        <v>2673352.9987014756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7.25" customHeight="1">
      <c r="A12" s="29" t="s">
        <v>36</v>
      </c>
      <c r="B12" s="30">
        <v>570464.73094210005</v>
      </c>
      <c r="C12" s="30">
        <v>636959.26381010213</v>
      </c>
      <c r="D12" s="30">
        <v>695938.80128372193</v>
      </c>
      <c r="E12" s="30">
        <v>755577.02985606808</v>
      </c>
      <c r="F12" s="30">
        <v>826225.84622472001</v>
      </c>
      <c r="G12" s="30">
        <v>903979.62897773995</v>
      </c>
      <c r="H12" s="30">
        <v>853216.32317756</v>
      </c>
      <c r="I12" s="30">
        <v>909182.31446568994</v>
      </c>
      <c r="J12" s="30">
        <v>1006405.7814574901</v>
      </c>
      <c r="K12" s="30">
        <v>1104034.3687911199</v>
      </c>
      <c r="L12" s="30">
        <v>1201577.6316109099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7.25" customHeight="1">
      <c r="A13" s="38" t="s">
        <v>37</v>
      </c>
      <c r="B13" s="39">
        <v>286221.70288576896</v>
      </c>
      <c r="C13" s="39">
        <v>317754.49817900627</v>
      </c>
      <c r="D13" s="39">
        <v>341340.32368821063</v>
      </c>
      <c r="E13" s="39">
        <v>362548.56741893879</v>
      </c>
      <c r="F13" s="39">
        <v>382451.64419899997</v>
      </c>
      <c r="G13" s="39">
        <v>406711.02273680997</v>
      </c>
      <c r="H13" s="39">
        <v>423886.74729914003</v>
      </c>
      <c r="I13" s="39">
        <v>441500.39194627001</v>
      </c>
      <c r="J13" s="39">
        <v>471372.49458180001</v>
      </c>
      <c r="K13" s="39">
        <v>504451.18262357003</v>
      </c>
      <c r="L13" s="39">
        <v>547621.00897461991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7.25" customHeight="1">
      <c r="A14" s="45" t="s">
        <v>41</v>
      </c>
      <c r="B14" s="47">
        <v>124242</v>
      </c>
      <c r="C14" s="47">
        <v>130950.57175268543</v>
      </c>
      <c r="D14" s="47">
        <v>144499.3802726634</v>
      </c>
      <c r="E14" s="47">
        <v>160594.43019561388</v>
      </c>
      <c r="F14" s="47">
        <v>180893.25324697999</v>
      </c>
      <c r="G14" s="47">
        <v>206094.48510671</v>
      </c>
      <c r="H14" s="47">
        <v>201451.55992115999</v>
      </c>
      <c r="I14" s="47">
        <v>207916.213044398</v>
      </c>
      <c r="J14" s="47">
        <v>228999.00771434102</v>
      </c>
      <c r="K14" s="47">
        <v>261210.190882928</v>
      </c>
      <c r="L14" s="47">
        <v>300080.39892606298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" customHeight="1">
      <c r="A15" s="52" t="s">
        <v>42</v>
      </c>
      <c r="B15" s="53">
        <v>996197.44290382101</v>
      </c>
      <c r="C15" s="53">
        <v>1123749.8771406845</v>
      </c>
      <c r="D15" s="53">
        <v>1181613.1393923368</v>
      </c>
      <c r="E15" s="53">
        <v>1239469.722411853</v>
      </c>
      <c r="F15" s="53">
        <v>1338638.5756208</v>
      </c>
      <c r="G15" s="53">
        <v>1394615.0640123</v>
      </c>
      <c r="H15" s="53">
        <v>1491171.6586541999</v>
      </c>
      <c r="I15" s="53">
        <v>1569830.2900882401</v>
      </c>
      <c r="J15" s="53">
        <v>1506284.7806126599</v>
      </c>
      <c r="K15" s="53">
        <v>1557495.57533839</v>
      </c>
      <c r="L15" s="53">
        <v>1711550.8480219399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7.25" customHeight="1">
      <c r="A16" s="29" t="s">
        <v>46</v>
      </c>
      <c r="B16" s="30">
        <v>622774.28977902862</v>
      </c>
      <c r="C16" s="30">
        <v>691754.84251428815</v>
      </c>
      <c r="D16" s="30">
        <v>731393.32294285984</v>
      </c>
      <c r="E16" s="30">
        <v>761297.45788511576</v>
      </c>
      <c r="F16" s="30">
        <v>821700.17680086999</v>
      </c>
      <c r="G16" s="30">
        <v>868092.34264180996</v>
      </c>
      <c r="H16" s="30">
        <v>897223.31737148995</v>
      </c>
      <c r="I16" s="30">
        <v>902552.44232582999</v>
      </c>
      <c r="J16" s="30">
        <v>904343.87690189993</v>
      </c>
      <c r="K16" s="30">
        <v>963842.56364404992</v>
      </c>
      <c r="L16" s="30">
        <v>1076657.0984020201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7.25" customHeight="1">
      <c r="A17" s="38" t="s">
        <v>52</v>
      </c>
      <c r="B17" s="39">
        <v>373423.15312479238</v>
      </c>
      <c r="C17" s="39">
        <v>431995.03462639649</v>
      </c>
      <c r="D17" s="39">
        <v>450219.81644947699</v>
      </c>
      <c r="E17" s="39">
        <v>478172.26452673721</v>
      </c>
      <c r="F17" s="39">
        <v>516938.39881992998</v>
      </c>
      <c r="G17" s="39">
        <v>526522.72137052997</v>
      </c>
      <c r="H17" s="39">
        <v>593948.34128268005</v>
      </c>
      <c r="I17" s="39">
        <v>667277.84776241006</v>
      </c>
      <c r="J17" s="39">
        <v>601940.90371075692</v>
      </c>
      <c r="K17" s="39">
        <v>593653.01169432001</v>
      </c>
      <c r="L17" s="39">
        <v>634893.74961993005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" customHeight="1">
      <c r="A18" s="64" t="s">
        <v>53</v>
      </c>
      <c r="B18" s="53">
        <v>3436923.7434248612</v>
      </c>
      <c r="C18" s="53">
        <v>3782011.8559781793</v>
      </c>
      <c r="D18" s="53">
        <v>4040201.8116676989</v>
      </c>
      <c r="E18" s="53">
        <v>4370574.7656599935</v>
      </c>
      <c r="F18" s="53">
        <v>4791211.2991883</v>
      </c>
      <c r="G18" s="53">
        <v>5121371.3459748998</v>
      </c>
      <c r="H18" s="53">
        <v>4897049.6877114996</v>
      </c>
      <c r="I18" s="53">
        <v>5227853.9407155998</v>
      </c>
      <c r="J18" s="53">
        <v>5697279.1753036994</v>
      </c>
      <c r="K18" s="53">
        <v>6090676.7323374003</v>
      </c>
      <c r="L18" s="53">
        <v>6452530.7254392998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7.25" customHeight="1">
      <c r="A19" s="26" t="s">
        <v>55</v>
      </c>
      <c r="B19" s="27">
        <v>2569122.3814331777</v>
      </c>
      <c r="C19" s="27">
        <v>2844114.5995615977</v>
      </c>
      <c r="D19" s="27">
        <v>3037239.8537183278</v>
      </c>
      <c r="E19" s="27">
        <v>3283435.9011577424</v>
      </c>
      <c r="F19" s="27">
        <v>3566926.7315365998</v>
      </c>
      <c r="G19" s="27">
        <v>3841446.5745321</v>
      </c>
      <c r="H19" s="27">
        <v>3719738.7941355002</v>
      </c>
      <c r="I19" s="27">
        <v>3933012.0772926402</v>
      </c>
      <c r="J19" s="27">
        <v>4209054.5282731</v>
      </c>
      <c r="K19" s="27">
        <v>4522516.9979403</v>
      </c>
      <c r="L19" s="27">
        <v>4805679.1952331997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7.25" customHeight="1">
      <c r="A20" s="29" t="s">
        <v>58</v>
      </c>
      <c r="B20" s="30">
        <v>357548.27116885257</v>
      </c>
      <c r="C20" s="30">
        <v>377471.63304258516</v>
      </c>
      <c r="D20" s="30">
        <v>364798.08386350865</v>
      </c>
      <c r="E20" s="30">
        <v>405943.78818047279</v>
      </c>
      <c r="F20" s="30">
        <v>499902.51555523998</v>
      </c>
      <c r="G20" s="30">
        <v>543300.58653149998</v>
      </c>
      <c r="H20" s="30">
        <v>477468.13562164002</v>
      </c>
      <c r="I20" s="30">
        <v>535062.47608205001</v>
      </c>
      <c r="J20" s="30">
        <v>660827.07056999998</v>
      </c>
      <c r="K20" s="30">
        <v>692426.98799937998</v>
      </c>
      <c r="L20" s="30">
        <v>771628.53547652997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7.25" customHeight="1">
      <c r="A21" s="26" t="s">
        <v>59</v>
      </c>
      <c r="B21" s="27">
        <v>163609.25578068904</v>
      </c>
      <c r="C21" s="27">
        <v>173850.613305512</v>
      </c>
      <c r="D21" s="27">
        <v>208133.13437366951</v>
      </c>
      <c r="E21" s="27">
        <v>233934.30348155196</v>
      </c>
      <c r="F21" s="27">
        <v>256440.48882567999</v>
      </c>
      <c r="G21" s="27">
        <v>253821.42845812</v>
      </c>
      <c r="H21" s="27">
        <v>223484.71598914001</v>
      </c>
      <c r="I21" s="27">
        <v>258006.91839144798</v>
      </c>
      <c r="J21" s="27">
        <v>297345.01869566203</v>
      </c>
      <c r="K21" s="27">
        <v>352847.12045176799</v>
      </c>
      <c r="L21" s="27">
        <v>323699.57013655698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7.25" customHeight="1">
      <c r="A22" s="29" t="s">
        <v>60</v>
      </c>
      <c r="B22" s="30">
        <v>49215.11327842941</v>
      </c>
      <c r="C22" s="30">
        <v>59036.087325482687</v>
      </c>
      <c r="D22" s="30">
        <v>68916.163029124553</v>
      </c>
      <c r="E22" s="30">
        <v>77498.945419922587</v>
      </c>
      <c r="F22" s="30">
        <v>86978.220997173994</v>
      </c>
      <c r="G22" s="30">
        <v>84941.320303842003</v>
      </c>
      <c r="H22" s="30">
        <v>75728.970966481007</v>
      </c>
      <c r="I22" s="30">
        <v>84536.955396278994</v>
      </c>
      <c r="J22" s="30">
        <v>85676.409462228999</v>
      </c>
      <c r="K22" s="30">
        <v>85001.867493095007</v>
      </c>
      <c r="L22" s="30">
        <v>96791.973396123998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7.25" customHeight="1">
      <c r="A23" s="26" t="s">
        <v>62</v>
      </c>
      <c r="B23" s="27">
        <v>201675.93629267759</v>
      </c>
      <c r="C23" s="27">
        <v>225515.52318455477</v>
      </c>
      <c r="D23" s="27">
        <v>246681.31586203369</v>
      </c>
      <c r="E23" s="27">
        <v>254661.98789659899</v>
      </c>
      <c r="F23" s="27">
        <v>264525.33111582999</v>
      </c>
      <c r="G23" s="27">
        <v>278745.21967404999</v>
      </c>
      <c r="H23" s="27">
        <v>282565.06010978</v>
      </c>
      <c r="I23" s="27">
        <v>292469.92653186299</v>
      </c>
      <c r="J23" s="27">
        <v>307720.40910267096</v>
      </c>
      <c r="K23" s="27">
        <v>287075.95380266599</v>
      </c>
      <c r="L23" s="27">
        <v>296847.62067546399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7.25" customHeight="1">
      <c r="A24" s="84" t="s">
        <v>65</v>
      </c>
      <c r="B24" s="85">
        <v>95752.785471034702</v>
      </c>
      <c r="C24" s="85">
        <v>102023.39955844746</v>
      </c>
      <c r="D24" s="85">
        <v>114433.26082103512</v>
      </c>
      <c r="E24" s="85">
        <v>115099.83952370466</v>
      </c>
      <c r="F24" s="85">
        <v>116438.01115768</v>
      </c>
      <c r="G24" s="85">
        <v>119116.21647533</v>
      </c>
      <c r="H24" s="85">
        <v>118064.01088904</v>
      </c>
      <c r="I24" s="85">
        <v>124765.58702126201</v>
      </c>
      <c r="J24" s="85">
        <v>136655.73920002801</v>
      </c>
      <c r="K24" s="85">
        <v>150807.80465014602</v>
      </c>
      <c r="L24" s="85">
        <v>157883.83052139601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7.25" customHeight="1">
      <c r="A25" s="45" t="s">
        <v>67</v>
      </c>
      <c r="B25" s="47">
        <v>220230.64117500003</v>
      </c>
      <c r="C25" s="47">
        <v>144178.93169999999</v>
      </c>
      <c r="D25" s="47">
        <v>158867.11033058492</v>
      </c>
      <c r="E25" s="47">
        <v>210636.30951911124</v>
      </c>
      <c r="F25" s="47">
        <v>338633.58018842002</v>
      </c>
      <c r="G25" s="47">
        <v>226922.79831064999</v>
      </c>
      <c r="H25" s="47">
        <v>97857.672680229996</v>
      </c>
      <c r="I25" s="47">
        <v>111142.95930987</v>
      </c>
      <c r="J25" s="47">
        <v>129369.68997822299</v>
      </c>
      <c r="K25" s="47">
        <v>248602.18075585595</v>
      </c>
      <c r="L25" s="47">
        <v>498296.82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7.25" customHeight="1">
      <c r="A26" s="52" t="s">
        <v>68</v>
      </c>
      <c r="B26" s="53">
        <v>2501424.8282395774</v>
      </c>
      <c r="C26" s="53">
        <v>2438992.6825618404</v>
      </c>
      <c r="D26" s="53">
        <v>2367365.1911133844</v>
      </c>
      <c r="E26" s="53">
        <v>2742060.5036899005</v>
      </c>
      <c r="F26" s="53">
        <v>3116546.3060248001</v>
      </c>
      <c r="G26" s="53">
        <v>2943532.8643557001</v>
      </c>
      <c r="H26" s="53">
        <v>2676513.5319222999</v>
      </c>
      <c r="I26" s="53">
        <v>3635835.4092867798</v>
      </c>
      <c r="J26" s="53">
        <v>4799743.0300858002</v>
      </c>
      <c r="K26" s="53">
        <v>4544889.5676264996</v>
      </c>
      <c r="L26" s="53">
        <v>4911155.6545205005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7.25" customHeight="1">
      <c r="A27" s="26" t="s">
        <v>71</v>
      </c>
      <c r="B27" s="27">
        <v>2223341.9642051109</v>
      </c>
      <c r="C27" s="27">
        <v>2131563.3526789243</v>
      </c>
      <c r="D27" s="27">
        <v>2039591.363424656</v>
      </c>
      <c r="E27" s="27">
        <v>2386700.4865923277</v>
      </c>
      <c r="F27" s="27">
        <v>2708682.4568643002</v>
      </c>
      <c r="G27" s="27">
        <v>2525395.9796855999</v>
      </c>
      <c r="H27" s="27">
        <v>2464004.4418120999</v>
      </c>
      <c r="I27" s="27">
        <v>3440204.33428944</v>
      </c>
      <c r="J27" s="27">
        <v>4458782.8333804505</v>
      </c>
      <c r="K27" s="27">
        <v>4039344.7567319497</v>
      </c>
      <c r="L27" s="27">
        <v>4297886.4882286005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7.25" customHeight="1">
      <c r="A28" s="29" t="s">
        <v>73</v>
      </c>
      <c r="B28" s="30">
        <v>1869262.1494051097</v>
      </c>
      <c r="C28" s="30">
        <v>1884921.1873465739</v>
      </c>
      <c r="D28" s="30">
        <v>1865994.3850816761</v>
      </c>
      <c r="E28" s="30">
        <v>2177008.695919361</v>
      </c>
      <c r="F28" s="30">
        <v>2465166.5020798999</v>
      </c>
      <c r="G28" s="30">
        <v>2344034.7893543001</v>
      </c>
      <c r="H28" s="30">
        <v>2335820.7695363001</v>
      </c>
      <c r="I28" s="30">
        <v>3249263.0181275401</v>
      </c>
      <c r="J28" s="30">
        <v>4196760.2177517302</v>
      </c>
      <c r="K28" s="30">
        <v>3775709.9869465102</v>
      </c>
      <c r="L28" s="30">
        <v>4025298.7014580499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7.25" customHeight="1">
      <c r="A29" s="26" t="s">
        <v>74</v>
      </c>
      <c r="B29" s="27">
        <v>354079.81480000133</v>
      </c>
      <c r="C29" s="27">
        <v>246642.16533235027</v>
      </c>
      <c r="D29" s="27">
        <v>173596.97834297997</v>
      </c>
      <c r="E29" s="27">
        <v>209691.79067296645</v>
      </c>
      <c r="F29" s="27">
        <v>243515.95478442</v>
      </c>
      <c r="G29" s="27">
        <v>181361.19033129999</v>
      </c>
      <c r="H29" s="27">
        <v>128183.67227584</v>
      </c>
      <c r="I29" s="27">
        <v>190941.31616190498</v>
      </c>
      <c r="J29" s="27">
        <v>262022.61562888199</v>
      </c>
      <c r="K29" s="27">
        <v>263634.769785401</v>
      </c>
      <c r="L29" s="27">
        <v>272587.78677046602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7.25" customHeight="1">
      <c r="A30" s="84" t="s">
        <v>77</v>
      </c>
      <c r="B30" s="85">
        <v>278082.86403446645</v>
      </c>
      <c r="C30" s="85">
        <v>307429.329882916</v>
      </c>
      <c r="D30" s="85">
        <v>327773.8276887284</v>
      </c>
      <c r="E30" s="85">
        <v>355360.01709757268</v>
      </c>
      <c r="F30" s="85">
        <v>407863.84916051</v>
      </c>
      <c r="G30" s="85">
        <v>418136.88467018999</v>
      </c>
      <c r="H30" s="85">
        <v>212509.09011016</v>
      </c>
      <c r="I30" s="85">
        <v>195631.07499734301</v>
      </c>
      <c r="J30" s="85">
        <v>340960.19670514797</v>
      </c>
      <c r="K30" s="85">
        <v>505544.81089457998</v>
      </c>
      <c r="L30" s="85">
        <v>613269.16629188997</v>
      </c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7.25" customHeight="1">
      <c r="A31" s="108" t="s">
        <v>78</v>
      </c>
      <c r="B31" s="53">
        <v>2580508.0388726876</v>
      </c>
      <c r="C31" s="53">
        <v>2394879.300143606</v>
      </c>
      <c r="D31" s="53">
        <v>2273528.0202688258</v>
      </c>
      <c r="E31" s="53">
        <v>2606282.95155431</v>
      </c>
      <c r="F31" s="53">
        <v>3275145.2985235001</v>
      </c>
      <c r="G31" s="53">
        <v>3013944.1648519998</v>
      </c>
      <c r="H31" s="53">
        <v>2415495.9728607</v>
      </c>
      <c r="I31" s="53">
        <v>3189626.4540253198</v>
      </c>
      <c r="J31" s="53">
        <v>4106085.6647048593</v>
      </c>
      <c r="K31" s="53">
        <v>4091231.5372796999</v>
      </c>
      <c r="L31" s="53">
        <v>4513987.4117319006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7.25" customHeight="1">
      <c r="A32" s="29" t="s">
        <v>71</v>
      </c>
      <c r="B32" s="30">
        <v>2177252.9848081917</v>
      </c>
      <c r="C32" s="30">
        <v>1963460.3162983423</v>
      </c>
      <c r="D32" s="30">
        <v>1851967.2284179907</v>
      </c>
      <c r="E32" s="30">
        <v>2154432.4814443337</v>
      </c>
      <c r="F32" s="30">
        <v>2753480.4992139</v>
      </c>
      <c r="G32" s="30">
        <v>2479523.5077904998</v>
      </c>
      <c r="H32" s="30">
        <v>2056090.6098529999</v>
      </c>
      <c r="I32" s="30">
        <v>2781637.4527002098</v>
      </c>
      <c r="J32" s="30">
        <v>3459520.3243934601</v>
      </c>
      <c r="K32" s="30">
        <v>3303824.10800678</v>
      </c>
      <c r="L32" s="30">
        <v>3598181.5485136001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7.25" customHeight="1">
      <c r="A33" s="26" t="s">
        <v>73</v>
      </c>
      <c r="B33" s="27">
        <v>1652229.1643487392</v>
      </c>
      <c r="C33" s="27">
        <v>1625135.5021377848</v>
      </c>
      <c r="D33" s="27">
        <v>1596401.8019858447</v>
      </c>
      <c r="E33" s="27">
        <v>1820684.0329443233</v>
      </c>
      <c r="F33" s="27">
        <v>2317267.9092895002</v>
      </c>
      <c r="G33" s="27">
        <v>2162656.2136654998</v>
      </c>
      <c r="H33" s="27">
        <v>1850263.6649791</v>
      </c>
      <c r="I33" s="27">
        <v>2419448.7049465403</v>
      </c>
      <c r="J33" s="27">
        <v>2870427.8973493297</v>
      </c>
      <c r="K33" s="27">
        <v>2768533.7420392698</v>
      </c>
      <c r="L33" s="27">
        <v>3037829.80615792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7.25" customHeight="1">
      <c r="A34" s="29" t="s">
        <v>74</v>
      </c>
      <c r="B34" s="30">
        <v>525023.82045945257</v>
      </c>
      <c r="C34" s="30">
        <v>338324.81416055764</v>
      </c>
      <c r="D34" s="30">
        <v>255565.42643214599</v>
      </c>
      <c r="E34" s="30">
        <v>333748.4485000103</v>
      </c>
      <c r="F34" s="30">
        <v>436212.58992438001</v>
      </c>
      <c r="G34" s="30">
        <v>316867.29412500001</v>
      </c>
      <c r="H34" s="30">
        <v>205826.94487385001</v>
      </c>
      <c r="I34" s="30">
        <v>362188.74775366898</v>
      </c>
      <c r="J34" s="30">
        <v>589092.42704414006</v>
      </c>
      <c r="K34" s="30">
        <v>535290.36596750002</v>
      </c>
      <c r="L34" s="30">
        <v>560351.74235567998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7.25" customHeight="1">
      <c r="A35" s="38" t="s">
        <v>77</v>
      </c>
      <c r="B35" s="39">
        <v>403255.05406449607</v>
      </c>
      <c r="C35" s="39">
        <v>431418.98384526395</v>
      </c>
      <c r="D35" s="39">
        <v>421560.79185083497</v>
      </c>
      <c r="E35" s="39">
        <v>451850.47010997625</v>
      </c>
      <c r="F35" s="39">
        <v>521664.79930958</v>
      </c>
      <c r="G35" s="39">
        <v>534420.65706159</v>
      </c>
      <c r="H35" s="39">
        <v>359405.36300775001</v>
      </c>
      <c r="I35" s="39">
        <v>407989.00132510299</v>
      </c>
      <c r="J35" s="39">
        <v>646565.34031139011</v>
      </c>
      <c r="K35" s="39">
        <v>787407.42927293014</v>
      </c>
      <c r="L35" s="39">
        <v>915805.86321821006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7.25" customHeight="1">
      <c r="A36" s="113" t="s">
        <v>81</v>
      </c>
      <c r="B36" s="53">
        <v>-43999.551035837736</v>
      </c>
      <c r="C36" s="53">
        <v>-189601.5037816246</v>
      </c>
      <c r="D36" s="53">
        <v>-244313.56941447686</v>
      </c>
      <c r="E36" s="53">
        <v>-150283.18558946252</v>
      </c>
      <c r="F36" s="53">
        <v>73763.855581394993</v>
      </c>
      <c r="G36" s="53">
        <v>-11772.578503995999</v>
      </c>
      <c r="H36" s="53">
        <v>-405112.51794570999</v>
      </c>
      <c r="I36" s="53">
        <v>177749.93339293078</v>
      </c>
      <c r="J36" s="53">
        <v>1171156.4250407368</v>
      </c>
      <c r="K36" s="53">
        <v>1171139.8190706261</v>
      </c>
      <c r="L36" s="53">
        <v>814390.34635349363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7.25" customHeight="1">
      <c r="A37" s="113" t="s">
        <v>82</v>
      </c>
      <c r="B37" s="53">
        <v>10569705.300000001</v>
      </c>
      <c r="C37" s="53">
        <v>11526332.800000001</v>
      </c>
      <c r="D37" s="53">
        <v>12401728.5</v>
      </c>
      <c r="E37" s="53">
        <v>13589825.700000001</v>
      </c>
      <c r="F37" s="53">
        <v>14838756</v>
      </c>
      <c r="G37" s="53">
        <v>15832657.199999999</v>
      </c>
      <c r="H37" s="53">
        <v>15443353.199999999</v>
      </c>
      <c r="I37" s="53">
        <v>16976751.399999999</v>
      </c>
      <c r="J37" s="53">
        <v>19588459.899999999</v>
      </c>
      <c r="K37" s="53">
        <v>20892348.5</v>
      </c>
      <c r="L37" s="53">
        <v>22138964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>
      <c r="A39" s="9"/>
      <c r="B39" s="9"/>
      <c r="C39" s="9"/>
      <c r="D39" s="9"/>
      <c r="E39" s="9"/>
      <c r="F39" s="14"/>
      <c r="G39" s="14"/>
      <c r="H39" s="14"/>
      <c r="I39" s="14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">
    <mergeCell ref="F2:F5"/>
    <mergeCell ref="G2:G5"/>
    <mergeCell ref="A2:A5"/>
    <mergeCell ref="B2:B5"/>
    <mergeCell ref="C2:C5"/>
    <mergeCell ref="D2:D5"/>
    <mergeCell ref="E2:E5"/>
    <mergeCell ref="H2:H5"/>
    <mergeCell ref="I2:I5"/>
    <mergeCell ref="J2:J5"/>
    <mergeCell ref="K2:K5"/>
    <mergeCell ref="L2:L5"/>
  </mergeCells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1:BO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9" sqref="G19"/>
    </sheetView>
  </sheetViews>
  <sheetFormatPr defaultColWidth="14.42578125" defaultRowHeight="15" customHeight="1"/>
  <cols>
    <col min="1" max="1" width="29.7109375" customWidth="1"/>
    <col min="2" max="2" width="25" customWidth="1"/>
    <col min="3" max="6" width="15.42578125" customWidth="1"/>
    <col min="7" max="7" width="16.5703125" customWidth="1"/>
    <col min="8" max="8" width="11.85546875" customWidth="1"/>
    <col min="9" max="12" width="15.42578125" customWidth="1"/>
    <col min="13" max="13" width="16.5703125" customWidth="1"/>
    <col min="14" max="14" width="8.7109375" customWidth="1"/>
    <col min="15" max="18" width="15.42578125" customWidth="1"/>
    <col min="19" max="19" width="16.5703125" customWidth="1"/>
    <col min="20" max="20" width="8.7109375" customWidth="1"/>
    <col min="21" max="24" width="11.42578125" customWidth="1"/>
    <col min="25" max="25" width="12.28515625" customWidth="1"/>
    <col min="26" max="26" width="8.7109375" customWidth="1"/>
    <col min="27" max="30" width="11.42578125" customWidth="1"/>
    <col min="31" max="31" width="12.28515625" customWidth="1"/>
    <col min="32" max="32" width="8.7109375" customWidth="1"/>
    <col min="33" max="36" width="11.42578125" customWidth="1"/>
    <col min="37" max="37" width="12.28515625" customWidth="1"/>
    <col min="38" max="38" width="6.85546875" customWidth="1"/>
    <col min="39" max="42" width="11.42578125" customWidth="1"/>
    <col min="43" max="43" width="12.28515625" customWidth="1"/>
    <col min="44" max="44" width="8.7109375" customWidth="1"/>
    <col min="45" max="48" width="11.42578125" customWidth="1"/>
    <col min="49" max="49" width="12.42578125" customWidth="1"/>
    <col min="50" max="50" width="8.7109375" customWidth="1"/>
    <col min="51" max="51" width="13.140625" customWidth="1"/>
    <col min="52" max="54" width="11.42578125" customWidth="1"/>
    <col min="55" max="55" width="12.42578125" customWidth="1"/>
    <col min="56" max="56" width="8.7109375" customWidth="1"/>
    <col min="57" max="61" width="11.42578125" customWidth="1"/>
    <col min="62" max="62" width="8.7109375" customWidth="1"/>
    <col min="63" max="67" width="11.42578125" customWidth="1"/>
  </cols>
  <sheetData>
    <row r="1" spans="1:67" ht="14.25" customHeight="1">
      <c r="A1" s="6" t="s">
        <v>3</v>
      </c>
      <c r="B1" s="7" t="s">
        <v>5</v>
      </c>
      <c r="H1" s="7"/>
    </row>
    <row r="2" spans="1:67" ht="14.25" customHeight="1">
      <c r="A2" s="6"/>
      <c r="B2" s="6"/>
      <c r="H2" s="6"/>
    </row>
    <row r="3" spans="1:67" ht="14.25" customHeight="1">
      <c r="A3" s="305" t="s">
        <v>11</v>
      </c>
      <c r="B3" s="305" t="s">
        <v>14</v>
      </c>
      <c r="C3" s="307">
        <f>'PDB ADHB'!C1-1</f>
        <v>2014</v>
      </c>
      <c r="D3" s="308"/>
      <c r="E3" s="308"/>
      <c r="F3" s="308"/>
      <c r="G3" s="309"/>
      <c r="H3" s="10"/>
      <c r="I3" s="307">
        <f>'PDB ADHB'!C1</f>
        <v>2015</v>
      </c>
      <c r="J3" s="308"/>
      <c r="K3" s="308"/>
      <c r="L3" s="308"/>
      <c r="M3" s="309"/>
      <c r="N3" s="18"/>
      <c r="O3" s="307">
        <f>'PDB ADHB'!D1</f>
        <v>2016</v>
      </c>
      <c r="P3" s="308"/>
      <c r="Q3" s="308"/>
      <c r="R3" s="308"/>
      <c r="S3" s="309"/>
      <c r="U3" s="307">
        <f>'PDB ADHB'!E1</f>
        <v>2017</v>
      </c>
      <c r="V3" s="308"/>
      <c r="W3" s="308"/>
      <c r="X3" s="308"/>
      <c r="Y3" s="309"/>
      <c r="AA3" s="302">
        <f>'PDB ADHB'!F1</f>
        <v>2018</v>
      </c>
      <c r="AB3" s="303"/>
      <c r="AC3" s="303"/>
      <c r="AD3" s="303"/>
      <c r="AE3" s="304"/>
      <c r="AG3" s="302">
        <f>'PDB ADHB'!G1</f>
        <v>2019</v>
      </c>
      <c r="AH3" s="303"/>
      <c r="AI3" s="303"/>
      <c r="AJ3" s="303"/>
      <c r="AK3" s="304"/>
      <c r="AL3" s="19"/>
      <c r="AM3" s="302">
        <f>'PDB ADHB'!H1</f>
        <v>2020</v>
      </c>
      <c r="AN3" s="303"/>
      <c r="AO3" s="303"/>
      <c r="AP3" s="303"/>
      <c r="AQ3" s="304"/>
      <c r="AS3" s="302">
        <v>2021</v>
      </c>
      <c r="AT3" s="303"/>
      <c r="AU3" s="303"/>
      <c r="AV3" s="303"/>
      <c r="AW3" s="304"/>
      <c r="AY3" s="302">
        <v>2022</v>
      </c>
      <c r="AZ3" s="303"/>
      <c r="BA3" s="303"/>
      <c r="BB3" s="303"/>
      <c r="BC3" s="304"/>
      <c r="BE3" s="302" t="s">
        <v>10</v>
      </c>
      <c r="BF3" s="303"/>
      <c r="BG3" s="303"/>
      <c r="BH3" s="303"/>
      <c r="BI3" s="304"/>
      <c r="BK3" s="302" t="s">
        <v>12</v>
      </c>
      <c r="BL3" s="303"/>
      <c r="BM3" s="303"/>
      <c r="BN3" s="303"/>
      <c r="BO3" s="304"/>
    </row>
    <row r="4" spans="1:67" ht="14.25" customHeight="1">
      <c r="A4" s="306"/>
      <c r="B4" s="306"/>
      <c r="C4" s="22" t="s">
        <v>22</v>
      </c>
      <c r="D4" s="22" t="s">
        <v>23</v>
      </c>
      <c r="E4" s="22" t="s">
        <v>24</v>
      </c>
      <c r="F4" s="22" t="s">
        <v>25</v>
      </c>
      <c r="G4" s="22" t="s">
        <v>26</v>
      </c>
      <c r="H4" s="24"/>
      <c r="I4" s="22" t="s">
        <v>22</v>
      </c>
      <c r="J4" s="22" t="s">
        <v>23</v>
      </c>
      <c r="K4" s="22" t="s">
        <v>24</v>
      </c>
      <c r="L4" s="22" t="s">
        <v>25</v>
      </c>
      <c r="M4" s="22" t="s">
        <v>26</v>
      </c>
      <c r="N4" s="25"/>
      <c r="O4" s="22" t="s">
        <v>22</v>
      </c>
      <c r="P4" s="22" t="s">
        <v>23</v>
      </c>
      <c r="Q4" s="22" t="s">
        <v>24</v>
      </c>
      <c r="R4" s="22" t="s">
        <v>25</v>
      </c>
      <c r="S4" s="22" t="s">
        <v>26</v>
      </c>
      <c r="T4" s="7"/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7"/>
      <c r="AA4" s="22" t="s">
        <v>22</v>
      </c>
      <c r="AB4" s="22" t="s">
        <v>23</v>
      </c>
      <c r="AC4" s="22" t="s">
        <v>24</v>
      </c>
      <c r="AD4" s="22" t="s">
        <v>25</v>
      </c>
      <c r="AE4" s="28" t="s">
        <v>26</v>
      </c>
      <c r="AF4" s="7"/>
      <c r="AG4" s="28" t="s">
        <v>22</v>
      </c>
      <c r="AH4" s="28" t="s">
        <v>23</v>
      </c>
      <c r="AI4" s="28" t="s">
        <v>24</v>
      </c>
      <c r="AJ4" s="28" t="s">
        <v>25</v>
      </c>
      <c r="AK4" s="28" t="s">
        <v>26</v>
      </c>
      <c r="AL4" s="19"/>
      <c r="AM4" s="28" t="s">
        <v>22</v>
      </c>
      <c r="AN4" s="28" t="s">
        <v>23</v>
      </c>
      <c r="AO4" s="28" t="s">
        <v>24</v>
      </c>
      <c r="AP4" s="28" t="s">
        <v>25</v>
      </c>
      <c r="AQ4" s="28" t="s">
        <v>26</v>
      </c>
      <c r="AS4" s="28" t="s">
        <v>22</v>
      </c>
      <c r="AT4" s="28" t="s">
        <v>23</v>
      </c>
      <c r="AU4" s="28" t="s">
        <v>24</v>
      </c>
      <c r="AV4" s="28" t="s">
        <v>25</v>
      </c>
      <c r="AW4" s="28" t="s">
        <v>26</v>
      </c>
      <c r="AY4" s="28" t="s">
        <v>22</v>
      </c>
      <c r="AZ4" s="28" t="s">
        <v>23</v>
      </c>
      <c r="BA4" s="28" t="s">
        <v>24</v>
      </c>
      <c r="BB4" s="28" t="s">
        <v>25</v>
      </c>
      <c r="BC4" s="28" t="s">
        <v>26</v>
      </c>
      <c r="BE4" s="28" t="s">
        <v>22</v>
      </c>
      <c r="BF4" s="28" t="s">
        <v>23</v>
      </c>
      <c r="BG4" s="28" t="s">
        <v>24</v>
      </c>
      <c r="BH4" s="28" t="s">
        <v>25</v>
      </c>
      <c r="BI4" s="28" t="s">
        <v>26</v>
      </c>
      <c r="BK4" s="28" t="s">
        <v>22</v>
      </c>
      <c r="BL4" s="28" t="s">
        <v>23</v>
      </c>
      <c r="BM4" s="28" t="s">
        <v>24</v>
      </c>
      <c r="BN4" s="28" t="s">
        <v>25</v>
      </c>
      <c r="BO4" s="28" t="s">
        <v>26</v>
      </c>
    </row>
    <row r="5" spans="1:67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5"/>
      <c r="U5" s="31"/>
      <c r="V5" s="31"/>
      <c r="W5" s="31"/>
      <c r="X5" s="31"/>
      <c r="Y5" s="31"/>
      <c r="Z5" s="35"/>
      <c r="AA5" s="36"/>
      <c r="AB5" s="36"/>
      <c r="AC5" s="36"/>
      <c r="AD5" s="36"/>
      <c r="AE5" s="36"/>
      <c r="AF5" s="35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7"/>
      <c r="AS5" s="36"/>
      <c r="AT5" s="36"/>
      <c r="AU5" s="36"/>
      <c r="AV5" s="36"/>
      <c r="AW5" s="36"/>
      <c r="AX5" s="37"/>
      <c r="AY5" s="36"/>
      <c r="AZ5" s="36"/>
      <c r="BA5" s="36"/>
      <c r="BB5" s="36"/>
      <c r="BC5" s="36"/>
      <c r="BD5" s="37"/>
      <c r="BE5" s="36"/>
      <c r="BF5" s="36"/>
      <c r="BG5" s="36"/>
      <c r="BH5" s="36"/>
      <c r="BI5" s="36"/>
      <c r="BJ5" s="37"/>
      <c r="BK5" s="36"/>
      <c r="BL5" s="36"/>
      <c r="BM5" s="36"/>
      <c r="BN5" s="36"/>
      <c r="BO5" s="36"/>
    </row>
    <row r="6" spans="1:67" ht="14.25" customHeight="1">
      <c r="A6" s="42" t="s">
        <v>39</v>
      </c>
      <c r="B6" s="42" t="s">
        <v>40</v>
      </c>
      <c r="C6" s="44">
        <v>2506300.2000000002</v>
      </c>
      <c r="D6" s="44">
        <v>2618947.3000000003</v>
      </c>
      <c r="E6" s="44">
        <v>2746762.3999999994</v>
      </c>
      <c r="F6" s="44">
        <v>2697695.3999999994</v>
      </c>
      <c r="G6" s="44">
        <v>10569705.299999999</v>
      </c>
      <c r="H6" s="42"/>
      <c r="I6" s="44">
        <v>2728180.6999999997</v>
      </c>
      <c r="J6" s="44">
        <v>2867948.3999999994</v>
      </c>
      <c r="K6" s="44">
        <v>2990644.9999999995</v>
      </c>
      <c r="L6" s="44">
        <v>2939558.7000000007</v>
      </c>
      <c r="M6" s="44">
        <v>11526332.800000001</v>
      </c>
      <c r="N6" s="44"/>
      <c r="O6" s="44">
        <v>2929269</v>
      </c>
      <c r="P6" s="44">
        <v>3073536.7</v>
      </c>
      <c r="Q6" s="44">
        <v>3205019</v>
      </c>
      <c r="R6" s="44">
        <v>3193903.8</v>
      </c>
      <c r="S6" s="44">
        <v>12401728.5</v>
      </c>
      <c r="T6" s="49"/>
      <c r="U6" s="44">
        <v>3228172.1999999997</v>
      </c>
      <c r="V6" s="44">
        <v>3366787.2999999993</v>
      </c>
      <c r="W6" s="44">
        <v>3504138.5000000005</v>
      </c>
      <c r="X6" s="44">
        <v>3490727.7</v>
      </c>
      <c r="Y6" s="44">
        <v>13589825.699999999</v>
      </c>
      <c r="Z6" s="49"/>
      <c r="AA6" s="51">
        <v>3510363.100000001</v>
      </c>
      <c r="AB6" s="51">
        <v>3686836.4000000004</v>
      </c>
      <c r="AC6" s="51">
        <v>3842343.0000000009</v>
      </c>
      <c r="AD6" s="51">
        <v>3799213.5</v>
      </c>
      <c r="AE6" s="44">
        <v>14838755.999999996</v>
      </c>
      <c r="AF6" s="49"/>
      <c r="AG6" s="51">
        <v>3782618.3</v>
      </c>
      <c r="AH6" s="51">
        <v>3964074.7</v>
      </c>
      <c r="AI6" s="51">
        <v>4067358</v>
      </c>
      <c r="AJ6" s="51">
        <v>4018606.2</v>
      </c>
      <c r="AK6" s="44">
        <v>15832657.199999999</v>
      </c>
      <c r="AL6" s="49"/>
      <c r="AM6" s="51">
        <v>3923347.9</v>
      </c>
      <c r="AN6" s="51">
        <v>3690742.2</v>
      </c>
      <c r="AO6" s="51">
        <v>3897851.9</v>
      </c>
      <c r="AP6" s="51">
        <v>3931411.2</v>
      </c>
      <c r="AQ6" s="44">
        <v>15443353.199999999</v>
      </c>
      <c r="AR6" s="37"/>
      <c r="AS6" s="51">
        <v>3972933</v>
      </c>
      <c r="AT6" s="51">
        <v>4178022</v>
      </c>
      <c r="AU6" s="51">
        <v>4327383.9000000004</v>
      </c>
      <c r="AV6" s="51">
        <v>4498412.5</v>
      </c>
      <c r="AW6" s="51">
        <f>SUM(AS6:AV6)</f>
        <v>16976751.399999999</v>
      </c>
      <c r="AX6" s="55"/>
      <c r="AY6" s="51">
        <v>4508662.5</v>
      </c>
      <c r="AZ6" s="51">
        <v>4898031.8</v>
      </c>
      <c r="BA6" s="51">
        <v>5066968.2</v>
      </c>
      <c r="BB6" s="51">
        <v>5114797.4000000004</v>
      </c>
      <c r="BC6" s="51">
        <v>19588459.899999999</v>
      </c>
      <c r="BD6" s="55"/>
      <c r="BE6" s="51">
        <v>5071497.2</v>
      </c>
      <c r="BF6" s="51">
        <v>5223290.3</v>
      </c>
      <c r="BG6" s="51">
        <v>5294903.3</v>
      </c>
      <c r="BH6" s="51">
        <v>5302657.7</v>
      </c>
      <c r="BI6" s="51">
        <v>20892348.5</v>
      </c>
      <c r="BJ6" s="37"/>
      <c r="BK6" s="51">
        <v>5288576.5999999996</v>
      </c>
      <c r="BL6" s="51">
        <v>5536588.5</v>
      </c>
      <c r="BM6" s="51">
        <v>5638869.0999999996</v>
      </c>
      <c r="BN6" s="51">
        <v>5674929.7999999998</v>
      </c>
      <c r="BO6" s="51">
        <v>22138964</v>
      </c>
    </row>
    <row r="7" spans="1:67" ht="14.25" customHeight="1">
      <c r="A7" s="57"/>
      <c r="B7" s="57"/>
      <c r="C7" s="59"/>
      <c r="D7" s="59"/>
      <c r="E7" s="59"/>
      <c r="F7" s="59"/>
      <c r="G7" s="59"/>
      <c r="H7" s="57"/>
      <c r="I7" s="59"/>
      <c r="J7" s="59"/>
      <c r="K7" s="59"/>
      <c r="L7" s="59"/>
      <c r="M7" s="59"/>
      <c r="N7" s="59"/>
      <c r="O7" s="59"/>
      <c r="P7" s="59"/>
      <c r="Q7" s="61"/>
      <c r="R7" s="59"/>
      <c r="S7" s="59"/>
      <c r="T7" s="63"/>
      <c r="U7" s="59"/>
      <c r="V7" s="59"/>
      <c r="W7" s="61"/>
      <c r="X7" s="59"/>
      <c r="Y7" s="59"/>
      <c r="Z7" s="63"/>
      <c r="AA7" s="65"/>
      <c r="AB7" s="65"/>
      <c r="AC7" s="66"/>
      <c r="AD7" s="66"/>
      <c r="AE7" s="59"/>
      <c r="AF7" s="63"/>
      <c r="AG7" s="65"/>
      <c r="AH7" s="65"/>
      <c r="AI7" s="66"/>
      <c r="AJ7" s="66"/>
      <c r="AK7" s="59"/>
      <c r="AL7" s="63"/>
      <c r="AM7" s="65"/>
      <c r="AN7" s="65"/>
      <c r="AO7" s="66"/>
      <c r="AP7" s="66"/>
      <c r="AQ7" s="59"/>
      <c r="AR7" s="37"/>
      <c r="AS7" s="65"/>
      <c r="AT7" s="65"/>
      <c r="AU7" s="65"/>
      <c r="AV7" s="65"/>
      <c r="AW7" s="65"/>
      <c r="AX7" s="37"/>
      <c r="AY7" s="65"/>
      <c r="AZ7" s="65"/>
      <c r="BA7" s="65"/>
      <c r="BB7" s="65"/>
      <c r="BC7" s="65"/>
      <c r="BD7" s="37"/>
      <c r="BE7" s="65"/>
      <c r="BF7" s="65"/>
      <c r="BG7" s="65"/>
      <c r="BH7" s="65"/>
      <c r="BI7" s="65"/>
      <c r="BJ7" s="37"/>
      <c r="BK7" s="65"/>
      <c r="BL7" s="65"/>
      <c r="BM7" s="65"/>
      <c r="BN7" s="65"/>
      <c r="BO7" s="65"/>
    </row>
    <row r="8" spans="1:67" ht="14.25" customHeight="1">
      <c r="A8" s="74" t="s">
        <v>56</v>
      </c>
      <c r="B8" s="74" t="s">
        <v>57</v>
      </c>
      <c r="C8" s="76"/>
      <c r="D8" s="76"/>
      <c r="E8" s="76"/>
      <c r="F8" s="76"/>
      <c r="G8" s="76"/>
      <c r="H8" s="74"/>
      <c r="I8" s="76"/>
      <c r="J8" s="76"/>
      <c r="K8" s="76"/>
      <c r="L8" s="76"/>
      <c r="M8" s="76"/>
      <c r="N8" s="76"/>
      <c r="O8" s="76"/>
      <c r="P8" s="76"/>
      <c r="Q8" s="78"/>
      <c r="R8" s="76"/>
      <c r="S8" s="76"/>
      <c r="T8" s="80"/>
      <c r="U8" s="76"/>
      <c r="V8" s="76"/>
      <c r="W8" s="78"/>
      <c r="X8" s="76"/>
      <c r="Y8" s="76"/>
      <c r="Z8" s="80"/>
      <c r="AA8" s="81"/>
      <c r="AB8" s="81"/>
      <c r="AC8" s="82"/>
      <c r="AD8" s="82"/>
      <c r="AE8" s="76"/>
      <c r="AF8" s="80"/>
      <c r="AG8" s="81"/>
      <c r="AH8" s="81"/>
      <c r="AI8" s="82"/>
      <c r="AJ8" s="82"/>
      <c r="AK8" s="76"/>
      <c r="AL8" s="80"/>
      <c r="AM8" s="81"/>
      <c r="AN8" s="81"/>
      <c r="AO8" s="82"/>
      <c r="AP8" s="82"/>
      <c r="AQ8" s="76"/>
      <c r="AR8" s="37"/>
      <c r="AS8" s="81"/>
      <c r="AT8" s="81"/>
      <c r="AU8" s="81"/>
      <c r="AV8" s="81"/>
      <c r="AW8" s="81"/>
      <c r="AX8" s="37"/>
      <c r="AY8" s="81"/>
      <c r="AZ8" s="81"/>
      <c r="BA8" s="81"/>
      <c r="BB8" s="81"/>
      <c r="BC8" s="81"/>
      <c r="BD8" s="37"/>
      <c r="BE8" s="81"/>
      <c r="BF8" s="81"/>
      <c r="BG8" s="81"/>
      <c r="BH8" s="81"/>
      <c r="BI8" s="81"/>
      <c r="BJ8" s="37"/>
      <c r="BK8" s="81"/>
      <c r="BL8" s="81"/>
      <c r="BM8" s="81"/>
      <c r="BN8" s="81"/>
      <c r="BO8" s="81"/>
    </row>
    <row r="9" spans="1:67" ht="14.25" customHeight="1">
      <c r="A9" s="83" t="s">
        <v>63</v>
      </c>
      <c r="B9" s="83" t="s">
        <v>64</v>
      </c>
      <c r="C9" s="76">
        <v>-86145.715213438627</v>
      </c>
      <c r="D9" s="76">
        <v>-92461.229959713848</v>
      </c>
      <c r="E9" s="76">
        <v>-86577.571690205834</v>
      </c>
      <c r="F9" s="76">
        <v>-89208.618402653345</v>
      </c>
      <c r="G9" s="76">
        <v>-354393.1352660117</v>
      </c>
      <c r="H9" s="83"/>
      <c r="I9" s="76">
        <v>-91603.356568880583</v>
      </c>
      <c r="J9" s="76">
        <v>-95751.318142592485</v>
      </c>
      <c r="K9" s="76">
        <v>-103974.81896162995</v>
      </c>
      <c r="L9" s="76">
        <v>-91010.272168310752</v>
      </c>
      <c r="M9" s="76">
        <v>-382339.76584141375</v>
      </c>
      <c r="N9" s="76"/>
      <c r="O9" s="76">
        <v>-99190.518905928184</v>
      </c>
      <c r="P9" s="76">
        <v>-106805.67526522605</v>
      </c>
      <c r="Q9" s="76">
        <v>-107404.24689168138</v>
      </c>
      <c r="R9" s="76">
        <v>-83612.607547813881</v>
      </c>
      <c r="S9" s="76">
        <v>-397013.04861064954</v>
      </c>
      <c r="T9" s="80"/>
      <c r="U9" s="76">
        <v>-102445.13725013108</v>
      </c>
      <c r="V9" s="76">
        <v>-109472.77291378695</v>
      </c>
      <c r="W9" s="76">
        <v>-114620.46785730634</v>
      </c>
      <c r="X9" s="76">
        <v>-104067.39980686357</v>
      </c>
      <c r="Y9" s="76">
        <v>-430605.77782808797</v>
      </c>
      <c r="Z9" s="80"/>
      <c r="AA9" s="81">
        <v>-100730.16587870001</v>
      </c>
      <c r="AB9" s="81">
        <v>-113256.13401587</v>
      </c>
      <c r="AC9" s="81">
        <v>-117186.93415193001</v>
      </c>
      <c r="AD9" s="81">
        <v>-111010.5123844</v>
      </c>
      <c r="AE9" s="76">
        <v>-442183.74643090001</v>
      </c>
      <c r="AF9" s="80"/>
      <c r="AG9" s="81">
        <v>-115717.8169871</v>
      </c>
      <c r="AH9" s="81">
        <v>-127792.4687117</v>
      </c>
      <c r="AI9" s="81">
        <v>-119846.92467988</v>
      </c>
      <c r="AJ9" s="81">
        <v>-117963.84623106</v>
      </c>
      <c r="AK9" s="76">
        <v>-481321.05660974002</v>
      </c>
      <c r="AL9" s="80"/>
      <c r="AM9" s="81">
        <v>-113407.12594043001</v>
      </c>
      <c r="AN9" s="81">
        <v>-93393.278847562004</v>
      </c>
      <c r="AO9" s="81">
        <v>-109659.95502407</v>
      </c>
      <c r="AP9" s="81">
        <v>-107586.99310652001</v>
      </c>
      <c r="AQ9" s="76">
        <v>-424047.35291858</v>
      </c>
      <c r="AR9" s="37"/>
      <c r="AS9" s="81">
        <v>-96526.973707836994</v>
      </c>
      <c r="AT9" s="81">
        <v>-116435.92314112998</v>
      </c>
      <c r="AU9" s="81">
        <v>-119892.37614802101</v>
      </c>
      <c r="AV9" s="81">
        <v>-128041.58042285401</v>
      </c>
      <c r="AW9" s="81">
        <f t="shared" ref="AW9:AW11" si="0">SUM(AS9:AV9)</f>
        <v>-460896.85341984197</v>
      </c>
      <c r="AX9" s="55"/>
      <c r="AY9" s="81">
        <v>-111721.78835931999</v>
      </c>
      <c r="AZ9" s="81">
        <v>-132028.68986782001</v>
      </c>
      <c r="BA9" s="81">
        <v>-134333.93876285001</v>
      </c>
      <c r="BB9" s="81">
        <v>-151014.21696968001</v>
      </c>
      <c r="BC9" s="81">
        <v>-529098.63395967009</v>
      </c>
      <c r="BD9" s="37"/>
      <c r="BE9" s="81">
        <v>-136751.87634670999</v>
      </c>
      <c r="BF9" s="81">
        <v>-139543.11264090001</v>
      </c>
      <c r="BG9" s="81">
        <v>-132769.20177101</v>
      </c>
      <c r="BH9" s="81">
        <v>-143253.47571555001</v>
      </c>
      <c r="BI9" s="81">
        <v>-552317.66647417005</v>
      </c>
      <c r="BJ9" s="37"/>
      <c r="BK9" s="81">
        <v>-141117.01616661</v>
      </c>
      <c r="BL9" s="81">
        <v>-156980.76659067001</v>
      </c>
      <c r="BM9" s="81">
        <v>-141388.24971959001</v>
      </c>
      <c r="BN9" s="81">
        <v>-144953.22539457999</v>
      </c>
      <c r="BO9" s="81">
        <v>-584439.25787145004</v>
      </c>
    </row>
    <row r="10" spans="1:67" ht="14.25" customHeight="1">
      <c r="A10" s="95" t="s">
        <v>69</v>
      </c>
      <c r="B10" s="95" t="s">
        <v>70</v>
      </c>
      <c r="C10" s="98">
        <v>4604.8268341392532</v>
      </c>
      <c r="D10" s="98">
        <v>7875.6713107524802</v>
      </c>
      <c r="E10" s="98">
        <v>7424.1908860334361</v>
      </c>
      <c r="F10" s="98">
        <v>5161.855858713976</v>
      </c>
      <c r="G10" s="98">
        <v>25066.544889639146</v>
      </c>
      <c r="H10" s="95"/>
      <c r="I10" s="98">
        <v>5958.7540721496471</v>
      </c>
      <c r="J10" s="98">
        <v>9442.5882399236252</v>
      </c>
      <c r="K10" s="98">
        <v>9730.7274025209936</v>
      </c>
      <c r="L10" s="98">
        <v>12695.066565947613</v>
      </c>
      <c r="M10" s="98">
        <v>37827.136280541883</v>
      </c>
      <c r="N10" s="98"/>
      <c r="O10" s="98">
        <v>9587.2087782025774</v>
      </c>
      <c r="P10" s="98">
        <v>11408.314335629817</v>
      </c>
      <c r="Q10" s="100">
        <v>15377.927176309389</v>
      </c>
      <c r="R10" s="98">
        <v>17122.501694876206</v>
      </c>
      <c r="S10" s="98">
        <v>53495.951985017993</v>
      </c>
      <c r="T10" s="101"/>
      <c r="U10" s="98">
        <v>15681.845098646962</v>
      </c>
      <c r="V10" s="98">
        <v>18258.631367702012</v>
      </c>
      <c r="W10" s="98">
        <v>18585.816422270156</v>
      </c>
      <c r="X10" s="98">
        <v>21321.600911128407</v>
      </c>
      <c r="Y10" s="98">
        <v>73847.893799747544</v>
      </c>
      <c r="Z10" s="101"/>
      <c r="AA10" s="102">
        <v>27586.276512320001</v>
      </c>
      <c r="AB10" s="102">
        <v>35214.296886007003</v>
      </c>
      <c r="AC10" s="102">
        <v>25664.594867137999</v>
      </c>
      <c r="AD10" s="102">
        <v>43608.677900674003</v>
      </c>
      <c r="AE10" s="98">
        <v>132073.84616613999</v>
      </c>
      <c r="AF10" s="101"/>
      <c r="AG10" s="102">
        <v>20187.836705494999</v>
      </c>
      <c r="AH10" s="102">
        <v>32791.125206069999</v>
      </c>
      <c r="AI10" s="102">
        <v>23347.515160444</v>
      </c>
      <c r="AJ10" s="102">
        <v>27521.726116618</v>
      </c>
      <c r="AK10" s="98">
        <v>103848.20318863</v>
      </c>
      <c r="AL10" s="101"/>
      <c r="AM10" s="102">
        <v>14664.763369155</v>
      </c>
      <c r="AN10" s="102">
        <v>20952.244015585999</v>
      </c>
      <c r="AO10" s="102">
        <v>18316.766791885999</v>
      </c>
      <c r="AP10" s="102">
        <v>21911.369218717999</v>
      </c>
      <c r="AQ10" s="98">
        <v>75845.143395345003</v>
      </c>
      <c r="AR10" s="37"/>
      <c r="AS10" s="102">
        <v>19071.262491822999</v>
      </c>
      <c r="AT10" s="102">
        <v>25445.701266830001</v>
      </c>
      <c r="AU10" s="102">
        <v>25820.734377239001</v>
      </c>
      <c r="AV10" s="102">
        <v>25677.041084476001</v>
      </c>
      <c r="AW10" s="102">
        <f t="shared" si="0"/>
        <v>96014.739220368006</v>
      </c>
      <c r="AX10" s="55"/>
      <c r="AY10" s="102">
        <v>22030.733194470002</v>
      </c>
      <c r="AZ10" s="102">
        <v>29125.885284682001</v>
      </c>
      <c r="BA10" s="102">
        <v>29614.394904197001</v>
      </c>
      <c r="BB10" s="102">
        <v>30686.796995516001</v>
      </c>
      <c r="BC10" s="102">
        <v>111457.81037886502</v>
      </c>
      <c r="BD10" s="37"/>
      <c r="BE10" s="102">
        <v>27174.937839368999</v>
      </c>
      <c r="BF10" s="102">
        <v>29515.953879945999</v>
      </c>
      <c r="BG10" s="102">
        <v>29528.135388423001</v>
      </c>
      <c r="BH10" s="102">
        <v>33067.894638193</v>
      </c>
      <c r="BI10" s="102">
        <v>119286.921745931</v>
      </c>
      <c r="BJ10" s="37"/>
      <c r="BK10" s="102">
        <v>35849.135874163003</v>
      </c>
      <c r="BL10" s="102">
        <v>36286.223612198999</v>
      </c>
      <c r="BM10" s="102">
        <v>39933.412296050003</v>
      </c>
      <c r="BN10" s="102">
        <v>35817.652689096001</v>
      </c>
      <c r="BO10" s="102">
        <v>147886.42447150798</v>
      </c>
    </row>
    <row r="11" spans="1:67" ht="14.25" customHeight="1">
      <c r="A11" s="106" t="s">
        <v>75</v>
      </c>
      <c r="B11" s="106" t="s">
        <v>76</v>
      </c>
      <c r="C11" s="98">
        <v>90750.542047577881</v>
      </c>
      <c r="D11" s="98">
        <v>100336.90127046633</v>
      </c>
      <c r="E11" s="98">
        <v>94001.762576239271</v>
      </c>
      <c r="F11" s="98">
        <v>94370.474261367315</v>
      </c>
      <c r="G11" s="98">
        <v>379459.68015565083</v>
      </c>
      <c r="H11" s="106"/>
      <c r="I11" s="98">
        <v>97562.110641030231</v>
      </c>
      <c r="J11" s="98">
        <v>105193.90638251611</v>
      </c>
      <c r="K11" s="98">
        <v>113705.54636415094</v>
      </c>
      <c r="L11" s="98">
        <v>103705.33873425836</v>
      </c>
      <c r="M11" s="98">
        <v>420166.90212195565</v>
      </c>
      <c r="N11" s="98"/>
      <c r="O11" s="98">
        <v>108777.72768413076</v>
      </c>
      <c r="P11" s="98">
        <v>118213.98960085586</v>
      </c>
      <c r="Q11" s="100">
        <v>122782.17406799077</v>
      </c>
      <c r="R11" s="98">
        <v>100735.10924269009</v>
      </c>
      <c r="S11" s="98">
        <v>450509.00059566746</v>
      </c>
      <c r="T11" s="101"/>
      <c r="U11" s="98">
        <v>118126.98234877805</v>
      </c>
      <c r="V11" s="98">
        <v>127731.40428148895</v>
      </c>
      <c r="W11" s="98">
        <v>133206.2842795765</v>
      </c>
      <c r="X11" s="98">
        <v>125389.00071799198</v>
      </c>
      <c r="Y11" s="98">
        <v>504453.67162783549</v>
      </c>
      <c r="Z11" s="101"/>
      <c r="AA11" s="102">
        <v>128316.44239102</v>
      </c>
      <c r="AB11" s="102">
        <v>148470.43090188</v>
      </c>
      <c r="AC11" s="102">
        <v>142851.52901907</v>
      </c>
      <c r="AD11" s="102">
        <v>154619.19028508</v>
      </c>
      <c r="AE11" s="98">
        <v>574257.59259705001</v>
      </c>
      <c r="AF11" s="101"/>
      <c r="AG11" s="102">
        <v>135905.65369259001</v>
      </c>
      <c r="AH11" s="102">
        <v>160583.59391776999</v>
      </c>
      <c r="AI11" s="102">
        <v>143194.43984032999</v>
      </c>
      <c r="AJ11" s="102">
        <v>145485.57234767999</v>
      </c>
      <c r="AK11" s="98">
        <v>585169.25979836995</v>
      </c>
      <c r="AL11" s="101"/>
      <c r="AM11" s="102">
        <v>128071.88930959</v>
      </c>
      <c r="AN11" s="102">
        <v>114345.52286315001</v>
      </c>
      <c r="AO11" s="102">
        <v>127976.72181595</v>
      </c>
      <c r="AP11" s="102">
        <v>129498.36232524</v>
      </c>
      <c r="AQ11" s="98">
        <v>499892.49631393002</v>
      </c>
      <c r="AR11" s="37"/>
      <c r="AS11" s="102">
        <v>115598.23619965999</v>
      </c>
      <c r="AT11" s="102">
        <v>141881.62440795999</v>
      </c>
      <c r="AU11" s="102">
        <v>145713.11052526001</v>
      </c>
      <c r="AV11" s="102">
        <v>153718.62150733001</v>
      </c>
      <c r="AW11" s="102">
        <f t="shared" si="0"/>
        <v>556911.59264020994</v>
      </c>
      <c r="AX11" s="55"/>
      <c r="AY11" s="102">
        <v>133752.52155378999</v>
      </c>
      <c r="AZ11" s="102">
        <v>161154.57515250001</v>
      </c>
      <c r="BA11" s="102">
        <v>163948.33366703999</v>
      </c>
      <c r="BB11" s="102">
        <v>181701.01396519999</v>
      </c>
      <c r="BC11" s="102">
        <v>640556.44433853007</v>
      </c>
      <c r="BD11" s="37"/>
      <c r="BE11" s="102">
        <v>163926.81418608001</v>
      </c>
      <c r="BF11" s="102">
        <v>169059.06652085</v>
      </c>
      <c r="BG11" s="102">
        <v>162297.33715943</v>
      </c>
      <c r="BH11" s="102">
        <v>176321.37035375001</v>
      </c>
      <c r="BI11" s="102">
        <v>671604.58822010993</v>
      </c>
      <c r="BJ11" s="37"/>
      <c r="BK11" s="102">
        <v>176966.15204078</v>
      </c>
      <c r="BL11" s="102">
        <v>193266.99020286999</v>
      </c>
      <c r="BM11" s="102">
        <v>181321.66201564</v>
      </c>
      <c r="BN11" s="102">
        <v>180770.87808368</v>
      </c>
      <c r="BO11" s="102">
        <v>732325.68234297005</v>
      </c>
    </row>
    <row r="12" spans="1:67" ht="14.25" customHeight="1">
      <c r="A12" s="57"/>
      <c r="B12" s="57"/>
      <c r="C12" s="59"/>
      <c r="D12" s="59"/>
      <c r="E12" s="59"/>
      <c r="F12" s="59"/>
      <c r="G12" s="59"/>
      <c r="H12" s="57"/>
      <c r="I12" s="59"/>
      <c r="J12" s="59"/>
      <c r="K12" s="59"/>
      <c r="L12" s="59"/>
      <c r="M12" s="59"/>
      <c r="N12" s="59"/>
      <c r="O12" s="59"/>
      <c r="P12" s="59"/>
      <c r="Q12" s="61"/>
      <c r="R12" s="59"/>
      <c r="S12" s="59"/>
      <c r="T12" s="63"/>
      <c r="U12" s="59"/>
      <c r="V12" s="59"/>
      <c r="W12" s="61"/>
      <c r="X12" s="59"/>
      <c r="Y12" s="59"/>
      <c r="Z12" s="63"/>
      <c r="AA12" s="65"/>
      <c r="AB12" s="65"/>
      <c r="AC12" s="66"/>
      <c r="AD12" s="66"/>
      <c r="AE12" s="59"/>
      <c r="AF12" s="63"/>
      <c r="AG12" s="65"/>
      <c r="AH12" s="65"/>
      <c r="AI12" s="66"/>
      <c r="AJ12" s="66"/>
      <c r="AK12" s="59"/>
      <c r="AL12" s="63"/>
      <c r="AM12" s="65"/>
      <c r="AN12" s="65"/>
      <c r="AO12" s="66"/>
      <c r="AP12" s="66"/>
      <c r="AQ12" s="59"/>
      <c r="AR12" s="37"/>
      <c r="AS12" s="65"/>
      <c r="AT12" s="65"/>
      <c r="AU12" s="65"/>
      <c r="AV12" s="65"/>
      <c r="AW12" s="65"/>
      <c r="AX12" s="37"/>
      <c r="AY12" s="65"/>
      <c r="AZ12" s="65"/>
      <c r="BA12" s="65"/>
      <c r="BB12" s="65"/>
      <c r="BC12" s="65"/>
      <c r="BD12" s="37"/>
      <c r="BE12" s="65"/>
      <c r="BF12" s="65"/>
      <c r="BG12" s="65"/>
      <c r="BH12" s="65"/>
      <c r="BI12" s="65"/>
      <c r="BJ12" s="37"/>
      <c r="BK12" s="65"/>
      <c r="BL12" s="65"/>
      <c r="BM12" s="65"/>
      <c r="BN12" s="65"/>
      <c r="BO12" s="65"/>
    </row>
    <row r="13" spans="1:67" ht="14.25" customHeight="1">
      <c r="A13" s="42" t="s">
        <v>79</v>
      </c>
      <c r="B13" s="42" t="s">
        <v>80</v>
      </c>
      <c r="C13" s="44">
        <v>2420154.4847865617</v>
      </c>
      <c r="D13" s="44">
        <v>2526486.0700402865</v>
      </c>
      <c r="E13" s="44">
        <v>2660184.8283097935</v>
      </c>
      <c r="F13" s="44">
        <v>2608486.7815973461</v>
      </c>
      <c r="G13" s="44">
        <v>10215312.164733987</v>
      </c>
      <c r="H13" s="42"/>
      <c r="I13" s="44">
        <v>2636577.3434311193</v>
      </c>
      <c r="J13" s="44">
        <v>2772197.081857407</v>
      </c>
      <c r="K13" s="44">
        <v>2886670.1810383694</v>
      </c>
      <c r="L13" s="44">
        <v>2848548.4278316898</v>
      </c>
      <c r="M13" s="44">
        <v>11143993.034158586</v>
      </c>
      <c r="N13" s="44"/>
      <c r="O13" s="44">
        <v>2830078.4810940716</v>
      </c>
      <c r="P13" s="44">
        <v>2966731.0247347741</v>
      </c>
      <c r="Q13" s="44">
        <v>3097614.7531083184</v>
      </c>
      <c r="R13" s="44">
        <v>3110291.1924521858</v>
      </c>
      <c r="S13" s="44">
        <v>12004715.45138935</v>
      </c>
      <c r="T13" s="49"/>
      <c r="U13" s="44">
        <v>3125727.0627498687</v>
      </c>
      <c r="V13" s="44">
        <v>3257314.5270862123</v>
      </c>
      <c r="W13" s="44">
        <v>3389518.0321426941</v>
      </c>
      <c r="X13" s="44">
        <v>3386660.3001931366</v>
      </c>
      <c r="Y13" s="44">
        <v>13159219.922171911</v>
      </c>
      <c r="Z13" s="49"/>
      <c r="AA13" s="51">
        <v>3409632.9341213</v>
      </c>
      <c r="AB13" s="51">
        <v>3573580.2659840998</v>
      </c>
      <c r="AC13" s="51">
        <v>3725156.0658481</v>
      </c>
      <c r="AD13" s="51">
        <v>3688202.9876156002</v>
      </c>
      <c r="AE13" s="44">
        <v>14396572.253568999</v>
      </c>
      <c r="AF13" s="49"/>
      <c r="AG13" s="51">
        <v>3666900.4830129002</v>
      </c>
      <c r="AH13" s="51">
        <v>3836282.2312882999</v>
      </c>
      <c r="AI13" s="51">
        <v>3947511.0753200999</v>
      </c>
      <c r="AJ13" s="51">
        <v>3900642.3537689</v>
      </c>
      <c r="AK13" s="44">
        <v>15351336.14339</v>
      </c>
      <c r="AL13" s="49"/>
      <c r="AM13" s="51">
        <v>3809940.7740596002</v>
      </c>
      <c r="AN13" s="51">
        <v>3597348.9211523999</v>
      </c>
      <c r="AO13" s="51">
        <v>3788191.9449759</v>
      </c>
      <c r="AP13" s="51">
        <v>3823824.2068934999</v>
      </c>
      <c r="AQ13" s="44">
        <v>15019305.847081</v>
      </c>
      <c r="AR13" s="37"/>
      <c r="AS13" s="51">
        <v>3876406.0262921662</v>
      </c>
      <c r="AT13" s="51">
        <v>4061586.0768588702</v>
      </c>
      <c r="AU13" s="51">
        <v>4207491.5238519805</v>
      </c>
      <c r="AV13" s="51">
        <v>4370370.9195771497</v>
      </c>
      <c r="AW13" s="51">
        <f>SUM(AS13:AV13)</f>
        <v>16515854.546580167</v>
      </c>
      <c r="AX13" s="55"/>
      <c r="AY13" s="51">
        <v>4396940.7116406802</v>
      </c>
      <c r="AZ13" s="51">
        <v>4766003.1101321802</v>
      </c>
      <c r="BA13" s="51">
        <v>4932634.2612371501</v>
      </c>
      <c r="BB13" s="51">
        <v>4963783.1830303203</v>
      </c>
      <c r="BC13" s="51">
        <v>19059361.266040329</v>
      </c>
      <c r="BD13" s="37"/>
      <c r="BE13" s="51">
        <v>4934745.32365329</v>
      </c>
      <c r="BF13" s="51">
        <v>5083747.1873591002</v>
      </c>
      <c r="BG13" s="51">
        <v>5162134.0982289901</v>
      </c>
      <c r="BH13" s="51">
        <v>5159404.2242844505</v>
      </c>
      <c r="BI13" s="51">
        <v>20340030.833525829</v>
      </c>
      <c r="BJ13" s="37"/>
      <c r="BK13" s="51">
        <v>5147459.5838333899</v>
      </c>
      <c r="BL13" s="51">
        <v>5379607.7334093302</v>
      </c>
      <c r="BM13" s="51">
        <v>5497480.8502804097</v>
      </c>
      <c r="BN13" s="51">
        <v>5529976.5746054202</v>
      </c>
      <c r="BO13" s="51">
        <v>21554524.742128551</v>
      </c>
    </row>
    <row r="14" spans="1:67" ht="14.25" customHeight="1">
      <c r="A14" s="57"/>
      <c r="B14" s="57"/>
      <c r="C14" s="59"/>
      <c r="D14" s="59"/>
      <c r="E14" s="59"/>
      <c r="F14" s="59"/>
      <c r="G14" s="59"/>
      <c r="H14" s="57"/>
      <c r="I14" s="59"/>
      <c r="J14" s="59"/>
      <c r="K14" s="59"/>
      <c r="L14" s="59"/>
      <c r="M14" s="59"/>
      <c r="N14" s="59"/>
      <c r="O14" s="59"/>
      <c r="P14" s="59"/>
      <c r="Q14" s="61"/>
      <c r="R14" s="59"/>
      <c r="S14" s="59"/>
      <c r="T14" s="63"/>
      <c r="U14" s="59"/>
      <c r="V14" s="59"/>
      <c r="W14" s="61"/>
      <c r="X14" s="59"/>
      <c r="Y14" s="59"/>
      <c r="Z14" s="63"/>
      <c r="AA14" s="65"/>
      <c r="AB14" s="65"/>
      <c r="AC14" s="66"/>
      <c r="AD14" s="66"/>
      <c r="AE14" s="59"/>
      <c r="AF14" s="63"/>
      <c r="AG14" s="65"/>
      <c r="AH14" s="65"/>
      <c r="AI14" s="66"/>
      <c r="AJ14" s="66"/>
      <c r="AK14" s="59"/>
      <c r="AL14" s="63"/>
      <c r="AM14" s="65"/>
      <c r="AN14" s="65"/>
      <c r="AO14" s="66"/>
      <c r="AP14" s="66"/>
      <c r="AQ14" s="59"/>
      <c r="AR14" s="37"/>
      <c r="AS14" s="65"/>
      <c r="AT14" s="65"/>
      <c r="AU14" s="65"/>
      <c r="AV14" s="65"/>
      <c r="AW14" s="65"/>
      <c r="AX14" s="37"/>
      <c r="AY14" s="65"/>
      <c r="AZ14" s="65"/>
      <c r="BA14" s="65"/>
      <c r="BB14" s="65"/>
      <c r="BC14" s="65"/>
      <c r="BD14" s="37"/>
      <c r="BE14" s="65"/>
      <c r="BF14" s="65"/>
      <c r="BG14" s="65"/>
      <c r="BH14" s="65"/>
      <c r="BI14" s="65"/>
      <c r="BJ14" s="37"/>
      <c r="BK14" s="65"/>
      <c r="BL14" s="65"/>
      <c r="BM14" s="65"/>
      <c r="BN14" s="65"/>
      <c r="BO14" s="65"/>
    </row>
    <row r="15" spans="1:67" ht="14.25" customHeight="1">
      <c r="A15" s="74" t="s">
        <v>84</v>
      </c>
      <c r="B15" s="74" t="s">
        <v>85</v>
      </c>
      <c r="C15" s="76">
        <v>102291.53724586536</v>
      </c>
      <c r="D15" s="76">
        <v>30486.584541419666</v>
      </c>
      <c r="E15" s="76">
        <v>83121.490212493678</v>
      </c>
      <c r="F15" s="76">
        <v>116960.93806783237</v>
      </c>
      <c r="G15" s="76">
        <v>332860.5500676111</v>
      </c>
      <c r="H15" s="74"/>
      <c r="I15" s="76">
        <v>87674.862469827873</v>
      </c>
      <c r="J15" s="76">
        <v>129367.3182624505</v>
      </c>
      <c r="K15" s="76">
        <v>145472.35425455883</v>
      </c>
      <c r="L15" s="76">
        <v>232456.28073152606</v>
      </c>
      <c r="M15" s="76">
        <v>594970.81571836327</v>
      </c>
      <c r="N15" s="76"/>
      <c r="O15" s="76">
        <v>88610.863610854547</v>
      </c>
      <c r="P15" s="76">
        <v>120509.6052246482</v>
      </c>
      <c r="Q15" s="76">
        <v>163777.56822092121</v>
      </c>
      <c r="R15" s="76">
        <v>167038.12631963973</v>
      </c>
      <c r="S15" s="76">
        <v>539936.16337606369</v>
      </c>
      <c r="T15" s="80"/>
      <c r="U15" s="76">
        <v>110813.0017193383</v>
      </c>
      <c r="V15" s="76">
        <v>135702.91180541489</v>
      </c>
      <c r="W15" s="76">
        <v>176178.35305789026</v>
      </c>
      <c r="X15" s="76">
        <v>263268.69240962266</v>
      </c>
      <c r="Y15" s="76">
        <v>685962.9589922661</v>
      </c>
      <c r="Z15" s="80"/>
      <c r="AA15" s="81">
        <v>121744.84163864001</v>
      </c>
      <c r="AB15" s="81">
        <v>179969.28890603999</v>
      </c>
      <c r="AC15" s="81">
        <v>191443.80950588</v>
      </c>
      <c r="AD15" s="81">
        <v>237495.08612013</v>
      </c>
      <c r="AE15" s="76">
        <v>730653.02617068996</v>
      </c>
      <c r="AF15" s="80"/>
      <c r="AG15" s="81">
        <v>134804.2975777</v>
      </c>
      <c r="AH15" s="81">
        <v>183741.31999968001</v>
      </c>
      <c r="AI15" s="81">
        <v>212345.06554426</v>
      </c>
      <c r="AJ15" s="81">
        <v>260169.67795293001</v>
      </c>
      <c r="AK15" s="76">
        <v>791060.36107456998</v>
      </c>
      <c r="AL15" s="80"/>
      <c r="AM15" s="81">
        <v>138860.54926719001</v>
      </c>
      <c r="AN15" s="81">
        <v>145731.52068769999</v>
      </c>
      <c r="AO15" s="81">
        <v>153926.77004410999</v>
      </c>
      <c r="AP15" s="81">
        <v>218501.35592984001</v>
      </c>
      <c r="AQ15" s="76">
        <v>657020.19592883997</v>
      </c>
      <c r="AR15" s="37"/>
      <c r="AS15" s="81">
        <v>162844.79201869</v>
      </c>
      <c r="AT15" s="81">
        <v>183303.46946610999</v>
      </c>
      <c r="AU15" s="81">
        <v>198876.37540873999</v>
      </c>
      <c r="AV15" s="81">
        <v>253834.98181249</v>
      </c>
      <c r="AW15" s="81">
        <f t="shared" ref="AW15:AW17" si="1">SUM(AS15:AV15)</f>
        <v>798859.61870603007</v>
      </c>
      <c r="AX15" s="55"/>
      <c r="AY15" s="81">
        <v>206463.60826087999</v>
      </c>
      <c r="AZ15" s="81">
        <v>264152.96460731002</v>
      </c>
      <c r="BA15" s="81">
        <v>265377.67526429001</v>
      </c>
      <c r="BB15" s="81">
        <v>243520.27570351999</v>
      </c>
      <c r="BC15" s="81">
        <v>979514.52383600012</v>
      </c>
      <c r="BD15" s="37"/>
      <c r="BE15" s="81">
        <v>274752.32244566001</v>
      </c>
      <c r="BF15" s="81">
        <v>237863.58796497999</v>
      </c>
      <c r="BG15" s="81">
        <v>263335.17481499998</v>
      </c>
      <c r="BH15" s="81">
        <v>275147.54709392</v>
      </c>
      <c r="BI15" s="81">
        <v>1051098.63231956</v>
      </c>
      <c r="BJ15" s="37"/>
      <c r="BK15" s="81">
        <v>242061.23382471001</v>
      </c>
      <c r="BL15" s="81">
        <v>233823.43965521999</v>
      </c>
      <c r="BM15" s="81">
        <v>289341.50234076998</v>
      </c>
      <c r="BN15" s="81">
        <v>263467.92385944998</v>
      </c>
      <c r="BO15" s="81">
        <v>1028694.0996801499</v>
      </c>
    </row>
    <row r="16" spans="1:67" ht="14.25" customHeight="1">
      <c r="A16" s="106" t="s">
        <v>86</v>
      </c>
      <c r="B16" s="106" t="s">
        <v>87</v>
      </c>
      <c r="C16" s="98">
        <v>141907.80725630897</v>
      </c>
      <c r="D16" s="98">
        <v>166338.53579432575</v>
      </c>
      <c r="E16" s="98">
        <v>177874.90095517461</v>
      </c>
      <c r="F16" s="98">
        <v>212593.63709022422</v>
      </c>
      <c r="G16" s="98">
        <v>698714.8810960335</v>
      </c>
      <c r="H16" s="106"/>
      <c r="I16" s="98">
        <v>135782.99357261983</v>
      </c>
      <c r="J16" s="98">
        <v>161525.12550378812</v>
      </c>
      <c r="K16" s="98">
        <v>194205.36369593357</v>
      </c>
      <c r="L16" s="98">
        <v>257925.69086565374</v>
      </c>
      <c r="M16" s="98">
        <v>749439.17363799526</v>
      </c>
      <c r="N16" s="98"/>
      <c r="O16" s="98">
        <v>109436.49911885451</v>
      </c>
      <c r="P16" s="98">
        <v>163089.50316808093</v>
      </c>
      <c r="Q16" s="120">
        <v>188182.116457859</v>
      </c>
      <c r="R16" s="98">
        <v>218646.85285140664</v>
      </c>
      <c r="S16" s="98">
        <v>679354.97159620107</v>
      </c>
      <c r="T16" s="101"/>
      <c r="U16" s="98">
        <v>124395.43163273629</v>
      </c>
      <c r="V16" s="98">
        <v>171580.14506819527</v>
      </c>
      <c r="W16" s="98">
        <v>205100.12651678227</v>
      </c>
      <c r="X16" s="98">
        <v>318727.77244608116</v>
      </c>
      <c r="Y16" s="98">
        <v>819803.4756637949</v>
      </c>
      <c r="Z16" s="101"/>
      <c r="AA16" s="102">
        <v>137841.53216151</v>
      </c>
      <c r="AB16" s="102">
        <v>216441.43572539001</v>
      </c>
      <c r="AC16" s="102">
        <v>232449.99870143001</v>
      </c>
      <c r="AD16" s="102">
        <v>320995.88999165001</v>
      </c>
      <c r="AE16" s="98">
        <v>907728.85657998</v>
      </c>
      <c r="AF16" s="101"/>
      <c r="AG16" s="102">
        <v>155109.49128702001</v>
      </c>
      <c r="AH16" s="102">
        <v>231657.20713209</v>
      </c>
      <c r="AI16" s="102">
        <v>256785.25283981999</v>
      </c>
      <c r="AJ16" s="102">
        <v>326196.27235212002</v>
      </c>
      <c r="AK16" s="98">
        <v>969748.22361105005</v>
      </c>
      <c r="AL16" s="101"/>
      <c r="AM16" s="102">
        <v>158451.31634173001</v>
      </c>
      <c r="AN16" s="102">
        <v>187237.86064001999</v>
      </c>
      <c r="AO16" s="102">
        <v>187918.25512861999</v>
      </c>
      <c r="AP16" s="102">
        <v>272304.61881184002</v>
      </c>
      <c r="AQ16" s="98">
        <v>805912.05092220998</v>
      </c>
      <c r="AR16" s="37"/>
      <c r="AS16" s="102">
        <v>183883.97975309999</v>
      </c>
      <c r="AT16" s="102">
        <v>223141.84284771001</v>
      </c>
      <c r="AU16" s="102">
        <v>239722.40628766999</v>
      </c>
      <c r="AV16" s="102">
        <v>321309.54364943999</v>
      </c>
      <c r="AW16" s="102">
        <f t="shared" si="1"/>
        <v>968057.77253791993</v>
      </c>
      <c r="AX16" s="55"/>
      <c r="AY16" s="102">
        <v>240691.39928536001</v>
      </c>
      <c r="AZ16" s="102">
        <v>313744.97446046001</v>
      </c>
      <c r="BA16" s="102">
        <v>323981.13816913997</v>
      </c>
      <c r="BB16" s="102">
        <v>315737.33427704999</v>
      </c>
      <c r="BC16" s="102">
        <v>1194154.84619201</v>
      </c>
      <c r="BD16" s="37"/>
      <c r="BE16" s="102">
        <v>299666.97630143998</v>
      </c>
      <c r="BF16" s="102">
        <v>290233.21475937997</v>
      </c>
      <c r="BG16" s="102">
        <v>307731.95467155002</v>
      </c>
      <c r="BH16" s="102">
        <v>370981.28284907999</v>
      </c>
      <c r="BI16" s="102">
        <v>1268613.4285814499</v>
      </c>
      <c r="BJ16" s="37"/>
      <c r="BK16" s="102">
        <v>270183.60737317998</v>
      </c>
      <c r="BL16" s="102">
        <v>286649.14494442998</v>
      </c>
      <c r="BM16" s="102">
        <v>359032.46435234998</v>
      </c>
      <c r="BN16" s="102">
        <v>347947.34262414998</v>
      </c>
      <c r="BO16" s="102">
        <v>1263812.5592941099</v>
      </c>
    </row>
    <row r="17" spans="1:67" ht="14.25" customHeight="1">
      <c r="A17" s="106" t="s">
        <v>89</v>
      </c>
      <c r="B17" s="106" t="s">
        <v>90</v>
      </c>
      <c r="C17" s="98">
        <v>39616.270010443601</v>
      </c>
      <c r="D17" s="98">
        <v>135851.95125290609</v>
      </c>
      <c r="E17" s="98">
        <v>94753.410742680935</v>
      </c>
      <c r="F17" s="98">
        <v>95632.699022391855</v>
      </c>
      <c r="G17" s="98">
        <v>365854.33102842252</v>
      </c>
      <c r="H17" s="106"/>
      <c r="I17" s="98">
        <v>48108.131102791958</v>
      </c>
      <c r="J17" s="98">
        <v>32157.807241337621</v>
      </c>
      <c r="K17" s="98">
        <v>48733.00944137475</v>
      </c>
      <c r="L17" s="98">
        <v>25469.41013412768</v>
      </c>
      <c r="M17" s="98">
        <v>154468.35791963202</v>
      </c>
      <c r="N17" s="98"/>
      <c r="O17" s="98">
        <v>20825.63550799997</v>
      </c>
      <c r="P17" s="98">
        <v>42579.897943432741</v>
      </c>
      <c r="Q17" s="120">
        <v>24404.548236937797</v>
      </c>
      <c r="R17" s="98">
        <v>51608.726531766923</v>
      </c>
      <c r="S17" s="98">
        <v>139418.80822013743</v>
      </c>
      <c r="T17" s="101"/>
      <c r="U17" s="98">
        <v>13582.429913398002</v>
      </c>
      <c r="V17" s="98">
        <v>35877.233262780392</v>
      </c>
      <c r="W17" s="98">
        <v>28921.773458891999</v>
      </c>
      <c r="X17" s="98">
        <v>55459.080036458516</v>
      </c>
      <c r="Y17" s="98">
        <v>133840.51667152892</v>
      </c>
      <c r="Z17" s="101"/>
      <c r="AA17" s="102">
        <v>16096.690522871</v>
      </c>
      <c r="AB17" s="102">
        <v>36472.146819349</v>
      </c>
      <c r="AC17" s="102">
        <v>41006.189195551</v>
      </c>
      <c r="AD17" s="102">
        <v>83500.803871522003</v>
      </c>
      <c r="AE17" s="98">
        <v>177075.83040929001</v>
      </c>
      <c r="AF17" s="101"/>
      <c r="AG17" s="102">
        <v>20305.193709317999</v>
      </c>
      <c r="AH17" s="102">
        <v>47915.887132411997</v>
      </c>
      <c r="AI17" s="102">
        <v>44440.187295557997</v>
      </c>
      <c r="AJ17" s="102">
        <v>66026.594399192007</v>
      </c>
      <c r="AK17" s="98">
        <v>178687.86253648001</v>
      </c>
      <c r="AL17" s="101"/>
      <c r="AM17" s="102">
        <v>19590.767074543</v>
      </c>
      <c r="AN17" s="102">
        <v>41506.339952319002</v>
      </c>
      <c r="AO17" s="102">
        <v>33991.485084514003</v>
      </c>
      <c r="AP17" s="102">
        <v>53803.262882000003</v>
      </c>
      <c r="AQ17" s="98">
        <v>148891.85499337999</v>
      </c>
      <c r="AR17" s="37"/>
      <c r="AS17" s="102">
        <v>21039.187734403</v>
      </c>
      <c r="AT17" s="102">
        <v>39838.373381603</v>
      </c>
      <c r="AU17" s="102">
        <v>40846.030878926002</v>
      </c>
      <c r="AV17" s="102">
        <v>67474.561836948997</v>
      </c>
      <c r="AW17" s="102">
        <f t="shared" si="1"/>
        <v>169198.15383188101</v>
      </c>
      <c r="AX17" s="55"/>
      <c r="AY17" s="102">
        <v>34227.791024473998</v>
      </c>
      <c r="AZ17" s="102">
        <v>49592.009853146003</v>
      </c>
      <c r="BA17" s="102">
        <v>58603.462904843997</v>
      </c>
      <c r="BB17" s="102">
        <v>72217.058573531001</v>
      </c>
      <c r="BC17" s="102">
        <v>214640.32235599501</v>
      </c>
      <c r="BD17" s="37"/>
      <c r="BE17" s="102">
        <v>24914.653855777</v>
      </c>
      <c r="BF17" s="102">
        <v>52369.626794395001</v>
      </c>
      <c r="BG17" s="102">
        <v>44396.779856549998</v>
      </c>
      <c r="BH17" s="102">
        <v>95833.735755155998</v>
      </c>
      <c r="BI17" s="102">
        <v>217514.79626187799</v>
      </c>
      <c r="BJ17" s="37"/>
      <c r="BK17" s="102">
        <v>28122.373548471001</v>
      </c>
      <c r="BL17" s="102">
        <v>52825.705289215002</v>
      </c>
      <c r="BM17" s="102">
        <v>69690.962011583004</v>
      </c>
      <c r="BN17" s="102">
        <v>84479.418764700007</v>
      </c>
      <c r="BO17" s="102">
        <v>235118.45961396903</v>
      </c>
    </row>
    <row r="18" spans="1:67" ht="14.25" customHeight="1">
      <c r="A18" s="83"/>
      <c r="B18" s="83"/>
      <c r="C18" s="76"/>
      <c r="D18" s="76"/>
      <c r="E18" s="76"/>
      <c r="F18" s="76"/>
      <c r="G18" s="76"/>
      <c r="H18" s="83"/>
      <c r="I18" s="76"/>
      <c r="J18" s="76"/>
      <c r="K18" s="76"/>
      <c r="L18" s="76"/>
      <c r="M18" s="76"/>
      <c r="N18" s="76"/>
      <c r="O18" s="76"/>
      <c r="P18" s="76"/>
      <c r="Q18" s="78"/>
      <c r="R18" s="76"/>
      <c r="S18" s="76"/>
      <c r="T18" s="80"/>
      <c r="U18" s="76"/>
      <c r="V18" s="76"/>
      <c r="W18" s="78"/>
      <c r="X18" s="76"/>
      <c r="Y18" s="76"/>
      <c r="Z18" s="80"/>
      <c r="AA18" s="81"/>
      <c r="AB18" s="81"/>
      <c r="AC18" s="82"/>
      <c r="AD18" s="82"/>
      <c r="AE18" s="76"/>
      <c r="AF18" s="80"/>
      <c r="AG18" s="81"/>
      <c r="AH18" s="81"/>
      <c r="AI18" s="82"/>
      <c r="AJ18" s="82"/>
      <c r="AK18" s="76"/>
      <c r="AL18" s="80"/>
      <c r="AM18" s="81"/>
      <c r="AN18" s="81"/>
      <c r="AO18" s="82"/>
      <c r="AP18" s="82"/>
      <c r="AQ18" s="76"/>
      <c r="AR18" s="37"/>
      <c r="AS18" s="81"/>
      <c r="AT18" s="81"/>
      <c r="AU18" s="81"/>
      <c r="AV18" s="81"/>
      <c r="AW18" s="81"/>
      <c r="AX18" s="37"/>
      <c r="AY18" s="81"/>
      <c r="AZ18" s="81"/>
      <c r="BA18" s="81"/>
      <c r="BB18" s="81"/>
      <c r="BC18" s="81"/>
      <c r="BD18" s="37"/>
      <c r="BE18" s="81"/>
      <c r="BF18" s="81"/>
      <c r="BG18" s="81"/>
      <c r="BH18" s="81"/>
      <c r="BI18" s="81"/>
      <c r="BJ18" s="37"/>
      <c r="BK18" s="81"/>
      <c r="BL18" s="81"/>
      <c r="BM18" s="81"/>
      <c r="BN18" s="81"/>
      <c r="BO18" s="81"/>
    </row>
    <row r="19" spans="1:67" ht="14.25" customHeight="1">
      <c r="A19" s="83" t="s">
        <v>91</v>
      </c>
      <c r="B19" s="83" t="s">
        <v>92</v>
      </c>
      <c r="C19" s="76">
        <v>492629.85473731742</v>
      </c>
      <c r="D19" s="76">
        <v>492629.85473731742</v>
      </c>
      <c r="E19" s="76">
        <v>492629.85473731742</v>
      </c>
      <c r="F19" s="76">
        <v>492629.85473731742</v>
      </c>
      <c r="G19" s="76">
        <v>1970519.4189492697</v>
      </c>
      <c r="H19" s="83"/>
      <c r="I19" s="76">
        <v>532359.55264430202</v>
      </c>
      <c r="J19" s="76">
        <v>532359.55264430202</v>
      </c>
      <c r="K19" s="76">
        <v>532359.55264430202</v>
      </c>
      <c r="L19" s="76">
        <v>532359.55264430202</v>
      </c>
      <c r="M19" s="76">
        <v>2129438.2105772081</v>
      </c>
      <c r="N19" s="76"/>
      <c r="O19" s="76">
        <v>537503.12</v>
      </c>
      <c r="P19" s="76">
        <v>493457.11</v>
      </c>
      <c r="Q19" s="76">
        <v>508494.71</v>
      </c>
      <c r="R19" s="76">
        <v>496234.45</v>
      </c>
      <c r="S19" s="76">
        <v>2035689.39</v>
      </c>
      <c r="T19" s="80"/>
      <c r="U19" s="76">
        <v>544279.01213000005</v>
      </c>
      <c r="V19" s="76">
        <v>603991.18864773237</v>
      </c>
      <c r="W19" s="76">
        <v>631021.23153999995</v>
      </c>
      <c r="X19" s="76">
        <v>651646</v>
      </c>
      <c r="Y19" s="76">
        <v>2430937.4323177324</v>
      </c>
      <c r="Z19" s="80"/>
      <c r="AA19" s="81">
        <v>632063.02080535004</v>
      </c>
      <c r="AB19" s="81">
        <v>680456.15</v>
      </c>
      <c r="AC19" s="81">
        <v>733280.71</v>
      </c>
      <c r="AD19" s="81">
        <v>754230.33</v>
      </c>
      <c r="AE19" s="76">
        <v>2800030.2108053002</v>
      </c>
      <c r="AF19" s="80"/>
      <c r="AG19" s="81">
        <v>755612.38</v>
      </c>
      <c r="AH19" s="81">
        <v>773271.26</v>
      </c>
      <c r="AI19" s="81">
        <v>820470.28024570004</v>
      </c>
      <c r="AJ19" s="81">
        <v>818747.21</v>
      </c>
      <c r="AK19" s="76">
        <v>3168101.1302457</v>
      </c>
      <c r="AL19" s="80"/>
      <c r="AM19" s="81">
        <v>847342.33</v>
      </c>
      <c r="AN19" s="81">
        <v>677857.62</v>
      </c>
      <c r="AO19" s="81">
        <v>700337.84243005002</v>
      </c>
      <c r="AP19" s="81">
        <v>718267.21423200006</v>
      </c>
      <c r="AQ19" s="76">
        <v>2943805.006662</v>
      </c>
      <c r="AR19" s="37"/>
      <c r="AS19" s="81">
        <v>766637.7782987</v>
      </c>
      <c r="AT19" s="81">
        <v>758413.02</v>
      </c>
      <c r="AU19" s="81">
        <v>785163.51874208997</v>
      </c>
      <c r="AV19" s="81">
        <v>836194.78067551996</v>
      </c>
      <c r="AW19" s="81">
        <f>SUM(AS19:AV19)</f>
        <v>3146409.0977163101</v>
      </c>
      <c r="AX19" s="55"/>
      <c r="AY19" s="81">
        <v>884430.52</v>
      </c>
      <c r="AZ19" s="81">
        <v>900088.00597622001</v>
      </c>
      <c r="BA19" s="81">
        <v>915489.23100073996</v>
      </c>
      <c r="BB19" s="81">
        <v>986036.61688023002</v>
      </c>
      <c r="BC19" s="81">
        <v>3686044.3738571904</v>
      </c>
      <c r="BD19" s="37"/>
      <c r="BE19" s="81">
        <v>1015112.2789480001</v>
      </c>
      <c r="BF19" s="81">
        <v>1029237.0539299001</v>
      </c>
      <c r="BG19" s="81">
        <v>1023909.1523987</v>
      </c>
      <c r="BH19" s="81">
        <v>1070046.0636223</v>
      </c>
      <c r="BI19" s="81">
        <v>4138304.5488988999</v>
      </c>
      <c r="BJ19" s="37"/>
      <c r="BK19" s="81">
        <v>1078127.4946355</v>
      </c>
      <c r="BL19" s="81">
        <v>1096673.1030882001</v>
      </c>
      <c r="BM19" s="81">
        <v>1103853.3708933999</v>
      </c>
      <c r="BN19" s="81">
        <v>1147605.1963738</v>
      </c>
      <c r="BO19" s="81">
        <v>4426259.1649909001</v>
      </c>
    </row>
    <row r="20" spans="1:67" ht="14.25" customHeight="1">
      <c r="A20" s="57"/>
      <c r="B20" s="57"/>
      <c r="C20" s="59"/>
      <c r="D20" s="59"/>
      <c r="E20" s="59"/>
      <c r="F20" s="59"/>
      <c r="G20" s="59"/>
      <c r="H20" s="57"/>
      <c r="I20" s="59"/>
      <c r="J20" s="59"/>
      <c r="K20" s="59"/>
      <c r="L20" s="59"/>
      <c r="M20" s="59"/>
      <c r="N20" s="59"/>
      <c r="O20" s="59"/>
      <c r="P20" s="59"/>
      <c r="Q20" s="61"/>
      <c r="R20" s="59"/>
      <c r="S20" s="59"/>
      <c r="T20" s="63"/>
      <c r="U20" s="59"/>
      <c r="V20" s="59"/>
      <c r="W20" s="61"/>
      <c r="X20" s="59"/>
      <c r="Y20" s="59"/>
      <c r="Z20" s="63"/>
      <c r="AA20" s="65"/>
      <c r="AB20" s="65"/>
      <c r="AC20" s="66"/>
      <c r="AD20" s="66"/>
      <c r="AE20" s="59"/>
      <c r="AF20" s="63"/>
      <c r="AG20" s="65"/>
      <c r="AH20" s="65"/>
      <c r="AI20" s="66"/>
      <c r="AJ20" s="66"/>
      <c r="AK20" s="59"/>
      <c r="AL20" s="63"/>
      <c r="AM20" s="65"/>
      <c r="AN20" s="65"/>
      <c r="AO20" s="66"/>
      <c r="AP20" s="66"/>
      <c r="AQ20" s="59"/>
      <c r="AR20" s="37"/>
      <c r="AS20" s="65"/>
      <c r="AT20" s="65"/>
      <c r="AU20" s="65"/>
      <c r="AV20" s="65"/>
      <c r="AW20" s="65"/>
      <c r="AX20" s="37"/>
      <c r="AY20" s="65"/>
      <c r="AZ20" s="65"/>
      <c r="BA20" s="65"/>
      <c r="BB20" s="65"/>
      <c r="BC20" s="65"/>
      <c r="BD20" s="37"/>
      <c r="BE20" s="65"/>
      <c r="BF20" s="65"/>
      <c r="BG20" s="65"/>
      <c r="BH20" s="65"/>
      <c r="BI20" s="65"/>
      <c r="BJ20" s="37"/>
      <c r="BK20" s="65"/>
      <c r="BL20" s="65"/>
      <c r="BM20" s="65"/>
      <c r="BN20" s="65"/>
      <c r="BO20" s="65"/>
    </row>
    <row r="21" spans="1:67" ht="14.25" customHeight="1">
      <c r="A21" s="124" t="s">
        <v>93</v>
      </c>
      <c r="B21" s="124" t="s">
        <v>94</v>
      </c>
      <c r="C21" s="125">
        <v>1825233.0928033788</v>
      </c>
      <c r="D21" s="125">
        <v>2003369.6307615496</v>
      </c>
      <c r="E21" s="125">
        <v>2084433.4833599825</v>
      </c>
      <c r="F21" s="125">
        <v>1998895.9887921961</v>
      </c>
      <c r="G21" s="125">
        <v>7911932.1957171066</v>
      </c>
      <c r="H21" s="124"/>
      <c r="I21" s="125">
        <v>2016542.9283169894</v>
      </c>
      <c r="J21" s="125">
        <v>2110470.2109506545</v>
      </c>
      <c r="K21" s="125">
        <v>2208838.2741395086</v>
      </c>
      <c r="L21" s="125">
        <v>2083732.5944558615</v>
      </c>
      <c r="M21" s="125">
        <v>8419584.0078630149</v>
      </c>
      <c r="N21" s="44"/>
      <c r="O21" s="125">
        <v>2203964.4974832172</v>
      </c>
      <c r="P21" s="125">
        <v>2352764.3095101262</v>
      </c>
      <c r="Q21" s="125">
        <v>2425342.4748873971</v>
      </c>
      <c r="R21" s="125">
        <v>2447018.6161325458</v>
      </c>
      <c r="S21" s="125">
        <v>9429089.8980132863</v>
      </c>
      <c r="T21" s="49"/>
      <c r="U21" s="126">
        <v>2470635.0489005302</v>
      </c>
      <c r="V21" s="126">
        <v>2517620.4266330646</v>
      </c>
      <c r="W21" s="126">
        <v>2582318.4475448038</v>
      </c>
      <c r="X21" s="126">
        <v>2471745.6077835141</v>
      </c>
      <c r="Y21" s="126">
        <v>10042319.530861914</v>
      </c>
      <c r="Z21" s="126"/>
      <c r="AA21" s="126">
        <v>2655825.0716773001</v>
      </c>
      <c r="AB21" s="126">
        <v>2713154.8270780998</v>
      </c>
      <c r="AC21" s="126">
        <v>2800431.5463422001</v>
      </c>
      <c r="AD21" s="126">
        <v>2696477.5714954999</v>
      </c>
      <c r="AE21" s="126">
        <v>10865889.016593</v>
      </c>
      <c r="AF21" s="126"/>
      <c r="AG21" s="126">
        <v>2776483.8054352002</v>
      </c>
      <c r="AH21" s="126">
        <v>2879269.6512886002</v>
      </c>
      <c r="AI21" s="126">
        <v>2914695.7295301999</v>
      </c>
      <c r="AJ21" s="126">
        <v>2821725.465816</v>
      </c>
      <c r="AK21" s="126">
        <v>11392174.652070001</v>
      </c>
      <c r="AL21" s="51"/>
      <c r="AM21" s="126">
        <v>2823737.8947923998</v>
      </c>
      <c r="AN21" s="126">
        <v>2773759.7804647</v>
      </c>
      <c r="AO21" s="126">
        <v>2933927.3325017998</v>
      </c>
      <c r="AP21" s="126">
        <v>2887055.6367315999</v>
      </c>
      <c r="AQ21" s="126">
        <v>11418480.644491</v>
      </c>
      <c r="AR21" s="37"/>
      <c r="AS21" s="126">
        <v>2946923.4559747763</v>
      </c>
      <c r="AT21" s="126">
        <v>3119869.58739276</v>
      </c>
      <c r="AU21" s="126">
        <v>3223451.6297011506</v>
      </c>
      <c r="AV21" s="126">
        <v>3280341.1570891393</v>
      </c>
      <c r="AW21" s="126">
        <f>SUM(AS21:AV21)</f>
        <v>12570585.830157828</v>
      </c>
      <c r="AX21" s="55"/>
      <c r="AY21" s="126">
        <v>3306046.5833798</v>
      </c>
      <c r="AZ21" s="126">
        <v>3601762.1395486505</v>
      </c>
      <c r="BA21" s="126">
        <v>3751767.3549721204</v>
      </c>
      <c r="BB21" s="126">
        <v>3734226.2904465706</v>
      </c>
      <c r="BC21" s="126">
        <v>14393802.368347136</v>
      </c>
      <c r="BD21" s="37"/>
      <c r="BE21" s="126">
        <v>3644880.72225963</v>
      </c>
      <c r="BF21" s="126">
        <v>3816646.5454642205</v>
      </c>
      <c r="BG21" s="126">
        <v>3874889.7710152902</v>
      </c>
      <c r="BH21" s="126">
        <v>3814210.6135682301</v>
      </c>
      <c r="BI21" s="126">
        <v>15150627.652307371</v>
      </c>
      <c r="BJ21" s="37"/>
      <c r="BK21" s="126">
        <v>3827270.8553731795</v>
      </c>
      <c r="BL21" s="126">
        <v>4049111.19066591</v>
      </c>
      <c r="BM21" s="126">
        <v>4104285.9770462392</v>
      </c>
      <c r="BN21" s="126">
        <v>4118903.4543721704</v>
      </c>
      <c r="BO21" s="126">
        <v>16099571.477457503</v>
      </c>
    </row>
    <row r="22" spans="1:67" ht="14.25" customHeight="1"/>
    <row r="23" spans="1:67" ht="14.25" customHeight="1">
      <c r="AY23" s="131"/>
    </row>
    <row r="24" spans="1:67" ht="14.25" customHeight="1"/>
    <row r="25" spans="1:67" ht="14.25" customHeight="1"/>
    <row r="26" spans="1:67" ht="14.25" customHeight="1"/>
    <row r="27" spans="1:67" ht="14.25" customHeight="1"/>
    <row r="28" spans="1:67" ht="14.25" customHeight="1"/>
    <row r="29" spans="1:67" ht="14.25" customHeight="1"/>
    <row r="30" spans="1:67" ht="14.25" customHeight="1"/>
    <row r="31" spans="1:67" ht="14.25" customHeight="1"/>
    <row r="32" spans="1:6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K3:BO3"/>
    <mergeCell ref="A3:A4"/>
    <mergeCell ref="B3:B4"/>
    <mergeCell ref="C3:G3"/>
    <mergeCell ref="I3:M3"/>
    <mergeCell ref="O3:S3"/>
    <mergeCell ref="U3:Y3"/>
    <mergeCell ref="AA3:AE3"/>
    <mergeCell ref="AG3:AK3"/>
    <mergeCell ref="AM3:AQ3"/>
    <mergeCell ref="AS3:AW3"/>
    <mergeCell ref="AY3:BC3"/>
    <mergeCell ref="BE3:BI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F1000"/>
  <sheetViews>
    <sheetView tabSelected="1" workbookViewId="0">
      <selection activeCell="D19" sqref="D19"/>
    </sheetView>
  </sheetViews>
  <sheetFormatPr defaultColWidth="14.42578125" defaultRowHeight="15" customHeight="1"/>
  <cols>
    <col min="1" max="1" width="18.85546875" customWidth="1"/>
    <col min="2" max="4" width="17.7109375" customWidth="1"/>
    <col min="5" max="5" width="20" customWidth="1"/>
    <col min="6" max="6" width="16.5703125" customWidth="1"/>
    <col min="7" max="26" width="8.7109375" customWidth="1"/>
  </cols>
  <sheetData>
    <row r="1" spans="1:6" ht="14.25" customHeight="1">
      <c r="A1" s="1" t="s">
        <v>1</v>
      </c>
      <c r="B1" s="1">
        <v>2010</v>
      </c>
      <c r="C1" s="1">
        <v>2016</v>
      </c>
      <c r="D1" s="1">
        <v>2019</v>
      </c>
      <c r="E1" s="1">
        <v>2020</v>
      </c>
      <c r="F1" s="1">
        <v>2021</v>
      </c>
    </row>
    <row r="2" spans="1:6" ht="14.25" customHeight="1">
      <c r="A2" s="3" t="s">
        <v>2</v>
      </c>
      <c r="B2" s="5">
        <v>6683679717</v>
      </c>
      <c r="C2" s="5">
        <v>12171367785.201384</v>
      </c>
      <c r="D2" s="5">
        <v>15346957444.913</v>
      </c>
      <c r="E2" s="5">
        <v>15049221956.5049</v>
      </c>
      <c r="F2" s="5">
        <v>16342833378.84445</v>
      </c>
    </row>
    <row r="3" spans="1:6" ht="14.25" customHeight="1">
      <c r="A3" s="3" t="s">
        <v>280</v>
      </c>
      <c r="B3" s="5">
        <v>180453318</v>
      </c>
      <c r="C3" s="5">
        <v>474450053.85967153</v>
      </c>
      <c r="D3" s="5">
        <v>637462087.41102195</v>
      </c>
      <c r="E3" s="5">
        <v>571294772.54668295</v>
      </c>
      <c r="F3" s="5">
        <v>719063411.9455893</v>
      </c>
    </row>
    <row r="4" spans="1:6" ht="14.25" customHeight="1">
      <c r="A4" s="3" t="s">
        <v>7</v>
      </c>
      <c r="B4" s="5">
        <v>13109120481</v>
      </c>
      <c r="C4" s="5">
        <v>23230338301.424461</v>
      </c>
      <c r="D4" s="5">
        <v>29585177999.823822</v>
      </c>
      <c r="E4" s="5">
        <v>28700250526.703255</v>
      </c>
      <c r="F4" s="5">
        <v>31335745749.769569</v>
      </c>
    </row>
    <row r="5" spans="1:6" ht="14.25" customHeight="1">
      <c r="A5" s="8" t="s">
        <v>9</v>
      </c>
      <c r="B5" s="8">
        <f t="shared" ref="B5:F5" si="0">B4/(B2+B3)</f>
        <v>1.9097998850192739</v>
      </c>
      <c r="C5" s="8">
        <f t="shared" si="0"/>
        <v>1.8369977013008518</v>
      </c>
      <c r="D5" s="8">
        <f t="shared" si="0"/>
        <v>1.8508759695649921</v>
      </c>
      <c r="E5" s="8">
        <f t="shared" si="0"/>
        <v>1.8373432213881584</v>
      </c>
      <c r="F5" s="8">
        <f t="shared" si="0"/>
        <v>1.8365921523264934</v>
      </c>
    </row>
    <row r="6" spans="1:6" ht="14.25" customHeight="1"/>
    <row r="7" spans="1:6" ht="14.25" customHeight="1"/>
    <row r="8" spans="1:6" ht="14.25" customHeight="1">
      <c r="B8" s="13"/>
    </row>
    <row r="9" spans="1:6" ht="14.25" customHeight="1">
      <c r="B9" s="13"/>
    </row>
    <row r="10" spans="1:6" ht="14.25" customHeight="1"/>
    <row r="11" spans="1:6" ht="14.25" customHeight="1">
      <c r="B11" s="14"/>
    </row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99"/>
  </sheetPr>
  <dimension ref="A1:AH1000"/>
  <sheetViews>
    <sheetView workbookViewId="0">
      <pane xSplit="1" ySplit="3" topLeftCell="O4" activePane="bottomRight" state="frozen"/>
      <selection pane="topRight" activeCell="B1" sqref="B1"/>
      <selection pane="bottomLeft" activeCell="A4" sqref="A4"/>
      <selection pane="bottomRight" activeCell="Z4" sqref="Z4"/>
    </sheetView>
  </sheetViews>
  <sheetFormatPr defaultColWidth="14.42578125" defaultRowHeight="15" customHeight="1"/>
  <cols>
    <col min="1" max="1" width="17" customWidth="1"/>
    <col min="2" max="2" width="13.140625" customWidth="1"/>
    <col min="3" max="3" width="14.7109375" customWidth="1"/>
    <col min="4" max="4" width="17.85546875" customWidth="1"/>
    <col min="5" max="5" width="13.140625" customWidth="1"/>
    <col min="6" max="6" width="14.7109375" customWidth="1"/>
    <col min="7" max="7" width="17.85546875" customWidth="1"/>
    <col min="8" max="8" width="14.5703125" customWidth="1"/>
    <col min="9" max="9" width="12.5703125" customWidth="1"/>
    <col min="10" max="10" width="16.5703125" customWidth="1"/>
    <col min="11" max="11" width="13.140625" customWidth="1"/>
    <col min="12" max="12" width="12.42578125" customWidth="1"/>
    <col min="13" max="13" width="16.5703125" customWidth="1"/>
    <col min="14" max="14" width="11.42578125" customWidth="1"/>
    <col min="15" max="15" width="13.140625" customWidth="1"/>
    <col min="16" max="16" width="16.5703125" customWidth="1"/>
    <col min="17" max="17" width="13.5703125" customWidth="1"/>
    <col min="18" max="18" width="13.140625" customWidth="1"/>
    <col min="19" max="19" width="16.5703125" customWidth="1"/>
    <col min="20" max="20" width="11.140625" customWidth="1"/>
    <col min="21" max="21" width="12.28515625" customWidth="1"/>
    <col min="22" max="22" width="18.140625" customWidth="1"/>
    <col min="23" max="23" width="12.140625" customWidth="1"/>
    <col min="24" max="25" width="12.5703125" customWidth="1"/>
    <col min="26" max="26" width="13.7109375" customWidth="1"/>
    <col min="27" max="27" width="11.85546875" customWidth="1"/>
    <col min="28" max="28" width="10.140625" customWidth="1"/>
    <col min="29" max="30" width="11.7109375" customWidth="1"/>
    <col min="31" max="31" width="10.140625" customWidth="1"/>
    <col min="32" max="33" width="11.7109375" customWidth="1"/>
    <col min="34" max="34" width="10.140625" customWidth="1"/>
  </cols>
  <sheetData>
    <row r="1" spans="1:34" ht="14.25" customHeight="1"/>
    <row r="2" spans="1:34" ht="14.25" customHeight="1">
      <c r="A2" s="314" t="s">
        <v>28</v>
      </c>
      <c r="B2" s="316">
        <f>E2-1</f>
        <v>2014</v>
      </c>
      <c r="C2" s="311"/>
      <c r="D2" s="312"/>
      <c r="E2" s="317">
        <f>'PDB ADHB'!C1</f>
        <v>2015</v>
      </c>
      <c r="F2" s="311"/>
      <c r="G2" s="312"/>
      <c r="H2" s="318">
        <f>'PDB ADHB'!D1</f>
        <v>2016</v>
      </c>
      <c r="I2" s="311"/>
      <c r="J2" s="312"/>
      <c r="K2" s="313">
        <f>'PDB ADHB'!E1</f>
        <v>2017</v>
      </c>
      <c r="L2" s="311"/>
      <c r="M2" s="312"/>
      <c r="N2" s="319">
        <f>'PDB ADHB'!F1</f>
        <v>2018</v>
      </c>
      <c r="O2" s="311"/>
      <c r="P2" s="312"/>
      <c r="Q2" s="320">
        <f>'PDB ADHB'!G1</f>
        <v>2019</v>
      </c>
      <c r="R2" s="311"/>
      <c r="S2" s="312"/>
      <c r="T2" s="310">
        <f>'PDB ADHB'!H1</f>
        <v>2020</v>
      </c>
      <c r="U2" s="311"/>
      <c r="V2" s="312"/>
      <c r="W2" s="313">
        <f>'PDB ADHB'!I1</f>
        <v>2021</v>
      </c>
      <c r="X2" s="311"/>
      <c r="Y2" s="312"/>
      <c r="Z2" s="313">
        <f>'PDB ADHB'!J1</f>
        <v>2022</v>
      </c>
      <c r="AA2" s="311"/>
      <c r="AB2" s="312"/>
      <c r="AC2" s="313" t="str">
        <f>'PDB ADHB'!K1</f>
        <v>2023*</v>
      </c>
      <c r="AD2" s="311"/>
      <c r="AE2" s="312"/>
      <c r="AF2" s="313" t="str">
        <f>'PDB ADHB'!L1</f>
        <v>2024**</v>
      </c>
      <c r="AG2" s="311"/>
      <c r="AH2" s="312"/>
    </row>
    <row r="3" spans="1:34" ht="14.25" customHeight="1">
      <c r="A3" s="315"/>
      <c r="B3" s="32" t="s">
        <v>33</v>
      </c>
      <c r="C3" s="33" t="s">
        <v>34</v>
      </c>
      <c r="D3" s="34" t="s">
        <v>35</v>
      </c>
      <c r="E3" s="32" t="s">
        <v>33</v>
      </c>
      <c r="F3" s="33" t="s">
        <v>34</v>
      </c>
      <c r="G3" s="34" t="s">
        <v>35</v>
      </c>
      <c r="H3" s="32" t="s">
        <v>33</v>
      </c>
      <c r="I3" s="33" t="s">
        <v>34</v>
      </c>
      <c r="J3" s="34" t="s">
        <v>35</v>
      </c>
      <c r="K3" s="32" t="s">
        <v>33</v>
      </c>
      <c r="L3" s="33" t="s">
        <v>34</v>
      </c>
      <c r="M3" s="34" t="s">
        <v>35</v>
      </c>
      <c r="N3" s="32" t="s">
        <v>33</v>
      </c>
      <c r="O3" s="33" t="s">
        <v>34</v>
      </c>
      <c r="P3" s="34" t="s">
        <v>35</v>
      </c>
      <c r="Q3" s="32" t="s">
        <v>33</v>
      </c>
      <c r="R3" s="33" t="s">
        <v>34</v>
      </c>
      <c r="S3" s="34" t="s">
        <v>35</v>
      </c>
      <c r="T3" s="32" t="s">
        <v>33</v>
      </c>
      <c r="U3" s="33" t="s">
        <v>34</v>
      </c>
      <c r="V3" s="34" t="s">
        <v>35</v>
      </c>
      <c r="W3" s="32" t="s">
        <v>33</v>
      </c>
      <c r="X3" s="33" t="s">
        <v>34</v>
      </c>
      <c r="Y3" s="34" t="s">
        <v>35</v>
      </c>
      <c r="Z3" s="32" t="s">
        <v>33</v>
      </c>
      <c r="AA3" s="33" t="s">
        <v>34</v>
      </c>
      <c r="AB3" s="34" t="s">
        <v>35</v>
      </c>
      <c r="AC3" s="32" t="s">
        <v>33</v>
      </c>
      <c r="AD3" s="33" t="s">
        <v>34</v>
      </c>
      <c r="AE3" s="34" t="s">
        <v>35</v>
      </c>
      <c r="AF3" s="32" t="s">
        <v>33</v>
      </c>
      <c r="AG3" s="33" t="s">
        <v>34</v>
      </c>
      <c r="AH3" s="34" t="s">
        <v>35</v>
      </c>
    </row>
    <row r="4" spans="1:34" ht="14.25" customHeight="1">
      <c r="A4" s="40" t="s">
        <v>38</v>
      </c>
      <c r="B4" s="43">
        <f>'SUT (Rasio Penyediaan)'!$B$5*D4</f>
        <v>20186021.966627613</v>
      </c>
      <c r="C4" s="46">
        <f>B4-D4</f>
        <v>9616316.666627612</v>
      </c>
      <c r="D4" s="48">
        <f>'PDB ADHB'!B37</f>
        <v>10569705.300000001</v>
      </c>
      <c r="E4" s="43">
        <f>'SUT (Rasio Penyediaan)'!$B$5*G4</f>
        <v>22012989.056133885</v>
      </c>
      <c r="F4" s="46">
        <f>E4-G4</f>
        <v>10486656.256133884</v>
      </c>
      <c r="G4" s="48">
        <f>'PDB ADHB'!C37</f>
        <v>11526332.800000001</v>
      </c>
      <c r="H4" s="43">
        <f>'SUT (Rasio Penyediaan)'!$C$5*J4</f>
        <v>22781946.74665726</v>
      </c>
      <c r="I4" s="46">
        <f>H4-J4</f>
        <v>10380218.24665726</v>
      </c>
      <c r="J4" s="48">
        <f>'PDB ADHB'!D37</f>
        <v>12401728.5</v>
      </c>
      <c r="K4" s="43">
        <f>'SUT (Rasio Penyediaan)'!$C$5*M4</f>
        <v>24964478.571979243</v>
      </c>
      <c r="L4" s="46">
        <f>K4-M4</f>
        <v>11374652.871979242</v>
      </c>
      <c r="M4" s="48">
        <f>'PDB ADHB'!E37</f>
        <v>13589825.700000001</v>
      </c>
      <c r="N4" s="43">
        <f>'SUT (Rasio Penyediaan)'!$C$5*P4</f>
        <v>27258760.662164222</v>
      </c>
      <c r="O4" s="46">
        <f>N4-P4</f>
        <v>12420004.662164222</v>
      </c>
      <c r="P4" s="48">
        <f>'PDB ADHB'!F37</f>
        <v>14838756</v>
      </c>
      <c r="Q4" s="43">
        <f>'SUT (Rasio Penyediaan)'!$D$5*S4</f>
        <v>29304284.745840151</v>
      </c>
      <c r="R4" s="46">
        <f>Q4-S4</f>
        <v>13471627.545840152</v>
      </c>
      <c r="S4" s="48">
        <f>'PDB ADHB'!G37</f>
        <v>15832657.199999999</v>
      </c>
      <c r="T4" s="43">
        <f>'SUT (Rasio Penyediaan)'!$E$5*V4</f>
        <v>28374740.317523122</v>
      </c>
      <c r="U4" s="46">
        <f>T4-V4</f>
        <v>12931387.117523123</v>
      </c>
      <c r="V4" s="48">
        <f>'PDB ADHB'!H37</f>
        <v>15443353.199999999</v>
      </c>
      <c r="W4" s="43">
        <f>'SUT (Rasio Penyediaan)'!$F$5*Y4</f>
        <v>31179368.393237807</v>
      </c>
      <c r="X4" s="46">
        <f>W4-Y4</f>
        <v>14202616.993237808</v>
      </c>
      <c r="Y4" s="48">
        <f>'PDB ADHB'!I37</f>
        <v>16976751.399999999</v>
      </c>
      <c r="Z4" s="43">
        <f>'SUT (Rasio Penyediaan)'!$F$5*AB4</f>
        <v>35976011.728502207</v>
      </c>
      <c r="AA4" s="46">
        <f>Z4-AB4</f>
        <v>16387551.828502208</v>
      </c>
      <c r="AB4" s="48">
        <f>'PDB ADHB'!J37</f>
        <v>19588459.899999999</v>
      </c>
      <c r="AC4" s="43">
        <f>'SUT (Rasio Penyediaan)'!$F$5*AE4</f>
        <v>38370723.298770189</v>
      </c>
      <c r="AD4" s="46">
        <f>AC4-AE4</f>
        <v>17478374.798770189</v>
      </c>
      <c r="AE4" s="48">
        <f>'PDB ADHB'!K37</f>
        <v>20892348.5</v>
      </c>
      <c r="AF4" s="43">
        <f>'SUT (Rasio Penyediaan)'!$F$5*AH4</f>
        <v>40660247.543038756</v>
      </c>
      <c r="AG4" s="46">
        <f>AF4-AH4</f>
        <v>18521283.543038756</v>
      </c>
      <c r="AH4" s="48">
        <f>'PDB ADHB'!L37</f>
        <v>22138964</v>
      </c>
    </row>
    <row r="5" spans="1:34" ht="14.25" customHeight="1">
      <c r="A5" s="69" t="s">
        <v>54</v>
      </c>
      <c r="B5" s="70"/>
      <c r="C5" s="46">
        <f>'PDB ADHB'!B6+'PDB ADHB'!B14+'PDB ADHB'!B15</f>
        <v>7035633.6770690875</v>
      </c>
      <c r="D5" s="71"/>
      <c r="E5" s="70"/>
      <c r="F5" s="46">
        <f>'PDB ADHB'!C6+'PDB ADHB'!C14+'PDB ADHB'!C15</f>
        <v>7745630.1336852107</v>
      </c>
      <c r="G5" s="71"/>
      <c r="H5" s="70"/>
      <c r="I5" s="46">
        <f>'PDB ADHB'!D6+'PDB ADHB'!D14+'PDB ADHB'!D15</f>
        <v>8353135.9765716353</v>
      </c>
      <c r="J5" s="71"/>
      <c r="K5" s="70"/>
      <c r="L5" s="46">
        <f>'PDB ADHB'!E6+'PDB ADHB'!E14+'PDB ADHB'!E15</f>
        <v>9023120.2582747675</v>
      </c>
      <c r="M5" s="71"/>
      <c r="N5" s="70"/>
      <c r="O5" s="46">
        <f>'PDB ADHB'!F6+'PDB ADHB'!F14+'PDB ADHB'!F15</f>
        <v>9793746.2575405799</v>
      </c>
      <c r="P5" s="71"/>
      <c r="Q5" s="70"/>
      <c r="R5" s="46">
        <f>'PDB ADHB'!G6+'PDB ADHB'!G14+'PDB ADHB'!G15</f>
        <v>10566546.93471471</v>
      </c>
      <c r="S5" s="71"/>
      <c r="T5" s="70"/>
      <c r="U5" s="46">
        <f>'PDB ADHB'!H6+'PDB ADHB'!H14+'PDB ADHB'!H15</f>
        <v>10592540.79849246</v>
      </c>
      <c r="V5" s="71"/>
      <c r="W5" s="70"/>
      <c r="X5" s="46">
        <f>'PDB ADHB'!I6+'PDB ADHB'!I14+'PDB ADHB'!I15</f>
        <v>11013795.611320138</v>
      </c>
      <c r="Y5" s="71"/>
      <c r="Z5" s="70"/>
      <c r="AA5" s="46">
        <f>'PDB ADHB'!J6+'PDB ADHB'!J14+'PDB ADHB'!J15</f>
        <v>11896997.2442964</v>
      </c>
      <c r="AB5" s="71"/>
      <c r="AC5" s="70"/>
      <c r="AD5" s="46">
        <f>'PDB ADHB'!K6+'PDB ADHB'!K14+'PDB ADHB'!K15</f>
        <v>12928271.737489318</v>
      </c>
      <c r="AE5" s="71"/>
      <c r="AF5" s="70"/>
      <c r="AG5" s="46">
        <f>'PDB ADHB'!L6+'PDB ADHB'!L14+'PDB ADHB'!L15</f>
        <v>13976577.865418604</v>
      </c>
      <c r="AH5" s="71"/>
    </row>
    <row r="6" spans="1:34" ht="14.25" customHeight="1">
      <c r="A6" s="69" t="s">
        <v>61</v>
      </c>
      <c r="B6" s="70"/>
      <c r="C6" s="46">
        <f>'PDB ADHB'!B18+'PDB ADHB'!B25+'PDB ADHB'!B36</f>
        <v>3613154.8335640235</v>
      </c>
      <c r="D6" s="71"/>
      <c r="E6" s="70"/>
      <c r="F6" s="46">
        <f>'PDB ADHB'!C18+'PDB ADHB'!C25+'PDB ADHB'!C36</f>
        <v>3736589.2838965547</v>
      </c>
      <c r="G6" s="71"/>
      <c r="H6" s="70"/>
      <c r="I6" s="46">
        <f>'PDB ADHB'!D18+'PDB ADHB'!D25+'PDB ADHB'!D36</f>
        <v>3954755.352583807</v>
      </c>
      <c r="J6" s="71"/>
      <c r="K6" s="70"/>
      <c r="L6" s="46">
        <f>'PDB ADHB'!E18+'PDB ADHB'!E25+'PDB ADHB'!E36</f>
        <v>4430927.8895896422</v>
      </c>
      <c r="M6" s="71"/>
      <c r="N6" s="70"/>
      <c r="O6" s="46">
        <f>'PDB ADHB'!F18+'PDB ADHB'!F25+'PDB ADHB'!F36</f>
        <v>5203608.734958115</v>
      </c>
      <c r="P6" s="71"/>
      <c r="Q6" s="70"/>
      <c r="R6" s="46">
        <f>'PDB ADHB'!G18+'PDB ADHB'!G25+'PDB ADHB'!G36</f>
        <v>5336521.5657815533</v>
      </c>
      <c r="S6" s="71"/>
      <c r="T6" s="70"/>
      <c r="U6" s="46">
        <f>'PDB ADHB'!H18+'PDB ADHB'!H25+'PDB ADHB'!H36</f>
        <v>4589794.8424460199</v>
      </c>
      <c r="V6" s="71"/>
      <c r="W6" s="70"/>
      <c r="X6" s="46">
        <f>'PDB ADHB'!I18+'PDB ADHB'!I25+'PDB ADHB'!I36</f>
        <v>5516746.833418401</v>
      </c>
      <c r="Y6" s="71"/>
      <c r="Z6" s="70"/>
      <c r="AA6" s="46">
        <f>'PDB ADHB'!J18+'PDB ADHB'!J25+'PDB ADHB'!J36</f>
        <v>6997805.2903226595</v>
      </c>
      <c r="AB6" s="71"/>
      <c r="AC6" s="70"/>
      <c r="AD6" s="46">
        <f>'PDB ADHB'!K18+'PDB ADHB'!K25+'PDB ADHB'!K36</f>
        <v>7510418.7321638819</v>
      </c>
      <c r="AE6" s="71"/>
      <c r="AF6" s="70"/>
      <c r="AG6" s="46">
        <f>'PDB ADHB'!L18+'PDB ADHB'!L25+'PDB ADHB'!L36</f>
        <v>7765217.8917927938</v>
      </c>
      <c r="AH6" s="71"/>
    </row>
    <row r="7" spans="1:34" ht="14.25" customHeight="1">
      <c r="A7" s="69" t="s">
        <v>72</v>
      </c>
      <c r="B7" s="43">
        <f>'PDB ADHB'!B31</f>
        <v>2580508.0388726876</v>
      </c>
      <c r="C7" s="46">
        <f>'PDB ADHB'!B26</f>
        <v>2501424.8282395774</v>
      </c>
      <c r="D7" s="71"/>
      <c r="E7" s="43">
        <f>'PDB ADHB'!C31</f>
        <v>2394879.300143606</v>
      </c>
      <c r="F7" s="46">
        <f>'PDB ADHB'!C26</f>
        <v>2438992.6825618404</v>
      </c>
      <c r="G7" s="71"/>
      <c r="H7" s="43">
        <f>'PDB ADHB'!D31</f>
        <v>2273528.0202688258</v>
      </c>
      <c r="I7" s="46">
        <f>'PDB ADHB'!D26</f>
        <v>2367365.1911133844</v>
      </c>
      <c r="J7" s="71"/>
      <c r="K7" s="43">
        <f>'PDB ADHB'!E31</f>
        <v>2606282.95155431</v>
      </c>
      <c r="L7" s="46">
        <f>'PDB ADHB'!E26</f>
        <v>2742060.5036899005</v>
      </c>
      <c r="M7" s="71"/>
      <c r="N7" s="43">
        <f>'PDB ADHB'!F31</f>
        <v>3275145.2985235001</v>
      </c>
      <c r="O7" s="46">
        <f>'PDB ADHB'!F26</f>
        <v>3116546.3060248001</v>
      </c>
      <c r="P7" s="71"/>
      <c r="Q7" s="43">
        <f>'PDB ADHB'!G31</f>
        <v>3013944.1648519998</v>
      </c>
      <c r="R7" s="46">
        <f>'PDB ADHB'!G26</f>
        <v>2943532.8643557001</v>
      </c>
      <c r="S7" s="71"/>
      <c r="T7" s="43">
        <f>'PDB ADHB'!H31</f>
        <v>2415495.9728607</v>
      </c>
      <c r="U7" s="46">
        <f>'PDB ADHB'!H26</f>
        <v>2676513.5319222999</v>
      </c>
      <c r="V7" s="71"/>
      <c r="W7" s="43">
        <f>'PDB ADHB'!I31</f>
        <v>3189626.4540253198</v>
      </c>
      <c r="X7" s="46">
        <f>'PDB ADHB'!I26</f>
        <v>3635835.4092867798</v>
      </c>
      <c r="Y7" s="71"/>
      <c r="Z7" s="43">
        <f>'PDB ADHB'!J31</f>
        <v>4106085.6647048593</v>
      </c>
      <c r="AA7" s="46">
        <f>'PDB ADHB'!J26</f>
        <v>4799743.0300858002</v>
      </c>
      <c r="AB7" s="71"/>
      <c r="AC7" s="43">
        <f>'PDB ADHB'!K31</f>
        <v>4091231.5372796999</v>
      </c>
      <c r="AD7" s="46">
        <f>'PDB ADHB'!K26</f>
        <v>4544889.5676264996</v>
      </c>
      <c r="AE7" s="71"/>
      <c r="AF7" s="43">
        <f>'PDB ADHB'!L31</f>
        <v>4513987.4117319006</v>
      </c>
      <c r="AG7" s="46">
        <f>'PDB ADHB'!L26</f>
        <v>4911155.6545205005</v>
      </c>
      <c r="AH7" s="71"/>
    </row>
    <row r="8" spans="1:34" ht="14.25" customHeight="1">
      <c r="A8" s="109" t="s">
        <v>26</v>
      </c>
      <c r="B8" s="110">
        <f t="shared" ref="B8:C8" si="0">SUM(B4:B7)</f>
        <v>22766530.005500302</v>
      </c>
      <c r="C8" s="111">
        <f t="shared" si="0"/>
        <v>22766530.005500302</v>
      </c>
      <c r="D8" s="112"/>
      <c r="E8" s="110">
        <f t="shared" ref="E8:F8" si="1">SUM(E4:E7)</f>
        <v>24407868.356277492</v>
      </c>
      <c r="F8" s="111">
        <f t="shared" si="1"/>
        <v>24407868.356277488</v>
      </c>
      <c r="G8" s="112"/>
      <c r="H8" s="110">
        <f t="shared" ref="H8:I8" si="2">SUM(H4:H7)</f>
        <v>25055474.766926087</v>
      </c>
      <c r="I8" s="111">
        <f t="shared" si="2"/>
        <v>25055474.766926087</v>
      </c>
      <c r="J8" s="112"/>
      <c r="K8" s="110">
        <f t="shared" ref="K8:L8" si="3">SUM(K4:K7)</f>
        <v>27570761.523533553</v>
      </c>
      <c r="L8" s="111">
        <f t="shared" si="3"/>
        <v>27570761.523533549</v>
      </c>
      <c r="M8" s="112"/>
      <c r="N8" s="110">
        <f t="shared" ref="N8:O8" si="4">SUM(N4:N7)</f>
        <v>30533905.960687723</v>
      </c>
      <c r="O8" s="111">
        <f t="shared" si="4"/>
        <v>30533905.960687719</v>
      </c>
      <c r="P8" s="112"/>
      <c r="Q8" s="110">
        <f t="shared" ref="Q8:R8" si="5">SUM(Q4:Q7)</f>
        <v>32318228.910692152</v>
      </c>
      <c r="R8" s="111">
        <f t="shared" si="5"/>
        <v>32318228.910692118</v>
      </c>
      <c r="S8" s="112"/>
      <c r="T8" s="110">
        <f t="shared" ref="T8:U8" si="6">SUM(T4:T7)</f>
        <v>30790236.290383823</v>
      </c>
      <c r="U8" s="111">
        <f t="shared" si="6"/>
        <v>30790236.290383901</v>
      </c>
      <c r="V8" s="112"/>
      <c r="W8" s="110">
        <f t="shared" ref="W8:X8" si="7">SUM(W4:W7)</f>
        <v>34368994.847263128</v>
      </c>
      <c r="X8" s="111">
        <f t="shared" si="7"/>
        <v>34368994.847263128</v>
      </c>
      <c r="Y8" s="112"/>
      <c r="Z8" s="110">
        <f t="shared" ref="Z8:AA8" si="8">SUM(Z4:Z7)</f>
        <v>40082097.393207066</v>
      </c>
      <c r="AA8" s="111">
        <f t="shared" si="8"/>
        <v>40082097.393207073</v>
      </c>
      <c r="AB8" s="112"/>
      <c r="AC8" s="110">
        <f t="shared" ref="AC8:AD8" si="9">SUM(AC4:AC7)</f>
        <v>42461954.836049892</v>
      </c>
      <c r="AD8" s="111">
        <f t="shared" si="9"/>
        <v>42461954.836049892</v>
      </c>
      <c r="AE8" s="112"/>
      <c r="AF8" s="110">
        <f t="shared" ref="AF8:AG8" si="10">SUM(AF4:AF7)</f>
        <v>45174234.954770654</v>
      </c>
      <c r="AG8" s="111">
        <f t="shared" si="10"/>
        <v>45174234.954770654</v>
      </c>
      <c r="AH8" s="112"/>
    </row>
    <row r="9" spans="1:34" ht="14.25" customHeight="1"/>
    <row r="10" spans="1:34" ht="14.25" customHeight="1"/>
    <row r="11" spans="1:34" ht="14.25" customHeight="1">
      <c r="A11" s="114" t="s">
        <v>83</v>
      </c>
    </row>
    <row r="12" spans="1:34" ht="14.25" customHeight="1"/>
    <row r="13" spans="1:34" ht="14.25" customHeight="1"/>
    <row r="14" spans="1:34" ht="14.25" customHeight="1"/>
    <row r="15" spans="1:34" ht="14.25" customHeight="1"/>
    <row r="16" spans="1:3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N2:P2"/>
    <mergeCell ref="Q2:S2"/>
    <mergeCell ref="A2:A3"/>
    <mergeCell ref="B2:D2"/>
    <mergeCell ref="E2:G2"/>
    <mergeCell ref="H2:J2"/>
    <mergeCell ref="K2:M2"/>
    <mergeCell ref="T2:V2"/>
    <mergeCell ref="W2:Y2"/>
    <mergeCell ref="Z2:AB2"/>
    <mergeCell ref="AC2:AE2"/>
    <mergeCell ref="AF2:AH2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CK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8" sqref="B18"/>
    </sheetView>
  </sheetViews>
  <sheetFormatPr defaultColWidth="14.42578125" defaultRowHeight="15" customHeight="1"/>
  <cols>
    <col min="1" max="2" width="17" customWidth="1"/>
    <col min="3" max="3" width="11.5703125" customWidth="1"/>
    <col min="4" max="4" width="19.5703125" customWidth="1"/>
    <col min="5" max="5" width="10.5703125" customWidth="1"/>
    <col min="6" max="6" width="13" customWidth="1"/>
    <col min="7" max="7" width="13.85546875" customWidth="1"/>
    <col min="8" max="8" width="11.85546875" customWidth="1"/>
    <col min="9" max="9" width="13.5703125" customWidth="1"/>
    <col min="10" max="10" width="17" customWidth="1"/>
    <col min="11" max="11" width="11.5703125" customWidth="1"/>
    <col min="12" max="12" width="19.5703125" customWidth="1"/>
    <col min="13" max="13" width="13.7109375" customWidth="1"/>
    <col min="14" max="14" width="13" customWidth="1"/>
    <col min="15" max="15" width="13.85546875" customWidth="1"/>
    <col min="16" max="16" width="11.85546875" customWidth="1"/>
    <col min="17" max="17" width="13.5703125" customWidth="1"/>
    <col min="18" max="18" width="12.28515625" customWidth="1"/>
    <col min="19" max="19" width="11.85546875" customWidth="1"/>
    <col min="20" max="20" width="13.42578125" customWidth="1"/>
    <col min="21" max="21" width="14.5703125" customWidth="1"/>
    <col min="22" max="22" width="12" customWidth="1"/>
    <col min="23" max="23" width="15.7109375" customWidth="1"/>
    <col min="24" max="24" width="10.7109375" customWidth="1"/>
    <col min="25" max="25" width="11" customWidth="1"/>
    <col min="26" max="26" width="12.140625" customWidth="1"/>
    <col min="27" max="28" width="12.85546875" customWidth="1"/>
    <col min="29" max="29" width="13.7109375" customWidth="1"/>
    <col min="30" max="30" width="12.28515625" customWidth="1"/>
    <col min="31" max="31" width="15.7109375" customWidth="1"/>
    <col min="32" max="32" width="11.28515625" customWidth="1"/>
    <col min="33" max="34" width="12.28515625" customWidth="1"/>
    <col min="35" max="35" width="13.140625" customWidth="1"/>
    <col min="36" max="36" width="13.42578125" customWidth="1"/>
    <col min="37" max="37" width="13.7109375" customWidth="1"/>
    <col min="38" max="38" width="13.85546875" customWidth="1"/>
    <col min="39" max="39" width="15.7109375" customWidth="1"/>
    <col min="40" max="40" width="11.5703125" customWidth="1"/>
    <col min="41" max="42" width="12.5703125" customWidth="1"/>
    <col min="43" max="43" width="12.28515625" customWidth="1"/>
    <col min="44" max="44" width="16.140625" customWidth="1"/>
    <col min="45" max="45" width="12.42578125" customWidth="1"/>
    <col min="46" max="46" width="15.42578125" customWidth="1"/>
    <col min="47" max="47" width="14.42578125" customWidth="1"/>
    <col min="48" max="48" width="12.85546875" customWidth="1"/>
    <col min="49" max="50" width="11.5703125" customWidth="1"/>
    <col min="51" max="52" width="12" customWidth="1"/>
    <col min="53" max="53" width="11.5703125" customWidth="1"/>
    <col min="54" max="54" width="12.140625" customWidth="1"/>
    <col min="55" max="55" width="14.42578125" customWidth="1"/>
    <col min="56" max="56" width="11.7109375" customWidth="1"/>
    <col min="57" max="58" width="12.42578125" customWidth="1"/>
    <col min="59" max="60" width="12" customWidth="1"/>
    <col min="61" max="61" width="12.5703125" customWidth="1"/>
    <col min="62" max="62" width="12.140625" customWidth="1"/>
    <col min="63" max="63" width="14.42578125" customWidth="1"/>
    <col min="64" max="64" width="12.140625" customWidth="1"/>
    <col min="65" max="66" width="12.42578125" customWidth="1"/>
    <col min="67" max="68" width="12" customWidth="1"/>
    <col min="69" max="69" width="12.5703125" customWidth="1"/>
    <col min="70" max="70" width="12.140625" customWidth="1"/>
    <col min="71" max="71" width="14.42578125" customWidth="1"/>
    <col min="72" max="72" width="12.140625" customWidth="1"/>
    <col min="73" max="74" width="12.42578125" customWidth="1"/>
    <col min="75" max="76" width="12" customWidth="1"/>
    <col min="77" max="77" width="12.5703125" customWidth="1"/>
    <col min="78" max="78" width="12.140625" customWidth="1"/>
    <col min="79" max="79" width="14.42578125" customWidth="1"/>
    <col min="80" max="80" width="12.140625" customWidth="1"/>
    <col min="81" max="82" width="12.42578125" customWidth="1"/>
    <col min="83" max="84" width="12" customWidth="1"/>
    <col min="85" max="85" width="12.5703125" customWidth="1"/>
    <col min="86" max="86" width="12.140625" customWidth="1"/>
    <col min="87" max="87" width="14.42578125" customWidth="1"/>
    <col min="88" max="88" width="12.140625" customWidth="1"/>
    <col min="89" max="89" width="12.42578125" customWidth="1"/>
  </cols>
  <sheetData>
    <row r="1" spans="1:89" ht="14.25" customHeight="1"/>
    <row r="2" spans="1:89" ht="14.25" customHeight="1">
      <c r="A2" s="323" t="s">
        <v>28</v>
      </c>
      <c r="B2" s="316">
        <f>J2-1</f>
        <v>2014</v>
      </c>
      <c r="C2" s="311"/>
      <c r="D2" s="311"/>
      <c r="E2" s="311"/>
      <c r="F2" s="311"/>
      <c r="G2" s="311"/>
      <c r="H2" s="311"/>
      <c r="I2" s="312"/>
      <c r="J2" s="317">
        <f>'PDB ADHB'!C1</f>
        <v>2015</v>
      </c>
      <c r="K2" s="311"/>
      <c r="L2" s="311"/>
      <c r="M2" s="311"/>
      <c r="N2" s="311"/>
      <c r="O2" s="311"/>
      <c r="P2" s="311"/>
      <c r="Q2" s="312"/>
      <c r="R2" s="318">
        <f>'PDB ADHB'!D1</f>
        <v>2016</v>
      </c>
      <c r="S2" s="311"/>
      <c r="T2" s="311"/>
      <c r="U2" s="311"/>
      <c r="V2" s="311"/>
      <c r="W2" s="311"/>
      <c r="X2" s="311"/>
      <c r="Y2" s="312"/>
      <c r="Z2" s="313">
        <f>'PDB ADHB'!E1</f>
        <v>2017</v>
      </c>
      <c r="AA2" s="311"/>
      <c r="AB2" s="311"/>
      <c r="AC2" s="311"/>
      <c r="AD2" s="311"/>
      <c r="AE2" s="311"/>
      <c r="AF2" s="311"/>
      <c r="AG2" s="312"/>
      <c r="AH2" s="319">
        <f>'PDB ADHB'!F1</f>
        <v>2018</v>
      </c>
      <c r="AI2" s="311"/>
      <c r="AJ2" s="311"/>
      <c r="AK2" s="311"/>
      <c r="AL2" s="311"/>
      <c r="AM2" s="311"/>
      <c r="AN2" s="311"/>
      <c r="AO2" s="312"/>
      <c r="AP2" s="326">
        <f>'PDB ADHB'!G1</f>
        <v>2019</v>
      </c>
      <c r="AQ2" s="311"/>
      <c r="AR2" s="311"/>
      <c r="AS2" s="311"/>
      <c r="AT2" s="311"/>
      <c r="AU2" s="311"/>
      <c r="AV2" s="311"/>
      <c r="AW2" s="312"/>
      <c r="AX2" s="326">
        <f>'PDB ADHB'!H1</f>
        <v>2020</v>
      </c>
      <c r="AY2" s="311"/>
      <c r="AZ2" s="311"/>
      <c r="BA2" s="311"/>
      <c r="BB2" s="311"/>
      <c r="BC2" s="311"/>
      <c r="BD2" s="311"/>
      <c r="BE2" s="312"/>
      <c r="BF2" s="326">
        <f>'PDB ADHB'!I1</f>
        <v>2021</v>
      </c>
      <c r="BG2" s="311"/>
      <c r="BH2" s="311"/>
      <c r="BI2" s="311"/>
      <c r="BJ2" s="311"/>
      <c r="BK2" s="311"/>
      <c r="BL2" s="311"/>
      <c r="BM2" s="312"/>
      <c r="BN2" s="326">
        <f>'PDB ADHB'!J1</f>
        <v>2022</v>
      </c>
      <c r="BO2" s="311"/>
      <c r="BP2" s="311"/>
      <c r="BQ2" s="311"/>
      <c r="BR2" s="311"/>
      <c r="BS2" s="311"/>
      <c r="BT2" s="311"/>
      <c r="BU2" s="312"/>
      <c r="BV2" s="326" t="str">
        <f>'PDB ADHB'!K1</f>
        <v>2023*</v>
      </c>
      <c r="BW2" s="311"/>
      <c r="BX2" s="311"/>
      <c r="BY2" s="311"/>
      <c r="BZ2" s="311"/>
      <c r="CA2" s="311"/>
      <c r="CB2" s="311"/>
      <c r="CC2" s="312"/>
      <c r="CD2" s="326" t="str">
        <f>'PDB ADHB'!L1</f>
        <v>2024**</v>
      </c>
      <c r="CE2" s="311"/>
      <c r="CF2" s="311"/>
      <c r="CG2" s="311"/>
      <c r="CH2" s="311"/>
      <c r="CI2" s="311"/>
      <c r="CJ2" s="311"/>
      <c r="CK2" s="312"/>
    </row>
    <row r="3" spans="1:89" ht="45" customHeight="1">
      <c r="A3" s="324"/>
      <c r="B3" s="54" t="s">
        <v>43</v>
      </c>
      <c r="C3" s="330" t="s">
        <v>44</v>
      </c>
      <c r="D3" s="330" t="s">
        <v>45</v>
      </c>
      <c r="E3" s="330" t="s">
        <v>47</v>
      </c>
      <c r="F3" s="330" t="s">
        <v>48</v>
      </c>
      <c r="G3" s="330" t="s">
        <v>49</v>
      </c>
      <c r="H3" s="330" t="s">
        <v>50</v>
      </c>
      <c r="I3" s="56" t="s">
        <v>51</v>
      </c>
      <c r="J3" s="58" t="s">
        <v>43</v>
      </c>
      <c r="K3" s="331" t="s">
        <v>44</v>
      </c>
      <c r="L3" s="331" t="s">
        <v>45</v>
      </c>
      <c r="M3" s="331" t="s">
        <v>47</v>
      </c>
      <c r="N3" s="331" t="s">
        <v>48</v>
      </c>
      <c r="O3" s="331" t="s">
        <v>49</v>
      </c>
      <c r="P3" s="331" t="s">
        <v>50</v>
      </c>
      <c r="Q3" s="60" t="s">
        <v>51</v>
      </c>
      <c r="R3" s="62" t="s">
        <v>43</v>
      </c>
      <c r="S3" s="327" t="s">
        <v>44</v>
      </c>
      <c r="T3" s="327" t="s">
        <v>45</v>
      </c>
      <c r="U3" s="327" t="s">
        <v>47</v>
      </c>
      <c r="V3" s="327" t="s">
        <v>48</v>
      </c>
      <c r="W3" s="327" t="s">
        <v>49</v>
      </c>
      <c r="X3" s="327" t="s">
        <v>50</v>
      </c>
      <c r="Y3" s="67" t="s">
        <v>51</v>
      </c>
      <c r="Z3" s="68" t="s">
        <v>43</v>
      </c>
      <c r="AA3" s="328" t="s">
        <v>44</v>
      </c>
      <c r="AB3" s="328" t="s">
        <v>45</v>
      </c>
      <c r="AC3" s="328" t="s">
        <v>47</v>
      </c>
      <c r="AD3" s="328" t="s">
        <v>48</v>
      </c>
      <c r="AE3" s="328" t="s">
        <v>49</v>
      </c>
      <c r="AF3" s="328" t="s">
        <v>50</v>
      </c>
      <c r="AG3" s="72" t="s">
        <v>51</v>
      </c>
      <c r="AH3" s="73" t="s">
        <v>43</v>
      </c>
      <c r="AI3" s="321" t="s">
        <v>44</v>
      </c>
      <c r="AJ3" s="321" t="s">
        <v>45</v>
      </c>
      <c r="AK3" s="321" t="s">
        <v>47</v>
      </c>
      <c r="AL3" s="321" t="s">
        <v>48</v>
      </c>
      <c r="AM3" s="321" t="s">
        <v>49</v>
      </c>
      <c r="AN3" s="321" t="s">
        <v>50</v>
      </c>
      <c r="AO3" s="75" t="s">
        <v>51</v>
      </c>
      <c r="AP3" s="77" t="s">
        <v>43</v>
      </c>
      <c r="AQ3" s="329" t="s">
        <v>44</v>
      </c>
      <c r="AR3" s="329" t="s">
        <v>45</v>
      </c>
      <c r="AS3" s="329" t="s">
        <v>47</v>
      </c>
      <c r="AT3" s="329" t="s">
        <v>48</v>
      </c>
      <c r="AU3" s="329" t="s">
        <v>49</v>
      </c>
      <c r="AV3" s="329" t="s">
        <v>50</v>
      </c>
      <c r="AW3" s="79" t="s">
        <v>51</v>
      </c>
      <c r="AX3" s="77" t="s">
        <v>43</v>
      </c>
      <c r="AY3" s="329" t="s">
        <v>44</v>
      </c>
      <c r="AZ3" s="329" t="s">
        <v>45</v>
      </c>
      <c r="BA3" s="329" t="s">
        <v>47</v>
      </c>
      <c r="BB3" s="329" t="s">
        <v>48</v>
      </c>
      <c r="BC3" s="329" t="s">
        <v>49</v>
      </c>
      <c r="BD3" s="329" t="s">
        <v>50</v>
      </c>
      <c r="BE3" s="79" t="s">
        <v>51</v>
      </c>
      <c r="BF3" s="77" t="s">
        <v>43</v>
      </c>
      <c r="BG3" s="329" t="s">
        <v>44</v>
      </c>
      <c r="BH3" s="329" t="s">
        <v>45</v>
      </c>
      <c r="BI3" s="329" t="s">
        <v>47</v>
      </c>
      <c r="BJ3" s="329" t="s">
        <v>48</v>
      </c>
      <c r="BK3" s="329" t="s">
        <v>49</v>
      </c>
      <c r="BL3" s="329" t="s">
        <v>50</v>
      </c>
      <c r="BM3" s="79" t="s">
        <v>51</v>
      </c>
      <c r="BN3" s="77" t="s">
        <v>43</v>
      </c>
      <c r="BO3" s="329" t="s">
        <v>44</v>
      </c>
      <c r="BP3" s="329" t="s">
        <v>45</v>
      </c>
      <c r="BQ3" s="329" t="s">
        <v>47</v>
      </c>
      <c r="BR3" s="329" t="s">
        <v>48</v>
      </c>
      <c r="BS3" s="329" t="s">
        <v>49</v>
      </c>
      <c r="BT3" s="329" t="s">
        <v>50</v>
      </c>
      <c r="BU3" s="79" t="s">
        <v>51</v>
      </c>
      <c r="BV3" s="77" t="s">
        <v>43</v>
      </c>
      <c r="BW3" s="329" t="s">
        <v>44</v>
      </c>
      <c r="BX3" s="329" t="s">
        <v>45</v>
      </c>
      <c r="BY3" s="329" t="s">
        <v>47</v>
      </c>
      <c r="BZ3" s="329" t="s">
        <v>48</v>
      </c>
      <c r="CA3" s="329" t="s">
        <v>49</v>
      </c>
      <c r="CB3" s="329" t="s">
        <v>50</v>
      </c>
      <c r="CC3" s="79" t="s">
        <v>51</v>
      </c>
      <c r="CD3" s="77" t="s">
        <v>43</v>
      </c>
      <c r="CE3" s="329" t="s">
        <v>44</v>
      </c>
      <c r="CF3" s="329" t="s">
        <v>45</v>
      </c>
      <c r="CG3" s="329" t="s">
        <v>47</v>
      </c>
      <c r="CH3" s="329" t="s">
        <v>48</v>
      </c>
      <c r="CI3" s="329" t="s">
        <v>49</v>
      </c>
      <c r="CJ3" s="329" t="s">
        <v>50</v>
      </c>
      <c r="CK3" s="79" t="s">
        <v>51</v>
      </c>
    </row>
    <row r="4" spans="1:89" ht="14.25" customHeight="1">
      <c r="A4" s="325"/>
      <c r="B4" s="86" t="s">
        <v>66</v>
      </c>
      <c r="C4" s="322"/>
      <c r="D4" s="322"/>
      <c r="E4" s="322"/>
      <c r="F4" s="322"/>
      <c r="G4" s="322"/>
      <c r="H4" s="322"/>
      <c r="I4" s="87" t="s">
        <v>66</v>
      </c>
      <c r="J4" s="88" t="s">
        <v>66</v>
      </c>
      <c r="K4" s="322"/>
      <c r="L4" s="322"/>
      <c r="M4" s="322"/>
      <c r="N4" s="322"/>
      <c r="O4" s="322"/>
      <c r="P4" s="322"/>
      <c r="Q4" s="89" t="s">
        <v>66</v>
      </c>
      <c r="R4" s="90" t="s">
        <v>66</v>
      </c>
      <c r="S4" s="322"/>
      <c r="T4" s="322"/>
      <c r="U4" s="322"/>
      <c r="V4" s="322"/>
      <c r="W4" s="322"/>
      <c r="X4" s="322"/>
      <c r="Y4" s="91" t="s">
        <v>66</v>
      </c>
      <c r="Z4" s="92" t="s">
        <v>66</v>
      </c>
      <c r="AA4" s="322"/>
      <c r="AB4" s="322"/>
      <c r="AC4" s="322"/>
      <c r="AD4" s="322"/>
      <c r="AE4" s="322"/>
      <c r="AF4" s="322"/>
      <c r="AG4" s="93" t="s">
        <v>66</v>
      </c>
      <c r="AH4" s="94" t="s">
        <v>66</v>
      </c>
      <c r="AI4" s="322"/>
      <c r="AJ4" s="322"/>
      <c r="AK4" s="322"/>
      <c r="AL4" s="322"/>
      <c r="AM4" s="322"/>
      <c r="AN4" s="322"/>
      <c r="AO4" s="96" t="s">
        <v>66</v>
      </c>
      <c r="AP4" s="97" t="s">
        <v>66</v>
      </c>
      <c r="AQ4" s="322"/>
      <c r="AR4" s="322"/>
      <c r="AS4" s="322"/>
      <c r="AT4" s="322"/>
      <c r="AU4" s="322"/>
      <c r="AV4" s="322"/>
      <c r="AW4" s="99" t="s">
        <v>66</v>
      </c>
      <c r="AX4" s="97" t="s">
        <v>66</v>
      </c>
      <c r="AY4" s="322"/>
      <c r="AZ4" s="322"/>
      <c r="BA4" s="322"/>
      <c r="BB4" s="322"/>
      <c r="BC4" s="322"/>
      <c r="BD4" s="322"/>
      <c r="BE4" s="99" t="s">
        <v>66</v>
      </c>
      <c r="BF4" s="97" t="s">
        <v>66</v>
      </c>
      <c r="BG4" s="322"/>
      <c r="BH4" s="322"/>
      <c r="BI4" s="322"/>
      <c r="BJ4" s="322"/>
      <c r="BK4" s="322"/>
      <c r="BL4" s="322"/>
      <c r="BM4" s="99" t="s">
        <v>66</v>
      </c>
      <c r="BN4" s="97" t="s">
        <v>66</v>
      </c>
      <c r="BO4" s="322"/>
      <c r="BP4" s="322"/>
      <c r="BQ4" s="322"/>
      <c r="BR4" s="322"/>
      <c r="BS4" s="322"/>
      <c r="BT4" s="322"/>
      <c r="BU4" s="99" t="s">
        <v>66</v>
      </c>
      <c r="BV4" s="97" t="s">
        <v>66</v>
      </c>
      <c r="BW4" s="322"/>
      <c r="BX4" s="322"/>
      <c r="BY4" s="322"/>
      <c r="BZ4" s="322"/>
      <c r="CA4" s="322"/>
      <c r="CB4" s="322"/>
      <c r="CC4" s="99" t="s">
        <v>66</v>
      </c>
      <c r="CD4" s="97" t="s">
        <v>66</v>
      </c>
      <c r="CE4" s="322"/>
      <c r="CF4" s="322"/>
      <c r="CG4" s="322"/>
      <c r="CH4" s="322"/>
      <c r="CI4" s="322"/>
      <c r="CJ4" s="322"/>
      <c r="CK4" s="99" t="s">
        <v>66</v>
      </c>
    </row>
    <row r="5" spans="1:89" ht="14.25" customHeight="1">
      <c r="A5" s="103" t="s">
        <v>38</v>
      </c>
      <c r="B5" s="104"/>
      <c r="C5" s="105">
        <f>Penyediaan!B4</f>
        <v>20186021.966627613</v>
      </c>
      <c r="D5" s="105">
        <f>Penyediaan!C4</f>
        <v>9616316.666627612</v>
      </c>
      <c r="E5" s="105">
        <f>Penyediaan!D4</f>
        <v>10569705.300000001</v>
      </c>
      <c r="F5" s="105">
        <f>Penyusutan!G19</f>
        <v>1970519.4189492697</v>
      </c>
      <c r="G5" s="105">
        <f>E5-F5</f>
        <v>8599185.881050732</v>
      </c>
      <c r="H5" s="104"/>
      <c r="I5" s="107"/>
      <c r="J5" s="104"/>
      <c r="K5" s="105">
        <f>Penyediaan!E4</f>
        <v>22012989.056133885</v>
      </c>
      <c r="L5" s="105">
        <f>Penyediaan!F4</f>
        <v>10486656.256133884</v>
      </c>
      <c r="M5" s="105">
        <f>Penyediaan!G4</f>
        <v>11526332.800000001</v>
      </c>
      <c r="N5" s="105">
        <f>Penyusutan!M19</f>
        <v>2129438.2105772081</v>
      </c>
      <c r="O5" s="105">
        <f>M5-N5</f>
        <v>9396894.5894227922</v>
      </c>
      <c r="P5" s="104"/>
      <c r="Q5" s="107"/>
      <c r="R5" s="104"/>
      <c r="S5" s="105">
        <f>Penyediaan!H4</f>
        <v>22781946.74665726</v>
      </c>
      <c r="T5" s="105">
        <f>Penyediaan!I4</f>
        <v>10380218.24665726</v>
      </c>
      <c r="U5" s="105">
        <f>Penyediaan!J4</f>
        <v>12401728.5</v>
      </c>
      <c r="V5" s="105">
        <f>Penyusutan!S19</f>
        <v>2035689.39</v>
      </c>
      <c r="W5" s="105">
        <f>U5-V5</f>
        <v>10366039.109999999</v>
      </c>
      <c r="X5" s="104"/>
      <c r="Y5" s="107"/>
      <c r="Z5" s="104"/>
      <c r="AA5" s="105">
        <f>Penyediaan!K4</f>
        <v>24964478.571979243</v>
      </c>
      <c r="AB5" s="105">
        <f>Penyediaan!L4</f>
        <v>11374652.871979242</v>
      </c>
      <c r="AC5" s="105">
        <f>Penyediaan!M4</f>
        <v>13589825.700000001</v>
      </c>
      <c r="AD5" s="105">
        <f>Penyusutan!Y19</f>
        <v>2430937.4323177324</v>
      </c>
      <c r="AE5" s="105">
        <f>AC5-AD5</f>
        <v>11158888.267682269</v>
      </c>
      <c r="AF5" s="104"/>
      <c r="AG5" s="107"/>
      <c r="AH5" s="104"/>
      <c r="AI5" s="105">
        <f>Penyediaan!N4</f>
        <v>27258760.662164222</v>
      </c>
      <c r="AJ5" s="105">
        <f>Penyediaan!O4</f>
        <v>12420004.662164222</v>
      </c>
      <c r="AK5" s="105">
        <f>Penyediaan!P4</f>
        <v>14838756</v>
      </c>
      <c r="AL5" s="105">
        <f>Penyusutan!AE19</f>
        <v>2800030.2108053002</v>
      </c>
      <c r="AM5" s="105">
        <f>AK5-AL5</f>
        <v>12038725.789194699</v>
      </c>
      <c r="AN5" s="104"/>
      <c r="AO5" s="107"/>
      <c r="AP5" s="104"/>
      <c r="AQ5" s="105">
        <f>Penyediaan!Q4</f>
        <v>29304284.745840151</v>
      </c>
      <c r="AR5" s="105">
        <f>Penyediaan!R4</f>
        <v>13471627.545840152</v>
      </c>
      <c r="AS5" s="105">
        <f>Penyediaan!S4</f>
        <v>15832657.199999999</v>
      </c>
      <c r="AT5" s="105">
        <f>Penyusutan!AK19</f>
        <v>3168101.1302457</v>
      </c>
      <c r="AU5" s="105">
        <f>AS5-AT5</f>
        <v>12664556.069754299</v>
      </c>
      <c r="AV5" s="104"/>
      <c r="AW5" s="107"/>
      <c r="AX5" s="104"/>
      <c r="AY5" s="105">
        <f>Penyediaan!T4</f>
        <v>28374740.317523122</v>
      </c>
      <c r="AZ5" s="105">
        <f>Penyediaan!U4</f>
        <v>12931387.117523123</v>
      </c>
      <c r="BA5" s="105">
        <f>Penyediaan!V4</f>
        <v>15443353.199999999</v>
      </c>
      <c r="BB5" s="105">
        <f>Penyusutan!AQ19</f>
        <v>2943805.006662</v>
      </c>
      <c r="BC5" s="105">
        <f>BA5-BB5</f>
        <v>12499548.193337999</v>
      </c>
      <c r="BD5" s="104"/>
      <c r="BE5" s="107"/>
      <c r="BF5" s="104"/>
      <c r="BG5" s="105">
        <f>Penyediaan!W4</f>
        <v>31179368.393237807</v>
      </c>
      <c r="BH5" s="105">
        <f>Penyediaan!X4</f>
        <v>14202616.993237808</v>
      </c>
      <c r="BI5" s="105">
        <f>Penyediaan!Y4</f>
        <v>16976751.399999999</v>
      </c>
      <c r="BJ5" s="105">
        <f>Penyusutan!AW19</f>
        <v>3146409.0977163101</v>
      </c>
      <c r="BK5" s="105">
        <f>BI5-BJ5</f>
        <v>13830342.302283689</v>
      </c>
      <c r="BL5" s="104"/>
      <c r="BM5" s="107"/>
      <c r="BN5" s="104"/>
      <c r="BO5" s="105">
        <f>Penyediaan!Z4</f>
        <v>35976011.728502207</v>
      </c>
      <c r="BP5" s="105">
        <f>Penyediaan!AA4</f>
        <v>16387551.828502208</v>
      </c>
      <c r="BQ5" s="105">
        <f>Penyediaan!AB4</f>
        <v>19588459.899999999</v>
      </c>
      <c r="BR5" s="105">
        <f>Penyusutan!BC19</f>
        <v>3686044.3738571904</v>
      </c>
      <c r="BS5" s="105">
        <f>BQ5-BR5</f>
        <v>15902415.526142808</v>
      </c>
      <c r="BT5" s="104"/>
      <c r="BU5" s="107"/>
      <c r="BV5" s="104"/>
      <c r="BW5" s="105">
        <f>Penyediaan!AC4</f>
        <v>38370723.298770189</v>
      </c>
      <c r="BX5" s="105">
        <f>Penyediaan!AD4</f>
        <v>17478374.798770189</v>
      </c>
      <c r="BY5" s="105">
        <f>Penyediaan!AE4</f>
        <v>20892348.5</v>
      </c>
      <c r="BZ5" s="105">
        <f>Penyusutan!BI19</f>
        <v>4138304.5488988999</v>
      </c>
      <c r="CA5" s="105">
        <f>BY5-BZ5</f>
        <v>16754043.9511011</v>
      </c>
      <c r="CB5" s="104"/>
      <c r="CC5" s="107"/>
      <c r="CD5" s="104"/>
      <c r="CE5" s="105">
        <f>Penyediaan!AF4</f>
        <v>40660247.543038756</v>
      </c>
      <c r="CF5" s="105">
        <f>Penyediaan!AG4</f>
        <v>18521283.543038756</v>
      </c>
      <c r="CG5" s="105">
        <f>Penyediaan!AH4</f>
        <v>22138964</v>
      </c>
      <c r="CH5" s="105">
        <f>Penyusutan!BO19</f>
        <v>4426259.1649909001</v>
      </c>
      <c r="CI5" s="105">
        <f>CG5-CH5</f>
        <v>17712704.835009098</v>
      </c>
      <c r="CJ5" s="104"/>
      <c r="CK5" s="107"/>
    </row>
    <row r="6" spans="1:89" ht="14.25" customHeight="1">
      <c r="A6" s="115" t="s">
        <v>54</v>
      </c>
      <c r="B6" s="116"/>
      <c r="C6" s="117"/>
      <c r="D6" s="118">
        <f>Penyediaan!C5</f>
        <v>7035633.6770690875</v>
      </c>
      <c r="E6" s="117"/>
      <c r="F6" s="117"/>
      <c r="G6" s="117"/>
      <c r="H6" s="117"/>
      <c r="I6" s="119"/>
      <c r="J6" s="116"/>
      <c r="K6" s="117"/>
      <c r="L6" s="118">
        <f>Penyediaan!F5</f>
        <v>7745630.1336852107</v>
      </c>
      <c r="M6" s="117"/>
      <c r="N6" s="117"/>
      <c r="O6" s="117"/>
      <c r="P6" s="117"/>
      <c r="Q6" s="119"/>
      <c r="R6" s="116"/>
      <c r="S6" s="117"/>
      <c r="T6" s="118">
        <f>Penyediaan!I5</f>
        <v>8353135.9765716353</v>
      </c>
      <c r="U6" s="117"/>
      <c r="V6" s="117"/>
      <c r="W6" s="117"/>
      <c r="X6" s="117"/>
      <c r="Y6" s="119"/>
      <c r="Z6" s="116"/>
      <c r="AA6" s="117"/>
      <c r="AB6" s="118">
        <f>Penyediaan!L5</f>
        <v>9023120.2582747675</v>
      </c>
      <c r="AC6" s="117"/>
      <c r="AD6" s="117"/>
      <c r="AE6" s="117"/>
      <c r="AF6" s="117"/>
      <c r="AG6" s="119"/>
      <c r="AH6" s="116"/>
      <c r="AI6" s="117"/>
      <c r="AJ6" s="118">
        <f>Penyediaan!O5</f>
        <v>9793746.2575405799</v>
      </c>
      <c r="AK6" s="117"/>
      <c r="AL6" s="117"/>
      <c r="AM6" s="117"/>
      <c r="AN6" s="117"/>
      <c r="AO6" s="119"/>
      <c r="AP6" s="116"/>
      <c r="AQ6" s="117"/>
      <c r="AR6" s="118">
        <f>Penyediaan!R5</f>
        <v>10566546.93471471</v>
      </c>
      <c r="AS6" s="117"/>
      <c r="AT6" s="117"/>
      <c r="AU6" s="117"/>
      <c r="AV6" s="117"/>
      <c r="AW6" s="119"/>
      <c r="AX6" s="116"/>
      <c r="AY6" s="117"/>
      <c r="AZ6" s="118">
        <f>Penyediaan!U5</f>
        <v>10592540.79849246</v>
      </c>
      <c r="BA6" s="117"/>
      <c r="BB6" s="117"/>
      <c r="BC6" s="117"/>
      <c r="BD6" s="117"/>
      <c r="BE6" s="119"/>
      <c r="BF6" s="116"/>
      <c r="BG6" s="117"/>
      <c r="BH6" s="118">
        <f>Penyediaan!X5</f>
        <v>11013795.611320138</v>
      </c>
      <c r="BI6" s="117"/>
      <c r="BJ6" s="117"/>
      <c r="BK6" s="117"/>
      <c r="BL6" s="117"/>
      <c r="BM6" s="119"/>
      <c r="BN6" s="116"/>
      <c r="BO6" s="117"/>
      <c r="BP6" s="118">
        <f>Penyediaan!AA5</f>
        <v>11896997.2442964</v>
      </c>
      <c r="BQ6" s="117"/>
      <c r="BR6" s="117"/>
      <c r="BS6" s="117"/>
      <c r="BT6" s="117"/>
      <c r="BU6" s="119"/>
      <c r="BV6" s="116"/>
      <c r="BW6" s="117"/>
      <c r="BX6" s="118">
        <f>Penyediaan!AD5</f>
        <v>12928271.737489318</v>
      </c>
      <c r="BY6" s="117"/>
      <c r="BZ6" s="117"/>
      <c r="CA6" s="117"/>
      <c r="CB6" s="117"/>
      <c r="CC6" s="119"/>
      <c r="CD6" s="116"/>
      <c r="CE6" s="117"/>
      <c r="CF6" s="118">
        <f>Penyediaan!AG5</f>
        <v>13976577.865418604</v>
      </c>
      <c r="CG6" s="117"/>
      <c r="CH6" s="117"/>
      <c r="CI6" s="117"/>
      <c r="CJ6" s="117"/>
      <c r="CK6" s="119"/>
    </row>
    <row r="7" spans="1:89" ht="14.25" customHeight="1">
      <c r="A7" s="115" t="s">
        <v>88</v>
      </c>
      <c r="B7" s="121">
        <v>33313960.605447683</v>
      </c>
      <c r="C7" s="117"/>
      <c r="D7" s="118">
        <f>Penyediaan!C6</f>
        <v>3613154.8335640235</v>
      </c>
      <c r="E7" s="117"/>
      <c r="F7" s="118">
        <f>-F5</f>
        <v>-1970519.4189492697</v>
      </c>
      <c r="G7" s="118">
        <f>D7+F7</f>
        <v>1642635.4146147538</v>
      </c>
      <c r="H7" s="118">
        <f>I7-B7-G7</f>
        <v>3145856.6506991107</v>
      </c>
      <c r="I7" s="122">
        <v>38102452.670761548</v>
      </c>
      <c r="J7" s="121">
        <f>I7</f>
        <v>38102452.670761548</v>
      </c>
      <c r="K7" s="117"/>
      <c r="L7" s="118">
        <f>Penyediaan!F6</f>
        <v>3736589.2838965547</v>
      </c>
      <c r="M7" s="117"/>
      <c r="N7" s="118">
        <f>-N5</f>
        <v>-2129438.2105772081</v>
      </c>
      <c r="O7" s="118">
        <f>L7+N7</f>
        <v>1607151.0733193466</v>
      </c>
      <c r="P7" s="118">
        <f>Q7-J7-O7</f>
        <v>1914113.8943846589</v>
      </c>
      <c r="Q7" s="122">
        <v>41623717.638465554</v>
      </c>
      <c r="R7" s="121">
        <f>Q7</f>
        <v>41623717.638465554</v>
      </c>
      <c r="S7" s="117"/>
      <c r="T7" s="118">
        <f>Penyediaan!I6</f>
        <v>3954755.352583807</v>
      </c>
      <c r="U7" s="117"/>
      <c r="V7" s="118">
        <f>-V5</f>
        <v>-2035689.39</v>
      </c>
      <c r="W7" s="118">
        <f>T7+V7</f>
        <v>1919065.9625838071</v>
      </c>
      <c r="X7" s="118">
        <f>Y7-R7-W7</f>
        <v>1318339.4179961712</v>
      </c>
      <c r="Y7" s="122">
        <v>44861123.019045532</v>
      </c>
      <c r="Z7" s="121">
        <f>Y7</f>
        <v>44861123.019045532</v>
      </c>
      <c r="AA7" s="117"/>
      <c r="AB7" s="118">
        <f>Penyediaan!L6</f>
        <v>4430927.8895896422</v>
      </c>
      <c r="AC7" s="117"/>
      <c r="AD7" s="118">
        <f>-AD5</f>
        <v>-2430937.4323177324</v>
      </c>
      <c r="AE7" s="118">
        <f>AB7+AD7</f>
        <v>1999990.4572719098</v>
      </c>
      <c r="AF7" s="118">
        <f>AG7-Z7-AE7</f>
        <v>2311045.3135480373</v>
      </c>
      <c r="AG7" s="122">
        <v>49172158.789865479</v>
      </c>
      <c r="AH7" s="121">
        <f>AG7</f>
        <v>49172158.789865479</v>
      </c>
      <c r="AI7" s="117"/>
      <c r="AJ7" s="118">
        <f>Penyediaan!O6</f>
        <v>5203608.734958115</v>
      </c>
      <c r="AK7" s="117"/>
      <c r="AL7" s="118">
        <f>-AL5</f>
        <v>-2800030.2108053002</v>
      </c>
      <c r="AM7" s="118">
        <f>AJ7+AL7</f>
        <v>2403578.5241528149</v>
      </c>
      <c r="AN7" s="118">
        <f>AO7-AH7-AM7</f>
        <v>2816519.1860657637</v>
      </c>
      <c r="AO7" s="122">
        <v>54392256.500084057</v>
      </c>
      <c r="AP7" s="121">
        <f>AO7</f>
        <v>54392256.500084057</v>
      </c>
      <c r="AQ7" s="117"/>
      <c r="AR7" s="118">
        <f>Penyediaan!R6</f>
        <v>5336521.5657815533</v>
      </c>
      <c r="AS7" s="117"/>
      <c r="AT7" s="118">
        <f>-AT5</f>
        <v>-3168101.1302457</v>
      </c>
      <c r="AU7" s="118">
        <f>AR7+AT7</f>
        <v>2168420.4355358533</v>
      </c>
      <c r="AV7" s="118">
        <f>AW7-AP7-AU7</f>
        <v>1617443.6827440285</v>
      </c>
      <c r="AW7" s="122">
        <v>58178120.618363939</v>
      </c>
      <c r="AX7" s="121">
        <f>AW7</f>
        <v>58178120.618363939</v>
      </c>
      <c r="AY7" s="117"/>
      <c r="AZ7" s="118">
        <f>Penyediaan!U6</f>
        <v>4589794.8424460199</v>
      </c>
      <c r="BA7" s="117"/>
      <c r="BB7" s="118">
        <f>-BB5</f>
        <v>-2943805.006662</v>
      </c>
      <c r="BC7" s="118">
        <f>AZ7+BB7</f>
        <v>1645989.8357840199</v>
      </c>
      <c r="BD7" s="118">
        <f>BE7-AX7-BC7</f>
        <v>1842694.5524192285</v>
      </c>
      <c r="BE7" s="122">
        <v>61666805.006567188</v>
      </c>
      <c r="BF7" s="121">
        <f>BE7</f>
        <v>61666805.006567188</v>
      </c>
      <c r="BG7" s="117"/>
      <c r="BH7" s="118">
        <f>Penyediaan!X6</f>
        <v>5516746.833418401</v>
      </c>
      <c r="BI7" s="117"/>
      <c r="BJ7" s="118">
        <f>-BJ5</f>
        <v>-3146409.0977163101</v>
      </c>
      <c r="BK7" s="118">
        <f>BH7+BJ7</f>
        <v>2370337.7357020909</v>
      </c>
      <c r="BL7" s="118">
        <f>BM7-BF7-BK7</f>
        <v>3659416.548991411</v>
      </c>
      <c r="BM7" s="122">
        <v>67696559.291260689</v>
      </c>
      <c r="BN7" s="121">
        <f>BM7</f>
        <v>67696559.291260689</v>
      </c>
      <c r="BO7" s="117"/>
      <c r="BP7" s="118">
        <f>Penyediaan!AA6</f>
        <v>6997805.2903226595</v>
      </c>
      <c r="BQ7" s="117"/>
      <c r="BR7" s="118">
        <f>-BR5</f>
        <v>-3686044.3738571904</v>
      </c>
      <c r="BS7" s="118">
        <f>BP7+BR7</f>
        <v>3311760.9164654692</v>
      </c>
      <c r="BT7" s="118">
        <f>BU7-BN7-BS7</f>
        <v>3334636.5114194374</v>
      </c>
      <c r="BU7" s="122">
        <v>74342956.719145596</v>
      </c>
      <c r="BV7" s="121">
        <f>BU7</f>
        <v>74342956.719145596</v>
      </c>
      <c r="BW7" s="117"/>
      <c r="BX7" s="118">
        <f>Penyediaan!AD6</f>
        <v>7510418.7321638819</v>
      </c>
      <c r="BY7" s="117"/>
      <c r="BZ7" s="118">
        <f>-BZ5</f>
        <v>-4138304.5488988999</v>
      </c>
      <c r="CA7" s="118">
        <f>BX7+BZ7</f>
        <v>3372114.183264982</v>
      </c>
      <c r="CB7" s="118">
        <f>CC7-BV7-CA7</f>
        <v>2718562.5490724184</v>
      </c>
      <c r="CC7" s="123">
        <f>BV7+'PDB ADHB'!K18</f>
        <v>80433633.451482996</v>
      </c>
      <c r="CD7" s="121">
        <f>CC7</f>
        <v>80433633.451482996</v>
      </c>
      <c r="CE7" s="117"/>
      <c r="CF7" s="118">
        <f>Penyediaan!AG6</f>
        <v>7765217.8917927938</v>
      </c>
      <c r="CG7" s="117"/>
      <c r="CH7" s="118">
        <f>-CH5</f>
        <v>-4426259.1649909001</v>
      </c>
      <c r="CI7" s="118">
        <f>CF7+CH7</f>
        <v>3338958.7268018937</v>
      </c>
      <c r="CJ7" s="118">
        <f>CK7-CD7-CI7</f>
        <v>3113571.9986374015</v>
      </c>
      <c r="CK7" s="123">
        <f>CD7+'PDB ADHB'!L18</f>
        <v>86886164.176922292</v>
      </c>
    </row>
    <row r="8" spans="1:89" ht="14.25" customHeight="1">
      <c r="A8" s="115" t="s">
        <v>72</v>
      </c>
      <c r="B8" s="116"/>
      <c r="C8" s="118">
        <f>Penyediaan!B7</f>
        <v>2580508.0388726876</v>
      </c>
      <c r="D8" s="118">
        <f>Penyediaan!C7</f>
        <v>2501424.8282395774</v>
      </c>
      <c r="E8" s="117"/>
      <c r="F8" s="117"/>
      <c r="G8" s="117"/>
      <c r="H8" s="117"/>
      <c r="I8" s="119"/>
      <c r="J8" s="116"/>
      <c r="K8" s="118">
        <f>Penyediaan!E7</f>
        <v>2394879.300143606</v>
      </c>
      <c r="L8" s="118">
        <f>Penyediaan!F7</f>
        <v>2438992.6825618404</v>
      </c>
      <c r="M8" s="117"/>
      <c r="N8" s="117"/>
      <c r="O8" s="117"/>
      <c r="P8" s="117"/>
      <c r="Q8" s="119"/>
      <c r="R8" s="116"/>
      <c r="S8" s="118">
        <f>Penyediaan!H7</f>
        <v>2273528.0202688258</v>
      </c>
      <c r="T8" s="118">
        <f>Penyediaan!I7</f>
        <v>2367365.1911133844</v>
      </c>
      <c r="U8" s="117"/>
      <c r="V8" s="117"/>
      <c r="W8" s="117"/>
      <c r="X8" s="117"/>
      <c r="Y8" s="119"/>
      <c r="Z8" s="116"/>
      <c r="AA8" s="118">
        <f>Penyediaan!K7</f>
        <v>2606282.95155431</v>
      </c>
      <c r="AB8" s="118">
        <f>Penyediaan!L7</f>
        <v>2742060.5036899005</v>
      </c>
      <c r="AC8" s="117"/>
      <c r="AD8" s="117"/>
      <c r="AE8" s="117"/>
      <c r="AF8" s="117"/>
      <c r="AG8" s="119"/>
      <c r="AH8" s="116"/>
      <c r="AI8" s="118">
        <f>Penyediaan!N7</f>
        <v>3275145.2985235001</v>
      </c>
      <c r="AJ8" s="118">
        <f>Penyediaan!O7</f>
        <v>3116546.3060248001</v>
      </c>
      <c r="AK8" s="117"/>
      <c r="AL8" s="117"/>
      <c r="AM8" s="117"/>
      <c r="AN8" s="117"/>
      <c r="AO8" s="119"/>
      <c r="AP8" s="116"/>
      <c r="AQ8" s="118">
        <f>Penyediaan!Q7</f>
        <v>3013944.1648519998</v>
      </c>
      <c r="AR8" s="118">
        <f>Penyediaan!R7</f>
        <v>2943532.8643557001</v>
      </c>
      <c r="AS8" s="117"/>
      <c r="AT8" s="117"/>
      <c r="AU8" s="117"/>
      <c r="AV8" s="117"/>
      <c r="AW8" s="119"/>
      <c r="AX8" s="116"/>
      <c r="AY8" s="118">
        <f>Penyediaan!T7</f>
        <v>2415495.9728607</v>
      </c>
      <c r="AZ8" s="118">
        <f>Penyediaan!U7</f>
        <v>2676513.5319222999</v>
      </c>
      <c r="BA8" s="117"/>
      <c r="BB8" s="117"/>
      <c r="BC8" s="117"/>
      <c r="BD8" s="117"/>
      <c r="BE8" s="119"/>
      <c r="BF8" s="116"/>
      <c r="BG8" s="118">
        <f>Penyediaan!W7</f>
        <v>3189626.4540253198</v>
      </c>
      <c r="BH8" s="118">
        <f>Penyediaan!X7</f>
        <v>3635835.4092867798</v>
      </c>
      <c r="BI8" s="117"/>
      <c r="BJ8" s="117"/>
      <c r="BK8" s="117"/>
      <c r="BL8" s="117"/>
      <c r="BM8" s="119"/>
      <c r="BN8" s="116"/>
      <c r="BO8" s="118">
        <f>Penyediaan!Z7</f>
        <v>4106085.6647048593</v>
      </c>
      <c r="BP8" s="118">
        <f>Penyediaan!AA7</f>
        <v>4799743.0300858002</v>
      </c>
      <c r="BQ8" s="117"/>
      <c r="BR8" s="117"/>
      <c r="BS8" s="117"/>
      <c r="BT8" s="117"/>
      <c r="BU8" s="119"/>
      <c r="BV8" s="116"/>
      <c r="BW8" s="118">
        <f>Penyediaan!AC7</f>
        <v>4091231.5372796999</v>
      </c>
      <c r="BX8" s="118">
        <f>Penyediaan!AD7</f>
        <v>4544889.5676264996</v>
      </c>
      <c r="BY8" s="117"/>
      <c r="BZ8" s="117"/>
      <c r="CA8" s="117"/>
      <c r="CB8" s="117"/>
      <c r="CC8" s="119"/>
      <c r="CD8" s="116"/>
      <c r="CE8" s="118">
        <f>Penyediaan!AF7</f>
        <v>4513987.4117319006</v>
      </c>
      <c r="CF8" s="118">
        <f>Penyediaan!AG7</f>
        <v>4911155.6545205005</v>
      </c>
      <c r="CG8" s="117"/>
      <c r="CH8" s="117"/>
      <c r="CI8" s="117"/>
      <c r="CJ8" s="117"/>
      <c r="CK8" s="119"/>
    </row>
    <row r="9" spans="1:89" ht="14.25" customHeight="1">
      <c r="A9" s="115" t="s">
        <v>26</v>
      </c>
      <c r="B9" s="127"/>
      <c r="C9" s="128">
        <f>Penyediaan!B8</f>
        <v>22766530.005500302</v>
      </c>
      <c r="D9" s="128">
        <f>Penyediaan!C8</f>
        <v>22766530.005500302</v>
      </c>
      <c r="E9" s="129"/>
      <c r="F9" s="129"/>
      <c r="G9" s="129"/>
      <c r="H9" s="129"/>
      <c r="I9" s="130"/>
      <c r="J9" s="127"/>
      <c r="K9" s="128">
        <f>Penyediaan!E8</f>
        <v>24407868.356277492</v>
      </c>
      <c r="L9" s="128">
        <f>Penyediaan!F8</f>
        <v>24407868.356277488</v>
      </c>
      <c r="M9" s="129"/>
      <c r="N9" s="129"/>
      <c r="O9" s="129"/>
      <c r="P9" s="129"/>
      <c r="Q9" s="130"/>
      <c r="R9" s="127"/>
      <c r="S9" s="128">
        <f>Penyediaan!H8</f>
        <v>25055474.766926087</v>
      </c>
      <c r="T9" s="128">
        <f>Penyediaan!I8</f>
        <v>25055474.766926087</v>
      </c>
      <c r="U9" s="129"/>
      <c r="V9" s="129"/>
      <c r="W9" s="129"/>
      <c r="X9" s="129"/>
      <c r="Y9" s="130"/>
      <c r="Z9" s="127"/>
      <c r="AA9" s="128">
        <f>Penyediaan!K8</f>
        <v>27570761.523533553</v>
      </c>
      <c r="AB9" s="128">
        <f>Penyediaan!L8</f>
        <v>27570761.523533549</v>
      </c>
      <c r="AC9" s="129"/>
      <c r="AD9" s="129"/>
      <c r="AE9" s="129"/>
      <c r="AF9" s="129"/>
      <c r="AG9" s="130"/>
      <c r="AH9" s="127"/>
      <c r="AI9" s="128">
        <f>Penyediaan!N8</f>
        <v>30533905.960687723</v>
      </c>
      <c r="AJ9" s="128">
        <f>Penyediaan!O8</f>
        <v>30533905.960687719</v>
      </c>
      <c r="AK9" s="129"/>
      <c r="AL9" s="129"/>
      <c r="AM9" s="129"/>
      <c r="AN9" s="129"/>
      <c r="AO9" s="130"/>
      <c r="AP9" s="127"/>
      <c r="AQ9" s="128">
        <f>Penyediaan!Q8</f>
        <v>32318228.910692152</v>
      </c>
      <c r="AR9" s="128">
        <f>Penyediaan!R8</f>
        <v>32318228.910692118</v>
      </c>
      <c r="AS9" s="129"/>
      <c r="AT9" s="129"/>
      <c r="AU9" s="129"/>
      <c r="AV9" s="129"/>
      <c r="AW9" s="130"/>
      <c r="AX9" s="127"/>
      <c r="AY9" s="128">
        <f>Penyediaan!T8</f>
        <v>30790236.290383823</v>
      </c>
      <c r="AZ9" s="128">
        <f>Penyediaan!U8</f>
        <v>30790236.290383901</v>
      </c>
      <c r="BA9" s="129"/>
      <c r="BB9" s="129"/>
      <c r="BC9" s="129"/>
      <c r="BD9" s="129"/>
      <c r="BE9" s="130"/>
      <c r="BF9" s="127"/>
      <c r="BG9" s="128">
        <f>Penyediaan!W8</f>
        <v>34368994.847263128</v>
      </c>
      <c r="BH9" s="128">
        <f>Penyediaan!X8</f>
        <v>34368994.847263128</v>
      </c>
      <c r="BI9" s="129"/>
      <c r="BJ9" s="129"/>
      <c r="BK9" s="129"/>
      <c r="BL9" s="129"/>
      <c r="BM9" s="130"/>
      <c r="BN9" s="127"/>
      <c r="BO9" s="128">
        <f>Penyediaan!Z8</f>
        <v>40082097.393207066</v>
      </c>
      <c r="BP9" s="128">
        <f>Penyediaan!AA8</f>
        <v>40082097.393207073</v>
      </c>
      <c r="BQ9" s="129"/>
      <c r="BR9" s="129"/>
      <c r="BS9" s="129"/>
      <c r="BT9" s="129"/>
      <c r="BU9" s="130"/>
      <c r="BV9" s="127"/>
      <c r="BW9" s="128">
        <f>Penyediaan!AC8</f>
        <v>42461954.836049892</v>
      </c>
      <c r="BX9" s="128">
        <f>Penyediaan!AD8</f>
        <v>42461954.836049892</v>
      </c>
      <c r="BY9" s="129"/>
      <c r="BZ9" s="129"/>
      <c r="CA9" s="129"/>
      <c r="CB9" s="129"/>
      <c r="CC9" s="130"/>
      <c r="CD9" s="127"/>
      <c r="CE9" s="128">
        <f>Penyediaan!AF8</f>
        <v>45174234.954770654</v>
      </c>
      <c r="CF9" s="128">
        <f>Penyediaan!AG8</f>
        <v>45174234.954770654</v>
      </c>
      <c r="CG9" s="129"/>
      <c r="CH9" s="129"/>
      <c r="CI9" s="129"/>
      <c r="CJ9" s="129"/>
      <c r="CK9" s="130"/>
    </row>
    <row r="10" spans="1:89" ht="14.25" customHeight="1">
      <c r="I10" s="132">
        <f>B7+'PDB ADHB'!B18</f>
        <v>36750884.348872542</v>
      </c>
      <c r="Q10" s="132">
        <f>J7+'PDB ADHB'!C18</f>
        <v>41884464.526739724</v>
      </c>
      <c r="Y10" s="132">
        <f>R7+'PDB ADHB'!D18</f>
        <v>45663919.450133249</v>
      </c>
    </row>
    <row r="11" spans="1:89" ht="14.25" customHeight="1">
      <c r="AS11" s="132"/>
      <c r="BA11" s="132"/>
      <c r="BI11" s="132"/>
    </row>
    <row r="12" spans="1:89" ht="14.25" customHeight="1">
      <c r="A12" s="133" t="s">
        <v>95</v>
      </c>
      <c r="B12" s="134"/>
      <c r="C12" s="134"/>
      <c r="D12" s="134"/>
      <c r="E12" s="134"/>
      <c r="J12" s="134"/>
      <c r="K12" s="134"/>
      <c r="L12" s="134"/>
      <c r="M12" s="134"/>
    </row>
    <row r="13" spans="1:89" ht="14.25" customHeight="1">
      <c r="A13" s="135" t="s">
        <v>97</v>
      </c>
      <c r="B13" s="136"/>
      <c r="C13" s="136"/>
      <c r="D13" s="136"/>
      <c r="E13" s="136"/>
      <c r="CC13" s="14">
        <f>CC7+'PDB ADHB'!L18</f>
        <v>86886164.176922292</v>
      </c>
      <c r="CK13" s="14">
        <f>CK7+'PDB ADHB'!T18</f>
        <v>86886164.176922292</v>
      </c>
    </row>
    <row r="14" spans="1:89" ht="14.25" customHeight="1">
      <c r="A14" s="139" t="s">
        <v>98</v>
      </c>
      <c r="B14" s="140"/>
      <c r="C14" s="140"/>
      <c r="D14" s="140" t="s">
        <v>100</v>
      </c>
      <c r="E14" s="140"/>
      <c r="BW14" s="14">
        <f>BU7-BN7</f>
        <v>6646397.4278849065</v>
      </c>
      <c r="CE14" s="14">
        <f>CC7-BV7</f>
        <v>6090676.7323374003</v>
      </c>
    </row>
    <row r="15" spans="1:89" ht="14.25" customHeight="1">
      <c r="A15" s="139" t="s">
        <v>44</v>
      </c>
      <c r="B15" s="140" t="s">
        <v>101</v>
      </c>
      <c r="C15" s="140"/>
      <c r="D15" s="140"/>
      <c r="E15" s="140" t="s">
        <v>103</v>
      </c>
    </row>
    <row r="16" spans="1:89" ht="14.25" customHeight="1">
      <c r="A16" s="139" t="s">
        <v>45</v>
      </c>
      <c r="B16" s="140" t="s">
        <v>105</v>
      </c>
      <c r="C16" s="140" t="s">
        <v>106</v>
      </c>
      <c r="D16" s="142" t="s">
        <v>107</v>
      </c>
      <c r="E16" s="140" t="s">
        <v>108</v>
      </c>
    </row>
    <row r="17" spans="1:6" ht="14.25" customHeight="1">
      <c r="A17" s="139" t="s">
        <v>47</v>
      </c>
      <c r="B17" s="140" t="s">
        <v>109</v>
      </c>
      <c r="C17" s="140"/>
      <c r="D17" s="140"/>
      <c r="E17" s="140"/>
    </row>
    <row r="18" spans="1:6" ht="14.25" customHeight="1">
      <c r="A18" s="139" t="s">
        <v>48</v>
      </c>
      <c r="B18" s="140" t="s">
        <v>110</v>
      </c>
      <c r="C18" s="140"/>
      <c r="D18" s="143" t="s">
        <v>111</v>
      </c>
      <c r="E18" s="140"/>
    </row>
    <row r="19" spans="1:6" ht="14.25" customHeight="1">
      <c r="A19" s="139" t="s">
        <v>49</v>
      </c>
      <c r="B19" s="140" t="s">
        <v>112</v>
      </c>
      <c r="C19" s="140"/>
      <c r="D19" s="140" t="s">
        <v>113</v>
      </c>
      <c r="E19" s="140"/>
    </row>
    <row r="20" spans="1:6" ht="14.25" customHeight="1">
      <c r="A20" s="139" t="s">
        <v>50</v>
      </c>
      <c r="B20" s="140"/>
      <c r="C20" s="140"/>
      <c r="D20" s="140" t="s">
        <v>114</v>
      </c>
      <c r="E20" s="140"/>
    </row>
    <row r="21" spans="1:6" ht="14.25" customHeight="1">
      <c r="A21" s="139" t="s">
        <v>51</v>
      </c>
      <c r="B21" s="140"/>
      <c r="C21" s="140"/>
      <c r="D21" s="140"/>
      <c r="E21" s="140"/>
    </row>
    <row r="22" spans="1:6" ht="14.25" customHeight="1">
      <c r="A22" s="145" t="s">
        <v>115</v>
      </c>
      <c r="B22" s="146"/>
      <c r="C22" s="146"/>
      <c r="D22" s="146" t="s">
        <v>116</v>
      </c>
      <c r="E22" s="146"/>
    </row>
    <row r="23" spans="1:6" ht="14.25" customHeight="1">
      <c r="A23" s="147"/>
      <c r="B23" s="134"/>
      <c r="C23" s="134"/>
      <c r="D23" s="134"/>
      <c r="E23" s="134"/>
    </row>
    <row r="24" spans="1:6" ht="14.25" customHeight="1">
      <c r="A24" s="149" t="s">
        <v>95</v>
      </c>
      <c r="B24" s="147"/>
      <c r="C24" s="147"/>
      <c r="D24" s="147"/>
      <c r="E24" s="147"/>
    </row>
    <row r="25" spans="1:6" ht="14.25" customHeight="1">
      <c r="A25" s="150" t="s">
        <v>97</v>
      </c>
      <c r="B25" s="150"/>
      <c r="C25" s="150"/>
      <c r="D25" s="150"/>
      <c r="E25" s="150"/>
    </row>
    <row r="26" spans="1:6" ht="14.25" customHeight="1">
      <c r="A26" s="151" t="s">
        <v>98</v>
      </c>
      <c r="B26" s="151"/>
      <c r="C26" s="151"/>
      <c r="D26" s="152" t="s">
        <v>100</v>
      </c>
      <c r="E26" s="151"/>
    </row>
    <row r="27" spans="1:6" ht="14.25" customHeight="1">
      <c r="A27" s="151" t="s">
        <v>44</v>
      </c>
      <c r="B27" s="152" t="s">
        <v>101</v>
      </c>
      <c r="C27" s="152"/>
      <c r="D27" s="152"/>
      <c r="E27" s="152" t="s">
        <v>103</v>
      </c>
    </row>
    <row r="28" spans="1:6" ht="14.25" customHeight="1">
      <c r="A28" s="151" t="s">
        <v>45</v>
      </c>
      <c r="B28" s="152" t="s">
        <v>105</v>
      </c>
      <c r="C28" s="152" t="s">
        <v>106</v>
      </c>
      <c r="D28" s="142" t="s">
        <v>107</v>
      </c>
      <c r="E28" s="152" t="s">
        <v>108</v>
      </c>
    </row>
    <row r="29" spans="1:6" ht="14.25" customHeight="1">
      <c r="A29" s="151" t="s">
        <v>47</v>
      </c>
      <c r="B29" s="152" t="s">
        <v>109</v>
      </c>
      <c r="C29" s="152"/>
      <c r="D29" s="152"/>
      <c r="E29" s="152"/>
    </row>
    <row r="30" spans="1:6" ht="14.25" customHeight="1">
      <c r="A30" s="151" t="s">
        <v>48</v>
      </c>
      <c r="B30" s="152" t="s">
        <v>110</v>
      </c>
      <c r="C30" s="152"/>
      <c r="D30" s="157" t="s">
        <v>111</v>
      </c>
      <c r="E30" s="152"/>
    </row>
    <row r="31" spans="1:6" ht="14.25" customHeight="1">
      <c r="A31" s="151" t="s">
        <v>49</v>
      </c>
      <c r="B31" s="152" t="s">
        <v>112</v>
      </c>
      <c r="C31" s="152"/>
      <c r="D31" s="159" t="s">
        <v>113</v>
      </c>
      <c r="E31" s="152"/>
    </row>
    <row r="32" spans="1:6" ht="14.25" customHeight="1">
      <c r="A32" s="151" t="s">
        <v>50</v>
      </c>
      <c r="B32" s="152"/>
      <c r="C32" s="152"/>
      <c r="D32" s="152" t="s">
        <v>114</v>
      </c>
      <c r="E32" s="152"/>
      <c r="F32" s="2" t="s">
        <v>120</v>
      </c>
    </row>
    <row r="33" spans="1:6" ht="14.25" customHeight="1">
      <c r="A33" s="151" t="s">
        <v>51</v>
      </c>
      <c r="B33" s="151"/>
      <c r="C33" s="151"/>
      <c r="D33" s="151"/>
      <c r="E33" s="151"/>
    </row>
    <row r="34" spans="1:6" ht="14.25" customHeight="1">
      <c r="A34" s="161" t="s">
        <v>115</v>
      </c>
      <c r="B34" s="161"/>
      <c r="C34" s="161"/>
      <c r="D34" s="162" t="s">
        <v>116</v>
      </c>
      <c r="E34" s="161"/>
      <c r="F34" s="2" t="s">
        <v>122</v>
      </c>
    </row>
    <row r="35" spans="1:6" ht="14.25" customHeight="1"/>
    <row r="36" spans="1:6" ht="14.25" customHeight="1"/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8">
    <mergeCell ref="CH3:CH4"/>
    <mergeCell ref="CI3:CI4"/>
    <mergeCell ref="CJ3:CJ4"/>
    <mergeCell ref="O3:O4"/>
    <mergeCell ref="P3:P4"/>
    <mergeCell ref="AM3:AM4"/>
    <mergeCell ref="AN3:AN4"/>
    <mergeCell ref="AQ3:AQ4"/>
    <mergeCell ref="AR3:AR4"/>
    <mergeCell ref="AS3:AS4"/>
    <mergeCell ref="M3:M4"/>
    <mergeCell ref="N3:N4"/>
    <mergeCell ref="CE3:CE4"/>
    <mergeCell ref="CF3:CF4"/>
    <mergeCell ref="CG3:CG4"/>
    <mergeCell ref="AX2:BE2"/>
    <mergeCell ref="BF2:BM2"/>
    <mergeCell ref="BN2:BU2"/>
    <mergeCell ref="BV2:CC2"/>
    <mergeCell ref="CD2:CK2"/>
    <mergeCell ref="CA3:CA4"/>
    <mergeCell ref="CB3:CB4"/>
    <mergeCell ref="BR3:BR4"/>
    <mergeCell ref="BS3:BS4"/>
    <mergeCell ref="BT3:BT4"/>
    <mergeCell ref="BW3:BW4"/>
    <mergeCell ref="BX3:BX4"/>
    <mergeCell ref="BY3:BY4"/>
    <mergeCell ref="BZ3:BZ4"/>
    <mergeCell ref="BP3:BP4"/>
    <mergeCell ref="BQ3:BQ4"/>
    <mergeCell ref="BG3:BG4"/>
    <mergeCell ref="BH3:BH4"/>
    <mergeCell ref="BI3:BI4"/>
    <mergeCell ref="BJ3:BJ4"/>
    <mergeCell ref="BK3:BK4"/>
    <mergeCell ref="BL3:BL4"/>
    <mergeCell ref="BO3:BO4"/>
    <mergeCell ref="BC3:BC4"/>
    <mergeCell ref="BD3:BD4"/>
    <mergeCell ref="AT3:AT4"/>
    <mergeCell ref="AU3:AU4"/>
    <mergeCell ref="AV3:AV4"/>
    <mergeCell ref="AY3:AY4"/>
    <mergeCell ref="AZ3:AZ4"/>
    <mergeCell ref="BA3:BA4"/>
    <mergeCell ref="BB3:BB4"/>
    <mergeCell ref="AP2:AW2"/>
    <mergeCell ref="S3:S4"/>
    <mergeCell ref="T3:T4"/>
    <mergeCell ref="U3:U4"/>
    <mergeCell ref="V3:V4"/>
    <mergeCell ref="W3:W4"/>
    <mergeCell ref="X3:X4"/>
    <mergeCell ref="AA3:AA4"/>
    <mergeCell ref="AB3:AB4"/>
    <mergeCell ref="AC3:AC4"/>
    <mergeCell ref="AD3:AD4"/>
    <mergeCell ref="AE3:AE4"/>
    <mergeCell ref="AF3:AF4"/>
    <mergeCell ref="AI3:AI4"/>
    <mergeCell ref="AJ3:AJ4"/>
    <mergeCell ref="AK3:AK4"/>
    <mergeCell ref="AL3:AL4"/>
    <mergeCell ref="A2:A4"/>
    <mergeCell ref="B2:I2"/>
    <mergeCell ref="J2:Q2"/>
    <mergeCell ref="R2:Y2"/>
    <mergeCell ref="Z2:AG2"/>
    <mergeCell ref="AH2:AO2"/>
    <mergeCell ref="C3:C4"/>
    <mergeCell ref="D3:D4"/>
    <mergeCell ref="E3:E4"/>
    <mergeCell ref="F3:F4"/>
    <mergeCell ref="G3:G4"/>
    <mergeCell ref="H3:H4"/>
    <mergeCell ref="K3:K4"/>
    <mergeCell ref="L3:L4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1:Z1000"/>
  <sheetViews>
    <sheetView workbookViewId="0">
      <pane xSplit="3" ySplit="5" topLeftCell="D29" activePane="bottomRight" state="frozen"/>
      <selection pane="topRight" activeCell="D1" sqref="D1"/>
      <selection pane="bottomLeft" activeCell="A6" sqref="A6"/>
      <selection pane="bottomRight" activeCell="D35" sqref="D35"/>
    </sheetView>
  </sheetViews>
  <sheetFormatPr defaultColWidth="14.42578125" defaultRowHeight="15" customHeight="1"/>
  <cols>
    <col min="1" max="1" width="9.140625" customWidth="1"/>
    <col min="2" max="2" width="33.28515625" customWidth="1"/>
    <col min="3" max="3" width="11.5703125" hidden="1" customWidth="1"/>
    <col min="4" max="4" width="12.7109375" customWidth="1"/>
    <col min="5" max="10" width="13.28515625" customWidth="1"/>
    <col min="11" max="14" width="11.28515625" customWidth="1"/>
    <col min="15" max="26" width="9.140625" customWidth="1"/>
  </cols>
  <sheetData>
    <row r="1" spans="1:26" ht="14.25" customHeight="1">
      <c r="A1" s="344" t="s">
        <v>96</v>
      </c>
      <c r="B1" s="343"/>
      <c r="C1" s="343"/>
      <c r="D1" s="343"/>
      <c r="E1" s="343"/>
      <c r="F1" s="343"/>
      <c r="G1" s="343"/>
      <c r="H1" s="343"/>
      <c r="I1" s="137"/>
      <c r="J1" s="137"/>
      <c r="K1" s="6"/>
      <c r="L1" s="6"/>
      <c r="M1" s="6"/>
      <c r="N1" s="6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spans="1:26" ht="14.25" customHeight="1">
      <c r="A2" s="138" t="s">
        <v>99</v>
      </c>
      <c r="B2" s="138"/>
      <c r="C2" s="138"/>
      <c r="D2" s="137"/>
      <c r="E2" s="137"/>
      <c r="F2" s="137"/>
      <c r="G2" s="137"/>
      <c r="H2" s="137"/>
      <c r="I2" s="137"/>
      <c r="J2" s="137"/>
      <c r="K2" s="6"/>
      <c r="L2" s="6"/>
      <c r="M2" s="6"/>
      <c r="N2" s="6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spans="1:26" ht="15.75" customHeight="1">
      <c r="A3" s="345" t="s">
        <v>102</v>
      </c>
      <c r="B3" s="346"/>
      <c r="C3" s="346"/>
      <c r="D3" s="334" t="s">
        <v>104</v>
      </c>
      <c r="E3" s="335"/>
      <c r="F3" s="335"/>
      <c r="G3" s="335"/>
      <c r="H3" s="335"/>
      <c r="I3" s="335"/>
      <c r="J3" s="335"/>
      <c r="K3" s="335"/>
      <c r="L3" s="335"/>
      <c r="M3" s="141"/>
      <c r="N3" s="141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 spans="1:26" ht="15.75" customHeight="1">
      <c r="A4" s="338"/>
      <c r="B4" s="338"/>
      <c r="C4" s="338"/>
      <c r="D4" s="144">
        <f>E4-1</f>
        <v>2014</v>
      </c>
      <c r="E4" s="144">
        <f>'PDB ADHB'!C1</f>
        <v>2015</v>
      </c>
      <c r="F4" s="144">
        <f>'PDB ADHB'!D1</f>
        <v>2016</v>
      </c>
      <c r="G4" s="144">
        <f>'PDB ADHB'!E1</f>
        <v>2017</v>
      </c>
      <c r="H4" s="144">
        <f>'PDB ADHB'!F1</f>
        <v>2018</v>
      </c>
      <c r="I4" s="144">
        <f>'PDB ADHB'!G1</f>
        <v>2019</v>
      </c>
      <c r="J4" s="144">
        <f>'PDB ADHB'!H1</f>
        <v>2020</v>
      </c>
      <c r="K4" s="144">
        <f>'PDB ADHB'!I1</f>
        <v>2021</v>
      </c>
      <c r="L4" s="144">
        <f>'PDB ADHB'!J1</f>
        <v>2022</v>
      </c>
      <c r="M4" s="144" t="str">
        <f>'PDB ADHB'!K1</f>
        <v>2023*</v>
      </c>
      <c r="N4" s="144" t="str">
        <f>'PDB ADHB'!L1</f>
        <v>2024**</v>
      </c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 spans="1:26" ht="14.25" customHeight="1">
      <c r="A5" s="339">
        <v>-1</v>
      </c>
      <c r="B5" s="294"/>
      <c r="C5" s="294"/>
      <c r="D5" s="148">
        <f>A5-1</f>
        <v>-2</v>
      </c>
      <c r="E5" s="148">
        <f t="shared" ref="E5:K5" si="0">D5-1</f>
        <v>-3</v>
      </c>
      <c r="F5" s="148">
        <f t="shared" si="0"/>
        <v>-4</v>
      </c>
      <c r="G5" s="148">
        <f t="shared" si="0"/>
        <v>-5</v>
      </c>
      <c r="H5" s="148">
        <f t="shared" si="0"/>
        <v>-6</v>
      </c>
      <c r="I5" s="148">
        <f t="shared" si="0"/>
        <v>-7</v>
      </c>
      <c r="J5" s="148">
        <f t="shared" si="0"/>
        <v>-8</v>
      </c>
      <c r="K5" s="148">
        <f t="shared" si="0"/>
        <v>-9</v>
      </c>
      <c r="L5" s="148">
        <f t="shared" ref="L5:N5" si="1">J5-1</f>
        <v>-9</v>
      </c>
      <c r="M5" s="148">
        <f t="shared" si="1"/>
        <v>-10</v>
      </c>
      <c r="N5" s="148">
        <f t="shared" si="1"/>
        <v>-10</v>
      </c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 spans="1:26" ht="14.25" customHeight="1">
      <c r="A6" s="153" t="s">
        <v>117</v>
      </c>
      <c r="B6" s="153"/>
      <c r="C6" s="138"/>
      <c r="D6" s="154">
        <v>701661.76437430608</v>
      </c>
      <c r="E6" s="154">
        <v>719985.08593615424</v>
      </c>
      <c r="F6" s="154">
        <v>628834.11034068733</v>
      </c>
      <c r="G6" s="154">
        <v>681499.89064630575</v>
      </c>
      <c r="H6" s="154">
        <v>749533.48946009087</v>
      </c>
      <c r="I6" s="154">
        <v>740284.00334144756</v>
      </c>
      <c r="J6" s="154">
        <v>818198.37655188492</v>
      </c>
      <c r="K6" s="155">
        <v>952915.51878835238</v>
      </c>
      <c r="L6" s="155">
        <v>1100095.7065798338</v>
      </c>
      <c r="M6" s="155">
        <v>1173971.8049369522</v>
      </c>
      <c r="N6" s="155">
        <v>1390349.5952327701</v>
      </c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spans="1:26" ht="14.25" customHeight="1">
      <c r="A7" s="138" t="s">
        <v>118</v>
      </c>
      <c r="B7" s="138"/>
      <c r="C7" s="138"/>
      <c r="D7" s="156"/>
      <c r="E7" s="156"/>
      <c r="F7" s="156"/>
      <c r="G7" s="156"/>
      <c r="H7" s="156"/>
      <c r="I7" s="156"/>
      <c r="J7" s="156"/>
      <c r="K7" s="158"/>
      <c r="L7" s="158"/>
      <c r="M7" s="158"/>
      <c r="N7" s="15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spans="1:26" ht="14.25" customHeight="1">
      <c r="A8" s="160" t="s">
        <v>119</v>
      </c>
      <c r="B8" s="138"/>
      <c r="C8" s="138"/>
      <c r="D8" s="156">
        <v>4013.4807842659384</v>
      </c>
      <c r="E8" s="156">
        <v>3927.0238445242735</v>
      </c>
      <c r="F8" s="156">
        <v>4254.0726440467788</v>
      </c>
      <c r="G8" s="156">
        <v>4901.6472323862145</v>
      </c>
      <c r="H8" s="156">
        <v>5087.042159051407</v>
      </c>
      <c r="I8" s="156">
        <v>6109.5670075583485</v>
      </c>
      <c r="J8" s="156">
        <v>7281.4543300466876</v>
      </c>
      <c r="K8" s="158">
        <v>7365.4623303993403</v>
      </c>
      <c r="L8" s="158">
        <v>9402.4751635568991</v>
      </c>
      <c r="M8" s="158">
        <v>12119.482071910646</v>
      </c>
      <c r="N8" s="158">
        <v>11982.624995940085</v>
      </c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spans="1:26" ht="14.25" customHeight="1">
      <c r="A9" s="160" t="s">
        <v>121</v>
      </c>
      <c r="B9" s="138"/>
      <c r="C9" s="138"/>
      <c r="D9" s="156">
        <v>1626.2871757975449</v>
      </c>
      <c r="E9" s="156">
        <v>2284.5051943251915</v>
      </c>
      <c r="F9" s="156">
        <v>2856.7212750051899</v>
      </c>
      <c r="G9" s="156">
        <v>1401.2454085572581</v>
      </c>
      <c r="H9" s="156">
        <v>1773.0105592217681</v>
      </c>
      <c r="I9" s="156">
        <v>3075.1911676746968</v>
      </c>
      <c r="J9" s="156">
        <v>3032.5429666818818</v>
      </c>
      <c r="K9" s="158">
        <v>1343.8434326221472</v>
      </c>
      <c r="L9" s="158">
        <v>2447.6810577503998</v>
      </c>
      <c r="M9" s="158">
        <v>2087.0908743877862</v>
      </c>
      <c r="N9" s="158">
        <v>3715.5351001157787</v>
      </c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spans="1:26" ht="14.25" customHeight="1">
      <c r="A10" s="163" t="s">
        <v>123</v>
      </c>
      <c r="B10" s="138"/>
      <c r="C10" s="138"/>
      <c r="D10" s="154">
        <v>5639.7679600634838</v>
      </c>
      <c r="E10" s="154">
        <v>6211.529038849465</v>
      </c>
      <c r="F10" s="154">
        <v>7110.7939190519683</v>
      </c>
      <c r="G10" s="154">
        <v>6302.8926409434725</v>
      </c>
      <c r="H10" s="154">
        <v>6860.0527182731748</v>
      </c>
      <c r="I10" s="154">
        <v>9184.7581752330443</v>
      </c>
      <c r="J10" s="154">
        <v>10313.997296728568</v>
      </c>
      <c r="K10" s="155">
        <v>8709.305763021488</v>
      </c>
      <c r="L10" s="155">
        <v>11850.156221307299</v>
      </c>
      <c r="M10" s="155">
        <v>14206.572946298433</v>
      </c>
      <c r="N10" s="155">
        <v>15698.160096055864</v>
      </c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spans="1:26" ht="14.25" customHeight="1">
      <c r="A11" s="138" t="s">
        <v>124</v>
      </c>
      <c r="B11" s="138"/>
      <c r="C11" s="138"/>
      <c r="D11" s="156"/>
      <c r="E11" s="156"/>
      <c r="F11" s="156"/>
      <c r="G11" s="156"/>
      <c r="H11" s="156"/>
      <c r="I11" s="156"/>
      <c r="J11" s="156"/>
      <c r="K11" s="158"/>
      <c r="L11" s="158"/>
      <c r="M11" s="158"/>
      <c r="N11" s="15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spans="1:26" ht="14.25" customHeight="1">
      <c r="A12" s="160" t="s">
        <v>125</v>
      </c>
      <c r="B12" s="138"/>
      <c r="C12" s="138"/>
      <c r="D12" s="156">
        <v>6621.4560558614594</v>
      </c>
      <c r="E12" s="156">
        <v>6545.6817208921921</v>
      </c>
      <c r="F12" s="156">
        <v>7473.9509986219928</v>
      </c>
      <c r="G12" s="156">
        <v>8951.9533320911232</v>
      </c>
      <c r="H12" s="156">
        <v>9094.5458616517426</v>
      </c>
      <c r="I12" s="156">
        <v>11560.7383085888</v>
      </c>
      <c r="J12" s="156">
        <v>14524.238443328266</v>
      </c>
      <c r="K12" s="158">
        <v>15185.368554604096</v>
      </c>
      <c r="L12" s="158">
        <v>20145.684996937118</v>
      </c>
      <c r="M12" s="158">
        <v>27656.298962258992</v>
      </c>
      <c r="N12" s="158">
        <v>26332.756025001047</v>
      </c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spans="1:26" ht="14.25" customHeight="1">
      <c r="A13" s="160" t="s">
        <v>126</v>
      </c>
      <c r="B13" s="138"/>
      <c r="C13" s="138"/>
      <c r="D13" s="156">
        <v>28141.491282574319</v>
      </c>
      <c r="E13" s="156">
        <v>89344.513939402634</v>
      </c>
      <c r="F13" s="156">
        <v>32133.042765703649</v>
      </c>
      <c r="G13" s="156">
        <v>28424.100665131205</v>
      </c>
      <c r="H13" s="156">
        <v>24829.202061341341</v>
      </c>
      <c r="I13" s="156">
        <v>76926.655677805407</v>
      </c>
      <c r="J13" s="156">
        <v>19002.634261692936</v>
      </c>
      <c r="K13" s="158">
        <v>22902.559864097755</v>
      </c>
      <c r="L13" s="158">
        <v>20409.483539717738</v>
      </c>
      <c r="M13" s="158">
        <v>114856.70028429129</v>
      </c>
      <c r="N13" s="158">
        <v>45836.175734717261</v>
      </c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spans="1:26" ht="14.25" customHeight="1">
      <c r="A14" s="163" t="s">
        <v>127</v>
      </c>
      <c r="B14" s="138"/>
      <c r="C14" s="138"/>
      <c r="D14" s="154">
        <v>34762.947338435777</v>
      </c>
      <c r="E14" s="154">
        <v>95890.195660294819</v>
      </c>
      <c r="F14" s="154">
        <v>39606.993764325642</v>
      </c>
      <c r="G14" s="154">
        <v>37376.053997222327</v>
      </c>
      <c r="H14" s="154">
        <v>33923.747922993083</v>
      </c>
      <c r="I14" s="154">
        <v>88487.393986394207</v>
      </c>
      <c r="J14" s="154">
        <v>33526.872705021204</v>
      </c>
      <c r="K14" s="155">
        <v>38087.928418701849</v>
      </c>
      <c r="L14" s="155">
        <v>40555.168536654855</v>
      </c>
      <c r="M14" s="155">
        <v>142512.99924655029</v>
      </c>
      <c r="N14" s="155">
        <v>72168.931759718311</v>
      </c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spans="1:26" ht="14.25" customHeight="1">
      <c r="A15" s="153" t="s">
        <v>128</v>
      </c>
      <c r="B15" s="153"/>
      <c r="C15" s="138"/>
      <c r="D15" s="154">
        <v>47446.500940220416</v>
      </c>
      <c r="E15" s="154">
        <v>-1472.3089740215557</v>
      </c>
      <c r="F15" s="154">
        <v>85161.980150892065</v>
      </c>
      <c r="G15" s="154">
        <v>99106.760170063993</v>
      </c>
      <c r="H15" s="154">
        <v>17814.209086076611</v>
      </c>
      <c r="I15" s="154">
        <v>157217.00902159844</v>
      </c>
      <c r="J15" s="154">
        <v>157930.01764476002</v>
      </c>
      <c r="K15" s="155">
        <v>176558.81044716181</v>
      </c>
      <c r="L15" s="155">
        <v>102581.11067246601</v>
      </c>
      <c r="M15" s="155">
        <v>344684.2165960698</v>
      </c>
      <c r="N15" s="154">
        <v>-3840.5880950581973</v>
      </c>
      <c r="O15" s="164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spans="1:26" ht="14.25" customHeight="1">
      <c r="A16" s="165" t="s">
        <v>129</v>
      </c>
      <c r="B16" s="165"/>
      <c r="C16" s="165"/>
      <c r="D16" s="166">
        <v>719985.08593615424</v>
      </c>
      <c r="E16" s="166">
        <v>628834.11034068733</v>
      </c>
      <c r="F16" s="166">
        <v>681499.89064630575</v>
      </c>
      <c r="G16" s="166">
        <v>749533.48946009087</v>
      </c>
      <c r="H16" s="166">
        <v>740284.00334144756</v>
      </c>
      <c r="I16" s="166">
        <v>818198.37655188492</v>
      </c>
      <c r="J16" s="166">
        <v>952915.51878835238</v>
      </c>
      <c r="K16" s="167">
        <v>1100095.7065798338</v>
      </c>
      <c r="L16" s="167">
        <v>1173971.8049369522</v>
      </c>
      <c r="M16" s="167">
        <v>1390349.5952327701</v>
      </c>
      <c r="N16" s="167">
        <v>1330038.2354740493</v>
      </c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spans="1:26" ht="14.25" customHeight="1">
      <c r="A17" s="138"/>
      <c r="B17" s="138"/>
      <c r="C17" s="138"/>
      <c r="D17" s="137"/>
      <c r="E17" s="137"/>
      <c r="F17" s="137"/>
      <c r="G17" s="137"/>
      <c r="H17" s="137"/>
      <c r="I17" s="137"/>
      <c r="J17" s="137"/>
      <c r="K17" s="6"/>
      <c r="L17" s="6"/>
      <c r="M17" s="6"/>
      <c r="N17" s="6"/>
      <c r="O17" s="168"/>
      <c r="P17" s="168"/>
      <c r="Q17" s="168"/>
      <c r="R17" s="138"/>
      <c r="S17" s="138"/>
      <c r="T17" s="138"/>
      <c r="U17" s="138"/>
      <c r="V17" s="138"/>
      <c r="W17" s="138"/>
      <c r="X17" s="138"/>
      <c r="Y17" s="138"/>
      <c r="Z17" s="138"/>
    </row>
    <row r="18" spans="1:26" ht="14.25" customHeight="1">
      <c r="A18" s="138" t="s">
        <v>130</v>
      </c>
      <c r="B18" s="138"/>
      <c r="C18" s="138"/>
      <c r="D18" s="137"/>
      <c r="E18" s="137"/>
      <c r="F18" s="137"/>
      <c r="G18" s="137"/>
      <c r="H18" s="137"/>
      <c r="I18" s="137"/>
      <c r="J18" s="137"/>
      <c r="K18" s="6"/>
      <c r="L18" s="6"/>
      <c r="M18" s="6"/>
      <c r="N18" s="6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spans="1:26" ht="24" customHeight="1">
      <c r="A19" s="336" t="s">
        <v>131</v>
      </c>
      <c r="B19" s="337"/>
      <c r="C19" s="337"/>
      <c r="D19" s="334" t="s">
        <v>132</v>
      </c>
      <c r="E19" s="335"/>
      <c r="F19" s="335"/>
      <c r="G19" s="335"/>
      <c r="H19" s="335"/>
      <c r="I19" s="335"/>
      <c r="J19" s="335"/>
      <c r="K19" s="335"/>
      <c r="L19" s="335"/>
      <c r="M19" s="141"/>
      <c r="N19" s="141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 spans="1:26" ht="24" customHeight="1">
      <c r="A20" s="338"/>
      <c r="B20" s="338"/>
      <c r="C20" s="338"/>
      <c r="D20" s="169">
        <f>E20-1</f>
        <v>2014</v>
      </c>
      <c r="E20" s="169">
        <f t="shared" ref="E20:N20" si="2">E4</f>
        <v>2015</v>
      </c>
      <c r="F20" s="169">
        <f t="shared" si="2"/>
        <v>2016</v>
      </c>
      <c r="G20" s="169">
        <f t="shared" si="2"/>
        <v>2017</v>
      </c>
      <c r="H20" s="169">
        <f t="shared" si="2"/>
        <v>2018</v>
      </c>
      <c r="I20" s="169">
        <f t="shared" si="2"/>
        <v>2019</v>
      </c>
      <c r="J20" s="169">
        <f t="shared" si="2"/>
        <v>2020</v>
      </c>
      <c r="K20" s="169">
        <f t="shared" si="2"/>
        <v>2021</v>
      </c>
      <c r="L20" s="169">
        <f t="shared" si="2"/>
        <v>2022</v>
      </c>
      <c r="M20" s="169" t="str">
        <f t="shared" si="2"/>
        <v>2023*</v>
      </c>
      <c r="N20" s="169" t="str">
        <f t="shared" si="2"/>
        <v>2024**</v>
      </c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 spans="1:26" ht="24" customHeight="1">
      <c r="A21" s="339">
        <v>-1</v>
      </c>
      <c r="B21" s="294"/>
      <c r="C21" s="294"/>
      <c r="D21" s="148">
        <f>A21-1</f>
        <v>-2</v>
      </c>
      <c r="E21" s="148">
        <f t="shared" ref="E21:K21" si="3">D21-1</f>
        <v>-3</v>
      </c>
      <c r="F21" s="148">
        <f t="shared" si="3"/>
        <v>-4</v>
      </c>
      <c r="G21" s="148">
        <f t="shared" si="3"/>
        <v>-5</v>
      </c>
      <c r="H21" s="148">
        <f t="shared" si="3"/>
        <v>-6</v>
      </c>
      <c r="I21" s="148">
        <f t="shared" si="3"/>
        <v>-7</v>
      </c>
      <c r="J21" s="148">
        <f t="shared" si="3"/>
        <v>-8</v>
      </c>
      <c r="K21" s="148">
        <f t="shared" si="3"/>
        <v>-9</v>
      </c>
      <c r="L21" s="148">
        <f t="shared" ref="L21:N21" si="4">J21-1</f>
        <v>-9</v>
      </c>
      <c r="M21" s="148">
        <f t="shared" si="4"/>
        <v>-10</v>
      </c>
      <c r="N21" s="148">
        <f t="shared" si="4"/>
        <v>-10</v>
      </c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spans="1:26" ht="24" customHeight="1">
      <c r="A22" s="340" t="s">
        <v>133</v>
      </c>
      <c r="B22" s="341"/>
      <c r="C22" s="341"/>
      <c r="D22" s="170">
        <v>2131737.9705992085</v>
      </c>
      <c r="E22" s="170">
        <v>1936673.9737175689</v>
      </c>
      <c r="F22" s="170">
        <v>1128616.8811983962</v>
      </c>
      <c r="G22" s="170">
        <v>1038776.4033883412</v>
      </c>
      <c r="H22" s="170">
        <v>1442786.7813271717</v>
      </c>
      <c r="I22" s="170">
        <v>1827895.3989000786</v>
      </c>
      <c r="J22" s="170">
        <v>1650482.1487191245</v>
      </c>
      <c r="K22" s="170">
        <v>1232797.0968946044</v>
      </c>
      <c r="L22" s="170">
        <v>1759477.4533354028</v>
      </c>
      <c r="M22" s="170">
        <v>2275538.6724397279</v>
      </c>
      <c r="N22" s="170">
        <v>1904383.557102096</v>
      </c>
      <c r="O22" s="171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spans="1:26" ht="24" customHeight="1">
      <c r="A23" s="342" t="s">
        <v>134</v>
      </c>
      <c r="B23" s="343"/>
      <c r="C23" s="343"/>
      <c r="D23" s="172">
        <v>-78448.957766449501</v>
      </c>
      <c r="E23" s="172">
        <v>-59816.75186079774</v>
      </c>
      <c r="F23" s="172">
        <v>-45283.889957515727</v>
      </c>
      <c r="G23" s="172">
        <v>-48952.526690080893</v>
      </c>
      <c r="H23" s="172">
        <v>-61277.108826844655</v>
      </c>
      <c r="I23" s="172">
        <v>-92568.190854066837</v>
      </c>
      <c r="J23" s="172">
        <v>-95012.344530088129</v>
      </c>
      <c r="K23" s="172">
        <v>-89111.472261490257</v>
      </c>
      <c r="L23" s="172">
        <v>-110761.6900765629</v>
      </c>
      <c r="M23" s="172">
        <v>-105018.0413523185</v>
      </c>
      <c r="N23" s="172">
        <v>-89462.610503339005</v>
      </c>
      <c r="O23" s="171"/>
      <c r="P23" s="171"/>
      <c r="Q23" s="171"/>
      <c r="R23" s="171"/>
      <c r="S23" s="171"/>
      <c r="T23" s="138"/>
      <c r="U23" s="138"/>
      <c r="V23" s="138"/>
      <c r="W23" s="138"/>
      <c r="X23" s="138"/>
      <c r="Y23" s="138"/>
      <c r="Z23" s="138"/>
    </row>
    <row r="24" spans="1:26" ht="24" customHeight="1">
      <c r="A24" s="342" t="s">
        <v>135</v>
      </c>
      <c r="B24" s="343"/>
      <c r="C24" s="343"/>
      <c r="D24" s="172">
        <v>30720.523733660219</v>
      </c>
      <c r="E24" s="172">
        <v>45297.101047712757</v>
      </c>
      <c r="F24" s="172">
        <v>37257.866774485643</v>
      </c>
      <c r="G24" s="172">
        <v>95647.45881019572</v>
      </c>
      <c r="H24" s="172">
        <v>57406.243126234796</v>
      </c>
      <c r="I24" s="172">
        <v>-1179312.2452050098</v>
      </c>
      <c r="J24" s="172">
        <v>239454.87782316859</v>
      </c>
      <c r="K24" s="172">
        <v>6989.5506930730508</v>
      </c>
      <c r="L24" s="172">
        <v>223266.08364906505</v>
      </c>
      <c r="M24" s="172">
        <v>354946.17008606333</v>
      </c>
      <c r="N24" s="172">
        <v>-74368.11160526723</v>
      </c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spans="1:26" ht="24" customHeight="1">
      <c r="A25" s="342" t="s">
        <v>136</v>
      </c>
      <c r="B25" s="343"/>
      <c r="C25" s="343"/>
      <c r="D25" s="172">
        <v>-147335.56284885076</v>
      </c>
      <c r="E25" s="172">
        <v>-793537.45744612825</v>
      </c>
      <c r="F25" s="172">
        <v>-81814.454627024956</v>
      </c>
      <c r="G25" s="172">
        <v>357315.44581871561</v>
      </c>
      <c r="H25" s="172">
        <v>388979.48327351687</v>
      </c>
      <c r="I25" s="172">
        <v>1094467.1858781227</v>
      </c>
      <c r="J25" s="172">
        <v>-562127.58511760051</v>
      </c>
      <c r="K25" s="172">
        <v>608802.27800921549</v>
      </c>
      <c r="L25" s="172">
        <v>403556.82553182321</v>
      </c>
      <c r="M25" s="172">
        <v>-621083.24407137698</v>
      </c>
      <c r="N25" s="172">
        <v>145800.32543249763</v>
      </c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spans="1:26" ht="24" customHeight="1">
      <c r="A26" s="332" t="s">
        <v>137</v>
      </c>
      <c r="B26" s="333"/>
      <c r="C26" s="333"/>
      <c r="D26" s="173">
        <v>1936673.9737175689</v>
      </c>
      <c r="E26" s="173">
        <v>1128616.8654583555</v>
      </c>
      <c r="F26" s="173">
        <v>1038776.4033883412</v>
      </c>
      <c r="G26" s="173">
        <v>1442786.7813271717</v>
      </c>
      <c r="H26" s="173">
        <v>1827895.3989000786</v>
      </c>
      <c r="I26" s="173">
        <v>1650482.1487191245</v>
      </c>
      <c r="J26" s="173">
        <v>1232797.0968946044</v>
      </c>
      <c r="K26" s="173">
        <v>1759477.4533354028</v>
      </c>
      <c r="L26" s="173">
        <v>2275538.6724397279</v>
      </c>
      <c r="M26" s="173">
        <v>1904383.557102096</v>
      </c>
      <c r="N26" s="173">
        <v>1886353.1604259873</v>
      </c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spans="1:26" ht="24" customHeight="1">
      <c r="A27" s="138"/>
      <c r="B27" s="138"/>
      <c r="C27" s="138"/>
      <c r="D27" s="137"/>
      <c r="E27" s="137"/>
      <c r="F27" s="137"/>
      <c r="G27" s="137"/>
      <c r="H27" s="137"/>
      <c r="I27" s="137"/>
      <c r="J27" s="137"/>
      <c r="K27" s="6"/>
      <c r="L27" s="6"/>
      <c r="M27" s="6"/>
      <c r="N27" s="6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spans="1:26" ht="24" customHeight="1">
      <c r="A28" s="138" t="s">
        <v>138</v>
      </c>
      <c r="B28" s="138"/>
      <c r="C28" s="138"/>
      <c r="D28" s="137"/>
      <c r="E28" s="137"/>
      <c r="F28" s="137"/>
      <c r="G28" s="137"/>
      <c r="H28" s="137"/>
      <c r="I28" s="137"/>
      <c r="J28" s="137"/>
      <c r="K28" s="6"/>
      <c r="L28" s="6"/>
      <c r="M28" s="6"/>
      <c r="N28" s="6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spans="1:26" ht="24" customHeight="1">
      <c r="A29" s="336" t="s">
        <v>139</v>
      </c>
      <c r="B29" s="337"/>
      <c r="C29" s="337"/>
      <c r="D29" s="334" t="s">
        <v>140</v>
      </c>
      <c r="E29" s="335"/>
      <c r="F29" s="335"/>
      <c r="G29" s="335"/>
      <c r="H29" s="335"/>
      <c r="I29" s="335"/>
      <c r="J29" s="335"/>
      <c r="K29" s="335"/>
      <c r="L29" s="335"/>
      <c r="M29" s="141"/>
      <c r="N29" s="141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spans="1:26" ht="24" customHeight="1">
      <c r="A30" s="338"/>
      <c r="B30" s="338"/>
      <c r="C30" s="338"/>
      <c r="D30" s="169">
        <f t="shared" ref="D30:N30" si="5">D20</f>
        <v>2014</v>
      </c>
      <c r="E30" s="169">
        <f t="shared" si="5"/>
        <v>2015</v>
      </c>
      <c r="F30" s="169">
        <f t="shared" si="5"/>
        <v>2016</v>
      </c>
      <c r="G30" s="169">
        <f t="shared" si="5"/>
        <v>2017</v>
      </c>
      <c r="H30" s="169">
        <f t="shared" si="5"/>
        <v>2018</v>
      </c>
      <c r="I30" s="169">
        <f t="shared" si="5"/>
        <v>2019</v>
      </c>
      <c r="J30" s="169">
        <f t="shared" si="5"/>
        <v>2020</v>
      </c>
      <c r="K30" s="169">
        <f t="shared" si="5"/>
        <v>2021</v>
      </c>
      <c r="L30" s="169">
        <f t="shared" si="5"/>
        <v>2022</v>
      </c>
      <c r="M30" s="169" t="str">
        <f t="shared" si="5"/>
        <v>2023*</v>
      </c>
      <c r="N30" s="169" t="str">
        <f t="shared" si="5"/>
        <v>2024**</v>
      </c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spans="1:26" ht="24" customHeight="1">
      <c r="A31" s="339">
        <v>-1</v>
      </c>
      <c r="B31" s="294"/>
      <c r="C31" s="294"/>
      <c r="D31" s="148">
        <f>A31-1</f>
        <v>-2</v>
      </c>
      <c r="E31" s="148">
        <f t="shared" ref="E31:K31" si="6">D31-1</f>
        <v>-3</v>
      </c>
      <c r="F31" s="148">
        <f t="shared" si="6"/>
        <v>-4</v>
      </c>
      <c r="G31" s="148">
        <f t="shared" si="6"/>
        <v>-5</v>
      </c>
      <c r="H31" s="148">
        <f t="shared" si="6"/>
        <v>-6</v>
      </c>
      <c r="I31" s="148">
        <f t="shared" si="6"/>
        <v>-7</v>
      </c>
      <c r="J31" s="148">
        <f t="shared" si="6"/>
        <v>-8</v>
      </c>
      <c r="K31" s="148">
        <f t="shared" si="6"/>
        <v>-9</v>
      </c>
      <c r="L31" s="148">
        <f t="shared" ref="L31:N31" si="7">J31-1</f>
        <v>-9</v>
      </c>
      <c r="M31" s="148">
        <f t="shared" si="7"/>
        <v>-10</v>
      </c>
      <c r="N31" s="148">
        <f t="shared" si="7"/>
        <v>-10</v>
      </c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spans="1:26" ht="24" customHeight="1">
      <c r="A32" s="340" t="s">
        <v>141</v>
      </c>
      <c r="B32" s="341"/>
      <c r="C32" s="341"/>
      <c r="D32" s="170">
        <v>2209651.1814644272</v>
      </c>
      <c r="E32" s="170">
        <v>1929560.4055106894</v>
      </c>
      <c r="F32" s="170">
        <v>2092742.2082036678</v>
      </c>
      <c r="G32" s="170">
        <v>2099174.0281491606</v>
      </c>
      <c r="H32" s="170">
        <v>2081924.8547662157</v>
      </c>
      <c r="I32" s="170">
        <v>1985652.1056364621</v>
      </c>
      <c r="J32" s="170">
        <v>2088004.0759012178</v>
      </c>
      <c r="K32" s="170">
        <v>2190729.8763846271</v>
      </c>
      <c r="L32" s="170">
        <v>2571830.69477779</v>
      </c>
      <c r="M32" s="170">
        <v>3019059.9689860176</v>
      </c>
      <c r="N32" s="170">
        <v>2672571.8887185925</v>
      </c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spans="1:26" ht="24" customHeight="1">
      <c r="A33" s="342" t="s">
        <v>142</v>
      </c>
      <c r="B33" s="343"/>
      <c r="C33" s="343"/>
      <c r="D33" s="172">
        <v>-43852.885172733964</v>
      </c>
      <c r="E33" s="172">
        <v>-41683.345386208144</v>
      </c>
      <c r="F33" s="172">
        <v>-43598.191886253444</v>
      </c>
      <c r="G33" s="172">
        <v>-40547.828517617607</v>
      </c>
      <c r="H33" s="172">
        <v>-43807.74533720313</v>
      </c>
      <c r="I33" s="172">
        <v>-58529.829186885567</v>
      </c>
      <c r="J33" s="172">
        <v>-75883.739461643228</v>
      </c>
      <c r="K33" s="172">
        <v>-94344.790011772115</v>
      </c>
      <c r="L33" s="172">
        <v>-115553.85680445282</v>
      </c>
      <c r="M33" s="172">
        <v>-125788.21787649412</v>
      </c>
      <c r="N33" s="172">
        <v>-123062.4226360102</v>
      </c>
      <c r="O33" s="171"/>
      <c r="P33" s="171"/>
      <c r="Q33" s="171"/>
      <c r="R33" s="171"/>
      <c r="S33" s="171"/>
      <c r="T33" s="138"/>
      <c r="U33" s="138"/>
      <c r="V33" s="138"/>
      <c r="W33" s="138"/>
      <c r="X33" s="138"/>
      <c r="Y33" s="138"/>
      <c r="Z33" s="138"/>
    </row>
    <row r="34" spans="1:26" ht="24" customHeight="1">
      <c r="A34" s="342" t="s">
        <v>143</v>
      </c>
      <c r="B34" s="343"/>
      <c r="C34" s="343"/>
      <c r="D34" s="172">
        <v>28780.915778700819</v>
      </c>
      <c r="E34" s="172">
        <v>68857.88362270144</v>
      </c>
      <c r="F34" s="172">
        <v>-59637.71124627666</v>
      </c>
      <c r="G34" s="172">
        <v>21011.295897405391</v>
      </c>
      <c r="H34" s="172">
        <v>-61004.503317447867</v>
      </c>
      <c r="I34" s="172">
        <v>-1155065.3132458273</v>
      </c>
      <c r="J34" s="172">
        <v>-387042.25942808361</v>
      </c>
      <c r="K34" s="172">
        <v>25415.893770706862</v>
      </c>
      <c r="L34" s="172">
        <v>-166293.53455637034</v>
      </c>
      <c r="M34" s="172">
        <v>122131.58140299925</v>
      </c>
      <c r="N34" s="172">
        <v>-14280.854878423046</v>
      </c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spans="1:26" ht="24" customHeight="1">
      <c r="A35" s="342" t="s">
        <v>144</v>
      </c>
      <c r="B35" s="343"/>
      <c r="C35" s="343"/>
      <c r="D35" s="172">
        <v>-265018.80655970436</v>
      </c>
      <c r="E35" s="172">
        <v>136007.26445648496</v>
      </c>
      <c r="F35" s="172">
        <v>109667.72307802293</v>
      </c>
      <c r="G35" s="172">
        <v>2287.3592372674398</v>
      </c>
      <c r="H35" s="172">
        <v>8539.499524897421</v>
      </c>
      <c r="I35" s="172">
        <v>1315947.1126974688</v>
      </c>
      <c r="J35" s="172">
        <v>565651.79937313637</v>
      </c>
      <c r="K35" s="172">
        <v>450029.71463422815</v>
      </c>
      <c r="L35" s="172">
        <v>729076.66556905105</v>
      </c>
      <c r="M35" s="172">
        <v>-342831.44379393035</v>
      </c>
      <c r="N35" s="172">
        <v>67246.415487391801</v>
      </c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spans="1:26" ht="24" customHeight="1">
      <c r="A36" s="332" t="s">
        <v>145</v>
      </c>
      <c r="B36" s="333"/>
      <c r="C36" s="333"/>
      <c r="D36" s="173">
        <v>1929560.4055106894</v>
      </c>
      <c r="E36" s="173">
        <v>2092742.2082036678</v>
      </c>
      <c r="F36" s="173">
        <v>2099174.0281491606</v>
      </c>
      <c r="G36" s="173">
        <v>2081924.8547662157</v>
      </c>
      <c r="H36" s="173">
        <v>1985652.1056364621</v>
      </c>
      <c r="I36" s="173">
        <v>2088004.0759012178</v>
      </c>
      <c r="J36" s="173">
        <v>2190729.8763846271</v>
      </c>
      <c r="K36" s="173">
        <v>2571830.69477779</v>
      </c>
      <c r="L36" s="173">
        <v>3019059.9689860176</v>
      </c>
      <c r="M36" s="173">
        <v>2672571.8887185925</v>
      </c>
      <c r="N36" s="173">
        <v>2602475.0266915513</v>
      </c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spans="1:26" ht="24" customHeight="1">
      <c r="A37" s="138"/>
      <c r="B37" s="138"/>
      <c r="C37" s="138"/>
      <c r="D37" s="137"/>
      <c r="E37" s="137"/>
      <c r="F37" s="137"/>
      <c r="G37" s="137"/>
      <c r="H37" s="137"/>
      <c r="I37" s="137"/>
      <c r="J37" s="137"/>
      <c r="K37" s="6"/>
      <c r="L37" s="6"/>
      <c r="M37" s="6"/>
      <c r="N37" s="6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spans="1:26" ht="24" customHeight="1">
      <c r="A38" s="138" t="s">
        <v>146</v>
      </c>
      <c r="B38" s="138"/>
      <c r="C38" s="138"/>
      <c r="D38" s="137"/>
      <c r="E38" s="137"/>
      <c r="F38" s="137"/>
      <c r="G38" s="137"/>
      <c r="H38" s="137"/>
      <c r="I38" s="137"/>
      <c r="J38" s="137"/>
      <c r="K38" s="6"/>
      <c r="L38" s="6"/>
      <c r="M38" s="6"/>
      <c r="N38" s="6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spans="1:26" ht="24" customHeight="1">
      <c r="A39" s="336" t="s">
        <v>147</v>
      </c>
      <c r="B39" s="337"/>
      <c r="C39" s="337"/>
      <c r="D39" s="334" t="s">
        <v>148</v>
      </c>
      <c r="E39" s="335"/>
      <c r="F39" s="335"/>
      <c r="G39" s="335"/>
      <c r="H39" s="335"/>
      <c r="I39" s="335"/>
      <c r="J39" s="335"/>
      <c r="K39" s="335"/>
      <c r="L39" s="335"/>
      <c r="M39" s="141"/>
      <c r="N39" s="141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spans="1:26" ht="24" customHeight="1">
      <c r="A40" s="338"/>
      <c r="B40" s="338"/>
      <c r="C40" s="338"/>
      <c r="D40" s="169">
        <f t="shared" ref="D40:N40" si="8">D30</f>
        <v>2014</v>
      </c>
      <c r="E40" s="169">
        <f t="shared" si="8"/>
        <v>2015</v>
      </c>
      <c r="F40" s="169">
        <f t="shared" si="8"/>
        <v>2016</v>
      </c>
      <c r="G40" s="169">
        <f t="shared" si="8"/>
        <v>2017</v>
      </c>
      <c r="H40" s="169">
        <f t="shared" si="8"/>
        <v>2018</v>
      </c>
      <c r="I40" s="169">
        <f t="shared" si="8"/>
        <v>2019</v>
      </c>
      <c r="J40" s="169">
        <f t="shared" si="8"/>
        <v>2020</v>
      </c>
      <c r="K40" s="169">
        <f t="shared" si="8"/>
        <v>2021</v>
      </c>
      <c r="L40" s="169">
        <f t="shared" si="8"/>
        <v>2022</v>
      </c>
      <c r="M40" s="169" t="str">
        <f t="shared" si="8"/>
        <v>2023*</v>
      </c>
      <c r="N40" s="169" t="str">
        <f t="shared" si="8"/>
        <v>2024**</v>
      </c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spans="1:26" ht="24" customHeight="1">
      <c r="A41" s="339">
        <v>-1</v>
      </c>
      <c r="B41" s="294"/>
      <c r="C41" s="294"/>
      <c r="D41" s="148">
        <f>A41-1</f>
        <v>-2</v>
      </c>
      <c r="E41" s="148">
        <f t="shared" ref="E41:K41" si="9">D41-1</f>
        <v>-3</v>
      </c>
      <c r="F41" s="148">
        <f t="shared" si="9"/>
        <v>-4</v>
      </c>
      <c r="G41" s="148">
        <f t="shared" si="9"/>
        <v>-5</v>
      </c>
      <c r="H41" s="148">
        <f t="shared" si="9"/>
        <v>-6</v>
      </c>
      <c r="I41" s="148">
        <f t="shared" si="9"/>
        <v>-7</v>
      </c>
      <c r="J41" s="148">
        <f t="shared" si="9"/>
        <v>-8</v>
      </c>
      <c r="K41" s="148">
        <f t="shared" si="9"/>
        <v>-9</v>
      </c>
      <c r="L41" s="148">
        <f t="shared" ref="L41:N41" si="10">J41-1</f>
        <v>-9</v>
      </c>
      <c r="M41" s="148">
        <f t="shared" si="10"/>
        <v>-10</v>
      </c>
      <c r="N41" s="148">
        <f t="shared" si="10"/>
        <v>-10</v>
      </c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spans="1:26" ht="24" customHeight="1">
      <c r="A42" s="340" t="s">
        <v>149</v>
      </c>
      <c r="B42" s="341"/>
      <c r="C42" s="341"/>
      <c r="D42" s="170">
        <v>3124469.7080187271</v>
      </c>
      <c r="E42" s="170">
        <v>2374378.2709375597</v>
      </c>
      <c r="F42" s="170">
        <v>2534793.3673582519</v>
      </c>
      <c r="G42" s="170">
        <v>2860161.443087176</v>
      </c>
      <c r="H42" s="170">
        <v>4126241.7819370092</v>
      </c>
      <c r="I42" s="170">
        <v>4338434.2909624977</v>
      </c>
      <c r="J42" s="170">
        <v>4057943.8765498921</v>
      </c>
      <c r="K42" s="170">
        <v>3608155.3887086073</v>
      </c>
      <c r="L42" s="170">
        <v>7098820.2897188431</v>
      </c>
      <c r="M42" s="170">
        <v>15178688.940176306</v>
      </c>
      <c r="N42" s="170">
        <v>13539561.974775651</v>
      </c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spans="1:26" ht="24" customHeight="1">
      <c r="A43" s="342" t="s">
        <v>150</v>
      </c>
      <c r="B43" s="343"/>
      <c r="C43" s="343"/>
      <c r="D43" s="172">
        <v>-39616.019625638895</v>
      </c>
      <c r="E43" s="172">
        <v>-35051.958005310116</v>
      </c>
      <c r="F43" s="172">
        <v>-40846.113383250333</v>
      </c>
      <c r="G43" s="172">
        <v>-62437.307532726067</v>
      </c>
      <c r="H43" s="172">
        <v>-79361.017506461663</v>
      </c>
      <c r="I43" s="172">
        <v>-68470.662960360336</v>
      </c>
      <c r="J43" s="172">
        <v>-56624.030676686722</v>
      </c>
      <c r="K43" s="172">
        <v>-88615.492194324877</v>
      </c>
      <c r="L43" s="172">
        <v>-216088.03465130983</v>
      </c>
      <c r="M43" s="172">
        <v>-333305.2212729649</v>
      </c>
      <c r="N43" s="172">
        <v>-306796.87966706848</v>
      </c>
      <c r="O43" s="171"/>
      <c r="P43" s="171"/>
      <c r="Q43" s="171"/>
      <c r="R43" s="171"/>
      <c r="S43" s="171"/>
      <c r="T43" s="138"/>
      <c r="U43" s="138"/>
      <c r="V43" s="138"/>
      <c r="W43" s="138"/>
      <c r="X43" s="138"/>
      <c r="Y43" s="138"/>
      <c r="Z43" s="138"/>
    </row>
    <row r="44" spans="1:26" ht="24" customHeight="1">
      <c r="A44" s="342" t="s">
        <v>151</v>
      </c>
      <c r="B44" s="343"/>
      <c r="C44" s="343"/>
      <c r="D44" s="172">
        <v>128481.76498333992</v>
      </c>
      <c r="E44" s="172">
        <v>25858.496385128277</v>
      </c>
      <c r="F44" s="172">
        <v>-299962.97267442121</v>
      </c>
      <c r="G44" s="172">
        <v>-508445.65534466924</v>
      </c>
      <c r="H44" s="172">
        <v>2029137.673517176</v>
      </c>
      <c r="I44" s="172">
        <v>30809.290221038329</v>
      </c>
      <c r="J44" s="172">
        <v>177240.60272956439</v>
      </c>
      <c r="K44" s="172">
        <v>-276046.24027416651</v>
      </c>
      <c r="L44" s="172">
        <v>-168905.02408799229</v>
      </c>
      <c r="M44" s="172">
        <v>-1103022.6456488927</v>
      </c>
      <c r="N44" s="172">
        <v>395572.40607523837</v>
      </c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spans="1:26" ht="24" customHeight="1">
      <c r="A45" s="342" t="s">
        <v>152</v>
      </c>
      <c r="B45" s="343"/>
      <c r="C45" s="343"/>
      <c r="D45" s="172">
        <v>-838957.18243886845</v>
      </c>
      <c r="E45" s="172">
        <v>169608.55804087437</v>
      </c>
      <c r="F45" s="172">
        <v>666177.16178659548</v>
      </c>
      <c r="G45" s="172">
        <v>1836963.3017272286</v>
      </c>
      <c r="H45" s="172">
        <v>-1737584.1469852261</v>
      </c>
      <c r="I45" s="172">
        <v>-242829.04167328356</v>
      </c>
      <c r="J45" s="172">
        <v>-570405.05989416258</v>
      </c>
      <c r="K45" s="172">
        <v>3855326.6334787277</v>
      </c>
      <c r="L45" s="172">
        <v>8464861.709196765</v>
      </c>
      <c r="M45" s="172">
        <v>-202799.09847879765</v>
      </c>
      <c r="N45" s="172">
        <v>-3820771.8704729131</v>
      </c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spans="1:26" ht="24" customHeight="1">
      <c r="A46" s="332" t="s">
        <v>153</v>
      </c>
      <c r="B46" s="333"/>
      <c r="C46" s="333"/>
      <c r="D46" s="173">
        <v>2374378.2709375597</v>
      </c>
      <c r="E46" s="173">
        <v>2534793.3673582519</v>
      </c>
      <c r="F46" s="173">
        <v>2860161.443087176</v>
      </c>
      <c r="G46" s="173">
        <v>4126241.7819370092</v>
      </c>
      <c r="H46" s="173">
        <v>4338434.2909624977</v>
      </c>
      <c r="I46" s="173">
        <v>4057943.8765498921</v>
      </c>
      <c r="J46" s="173">
        <v>3608155.3887086073</v>
      </c>
      <c r="K46" s="173">
        <v>7098820.2897188431</v>
      </c>
      <c r="L46" s="173">
        <v>15178688.940176306</v>
      </c>
      <c r="M46" s="173">
        <v>13539561.974775651</v>
      </c>
      <c r="N46" s="173">
        <v>9807565.6307109073</v>
      </c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spans="1:26" ht="24" customHeight="1">
      <c r="A47" s="138"/>
      <c r="B47" s="138"/>
      <c r="C47" s="138"/>
      <c r="D47" s="137"/>
      <c r="E47" s="137"/>
      <c r="F47" s="137"/>
      <c r="G47" s="137"/>
      <c r="H47" s="137"/>
      <c r="I47" s="137"/>
      <c r="J47" s="137"/>
      <c r="K47" s="6"/>
      <c r="L47" s="6"/>
      <c r="M47" s="6"/>
      <c r="N47" s="6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spans="1:26" ht="24" customHeight="1">
      <c r="A48" s="138" t="s">
        <v>154</v>
      </c>
      <c r="B48" s="138"/>
      <c r="C48" s="138"/>
      <c r="D48" s="137"/>
      <c r="E48" s="137"/>
      <c r="F48" s="137"/>
      <c r="G48" s="137"/>
      <c r="H48" s="137"/>
      <c r="I48" s="137"/>
      <c r="J48" s="137"/>
      <c r="K48" s="6"/>
      <c r="L48" s="6"/>
      <c r="M48" s="6"/>
      <c r="N48" s="6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spans="1:26" ht="24" customHeight="1">
      <c r="A49" s="336" t="s">
        <v>155</v>
      </c>
      <c r="B49" s="337"/>
      <c r="C49" s="337"/>
      <c r="D49" s="334" t="s">
        <v>156</v>
      </c>
      <c r="E49" s="335"/>
      <c r="F49" s="335"/>
      <c r="G49" s="335"/>
      <c r="H49" s="335"/>
      <c r="I49" s="335"/>
      <c r="J49" s="335"/>
      <c r="K49" s="335"/>
      <c r="L49" s="335"/>
      <c r="M49" s="141"/>
      <c r="N49" s="141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spans="1:26" ht="24" customHeight="1">
      <c r="A50" s="338"/>
      <c r="B50" s="338"/>
      <c r="C50" s="338"/>
      <c r="D50" s="169">
        <f t="shared" ref="D50:N50" si="11">D40</f>
        <v>2014</v>
      </c>
      <c r="E50" s="169">
        <f t="shared" si="11"/>
        <v>2015</v>
      </c>
      <c r="F50" s="169">
        <f t="shared" si="11"/>
        <v>2016</v>
      </c>
      <c r="G50" s="169">
        <f t="shared" si="11"/>
        <v>2017</v>
      </c>
      <c r="H50" s="169">
        <f t="shared" si="11"/>
        <v>2018</v>
      </c>
      <c r="I50" s="169">
        <f t="shared" si="11"/>
        <v>2019</v>
      </c>
      <c r="J50" s="169">
        <f t="shared" si="11"/>
        <v>2020</v>
      </c>
      <c r="K50" s="169">
        <f t="shared" si="11"/>
        <v>2021</v>
      </c>
      <c r="L50" s="169">
        <f t="shared" si="11"/>
        <v>2022</v>
      </c>
      <c r="M50" s="169" t="str">
        <f t="shared" si="11"/>
        <v>2023*</v>
      </c>
      <c r="N50" s="169" t="str">
        <f t="shared" si="11"/>
        <v>2024**</v>
      </c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spans="1:26" ht="24" customHeight="1">
      <c r="A51" s="339">
        <v>-1</v>
      </c>
      <c r="B51" s="294"/>
      <c r="C51" s="294"/>
      <c r="D51" s="148">
        <f>A51-1</f>
        <v>-2</v>
      </c>
      <c r="E51" s="148">
        <f t="shared" ref="E51:K51" si="12">D51-1</f>
        <v>-3</v>
      </c>
      <c r="F51" s="148">
        <f t="shared" si="12"/>
        <v>-4</v>
      </c>
      <c r="G51" s="148">
        <f t="shared" si="12"/>
        <v>-5</v>
      </c>
      <c r="H51" s="148">
        <f t="shared" si="12"/>
        <v>-6</v>
      </c>
      <c r="I51" s="148">
        <f t="shared" si="12"/>
        <v>-7</v>
      </c>
      <c r="J51" s="148">
        <f t="shared" si="12"/>
        <v>-8</v>
      </c>
      <c r="K51" s="148">
        <f t="shared" si="12"/>
        <v>-9</v>
      </c>
      <c r="L51" s="148">
        <f t="shared" ref="L51:N51" si="13">J51-1</f>
        <v>-9</v>
      </c>
      <c r="M51" s="148">
        <f t="shared" si="13"/>
        <v>-10</v>
      </c>
      <c r="N51" s="148">
        <f t="shared" si="13"/>
        <v>-10</v>
      </c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spans="1:26" ht="24" customHeight="1">
      <c r="A52" s="340" t="s">
        <v>157</v>
      </c>
      <c r="B52" s="341"/>
      <c r="C52" s="341"/>
      <c r="D52" s="170">
        <v>193839.93912204154</v>
      </c>
      <c r="E52" s="170">
        <v>200366.44797565616</v>
      </c>
      <c r="F52" s="170">
        <v>311024.64287169016</v>
      </c>
      <c r="G52" s="170">
        <v>330729.38911953254</v>
      </c>
      <c r="H52" s="170">
        <v>376606.06230149657</v>
      </c>
      <c r="I52" s="170">
        <v>177537.94600791659</v>
      </c>
      <c r="J52" s="170">
        <v>111404.04160600067</v>
      </c>
      <c r="K52" s="170">
        <v>181971.96855984296</v>
      </c>
      <c r="L52" s="170">
        <v>236975.2042414587</v>
      </c>
      <c r="M52" s="170">
        <v>313647.39947191282</v>
      </c>
      <c r="N52" s="170">
        <v>372761.01601355977</v>
      </c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spans="1:26" ht="24" customHeight="1">
      <c r="A53" s="342" t="s">
        <v>158</v>
      </c>
      <c r="B53" s="343"/>
      <c r="C53" s="343"/>
      <c r="D53" s="172">
        <v>-5059.7905394275776</v>
      </c>
      <c r="E53" s="172">
        <v>-9273.2680850752495</v>
      </c>
      <c r="F53" s="172">
        <v>-10760.667575567175</v>
      </c>
      <c r="G53" s="172">
        <v>-11196.820248039838</v>
      </c>
      <c r="H53" s="172">
        <v>-11043.245930115187</v>
      </c>
      <c r="I53" s="172">
        <v>-4937.9046607219925</v>
      </c>
      <c r="J53" s="172">
        <v>-3478.3450233766193</v>
      </c>
      <c r="K53" s="172">
        <v>-7950.6585540756241</v>
      </c>
      <c r="L53" s="172">
        <v>-11260.467729620654</v>
      </c>
      <c r="M53" s="172">
        <v>-10682.966184214354</v>
      </c>
      <c r="N53" s="172">
        <v>-7392.9115699664999</v>
      </c>
      <c r="O53" s="171"/>
      <c r="P53" s="171"/>
      <c r="Q53" s="171"/>
      <c r="R53" s="171"/>
      <c r="S53" s="171"/>
      <c r="T53" s="138"/>
      <c r="U53" s="138"/>
      <c r="V53" s="138"/>
      <c r="W53" s="138"/>
      <c r="X53" s="138"/>
      <c r="Y53" s="138"/>
      <c r="Z53" s="138"/>
    </row>
    <row r="54" spans="1:26" ht="24" customHeight="1">
      <c r="A54" s="342" t="s">
        <v>159</v>
      </c>
      <c r="B54" s="343"/>
      <c r="C54" s="343"/>
      <c r="D54" s="172">
        <v>-16505.264240595869</v>
      </c>
      <c r="E54" s="172">
        <v>27233.919130466504</v>
      </c>
      <c r="F54" s="172">
        <v>-22.838219597992818</v>
      </c>
      <c r="G54" s="172">
        <v>145291.43949713738</v>
      </c>
      <c r="H54" s="172">
        <v>-89672.46190627286</v>
      </c>
      <c r="I54" s="172">
        <v>96748.803842233829</v>
      </c>
      <c r="J54" s="172">
        <v>-125099.91054334727</v>
      </c>
      <c r="K54" s="172">
        <v>-17200.765071228045</v>
      </c>
      <c r="L54" s="172">
        <v>154066.26253523087</v>
      </c>
      <c r="M54" s="172">
        <v>20270.474362512512</v>
      </c>
      <c r="N54" s="172">
        <v>10521.526497445979</v>
      </c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spans="1:26" ht="24" customHeight="1">
      <c r="A55" s="342" t="s">
        <v>160</v>
      </c>
      <c r="B55" s="343"/>
      <c r="C55" s="343"/>
      <c r="D55" s="172">
        <v>28091.563633638059</v>
      </c>
      <c r="E55" s="172">
        <v>92697.54385064276</v>
      </c>
      <c r="F55" s="172">
        <v>30488.252043007549</v>
      </c>
      <c r="G55" s="172">
        <v>-88217.946067133453</v>
      </c>
      <c r="H55" s="172">
        <v>-98352.408457191952</v>
      </c>
      <c r="I55" s="172">
        <v>-157944.80358342777</v>
      </c>
      <c r="J55" s="172">
        <v>199146.18252056619</v>
      </c>
      <c r="K55" s="172">
        <v>80154.659306919406</v>
      </c>
      <c r="L55" s="172">
        <v>-66133.599575156099</v>
      </c>
      <c r="M55" s="172">
        <v>49526.108363348809</v>
      </c>
      <c r="N55" s="172">
        <v>86041.101333410988</v>
      </c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spans="1:26" ht="24" customHeight="1">
      <c r="A56" s="332" t="s">
        <v>161</v>
      </c>
      <c r="B56" s="333"/>
      <c r="C56" s="333"/>
      <c r="D56" s="173">
        <v>200366.44797565616</v>
      </c>
      <c r="E56" s="173">
        <v>311024.64287169016</v>
      </c>
      <c r="F56" s="173">
        <v>330729.38911953254</v>
      </c>
      <c r="G56" s="173">
        <v>376606.06230149657</v>
      </c>
      <c r="H56" s="173">
        <v>177537.94600791659</v>
      </c>
      <c r="I56" s="173">
        <v>111404.04160600067</v>
      </c>
      <c r="J56" s="173">
        <v>181971.96855984296</v>
      </c>
      <c r="K56" s="173">
        <v>236975.2042414587</v>
      </c>
      <c r="L56" s="173">
        <v>313647.39947191282</v>
      </c>
      <c r="M56" s="173">
        <v>372761.01601355977</v>
      </c>
      <c r="N56" s="173">
        <v>461930.7322744503</v>
      </c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spans="1:26" ht="24" customHeight="1">
      <c r="A57" s="138"/>
      <c r="B57" s="138"/>
      <c r="C57" s="138"/>
      <c r="D57" s="137"/>
      <c r="E57" s="137"/>
      <c r="F57" s="137"/>
      <c r="G57" s="137"/>
      <c r="H57" s="137"/>
      <c r="I57" s="137"/>
      <c r="J57" s="137"/>
      <c r="K57" s="6"/>
      <c r="L57" s="6"/>
      <c r="M57" s="6"/>
      <c r="N57" s="6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spans="1:26" ht="24" customHeight="1">
      <c r="A58" s="138" t="s">
        <v>162</v>
      </c>
      <c r="B58" s="138"/>
      <c r="C58" s="138"/>
      <c r="D58" s="137"/>
      <c r="E58" s="137"/>
      <c r="F58" s="137"/>
      <c r="G58" s="137"/>
      <c r="H58" s="137"/>
      <c r="I58" s="137"/>
      <c r="J58" s="137"/>
      <c r="K58" s="6"/>
      <c r="L58" s="6"/>
      <c r="M58" s="6"/>
      <c r="N58" s="6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spans="1:26" ht="24" customHeight="1">
      <c r="A59" s="336" t="s">
        <v>163</v>
      </c>
      <c r="B59" s="337"/>
      <c r="C59" s="337"/>
      <c r="D59" s="334" t="s">
        <v>164</v>
      </c>
      <c r="E59" s="335"/>
      <c r="F59" s="335"/>
      <c r="G59" s="335"/>
      <c r="H59" s="335"/>
      <c r="I59" s="335"/>
      <c r="J59" s="335"/>
      <c r="K59" s="335"/>
      <c r="L59" s="335"/>
      <c r="M59" s="141"/>
      <c r="N59" s="141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spans="1:26" ht="24" customHeight="1">
      <c r="A60" s="338"/>
      <c r="B60" s="338"/>
      <c r="C60" s="338"/>
      <c r="D60" s="169">
        <f t="shared" ref="D60:N60" si="14">D50</f>
        <v>2014</v>
      </c>
      <c r="E60" s="169">
        <f t="shared" si="14"/>
        <v>2015</v>
      </c>
      <c r="F60" s="169">
        <f t="shared" si="14"/>
        <v>2016</v>
      </c>
      <c r="G60" s="169">
        <f t="shared" si="14"/>
        <v>2017</v>
      </c>
      <c r="H60" s="169">
        <f t="shared" si="14"/>
        <v>2018</v>
      </c>
      <c r="I60" s="169">
        <f t="shared" si="14"/>
        <v>2019</v>
      </c>
      <c r="J60" s="169">
        <f t="shared" si="14"/>
        <v>2020</v>
      </c>
      <c r="K60" s="169">
        <f t="shared" si="14"/>
        <v>2021</v>
      </c>
      <c r="L60" s="169">
        <f t="shared" si="14"/>
        <v>2022</v>
      </c>
      <c r="M60" s="169" t="str">
        <f t="shared" si="14"/>
        <v>2023*</v>
      </c>
      <c r="N60" s="169" t="str">
        <f t="shared" si="14"/>
        <v>2024**</v>
      </c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spans="1:26" ht="24" customHeight="1">
      <c r="A61" s="339">
        <v>-1</v>
      </c>
      <c r="B61" s="294"/>
      <c r="C61" s="294"/>
      <c r="D61" s="148">
        <f>A61-1</f>
        <v>-2</v>
      </c>
      <c r="E61" s="148">
        <f t="shared" ref="E61:K61" si="15">D61-1</f>
        <v>-3</v>
      </c>
      <c r="F61" s="148">
        <f t="shared" si="15"/>
        <v>-4</v>
      </c>
      <c r="G61" s="148">
        <f t="shared" si="15"/>
        <v>-5</v>
      </c>
      <c r="H61" s="148">
        <f t="shared" si="15"/>
        <v>-6</v>
      </c>
      <c r="I61" s="148">
        <f t="shared" si="15"/>
        <v>-7</v>
      </c>
      <c r="J61" s="148">
        <f t="shared" si="15"/>
        <v>-8</v>
      </c>
      <c r="K61" s="148">
        <f t="shared" si="15"/>
        <v>-9</v>
      </c>
      <c r="L61" s="148">
        <f t="shared" ref="L61:N61" si="16">J61-1</f>
        <v>-9</v>
      </c>
      <c r="M61" s="148">
        <f t="shared" si="16"/>
        <v>-10</v>
      </c>
      <c r="N61" s="148">
        <f t="shared" si="16"/>
        <v>-10</v>
      </c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spans="1:26" ht="24" customHeight="1">
      <c r="A62" s="340" t="s">
        <v>165</v>
      </c>
      <c r="B62" s="341"/>
      <c r="C62" s="341"/>
      <c r="D62" s="170">
        <v>14354.019985451152</v>
      </c>
      <c r="E62" s="170">
        <v>13473.768206839331</v>
      </c>
      <c r="F62" s="170">
        <v>14780.666140090469</v>
      </c>
      <c r="G62" s="170">
        <v>17318.010842119704</v>
      </c>
      <c r="H62" s="170">
        <v>12622.996983780795</v>
      </c>
      <c r="I62" s="170">
        <v>4957.2854899750519</v>
      </c>
      <c r="J62" s="170">
        <v>5269.9370526771454</v>
      </c>
      <c r="K62" s="170">
        <v>5627.0929192770755</v>
      </c>
      <c r="L62" s="170">
        <v>5993.3339944050504</v>
      </c>
      <c r="M62" s="170">
        <v>5023.8835773639576</v>
      </c>
      <c r="N62" s="170">
        <v>6092.431486606315</v>
      </c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spans="1:26" ht="24" customHeight="1">
      <c r="A63" s="342" t="s">
        <v>166</v>
      </c>
      <c r="B63" s="343"/>
      <c r="C63" s="343"/>
      <c r="D63" s="172">
        <v>-250.22464591244091</v>
      </c>
      <c r="E63" s="172">
        <v>-334.54615263720478</v>
      </c>
      <c r="F63" s="172">
        <v>-385.03320879747162</v>
      </c>
      <c r="G63" s="172">
        <v>-571.09266064781525</v>
      </c>
      <c r="H63" s="172">
        <v>-400.9029966409741</v>
      </c>
      <c r="I63" s="172">
        <v>-189.63673821045614</v>
      </c>
      <c r="J63" s="172">
        <v>-154.80963295301552</v>
      </c>
      <c r="K63" s="172">
        <v>-194.87778984235069</v>
      </c>
      <c r="L63" s="172">
        <v>-144.3451945166118</v>
      </c>
      <c r="M63" s="172">
        <v>-38.460001531478333</v>
      </c>
      <c r="N63" s="172">
        <v>-97.735408905783629</v>
      </c>
      <c r="O63" s="171"/>
      <c r="P63" s="171"/>
      <c r="Q63" s="171"/>
      <c r="R63" s="171"/>
      <c r="S63" s="171"/>
      <c r="T63" s="138"/>
      <c r="U63" s="138"/>
      <c r="V63" s="138"/>
      <c r="W63" s="138"/>
      <c r="X63" s="138"/>
      <c r="Y63" s="138"/>
      <c r="Z63" s="138"/>
    </row>
    <row r="64" spans="1:26" ht="24" customHeight="1">
      <c r="A64" s="342" t="s">
        <v>167</v>
      </c>
      <c r="B64" s="343"/>
      <c r="C64" s="343"/>
      <c r="D64" s="172">
        <v>241.21711563029314</v>
      </c>
      <c r="E64" s="172">
        <v>-731.03786942615704</v>
      </c>
      <c r="F64" s="172">
        <v>1337.6062609164298</v>
      </c>
      <c r="G64" s="172">
        <v>-13578.288683412058</v>
      </c>
      <c r="H64" s="172">
        <v>10139.074723451338</v>
      </c>
      <c r="I64" s="172">
        <v>170.35247648128453</v>
      </c>
      <c r="J64" s="172">
        <v>-591.78400841958523</v>
      </c>
      <c r="K64" s="172">
        <v>236.99735147466561</v>
      </c>
      <c r="L64" s="172">
        <v>10505.259668419829</v>
      </c>
      <c r="M64" s="172">
        <v>-170.29361458514239</v>
      </c>
      <c r="N64" s="172">
        <v>86.150159648457006</v>
      </c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spans="1:26" ht="24" customHeight="1">
      <c r="A65" s="342" t="s">
        <v>168</v>
      </c>
      <c r="B65" s="343"/>
      <c r="C65" s="343"/>
      <c r="D65" s="172">
        <v>-871.24424832967179</v>
      </c>
      <c r="E65" s="172">
        <v>2372.4819553144994</v>
      </c>
      <c r="F65" s="172">
        <v>1584.7716499102767</v>
      </c>
      <c r="G65" s="172">
        <v>9454.3674857209626</v>
      </c>
      <c r="H65" s="172">
        <v>-17403.88322061611</v>
      </c>
      <c r="I65" s="172">
        <v>331.93582443126451</v>
      </c>
      <c r="J65" s="172">
        <v>1103.7495079725311</v>
      </c>
      <c r="K65" s="172">
        <v>324.12151349565971</v>
      </c>
      <c r="L65" s="172">
        <v>-11330.364890944309</v>
      </c>
      <c r="M65" s="172">
        <v>1277.3015253589783</v>
      </c>
      <c r="N65" s="172">
        <v>3164.2238862905078</v>
      </c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spans="1:26" ht="24" customHeight="1">
      <c r="A66" s="332" t="s">
        <v>169</v>
      </c>
      <c r="B66" s="333"/>
      <c r="C66" s="333"/>
      <c r="D66" s="173">
        <v>13473.768206839331</v>
      </c>
      <c r="E66" s="173">
        <v>14780.666140090469</v>
      </c>
      <c r="F66" s="173">
        <v>17318.010842119704</v>
      </c>
      <c r="G66" s="173">
        <v>12622.996983780795</v>
      </c>
      <c r="H66" s="173">
        <v>4957.2854899750519</v>
      </c>
      <c r="I66" s="173">
        <v>5269.9370526771454</v>
      </c>
      <c r="J66" s="173">
        <v>5627.0929192770755</v>
      </c>
      <c r="K66" s="173">
        <v>5993.3339944050504</v>
      </c>
      <c r="L66" s="173">
        <v>5023.8835773639576</v>
      </c>
      <c r="M66" s="173">
        <v>6092.431486606315</v>
      </c>
      <c r="N66" s="173">
        <v>9245.0701236394962</v>
      </c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spans="1:26" ht="24" customHeight="1">
      <c r="A67" s="138"/>
      <c r="B67" s="138"/>
      <c r="C67" s="138"/>
      <c r="D67" s="137"/>
      <c r="E67" s="137"/>
      <c r="F67" s="137"/>
      <c r="G67" s="137"/>
      <c r="H67" s="137"/>
      <c r="I67" s="137"/>
      <c r="J67" s="137"/>
      <c r="K67" s="6"/>
      <c r="L67" s="6"/>
      <c r="M67" s="6"/>
      <c r="N67" s="6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spans="1:26" ht="24" customHeight="1">
      <c r="A68" s="138" t="s">
        <v>170</v>
      </c>
      <c r="B68" s="138"/>
      <c r="C68" s="138"/>
      <c r="D68" s="137"/>
      <c r="E68" s="137"/>
      <c r="F68" s="137"/>
      <c r="G68" s="137"/>
      <c r="H68" s="137"/>
      <c r="I68" s="137"/>
      <c r="J68" s="137"/>
      <c r="K68" s="6"/>
      <c r="L68" s="6"/>
      <c r="M68" s="6"/>
      <c r="N68" s="6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spans="1:26" ht="24" customHeight="1">
      <c r="A69" s="336" t="s">
        <v>171</v>
      </c>
      <c r="B69" s="337"/>
      <c r="C69" s="337"/>
      <c r="D69" s="334" t="s">
        <v>172</v>
      </c>
      <c r="E69" s="335"/>
      <c r="F69" s="335"/>
      <c r="G69" s="335"/>
      <c r="H69" s="335"/>
      <c r="I69" s="335"/>
      <c r="J69" s="335"/>
      <c r="K69" s="335"/>
      <c r="L69" s="335"/>
      <c r="M69" s="141"/>
      <c r="N69" s="141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spans="1:26" ht="24" customHeight="1">
      <c r="A70" s="338"/>
      <c r="B70" s="338"/>
      <c r="C70" s="338"/>
      <c r="D70" s="169">
        <f t="shared" ref="D70:N70" si="17">D60</f>
        <v>2014</v>
      </c>
      <c r="E70" s="169">
        <f t="shared" si="17"/>
        <v>2015</v>
      </c>
      <c r="F70" s="169">
        <f t="shared" si="17"/>
        <v>2016</v>
      </c>
      <c r="G70" s="169">
        <f t="shared" si="17"/>
        <v>2017</v>
      </c>
      <c r="H70" s="169">
        <f t="shared" si="17"/>
        <v>2018</v>
      </c>
      <c r="I70" s="169">
        <f t="shared" si="17"/>
        <v>2019</v>
      </c>
      <c r="J70" s="169">
        <f t="shared" si="17"/>
        <v>2020</v>
      </c>
      <c r="K70" s="169">
        <f t="shared" si="17"/>
        <v>2021</v>
      </c>
      <c r="L70" s="169">
        <f t="shared" si="17"/>
        <v>2022</v>
      </c>
      <c r="M70" s="169" t="str">
        <f t="shared" si="17"/>
        <v>2023*</v>
      </c>
      <c r="N70" s="169" t="str">
        <f t="shared" si="17"/>
        <v>2024**</v>
      </c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spans="1:26" ht="24" customHeight="1">
      <c r="A71" s="339">
        <v>-1</v>
      </c>
      <c r="B71" s="294"/>
      <c r="C71" s="294"/>
      <c r="D71" s="148">
        <f>A71-1</f>
        <v>-2</v>
      </c>
      <c r="E71" s="148">
        <f t="shared" ref="E71:K71" si="18">D71-1</f>
        <v>-3</v>
      </c>
      <c r="F71" s="148">
        <f t="shared" si="18"/>
        <v>-4</v>
      </c>
      <c r="G71" s="148">
        <f t="shared" si="18"/>
        <v>-5</v>
      </c>
      <c r="H71" s="148">
        <f t="shared" si="18"/>
        <v>-6</v>
      </c>
      <c r="I71" s="148">
        <f t="shared" si="18"/>
        <v>-7</v>
      </c>
      <c r="J71" s="148">
        <f t="shared" si="18"/>
        <v>-8</v>
      </c>
      <c r="K71" s="148">
        <f t="shared" si="18"/>
        <v>-9</v>
      </c>
      <c r="L71" s="148">
        <f t="shared" ref="L71:N71" si="19">J71-1</f>
        <v>-9</v>
      </c>
      <c r="M71" s="148">
        <f t="shared" si="19"/>
        <v>-10</v>
      </c>
      <c r="N71" s="148">
        <f t="shared" si="19"/>
        <v>-10</v>
      </c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spans="1:26" ht="24" customHeight="1">
      <c r="A72" s="340" t="s">
        <v>173</v>
      </c>
      <c r="B72" s="341"/>
      <c r="C72" s="341"/>
      <c r="D72" s="170">
        <v>369717.06009355461</v>
      </c>
      <c r="E72" s="170">
        <v>220254.27460107402</v>
      </c>
      <c r="F72" s="170">
        <v>172752.28834167775</v>
      </c>
      <c r="G72" s="170">
        <v>195241.86600448284</v>
      </c>
      <c r="H72" s="170">
        <v>228644.70307333412</v>
      </c>
      <c r="I72" s="170">
        <v>243466.58167333782</v>
      </c>
      <c r="J72" s="170">
        <v>182470.53824771309</v>
      </c>
      <c r="K72" s="170">
        <v>603209.48662785674</v>
      </c>
      <c r="L72" s="170">
        <v>925405.53518102644</v>
      </c>
      <c r="M72" s="170">
        <v>1018188.9336443528</v>
      </c>
      <c r="N72" s="170">
        <v>1137311.4432151858</v>
      </c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spans="1:26" ht="24" customHeight="1">
      <c r="A73" s="342" t="s">
        <v>174</v>
      </c>
      <c r="B73" s="343"/>
      <c r="C73" s="343"/>
      <c r="D73" s="172">
        <v>-11086.794655612914</v>
      </c>
      <c r="E73" s="172">
        <v>-6631.2044376120784</v>
      </c>
      <c r="F73" s="172">
        <v>-6970.8952809054172</v>
      </c>
      <c r="G73" s="172">
        <v>-7788.118583494309</v>
      </c>
      <c r="H73" s="172">
        <v>-7258.6491226212738</v>
      </c>
      <c r="I73" s="172">
        <v>-4866.365858932124</v>
      </c>
      <c r="J73" s="172">
        <v>-10871.394230043366</v>
      </c>
      <c r="K73" s="172">
        <v>-28116.166259930029</v>
      </c>
      <c r="L73" s="172">
        <v>-66743.604492134938</v>
      </c>
      <c r="M73" s="172">
        <v>-68937.059133665243</v>
      </c>
      <c r="N73" s="172">
        <v>-81347.170889032088</v>
      </c>
      <c r="O73" s="171"/>
      <c r="P73" s="171"/>
      <c r="Q73" s="171"/>
      <c r="R73" s="171"/>
      <c r="S73" s="171"/>
      <c r="T73" s="138"/>
      <c r="U73" s="138"/>
      <c r="V73" s="138"/>
      <c r="W73" s="138"/>
      <c r="X73" s="138"/>
      <c r="Y73" s="138"/>
      <c r="Z73" s="138"/>
    </row>
    <row r="74" spans="1:26" ht="24" customHeight="1">
      <c r="A74" s="342" t="s">
        <v>175</v>
      </c>
      <c r="B74" s="343"/>
      <c r="C74" s="343"/>
      <c r="D74" s="172">
        <v>5068.6222247249825</v>
      </c>
      <c r="E74" s="172">
        <v>66.508587887126794</v>
      </c>
      <c r="F74" s="172">
        <v>16245.21172170705</v>
      </c>
      <c r="G74" s="172">
        <v>-32152.036320753108</v>
      </c>
      <c r="H74" s="172">
        <v>-7186.1076580261106</v>
      </c>
      <c r="I74" s="172">
        <v>14163.968114537656</v>
      </c>
      <c r="J74" s="172">
        <v>17497.746562564651</v>
      </c>
      <c r="K74" s="172">
        <v>-124011.66687780808</v>
      </c>
      <c r="L74" s="172">
        <v>83889.044490295506</v>
      </c>
      <c r="M74" s="172">
        <v>126764.03948263239</v>
      </c>
      <c r="N74" s="172">
        <v>76571.361254304851</v>
      </c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spans="1:26" ht="24" customHeight="1">
      <c r="A75" s="342" t="s">
        <v>176</v>
      </c>
      <c r="B75" s="343"/>
      <c r="C75" s="343"/>
      <c r="D75" s="172">
        <v>-143444.61306159271</v>
      </c>
      <c r="E75" s="172">
        <v>-40937.290409671346</v>
      </c>
      <c r="F75" s="172">
        <v>13215.261222003484</v>
      </c>
      <c r="G75" s="172">
        <v>73342.991973098746</v>
      </c>
      <c r="H75" s="172">
        <v>29266.635380651052</v>
      </c>
      <c r="I75" s="172">
        <v>-70293.645681230279</v>
      </c>
      <c r="J75" s="172">
        <v>414112.59604762238</v>
      </c>
      <c r="K75" s="172">
        <v>474323.88169090787</v>
      </c>
      <c r="L75" s="172">
        <v>75637.95846516575</v>
      </c>
      <c r="M75" s="172">
        <v>61295.529221865843</v>
      </c>
      <c r="N75" s="172">
        <v>131958.55104123001</v>
      </c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spans="1:26" ht="24" customHeight="1">
      <c r="A76" s="332" t="s">
        <v>178</v>
      </c>
      <c r="B76" s="333"/>
      <c r="C76" s="333"/>
      <c r="D76" s="173">
        <v>220254.27460107402</v>
      </c>
      <c r="E76" s="173">
        <v>172752.28834167775</v>
      </c>
      <c r="F76" s="173">
        <v>195241.86600448284</v>
      </c>
      <c r="G76" s="173">
        <v>228644.70307333412</v>
      </c>
      <c r="H76" s="173">
        <v>243466.58167333782</v>
      </c>
      <c r="I76" s="173">
        <v>182470.53824771309</v>
      </c>
      <c r="J76" s="173">
        <v>603209.48662785674</v>
      </c>
      <c r="K76" s="173">
        <v>925405.53518102644</v>
      </c>
      <c r="L76" s="173">
        <v>1018188.9336443528</v>
      </c>
      <c r="M76" s="173">
        <v>1137311.4432151858</v>
      </c>
      <c r="N76" s="173">
        <v>1264494.1846216884</v>
      </c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spans="1:26" ht="24" customHeight="1">
      <c r="A77" s="138"/>
      <c r="B77" s="138"/>
      <c r="C77" s="138"/>
      <c r="D77" s="137"/>
      <c r="E77" s="137"/>
      <c r="F77" s="137"/>
      <c r="G77" s="137"/>
      <c r="H77" s="137"/>
      <c r="I77" s="137"/>
      <c r="J77" s="137"/>
      <c r="K77" s="6"/>
      <c r="L77" s="6"/>
      <c r="M77" s="6"/>
      <c r="N77" s="6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spans="1:26" ht="24" customHeight="1">
      <c r="A78" s="138" t="s">
        <v>179</v>
      </c>
      <c r="B78" s="138"/>
      <c r="C78" s="138"/>
      <c r="D78" s="137"/>
      <c r="E78" s="137"/>
      <c r="F78" s="137"/>
      <c r="G78" s="137"/>
      <c r="H78" s="137"/>
      <c r="I78" s="137"/>
      <c r="J78" s="137"/>
      <c r="K78" s="6"/>
      <c r="L78" s="6"/>
      <c r="M78" s="6"/>
      <c r="N78" s="6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spans="1:26" ht="24" customHeight="1">
      <c r="A79" s="336" t="s">
        <v>180</v>
      </c>
      <c r="B79" s="337"/>
      <c r="C79" s="337"/>
      <c r="D79" s="334" t="s">
        <v>181</v>
      </c>
      <c r="E79" s="335"/>
      <c r="F79" s="335"/>
      <c r="G79" s="335"/>
      <c r="H79" s="335"/>
      <c r="I79" s="335"/>
      <c r="J79" s="335"/>
      <c r="K79" s="335"/>
      <c r="L79" s="335"/>
      <c r="M79" s="141"/>
      <c r="N79" s="141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spans="1:26" ht="24" customHeight="1">
      <c r="A80" s="338"/>
      <c r="B80" s="338"/>
      <c r="C80" s="338"/>
      <c r="D80" s="169">
        <f t="shared" ref="D80:N80" si="20">D70</f>
        <v>2014</v>
      </c>
      <c r="E80" s="169">
        <f t="shared" si="20"/>
        <v>2015</v>
      </c>
      <c r="F80" s="169">
        <f t="shared" si="20"/>
        <v>2016</v>
      </c>
      <c r="G80" s="169">
        <f t="shared" si="20"/>
        <v>2017</v>
      </c>
      <c r="H80" s="169">
        <f t="shared" si="20"/>
        <v>2018</v>
      </c>
      <c r="I80" s="169">
        <f t="shared" si="20"/>
        <v>2019</v>
      </c>
      <c r="J80" s="169">
        <f t="shared" si="20"/>
        <v>2020</v>
      </c>
      <c r="K80" s="169">
        <f t="shared" si="20"/>
        <v>2021</v>
      </c>
      <c r="L80" s="169">
        <f t="shared" si="20"/>
        <v>2022</v>
      </c>
      <c r="M80" s="169" t="str">
        <f t="shared" si="20"/>
        <v>2023*</v>
      </c>
      <c r="N80" s="169" t="str">
        <f t="shared" si="20"/>
        <v>2024**</v>
      </c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spans="1:26" ht="24" customHeight="1">
      <c r="A81" s="339">
        <v>-1</v>
      </c>
      <c r="B81" s="294"/>
      <c r="C81" s="294"/>
      <c r="D81" s="148">
        <f>A81-1</f>
        <v>-2</v>
      </c>
      <c r="E81" s="148">
        <f t="shared" ref="E81:K81" si="21">D81-1</f>
        <v>-3</v>
      </c>
      <c r="F81" s="148">
        <f t="shared" si="21"/>
        <v>-4</v>
      </c>
      <c r="G81" s="148">
        <f t="shared" si="21"/>
        <v>-5</v>
      </c>
      <c r="H81" s="148">
        <f t="shared" si="21"/>
        <v>-6</v>
      </c>
      <c r="I81" s="148">
        <f t="shared" si="21"/>
        <v>-7</v>
      </c>
      <c r="J81" s="148">
        <f t="shared" si="21"/>
        <v>-8</v>
      </c>
      <c r="K81" s="148">
        <f t="shared" si="21"/>
        <v>-9</v>
      </c>
      <c r="L81" s="148">
        <f t="shared" ref="L81:N81" si="22">J81-1</f>
        <v>-9</v>
      </c>
      <c r="M81" s="148">
        <f t="shared" si="22"/>
        <v>-10</v>
      </c>
      <c r="N81" s="148">
        <f t="shared" si="22"/>
        <v>-10</v>
      </c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spans="1:26" ht="24" customHeight="1">
      <c r="A82" s="340" t="s">
        <v>182</v>
      </c>
      <c r="B82" s="341"/>
      <c r="C82" s="341"/>
      <c r="D82" s="170">
        <v>73799.751714836937</v>
      </c>
      <c r="E82" s="170">
        <v>33762.399729158569</v>
      </c>
      <c r="F82" s="170">
        <v>50123.665438190503</v>
      </c>
      <c r="G82" s="170">
        <v>75206.157612457449</v>
      </c>
      <c r="H82" s="170">
        <v>78627.703209916741</v>
      </c>
      <c r="I82" s="170">
        <v>115623.69823232824</v>
      </c>
      <c r="J82" s="170">
        <v>128560.69610803055</v>
      </c>
      <c r="K82" s="170">
        <v>185956.96972217612</v>
      </c>
      <c r="L82" s="170">
        <v>300256.28932725167</v>
      </c>
      <c r="M82" s="170">
        <v>378436.43561014492</v>
      </c>
      <c r="N82" s="170">
        <v>436324.53659975063</v>
      </c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spans="1:26" ht="24" customHeight="1">
      <c r="A83" s="342" t="s">
        <v>184</v>
      </c>
      <c r="B83" s="343"/>
      <c r="C83" s="343"/>
      <c r="D83" s="172">
        <v>-11714.077188993706</v>
      </c>
      <c r="E83" s="172">
        <v>-7263.6783108524887</v>
      </c>
      <c r="F83" s="172">
        <v>-5407.5494871197752</v>
      </c>
      <c r="G83" s="172">
        <v>-7830.3710833321138</v>
      </c>
      <c r="H83" s="172">
        <v>-6773.7645654589433</v>
      </c>
      <c r="I83" s="172">
        <v>-3994.788092628447</v>
      </c>
      <c r="J83" s="172">
        <v>-3417.0025141210394</v>
      </c>
      <c r="K83" s="172">
        <v>-3599.1709199380489</v>
      </c>
      <c r="L83" s="172">
        <v>-8616.7528669690582</v>
      </c>
      <c r="M83" s="172">
        <v>-17415.350501055815</v>
      </c>
      <c r="N83" s="172">
        <v>-13740.702421763084</v>
      </c>
      <c r="O83" s="171"/>
      <c r="P83" s="171"/>
      <c r="Q83" s="171"/>
      <c r="R83" s="171"/>
      <c r="S83" s="171"/>
      <c r="T83" s="138"/>
      <c r="U83" s="138"/>
      <c r="V83" s="138"/>
      <c r="W83" s="138"/>
      <c r="X83" s="138"/>
      <c r="Y83" s="138"/>
      <c r="Z83" s="138"/>
    </row>
    <row r="84" spans="1:26" ht="24" customHeight="1">
      <c r="A84" s="342" t="s">
        <v>186</v>
      </c>
      <c r="B84" s="343"/>
      <c r="C84" s="343"/>
      <c r="D84" s="172">
        <v>13491.351731428002</v>
      </c>
      <c r="E84" s="172">
        <v>37365.684215182991</v>
      </c>
      <c r="F84" s="172">
        <v>32792.60548777986</v>
      </c>
      <c r="G84" s="172">
        <v>-13629.008439330151</v>
      </c>
      <c r="H84" s="172">
        <v>152190.16592175938</v>
      </c>
      <c r="I84" s="172">
        <v>-7813.5354552073159</v>
      </c>
      <c r="J84" s="172">
        <v>34080.104468232639</v>
      </c>
      <c r="K84" s="172">
        <v>-53761.498027976282</v>
      </c>
      <c r="L84" s="172">
        <v>21071.259188932912</v>
      </c>
      <c r="M84" s="172">
        <v>-196962.03558978927</v>
      </c>
      <c r="N84" s="172">
        <v>38299.817176630742</v>
      </c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spans="1:26" ht="24" customHeight="1">
      <c r="A85" s="342" t="s">
        <v>187</v>
      </c>
      <c r="B85" s="343"/>
      <c r="C85" s="343"/>
      <c r="D85" s="172">
        <v>-41814.626528112647</v>
      </c>
      <c r="E85" s="172">
        <v>-13740.740195298567</v>
      </c>
      <c r="F85" s="172">
        <v>-2302.5638263931373</v>
      </c>
      <c r="G85" s="172">
        <v>24880.925120121552</v>
      </c>
      <c r="H85" s="172">
        <v>-108420.40633388898</v>
      </c>
      <c r="I85" s="172">
        <v>24745.321423538113</v>
      </c>
      <c r="J85" s="172">
        <v>26733.17166003399</v>
      </c>
      <c r="K85" s="172">
        <v>171659.98855298985</v>
      </c>
      <c r="L85" s="172">
        <v>65725.639960929388</v>
      </c>
      <c r="M85" s="172">
        <v>272265.48708045075</v>
      </c>
      <c r="N85" s="172">
        <v>73116.428044612025</v>
      </c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spans="1:26" ht="24" customHeight="1">
      <c r="A86" s="332" t="s">
        <v>188</v>
      </c>
      <c r="B86" s="333"/>
      <c r="C86" s="333"/>
      <c r="D86" s="173">
        <v>33762.399729158569</v>
      </c>
      <c r="E86" s="173">
        <v>50123.665438190503</v>
      </c>
      <c r="F86" s="173">
        <v>75206.157612457449</v>
      </c>
      <c r="G86" s="173">
        <v>78627.703209916741</v>
      </c>
      <c r="H86" s="173">
        <v>115623.69823232824</v>
      </c>
      <c r="I86" s="173">
        <v>128560.69610803058</v>
      </c>
      <c r="J86" s="173">
        <v>185956.96972217612</v>
      </c>
      <c r="K86" s="173">
        <v>300256.28932725167</v>
      </c>
      <c r="L86" s="173">
        <v>378436.43561014492</v>
      </c>
      <c r="M86" s="173">
        <v>436324.53659975063</v>
      </c>
      <c r="N86" s="173">
        <v>534000.07939923031</v>
      </c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spans="1:26" ht="24" customHeight="1">
      <c r="A87" s="138"/>
      <c r="B87" s="138"/>
      <c r="C87" s="138"/>
      <c r="D87" s="137"/>
      <c r="E87" s="137"/>
      <c r="F87" s="137"/>
      <c r="G87" s="137"/>
      <c r="H87" s="137"/>
      <c r="I87" s="137"/>
      <c r="J87" s="137"/>
      <c r="K87" s="6"/>
      <c r="L87" s="6"/>
      <c r="M87" s="6"/>
      <c r="N87" s="6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spans="1:26" ht="24" customHeight="1">
      <c r="A88" s="138" t="s">
        <v>189</v>
      </c>
      <c r="B88" s="138"/>
      <c r="C88" s="138"/>
      <c r="D88" s="137"/>
      <c r="E88" s="137"/>
      <c r="F88" s="137"/>
      <c r="G88" s="137"/>
      <c r="H88" s="137"/>
      <c r="I88" s="137"/>
      <c r="J88" s="137"/>
      <c r="K88" s="6"/>
      <c r="L88" s="6"/>
      <c r="M88" s="6"/>
      <c r="N88" s="6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spans="1:26" ht="24" customHeight="1">
      <c r="A89" s="336" t="s">
        <v>190</v>
      </c>
      <c r="B89" s="337"/>
      <c r="C89" s="337"/>
      <c r="D89" s="334" t="s">
        <v>191</v>
      </c>
      <c r="E89" s="335"/>
      <c r="F89" s="335"/>
      <c r="G89" s="335"/>
      <c r="H89" s="335"/>
      <c r="I89" s="335"/>
      <c r="J89" s="335"/>
      <c r="K89" s="335"/>
      <c r="L89" s="335"/>
      <c r="M89" s="141"/>
      <c r="N89" s="141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spans="1:26" ht="24" customHeight="1">
      <c r="A90" s="338"/>
      <c r="B90" s="338"/>
      <c r="C90" s="338"/>
      <c r="D90" s="169">
        <f t="shared" ref="D90:N90" si="23">D80</f>
        <v>2014</v>
      </c>
      <c r="E90" s="169">
        <f t="shared" si="23"/>
        <v>2015</v>
      </c>
      <c r="F90" s="169">
        <f t="shared" si="23"/>
        <v>2016</v>
      </c>
      <c r="G90" s="169">
        <f t="shared" si="23"/>
        <v>2017</v>
      </c>
      <c r="H90" s="169">
        <f t="shared" si="23"/>
        <v>2018</v>
      </c>
      <c r="I90" s="169">
        <f t="shared" si="23"/>
        <v>2019</v>
      </c>
      <c r="J90" s="169">
        <f t="shared" si="23"/>
        <v>2020</v>
      </c>
      <c r="K90" s="169">
        <f t="shared" si="23"/>
        <v>2021</v>
      </c>
      <c r="L90" s="169">
        <f t="shared" si="23"/>
        <v>2022</v>
      </c>
      <c r="M90" s="169" t="str">
        <f t="shared" si="23"/>
        <v>2023*</v>
      </c>
      <c r="N90" s="169" t="str">
        <f t="shared" si="23"/>
        <v>2024**</v>
      </c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spans="1:26" ht="24" customHeight="1">
      <c r="A91" s="339">
        <v>-1</v>
      </c>
      <c r="B91" s="294"/>
      <c r="C91" s="294"/>
      <c r="D91" s="148">
        <f>A91-1</f>
        <v>-2</v>
      </c>
      <c r="E91" s="148">
        <f t="shared" ref="E91:K91" si="24">D91-1</f>
        <v>-3</v>
      </c>
      <c r="F91" s="148">
        <f t="shared" si="24"/>
        <v>-4</v>
      </c>
      <c r="G91" s="148">
        <f t="shared" si="24"/>
        <v>-5</v>
      </c>
      <c r="H91" s="148">
        <f t="shared" si="24"/>
        <v>-6</v>
      </c>
      <c r="I91" s="148">
        <f t="shared" si="24"/>
        <v>-7</v>
      </c>
      <c r="J91" s="148">
        <f t="shared" si="24"/>
        <v>-8</v>
      </c>
      <c r="K91" s="148">
        <f t="shared" si="24"/>
        <v>-9</v>
      </c>
      <c r="L91" s="148">
        <f t="shared" ref="L91:N91" si="25">J91-1</f>
        <v>-9</v>
      </c>
      <c r="M91" s="148">
        <f t="shared" si="25"/>
        <v>-10</v>
      </c>
      <c r="N91" s="148">
        <f t="shared" si="25"/>
        <v>-10</v>
      </c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spans="1:26" ht="24" customHeight="1">
      <c r="A92" s="340" t="s">
        <v>194</v>
      </c>
      <c r="B92" s="341"/>
      <c r="C92" s="341"/>
      <c r="D92" s="170">
        <v>72154.564998690679</v>
      </c>
      <c r="E92" s="170">
        <v>97741.008539998918</v>
      </c>
      <c r="F92" s="170">
        <v>151551.60812324021</v>
      </c>
      <c r="G92" s="170">
        <v>307466.41093133908</v>
      </c>
      <c r="H92" s="170">
        <v>282952.63199922501</v>
      </c>
      <c r="I92" s="170">
        <v>42142.188439038968</v>
      </c>
      <c r="J92" s="170">
        <v>42808.066452145322</v>
      </c>
      <c r="K92" s="170">
        <v>113056.09025386334</v>
      </c>
      <c r="L92" s="170">
        <v>169831.80657200314</v>
      </c>
      <c r="M92" s="170">
        <v>172030.87219682394</v>
      </c>
      <c r="N92" s="170">
        <v>181377.42963707951</v>
      </c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spans="1:26" ht="24" customHeight="1">
      <c r="A93" s="342" t="s">
        <v>195</v>
      </c>
      <c r="B93" s="343"/>
      <c r="C93" s="343"/>
      <c r="D93" s="172">
        <v>-672.84247465166152</v>
      </c>
      <c r="E93" s="172">
        <v>-405.97463833087869</v>
      </c>
      <c r="F93" s="172">
        <v>-713.28494816884904</v>
      </c>
      <c r="G93" s="172">
        <v>-1253.093696509331</v>
      </c>
      <c r="H93" s="172">
        <v>-1547.1992398230664</v>
      </c>
      <c r="I93" s="172">
        <v>-844.89467293718963</v>
      </c>
      <c r="J93" s="172">
        <v>-2044.0282638913484</v>
      </c>
      <c r="K93" s="172">
        <v>-4341.6139066720662</v>
      </c>
      <c r="L93" s="172">
        <v>-6415.4282882992748</v>
      </c>
      <c r="M93" s="172">
        <v>-11822.488765251193</v>
      </c>
      <c r="N93" s="172">
        <v>-12341.885865275493</v>
      </c>
      <c r="O93" s="171"/>
      <c r="P93" s="171"/>
      <c r="Q93" s="171"/>
      <c r="R93" s="171"/>
      <c r="S93" s="171"/>
      <c r="T93" s="138"/>
      <c r="U93" s="138"/>
      <c r="V93" s="138"/>
      <c r="W93" s="138"/>
      <c r="X93" s="138"/>
      <c r="Y93" s="138"/>
      <c r="Z93" s="138"/>
    </row>
    <row r="94" spans="1:26" ht="24" customHeight="1">
      <c r="A94" s="342" t="s">
        <v>196</v>
      </c>
      <c r="B94" s="343"/>
      <c r="C94" s="343"/>
      <c r="D94" s="172">
        <v>2.7599683316208439</v>
      </c>
      <c r="E94" s="172">
        <v>111761.08884468465</v>
      </c>
      <c r="F94" s="172">
        <v>-10028.795638550735</v>
      </c>
      <c r="G94" s="172">
        <v>76170.172633598006</v>
      </c>
      <c r="H94" s="172">
        <v>38105.137565557183</v>
      </c>
      <c r="I94" s="172">
        <v>-1861.7149668930226</v>
      </c>
      <c r="J94" s="172">
        <v>-30795.56454140765</v>
      </c>
      <c r="K94" s="172">
        <v>25024.271804360516</v>
      </c>
      <c r="L94" s="172">
        <v>170.97836573455723</v>
      </c>
      <c r="M94" s="172">
        <v>15170.047987381131</v>
      </c>
      <c r="N94" s="172">
        <v>31710.237303884991</v>
      </c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spans="1:26" ht="24" customHeight="1">
      <c r="A95" s="342" t="s">
        <v>197</v>
      </c>
      <c r="B95" s="343"/>
      <c r="C95" s="343"/>
      <c r="D95" s="172">
        <v>26256.526047628282</v>
      </c>
      <c r="E95" s="172">
        <v>-57544.121565008732</v>
      </c>
      <c r="F95" s="172">
        <v>166656.64473041316</v>
      </c>
      <c r="G95" s="172">
        <v>-99430.857869202766</v>
      </c>
      <c r="H95" s="172">
        <v>-277368.38188592019</v>
      </c>
      <c r="I95" s="172">
        <v>3372.487652936682</v>
      </c>
      <c r="J95" s="172">
        <v>103087.61660701703</v>
      </c>
      <c r="K95" s="172">
        <v>36093.058420451329</v>
      </c>
      <c r="L95" s="172">
        <v>8443.5155473855248</v>
      </c>
      <c r="M95" s="172">
        <v>5998.9982181256373</v>
      </c>
      <c r="N95" s="172">
        <v>5153.4135573875883</v>
      </c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spans="1:26" ht="24" customHeight="1">
      <c r="A96" s="332" t="s">
        <v>198</v>
      </c>
      <c r="B96" s="333"/>
      <c r="C96" s="333"/>
      <c r="D96" s="173">
        <v>97741.008539998918</v>
      </c>
      <c r="E96" s="173">
        <v>151552.00118134395</v>
      </c>
      <c r="F96" s="173">
        <v>307466.17226693378</v>
      </c>
      <c r="G96" s="173">
        <v>282952.63199922501</v>
      </c>
      <c r="H96" s="173">
        <v>42142.188439038968</v>
      </c>
      <c r="I96" s="173">
        <v>42808.066452145438</v>
      </c>
      <c r="J96" s="173">
        <v>113056.09025386334</v>
      </c>
      <c r="K96" s="173">
        <v>169831.80657200314</v>
      </c>
      <c r="L96" s="173">
        <v>172030.87219682394</v>
      </c>
      <c r="M96" s="173">
        <v>181377.42963707951</v>
      </c>
      <c r="N96" s="173">
        <v>205899.19463307661</v>
      </c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spans="1:26" ht="24" customHeight="1">
      <c r="A97" s="138"/>
      <c r="B97" s="138"/>
      <c r="C97" s="138"/>
      <c r="D97" s="137"/>
      <c r="E97" s="137"/>
      <c r="F97" s="137"/>
      <c r="G97" s="137"/>
      <c r="H97" s="137"/>
      <c r="I97" s="137"/>
      <c r="J97" s="137"/>
      <c r="K97" s="6"/>
      <c r="L97" s="6"/>
      <c r="M97" s="6"/>
      <c r="N97" s="6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spans="1:26" ht="24" customHeight="1">
      <c r="A98" s="138" t="s">
        <v>199</v>
      </c>
      <c r="B98" s="138"/>
      <c r="C98" s="138"/>
      <c r="D98" s="137"/>
      <c r="E98" s="137"/>
      <c r="F98" s="137"/>
      <c r="G98" s="137"/>
      <c r="H98" s="137"/>
      <c r="I98" s="137"/>
      <c r="J98" s="137"/>
      <c r="K98" s="6"/>
      <c r="L98" s="6"/>
      <c r="M98" s="6"/>
      <c r="N98" s="6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spans="1:26" ht="24" customHeight="1">
      <c r="A99" s="336" t="s">
        <v>200</v>
      </c>
      <c r="B99" s="337"/>
      <c r="C99" s="337"/>
      <c r="D99" s="334" t="s">
        <v>201</v>
      </c>
      <c r="E99" s="335"/>
      <c r="F99" s="335"/>
      <c r="G99" s="335"/>
      <c r="H99" s="335"/>
      <c r="I99" s="335"/>
      <c r="J99" s="335"/>
      <c r="K99" s="335"/>
      <c r="L99" s="335"/>
      <c r="M99" s="141"/>
      <c r="N99" s="141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spans="1:26" ht="24" customHeight="1">
      <c r="A100" s="338"/>
      <c r="B100" s="338"/>
      <c r="C100" s="338"/>
      <c r="D100" s="175">
        <f t="shared" ref="D100:N100" si="26">D90</f>
        <v>2014</v>
      </c>
      <c r="E100" s="175">
        <f t="shared" si="26"/>
        <v>2015</v>
      </c>
      <c r="F100" s="175">
        <f t="shared" si="26"/>
        <v>2016</v>
      </c>
      <c r="G100" s="175">
        <f t="shared" si="26"/>
        <v>2017</v>
      </c>
      <c r="H100" s="175">
        <f t="shared" si="26"/>
        <v>2018</v>
      </c>
      <c r="I100" s="175">
        <f t="shared" si="26"/>
        <v>2019</v>
      </c>
      <c r="J100" s="175">
        <f t="shared" si="26"/>
        <v>2020</v>
      </c>
      <c r="K100" s="175">
        <f t="shared" si="26"/>
        <v>2021</v>
      </c>
      <c r="L100" s="175">
        <f t="shared" si="26"/>
        <v>2022</v>
      </c>
      <c r="M100" s="175" t="str">
        <f t="shared" si="26"/>
        <v>2023*</v>
      </c>
      <c r="N100" s="175" t="str">
        <f t="shared" si="26"/>
        <v>2024**</v>
      </c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 spans="1:26" ht="24" customHeight="1">
      <c r="A101" s="339">
        <v>-1</v>
      </c>
      <c r="B101" s="294"/>
      <c r="C101" s="294"/>
      <c r="D101" s="148">
        <f>A101-1</f>
        <v>-2</v>
      </c>
      <c r="E101" s="148">
        <f t="shared" ref="E101:K101" si="27">D101-1</f>
        <v>-3</v>
      </c>
      <c r="F101" s="148">
        <f t="shared" si="27"/>
        <v>-4</v>
      </c>
      <c r="G101" s="148">
        <f t="shared" si="27"/>
        <v>-5</v>
      </c>
      <c r="H101" s="148">
        <f t="shared" si="27"/>
        <v>-6</v>
      </c>
      <c r="I101" s="148">
        <f t="shared" si="27"/>
        <v>-7</v>
      </c>
      <c r="J101" s="148">
        <f t="shared" si="27"/>
        <v>-8</v>
      </c>
      <c r="K101" s="148">
        <f t="shared" si="27"/>
        <v>-9</v>
      </c>
      <c r="L101" s="148">
        <f t="shared" ref="L101:N101" si="28">J101-1</f>
        <v>-9</v>
      </c>
      <c r="M101" s="148">
        <f t="shared" si="28"/>
        <v>-10</v>
      </c>
      <c r="N101" s="148">
        <f t="shared" si="28"/>
        <v>-10</v>
      </c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 spans="1:26" ht="24" customHeight="1">
      <c r="A102" s="340" t="s">
        <v>204</v>
      </c>
      <c r="B102" s="341"/>
      <c r="C102" s="341"/>
      <c r="D102" s="170">
        <v>48504.103229566499</v>
      </c>
      <c r="E102" s="170">
        <v>7070.8202256160166</v>
      </c>
      <c r="F102" s="170">
        <v>2508.8633804961082</v>
      </c>
      <c r="G102" s="170">
        <v>16142.363427068534</v>
      </c>
      <c r="H102" s="170">
        <v>51927.399762739718</v>
      </c>
      <c r="I102" s="170">
        <v>81961.192456577817</v>
      </c>
      <c r="J102" s="170">
        <v>119374.59684863981</v>
      </c>
      <c r="K102" s="170">
        <v>92499.539333019711</v>
      </c>
      <c r="L102" s="170">
        <v>132212.82876640657</v>
      </c>
      <c r="M102" s="170">
        <v>161189.47175353253</v>
      </c>
      <c r="N102" s="170">
        <v>189178.5261961603</v>
      </c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 spans="1:26" ht="24" customHeight="1">
      <c r="A103" s="342" t="s">
        <v>205</v>
      </c>
      <c r="B103" s="343"/>
      <c r="C103" s="343"/>
      <c r="D103" s="172">
        <v>-68.394417588726739</v>
      </c>
      <c r="E103" s="172">
        <v>-1.2259780480814511</v>
      </c>
      <c r="F103" s="172">
        <v>-7.1481690607919761</v>
      </c>
      <c r="G103" s="172">
        <v>-56.796366667827499</v>
      </c>
      <c r="H103" s="172">
        <v>-303.94608723553171</v>
      </c>
      <c r="I103" s="172">
        <v>-583.34299498453515</v>
      </c>
      <c r="J103" s="172">
        <v>-795.98646024719278</v>
      </c>
      <c r="K103" s="172">
        <v>-1063.7067717207697</v>
      </c>
      <c r="L103" s="172">
        <v>-1675.6728678619916</v>
      </c>
      <c r="M103" s="172">
        <v>-897.18193377671889</v>
      </c>
      <c r="N103" s="172">
        <v>-610.19653411012928</v>
      </c>
      <c r="O103" s="171"/>
      <c r="P103" s="171"/>
      <c r="Q103" s="171"/>
      <c r="R103" s="171"/>
      <c r="S103" s="171"/>
      <c r="T103" s="138"/>
      <c r="U103" s="138"/>
      <c r="V103" s="138"/>
      <c r="W103" s="138"/>
      <c r="X103" s="138"/>
      <c r="Y103" s="138"/>
      <c r="Z103" s="138"/>
    </row>
    <row r="104" spans="1:26" ht="24" customHeight="1">
      <c r="A104" s="342" t="s">
        <v>206</v>
      </c>
      <c r="B104" s="343"/>
      <c r="C104" s="343"/>
      <c r="D104" s="172">
        <v>68.394417588726739</v>
      </c>
      <c r="E104" s="172">
        <v>5623.3098027032584</v>
      </c>
      <c r="F104" s="172">
        <v>500.20426964620248</v>
      </c>
      <c r="G104" s="172">
        <v>6373.3804595814809</v>
      </c>
      <c r="H104" s="172">
        <v>1341.7766182673663</v>
      </c>
      <c r="I104" s="172">
        <v>124.65002779339567</v>
      </c>
      <c r="J104" s="172">
        <v>27554.453149037927</v>
      </c>
      <c r="K104" s="172">
        <v>-73936.256260326132</v>
      </c>
      <c r="L104" s="172">
        <v>5405.1373692511006</v>
      </c>
      <c r="M104" s="172">
        <v>85.313696596835925</v>
      </c>
      <c r="N104" s="172">
        <v>8641.0761875504504</v>
      </c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 spans="1:26" ht="24" customHeight="1">
      <c r="A105" s="342" t="s">
        <v>207</v>
      </c>
      <c r="B105" s="343"/>
      <c r="C105" s="343"/>
      <c r="D105" s="172">
        <v>-41433.283003950484</v>
      </c>
      <c r="E105" s="172">
        <v>-10184.040669775086</v>
      </c>
      <c r="F105" s="172">
        <v>13140.443945987017</v>
      </c>
      <c r="G105" s="172">
        <v>29468.452242757536</v>
      </c>
      <c r="H105" s="172">
        <v>28995.962162806263</v>
      </c>
      <c r="I105" s="172">
        <v>37872.097359253137</v>
      </c>
      <c r="J105" s="172">
        <v>-53633.524204410838</v>
      </c>
      <c r="K105" s="172">
        <v>114713.25246543376</v>
      </c>
      <c r="L105" s="172">
        <v>25247.178485736858</v>
      </c>
      <c r="M105" s="172">
        <v>28800.922679807649</v>
      </c>
      <c r="N105" s="172">
        <v>30921.679499617014</v>
      </c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 spans="1:26" ht="24" customHeight="1">
      <c r="A106" s="332" t="s">
        <v>211</v>
      </c>
      <c r="B106" s="333"/>
      <c r="C106" s="333"/>
      <c r="D106" s="173">
        <v>7070.8202256160166</v>
      </c>
      <c r="E106" s="173">
        <v>2508.8633804961082</v>
      </c>
      <c r="F106" s="173">
        <v>16142.363427068534</v>
      </c>
      <c r="G106" s="173">
        <v>51927.399762739718</v>
      </c>
      <c r="H106" s="173">
        <v>81961.192456577817</v>
      </c>
      <c r="I106" s="173">
        <v>119374.59684863981</v>
      </c>
      <c r="J106" s="173">
        <v>92499.539333019711</v>
      </c>
      <c r="K106" s="173">
        <v>132212.82876640657</v>
      </c>
      <c r="L106" s="173">
        <v>161189.47175353253</v>
      </c>
      <c r="M106" s="173">
        <v>189178.5261961603</v>
      </c>
      <c r="N106" s="173">
        <v>228131.08534921764</v>
      </c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 spans="1:26" ht="14.25" customHeight="1">
      <c r="A107" s="138"/>
      <c r="B107" s="138"/>
      <c r="C107" s="138"/>
      <c r="D107" s="137"/>
      <c r="E107" s="137"/>
      <c r="F107" s="137"/>
      <c r="G107" s="137"/>
      <c r="H107" s="137"/>
      <c r="I107" s="137"/>
      <c r="J107" s="137"/>
      <c r="K107" s="6"/>
      <c r="L107" s="6"/>
      <c r="M107" s="6"/>
      <c r="N107" s="6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 spans="1:26" ht="14.25" customHeight="1">
      <c r="A108" s="138"/>
      <c r="B108" s="138"/>
      <c r="C108" s="138"/>
      <c r="D108" s="137"/>
      <c r="E108" s="137"/>
      <c r="F108" s="137"/>
      <c r="G108" s="137"/>
      <c r="H108" s="137"/>
      <c r="I108" s="137"/>
      <c r="J108" s="137"/>
      <c r="K108" s="6"/>
      <c r="L108" s="6"/>
      <c r="M108" s="6"/>
      <c r="N108" s="6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 spans="1:26" ht="14.25" customHeight="1">
      <c r="A109" s="138"/>
      <c r="B109" s="138"/>
      <c r="C109" s="138"/>
      <c r="D109" s="137"/>
      <c r="E109" s="137"/>
      <c r="F109" s="137"/>
      <c r="G109" s="137"/>
      <c r="H109" s="137"/>
      <c r="I109" s="137"/>
      <c r="J109" s="137"/>
      <c r="K109" s="6"/>
      <c r="L109" s="6"/>
      <c r="M109" s="6"/>
      <c r="N109" s="6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 spans="1:26" ht="14.25" customHeight="1">
      <c r="A110" s="138"/>
      <c r="B110" s="138"/>
      <c r="C110" s="138"/>
      <c r="D110" s="137"/>
      <c r="E110" s="137"/>
      <c r="F110" s="137"/>
      <c r="G110" s="137"/>
      <c r="H110" s="137"/>
      <c r="I110" s="137"/>
      <c r="J110" s="137"/>
      <c r="K110" s="6"/>
      <c r="L110" s="6"/>
      <c r="M110" s="6"/>
      <c r="N110" s="6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 spans="1:26" ht="14.25" customHeight="1">
      <c r="A111" s="138"/>
      <c r="B111" s="138"/>
      <c r="C111" s="138"/>
      <c r="D111" s="137"/>
      <c r="E111" s="137"/>
      <c r="F111" s="137"/>
      <c r="G111" s="137"/>
      <c r="H111" s="137"/>
      <c r="I111" s="137"/>
      <c r="J111" s="137"/>
      <c r="K111" s="6"/>
      <c r="L111" s="6"/>
      <c r="M111" s="6"/>
      <c r="N111" s="6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 spans="1:26" ht="14.25" customHeight="1">
      <c r="A112" s="138"/>
      <c r="B112" s="138"/>
      <c r="C112" s="138"/>
      <c r="D112" s="137"/>
      <c r="E112" s="137"/>
      <c r="F112" s="137"/>
      <c r="G112" s="137"/>
      <c r="H112" s="137"/>
      <c r="I112" s="137"/>
      <c r="J112" s="137"/>
      <c r="K112" s="6"/>
      <c r="L112" s="6"/>
      <c r="M112" s="6"/>
      <c r="N112" s="6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 spans="1:26" ht="14.25" customHeight="1">
      <c r="A113" s="138"/>
      <c r="B113" s="138"/>
      <c r="C113" s="138"/>
      <c r="D113" s="137"/>
      <c r="E113" s="137"/>
      <c r="F113" s="137"/>
      <c r="G113" s="137"/>
      <c r="H113" s="137"/>
      <c r="I113" s="137"/>
      <c r="J113" s="137"/>
      <c r="K113" s="6"/>
      <c r="L113" s="6"/>
      <c r="M113" s="6"/>
      <c r="N113" s="6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 spans="1:26" ht="14.25" customHeight="1">
      <c r="A114" s="138"/>
      <c r="B114" s="138"/>
      <c r="C114" s="138"/>
      <c r="D114" s="137"/>
      <c r="E114" s="137"/>
      <c r="F114" s="137"/>
      <c r="G114" s="137"/>
      <c r="H114" s="137"/>
      <c r="I114" s="137"/>
      <c r="J114" s="137"/>
      <c r="K114" s="6"/>
      <c r="L114" s="6"/>
      <c r="M114" s="6"/>
      <c r="N114" s="6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 spans="1:26" ht="14.25" customHeight="1">
      <c r="A115" s="138"/>
      <c r="B115" s="138"/>
      <c r="C115" s="138"/>
      <c r="D115" s="137"/>
      <c r="E115" s="137"/>
      <c r="F115" s="137"/>
      <c r="G115" s="137"/>
      <c r="H115" s="137"/>
      <c r="I115" s="137"/>
      <c r="J115" s="137"/>
      <c r="K115" s="6"/>
      <c r="L115" s="6"/>
      <c r="M115" s="6"/>
      <c r="N115" s="6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 spans="1:26" ht="14.25" customHeight="1">
      <c r="A116" s="138"/>
      <c r="B116" s="138"/>
      <c r="C116" s="138"/>
      <c r="D116" s="137"/>
      <c r="E116" s="137"/>
      <c r="F116" s="137"/>
      <c r="G116" s="137"/>
      <c r="H116" s="137"/>
      <c r="I116" s="137"/>
      <c r="J116" s="137"/>
      <c r="K116" s="6"/>
      <c r="L116" s="6"/>
      <c r="M116" s="6"/>
      <c r="N116" s="6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 spans="1:26" ht="14.25" customHeight="1">
      <c r="A117" s="138"/>
      <c r="B117" s="138"/>
      <c r="C117" s="138"/>
      <c r="D117" s="137"/>
      <c r="E117" s="137"/>
      <c r="F117" s="137"/>
      <c r="G117" s="137"/>
      <c r="H117" s="137"/>
      <c r="I117" s="137"/>
      <c r="J117" s="137"/>
      <c r="K117" s="6"/>
      <c r="L117" s="6"/>
      <c r="M117" s="6"/>
      <c r="N117" s="6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 spans="1:26" ht="14.25" customHeight="1">
      <c r="A118" s="138"/>
      <c r="B118" s="138"/>
      <c r="C118" s="138"/>
      <c r="D118" s="137"/>
      <c r="E118" s="137"/>
      <c r="F118" s="137"/>
      <c r="G118" s="137"/>
      <c r="H118" s="137"/>
      <c r="I118" s="137"/>
      <c r="J118" s="137"/>
      <c r="K118" s="6"/>
      <c r="L118" s="6"/>
      <c r="M118" s="6"/>
      <c r="N118" s="6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 spans="1:26" ht="14.25" customHeight="1">
      <c r="A119" s="138"/>
      <c r="B119" s="138"/>
      <c r="C119" s="138"/>
      <c r="D119" s="137"/>
      <c r="E119" s="137"/>
      <c r="F119" s="137"/>
      <c r="G119" s="137"/>
      <c r="H119" s="137"/>
      <c r="I119" s="137"/>
      <c r="J119" s="137"/>
      <c r="K119" s="6"/>
      <c r="L119" s="6"/>
      <c r="M119" s="6"/>
      <c r="N119" s="6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 spans="1:26" ht="14.25" customHeight="1">
      <c r="A120" s="138"/>
      <c r="B120" s="138"/>
      <c r="C120" s="138"/>
      <c r="D120" s="137"/>
      <c r="E120" s="137"/>
      <c r="F120" s="137"/>
      <c r="G120" s="137"/>
      <c r="H120" s="137"/>
      <c r="I120" s="137"/>
      <c r="J120" s="137"/>
      <c r="K120" s="6"/>
      <c r="L120" s="6"/>
      <c r="M120" s="6"/>
      <c r="N120" s="6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 spans="1:26" ht="14.25" customHeight="1">
      <c r="A121" s="138"/>
      <c r="B121" s="138"/>
      <c r="C121" s="138"/>
      <c r="D121" s="137"/>
      <c r="E121" s="137"/>
      <c r="F121" s="137"/>
      <c r="G121" s="137"/>
      <c r="H121" s="137"/>
      <c r="I121" s="137"/>
      <c r="J121" s="137"/>
      <c r="K121" s="6"/>
      <c r="L121" s="6"/>
      <c r="M121" s="6"/>
      <c r="N121" s="6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 spans="1:26" ht="14.25" customHeight="1">
      <c r="A122" s="138"/>
      <c r="B122" s="138"/>
      <c r="C122" s="138"/>
      <c r="D122" s="137"/>
      <c r="E122" s="137"/>
      <c r="F122" s="137"/>
      <c r="G122" s="137"/>
      <c r="H122" s="137"/>
      <c r="I122" s="137"/>
      <c r="J122" s="137"/>
      <c r="K122" s="6"/>
      <c r="L122" s="6"/>
      <c r="M122" s="6"/>
      <c r="N122" s="6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 spans="1:26" ht="14.25" customHeight="1">
      <c r="A123" s="138"/>
      <c r="B123" s="138"/>
      <c r="C123" s="138"/>
      <c r="D123" s="137"/>
      <c r="E123" s="137"/>
      <c r="F123" s="137"/>
      <c r="G123" s="137"/>
      <c r="H123" s="137"/>
      <c r="I123" s="137"/>
      <c r="J123" s="137"/>
      <c r="K123" s="6"/>
      <c r="L123" s="6"/>
      <c r="M123" s="6"/>
      <c r="N123" s="6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 spans="1:26" ht="14.25" customHeight="1">
      <c r="A124" s="138"/>
      <c r="B124" s="138"/>
      <c r="C124" s="138"/>
      <c r="D124" s="137"/>
      <c r="E124" s="137"/>
      <c r="F124" s="137"/>
      <c r="G124" s="137"/>
      <c r="H124" s="137"/>
      <c r="I124" s="137"/>
      <c r="J124" s="137"/>
      <c r="K124" s="6"/>
      <c r="L124" s="6"/>
      <c r="M124" s="6"/>
      <c r="N124" s="6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 spans="1:26" ht="14.25" customHeight="1">
      <c r="A125" s="138"/>
      <c r="B125" s="138"/>
      <c r="C125" s="138"/>
      <c r="D125" s="137"/>
      <c r="E125" s="137"/>
      <c r="F125" s="137"/>
      <c r="G125" s="137"/>
      <c r="H125" s="137"/>
      <c r="I125" s="137"/>
      <c r="J125" s="137"/>
      <c r="K125" s="6"/>
      <c r="L125" s="6"/>
      <c r="M125" s="6"/>
      <c r="N125" s="6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 spans="1:26" ht="14.25" customHeight="1">
      <c r="A126" s="138"/>
      <c r="B126" s="138"/>
      <c r="C126" s="138"/>
      <c r="D126" s="137"/>
      <c r="E126" s="137"/>
      <c r="F126" s="137"/>
      <c r="G126" s="137"/>
      <c r="H126" s="137"/>
      <c r="I126" s="137"/>
      <c r="J126" s="137"/>
      <c r="K126" s="6"/>
      <c r="L126" s="6"/>
      <c r="M126" s="6"/>
      <c r="N126" s="6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 spans="1:26" ht="14.25" customHeight="1">
      <c r="A127" s="138"/>
      <c r="B127" s="138"/>
      <c r="C127" s="138"/>
      <c r="D127" s="137"/>
      <c r="E127" s="137"/>
      <c r="F127" s="137"/>
      <c r="G127" s="137"/>
      <c r="H127" s="137"/>
      <c r="I127" s="137"/>
      <c r="J127" s="137"/>
      <c r="K127" s="6"/>
      <c r="L127" s="6"/>
      <c r="M127" s="6"/>
      <c r="N127" s="6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 spans="1:26" ht="14.25" customHeight="1">
      <c r="A128" s="138"/>
      <c r="B128" s="138"/>
      <c r="C128" s="138"/>
      <c r="D128" s="137"/>
      <c r="E128" s="137"/>
      <c r="F128" s="137"/>
      <c r="G128" s="137"/>
      <c r="H128" s="137"/>
      <c r="I128" s="137"/>
      <c r="J128" s="137"/>
      <c r="K128" s="6"/>
      <c r="L128" s="6"/>
      <c r="M128" s="6"/>
      <c r="N128" s="6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 spans="1:26" ht="14.25" customHeight="1">
      <c r="A129" s="138"/>
      <c r="B129" s="138"/>
      <c r="C129" s="138"/>
      <c r="D129" s="137"/>
      <c r="E129" s="137"/>
      <c r="F129" s="137"/>
      <c r="G129" s="137"/>
      <c r="H129" s="137"/>
      <c r="I129" s="137"/>
      <c r="J129" s="137"/>
      <c r="K129" s="6"/>
      <c r="L129" s="6"/>
      <c r="M129" s="6"/>
      <c r="N129" s="6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 spans="1:26" ht="14.25" customHeight="1">
      <c r="A130" s="138"/>
      <c r="B130" s="138"/>
      <c r="C130" s="138"/>
      <c r="D130" s="137"/>
      <c r="E130" s="137"/>
      <c r="F130" s="137"/>
      <c r="G130" s="137"/>
      <c r="H130" s="137"/>
      <c r="I130" s="137"/>
      <c r="J130" s="137"/>
      <c r="K130" s="6"/>
      <c r="L130" s="6"/>
      <c r="M130" s="6"/>
      <c r="N130" s="6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 spans="1:26" ht="14.25" customHeight="1">
      <c r="A131" s="138"/>
      <c r="B131" s="138"/>
      <c r="C131" s="138"/>
      <c r="D131" s="137"/>
      <c r="E131" s="137"/>
      <c r="F131" s="137"/>
      <c r="G131" s="137"/>
      <c r="H131" s="137"/>
      <c r="I131" s="137"/>
      <c r="J131" s="137"/>
      <c r="K131" s="6"/>
      <c r="L131" s="6"/>
      <c r="M131" s="6"/>
      <c r="N131" s="6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 spans="1:26" ht="14.25" customHeight="1">
      <c r="A132" s="138"/>
      <c r="B132" s="138"/>
      <c r="C132" s="138"/>
      <c r="D132" s="137"/>
      <c r="E132" s="137"/>
      <c r="F132" s="137"/>
      <c r="G132" s="137"/>
      <c r="H132" s="137"/>
      <c r="I132" s="137"/>
      <c r="J132" s="137"/>
      <c r="K132" s="6"/>
      <c r="L132" s="6"/>
      <c r="M132" s="6"/>
      <c r="N132" s="6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 spans="1:26" ht="14.25" customHeight="1">
      <c r="A133" s="138"/>
      <c r="B133" s="138"/>
      <c r="C133" s="138"/>
      <c r="D133" s="137"/>
      <c r="E133" s="137"/>
      <c r="F133" s="137"/>
      <c r="G133" s="137"/>
      <c r="H133" s="137"/>
      <c r="I133" s="137"/>
      <c r="J133" s="137"/>
      <c r="K133" s="6"/>
      <c r="L133" s="6"/>
      <c r="M133" s="6"/>
      <c r="N133" s="6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 spans="1:26" ht="14.25" customHeight="1">
      <c r="A134" s="138"/>
      <c r="B134" s="138"/>
      <c r="C134" s="138"/>
      <c r="D134" s="137"/>
      <c r="E134" s="137"/>
      <c r="F134" s="137"/>
      <c r="G134" s="137"/>
      <c r="H134" s="137"/>
      <c r="I134" s="137"/>
      <c r="J134" s="137"/>
      <c r="K134" s="6"/>
      <c r="L134" s="6"/>
      <c r="M134" s="6"/>
      <c r="N134" s="6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 spans="1:26" ht="14.25" customHeight="1">
      <c r="A135" s="138"/>
      <c r="B135" s="138"/>
      <c r="C135" s="138"/>
      <c r="D135" s="137"/>
      <c r="E135" s="137"/>
      <c r="F135" s="137"/>
      <c r="G135" s="137"/>
      <c r="H135" s="137"/>
      <c r="I135" s="137"/>
      <c r="J135" s="137"/>
      <c r="K135" s="6"/>
      <c r="L135" s="6"/>
      <c r="M135" s="6"/>
      <c r="N135" s="6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 spans="1:26" ht="14.25" customHeight="1">
      <c r="A136" s="138"/>
      <c r="B136" s="138"/>
      <c r="C136" s="138"/>
      <c r="D136" s="137"/>
      <c r="E136" s="137"/>
      <c r="F136" s="137"/>
      <c r="G136" s="137"/>
      <c r="H136" s="137"/>
      <c r="I136" s="137"/>
      <c r="J136" s="137"/>
      <c r="K136" s="6"/>
      <c r="L136" s="6"/>
      <c r="M136" s="6"/>
      <c r="N136" s="6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spans="1:26" ht="14.25" customHeight="1">
      <c r="A137" s="138"/>
      <c r="B137" s="138"/>
      <c r="C137" s="138"/>
      <c r="D137" s="137"/>
      <c r="E137" s="137"/>
      <c r="F137" s="137"/>
      <c r="G137" s="137"/>
      <c r="H137" s="137"/>
      <c r="I137" s="137"/>
      <c r="J137" s="137"/>
      <c r="K137" s="6"/>
      <c r="L137" s="6"/>
      <c r="M137" s="6"/>
      <c r="N137" s="6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spans="1:26" ht="14.25" customHeight="1">
      <c r="A138" s="138"/>
      <c r="B138" s="138"/>
      <c r="C138" s="138"/>
      <c r="D138" s="137"/>
      <c r="E138" s="137"/>
      <c r="F138" s="137"/>
      <c r="G138" s="137"/>
      <c r="H138" s="137"/>
      <c r="I138" s="137"/>
      <c r="J138" s="137"/>
      <c r="K138" s="6"/>
      <c r="L138" s="6"/>
      <c r="M138" s="6"/>
      <c r="N138" s="6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 spans="1:26" ht="14.25" customHeight="1">
      <c r="A139" s="138"/>
      <c r="B139" s="138"/>
      <c r="C139" s="138"/>
      <c r="D139" s="137"/>
      <c r="E139" s="137"/>
      <c r="F139" s="137"/>
      <c r="G139" s="137"/>
      <c r="H139" s="137"/>
      <c r="I139" s="137"/>
      <c r="J139" s="137"/>
      <c r="K139" s="6"/>
      <c r="L139" s="6"/>
      <c r="M139" s="6"/>
      <c r="N139" s="6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 spans="1:26" ht="14.25" customHeight="1">
      <c r="A140" s="138"/>
      <c r="B140" s="138"/>
      <c r="C140" s="138"/>
      <c r="D140" s="137"/>
      <c r="E140" s="137"/>
      <c r="F140" s="137"/>
      <c r="G140" s="137"/>
      <c r="H140" s="137"/>
      <c r="I140" s="137"/>
      <c r="J140" s="137"/>
      <c r="K140" s="6"/>
      <c r="L140" s="6"/>
      <c r="M140" s="6"/>
      <c r="N140" s="6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spans="1:26" ht="14.25" customHeight="1">
      <c r="A141" s="138"/>
      <c r="B141" s="138"/>
      <c r="C141" s="138"/>
      <c r="D141" s="137"/>
      <c r="E141" s="137"/>
      <c r="F141" s="137"/>
      <c r="G141" s="137"/>
      <c r="H141" s="137"/>
      <c r="I141" s="137"/>
      <c r="J141" s="137"/>
      <c r="K141" s="6"/>
      <c r="L141" s="6"/>
      <c r="M141" s="6"/>
      <c r="N141" s="6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 spans="1:26" ht="14.25" customHeight="1">
      <c r="A142" s="138"/>
      <c r="B142" s="138"/>
      <c r="C142" s="138"/>
      <c r="D142" s="137"/>
      <c r="E142" s="137"/>
      <c r="F142" s="137"/>
      <c r="G142" s="137"/>
      <c r="H142" s="137"/>
      <c r="I142" s="137"/>
      <c r="J142" s="137"/>
      <c r="K142" s="6"/>
      <c r="L142" s="6"/>
      <c r="M142" s="6"/>
      <c r="N142" s="6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 spans="1:26" ht="14.25" customHeight="1">
      <c r="A143" s="138"/>
      <c r="B143" s="138"/>
      <c r="C143" s="138"/>
      <c r="D143" s="137"/>
      <c r="E143" s="137"/>
      <c r="F143" s="137"/>
      <c r="G143" s="137"/>
      <c r="H143" s="137"/>
      <c r="I143" s="137"/>
      <c r="J143" s="137"/>
      <c r="K143" s="6"/>
      <c r="L143" s="6"/>
      <c r="M143" s="6"/>
      <c r="N143" s="6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 spans="1:26" ht="14.25" customHeight="1">
      <c r="A144" s="138"/>
      <c r="B144" s="138"/>
      <c r="C144" s="138"/>
      <c r="D144" s="137"/>
      <c r="E144" s="137"/>
      <c r="F144" s="137"/>
      <c r="G144" s="137"/>
      <c r="H144" s="137"/>
      <c r="I144" s="137"/>
      <c r="J144" s="137"/>
      <c r="K144" s="6"/>
      <c r="L144" s="6"/>
      <c r="M144" s="6"/>
      <c r="N144" s="6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 spans="1:26" ht="14.25" customHeight="1">
      <c r="A145" s="138"/>
      <c r="B145" s="138"/>
      <c r="C145" s="138"/>
      <c r="D145" s="137"/>
      <c r="E145" s="137"/>
      <c r="F145" s="137"/>
      <c r="G145" s="137"/>
      <c r="H145" s="137"/>
      <c r="I145" s="137"/>
      <c r="J145" s="137"/>
      <c r="K145" s="6"/>
      <c r="L145" s="6"/>
      <c r="M145" s="6"/>
      <c r="N145" s="6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spans="1:26" ht="14.25" customHeight="1">
      <c r="A146" s="138"/>
      <c r="B146" s="138"/>
      <c r="C146" s="138"/>
      <c r="D146" s="137"/>
      <c r="E146" s="137"/>
      <c r="F146" s="137"/>
      <c r="G146" s="137"/>
      <c r="H146" s="137"/>
      <c r="I146" s="137"/>
      <c r="J146" s="137"/>
      <c r="K146" s="6"/>
      <c r="L146" s="6"/>
      <c r="M146" s="6"/>
      <c r="N146" s="6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spans="1:26" ht="14.25" customHeight="1">
      <c r="A147" s="138"/>
      <c r="B147" s="138"/>
      <c r="C147" s="138"/>
      <c r="D147" s="137"/>
      <c r="E147" s="137"/>
      <c r="F147" s="137"/>
      <c r="G147" s="137"/>
      <c r="H147" s="137"/>
      <c r="I147" s="137"/>
      <c r="J147" s="137"/>
      <c r="K147" s="6"/>
      <c r="L147" s="6"/>
      <c r="M147" s="6"/>
      <c r="N147" s="6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 spans="1:26" ht="14.25" customHeight="1">
      <c r="A148" s="138"/>
      <c r="B148" s="138"/>
      <c r="C148" s="138"/>
      <c r="D148" s="137"/>
      <c r="E148" s="137"/>
      <c r="F148" s="137"/>
      <c r="G148" s="137"/>
      <c r="H148" s="137"/>
      <c r="I148" s="137"/>
      <c r="J148" s="137"/>
      <c r="K148" s="6"/>
      <c r="L148" s="6"/>
      <c r="M148" s="6"/>
      <c r="N148" s="6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 spans="1:26" ht="14.25" customHeight="1">
      <c r="A149" s="138"/>
      <c r="B149" s="138"/>
      <c r="C149" s="138"/>
      <c r="D149" s="137"/>
      <c r="E149" s="137"/>
      <c r="F149" s="137"/>
      <c r="G149" s="137"/>
      <c r="H149" s="137"/>
      <c r="I149" s="137"/>
      <c r="J149" s="137"/>
      <c r="K149" s="6"/>
      <c r="L149" s="6"/>
      <c r="M149" s="6"/>
      <c r="N149" s="6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spans="1:26" ht="14.25" customHeight="1">
      <c r="A150" s="138"/>
      <c r="B150" s="138"/>
      <c r="C150" s="138"/>
      <c r="D150" s="137"/>
      <c r="E150" s="137"/>
      <c r="F150" s="137"/>
      <c r="G150" s="137"/>
      <c r="H150" s="137"/>
      <c r="I150" s="137"/>
      <c r="J150" s="137"/>
      <c r="K150" s="6"/>
      <c r="L150" s="6"/>
      <c r="M150" s="6"/>
      <c r="N150" s="6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spans="1:26" ht="14.25" customHeight="1">
      <c r="A151" s="138"/>
      <c r="B151" s="138"/>
      <c r="C151" s="138"/>
      <c r="D151" s="137"/>
      <c r="E151" s="137"/>
      <c r="F151" s="137"/>
      <c r="G151" s="137"/>
      <c r="H151" s="137"/>
      <c r="I151" s="137"/>
      <c r="J151" s="137"/>
      <c r="K151" s="6"/>
      <c r="L151" s="6"/>
      <c r="M151" s="6"/>
      <c r="N151" s="6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spans="1:26" ht="14.25" customHeight="1">
      <c r="A152" s="138"/>
      <c r="B152" s="138"/>
      <c r="C152" s="138"/>
      <c r="D152" s="137"/>
      <c r="E152" s="137"/>
      <c r="F152" s="137"/>
      <c r="G152" s="137"/>
      <c r="H152" s="137"/>
      <c r="I152" s="137"/>
      <c r="J152" s="137"/>
      <c r="K152" s="6"/>
      <c r="L152" s="6"/>
      <c r="M152" s="6"/>
      <c r="N152" s="6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spans="1:26" ht="14.25" customHeight="1">
      <c r="A153" s="138"/>
      <c r="B153" s="138"/>
      <c r="C153" s="138"/>
      <c r="D153" s="137"/>
      <c r="E153" s="137"/>
      <c r="F153" s="137"/>
      <c r="G153" s="137"/>
      <c r="H153" s="137"/>
      <c r="I153" s="137"/>
      <c r="J153" s="137"/>
      <c r="K153" s="6"/>
      <c r="L153" s="6"/>
      <c r="M153" s="6"/>
      <c r="N153" s="6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spans="1:26" ht="14.25" customHeight="1">
      <c r="A154" s="138"/>
      <c r="B154" s="138"/>
      <c r="C154" s="138"/>
      <c r="D154" s="137"/>
      <c r="E154" s="137"/>
      <c r="F154" s="137"/>
      <c r="G154" s="137"/>
      <c r="H154" s="137"/>
      <c r="I154" s="137"/>
      <c r="J154" s="137"/>
      <c r="K154" s="6"/>
      <c r="L154" s="6"/>
      <c r="M154" s="6"/>
      <c r="N154" s="6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spans="1:26" ht="14.25" customHeight="1">
      <c r="A155" s="138"/>
      <c r="B155" s="138"/>
      <c r="C155" s="138"/>
      <c r="D155" s="137"/>
      <c r="E155" s="137"/>
      <c r="F155" s="137"/>
      <c r="G155" s="137"/>
      <c r="H155" s="137"/>
      <c r="I155" s="137"/>
      <c r="J155" s="137"/>
      <c r="K155" s="6"/>
      <c r="L155" s="6"/>
      <c r="M155" s="6"/>
      <c r="N155" s="6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spans="1:26" ht="14.25" customHeight="1">
      <c r="A156" s="138"/>
      <c r="B156" s="138"/>
      <c r="C156" s="138"/>
      <c r="D156" s="137"/>
      <c r="E156" s="137"/>
      <c r="F156" s="137"/>
      <c r="G156" s="137"/>
      <c r="H156" s="137"/>
      <c r="I156" s="137"/>
      <c r="J156" s="137"/>
      <c r="K156" s="6"/>
      <c r="L156" s="6"/>
      <c r="M156" s="6"/>
      <c r="N156" s="6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 spans="1:26" ht="14.25" customHeight="1">
      <c r="A157" s="138"/>
      <c r="B157" s="138"/>
      <c r="C157" s="138"/>
      <c r="D157" s="137"/>
      <c r="E157" s="137"/>
      <c r="F157" s="137"/>
      <c r="G157" s="137"/>
      <c r="H157" s="137"/>
      <c r="I157" s="137"/>
      <c r="J157" s="137"/>
      <c r="K157" s="6"/>
      <c r="L157" s="6"/>
      <c r="M157" s="6"/>
      <c r="N157" s="6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 spans="1:26" ht="14.25" customHeight="1">
      <c r="A158" s="138"/>
      <c r="B158" s="138"/>
      <c r="C158" s="138"/>
      <c r="D158" s="137"/>
      <c r="E158" s="137"/>
      <c r="F158" s="137"/>
      <c r="G158" s="137"/>
      <c r="H158" s="137"/>
      <c r="I158" s="137"/>
      <c r="J158" s="137"/>
      <c r="K158" s="6"/>
      <c r="L158" s="6"/>
      <c r="M158" s="6"/>
      <c r="N158" s="6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 spans="1:26" ht="14.25" customHeight="1">
      <c r="A159" s="138"/>
      <c r="B159" s="138"/>
      <c r="C159" s="138"/>
      <c r="D159" s="137"/>
      <c r="E159" s="137"/>
      <c r="F159" s="137"/>
      <c r="G159" s="137"/>
      <c r="H159" s="137"/>
      <c r="I159" s="137"/>
      <c r="J159" s="137"/>
      <c r="K159" s="6"/>
      <c r="L159" s="6"/>
      <c r="M159" s="6"/>
      <c r="N159" s="6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 spans="1:26" ht="14.25" customHeight="1">
      <c r="A160" s="138"/>
      <c r="B160" s="138"/>
      <c r="C160" s="138"/>
      <c r="D160" s="137"/>
      <c r="E160" s="137"/>
      <c r="F160" s="137"/>
      <c r="G160" s="137"/>
      <c r="H160" s="137"/>
      <c r="I160" s="137"/>
      <c r="J160" s="137"/>
      <c r="K160" s="6"/>
      <c r="L160" s="6"/>
      <c r="M160" s="6"/>
      <c r="N160" s="6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 spans="1:26" ht="14.25" customHeight="1">
      <c r="A161" s="138"/>
      <c r="B161" s="138"/>
      <c r="C161" s="138"/>
      <c r="D161" s="137"/>
      <c r="E161" s="137"/>
      <c r="F161" s="137"/>
      <c r="G161" s="137"/>
      <c r="H161" s="137"/>
      <c r="I161" s="137"/>
      <c r="J161" s="137"/>
      <c r="K161" s="6"/>
      <c r="L161" s="6"/>
      <c r="M161" s="6"/>
      <c r="N161" s="6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 spans="1:26" ht="14.25" customHeight="1">
      <c r="A162" s="138"/>
      <c r="B162" s="138"/>
      <c r="C162" s="138"/>
      <c r="D162" s="137"/>
      <c r="E162" s="137"/>
      <c r="F162" s="137"/>
      <c r="G162" s="137"/>
      <c r="H162" s="137"/>
      <c r="I162" s="137"/>
      <c r="J162" s="137"/>
      <c r="K162" s="6"/>
      <c r="L162" s="6"/>
      <c r="M162" s="6"/>
      <c r="N162" s="6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 spans="1:26" ht="14.25" customHeight="1">
      <c r="A163" s="138"/>
      <c r="B163" s="138"/>
      <c r="C163" s="138"/>
      <c r="D163" s="137"/>
      <c r="E163" s="137"/>
      <c r="F163" s="137"/>
      <c r="G163" s="137"/>
      <c r="H163" s="137"/>
      <c r="I163" s="137"/>
      <c r="J163" s="137"/>
      <c r="K163" s="6"/>
      <c r="L163" s="6"/>
      <c r="M163" s="6"/>
      <c r="N163" s="6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 spans="1:26" ht="14.25" customHeight="1">
      <c r="A164" s="138"/>
      <c r="B164" s="138"/>
      <c r="C164" s="138"/>
      <c r="D164" s="137"/>
      <c r="E164" s="137"/>
      <c r="F164" s="137"/>
      <c r="G164" s="137"/>
      <c r="H164" s="137"/>
      <c r="I164" s="137"/>
      <c r="J164" s="137"/>
      <c r="K164" s="6"/>
      <c r="L164" s="6"/>
      <c r="M164" s="6"/>
      <c r="N164" s="6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 spans="1:26" ht="14.25" customHeight="1">
      <c r="A165" s="138"/>
      <c r="B165" s="138"/>
      <c r="C165" s="138"/>
      <c r="D165" s="137"/>
      <c r="E165" s="137"/>
      <c r="F165" s="137"/>
      <c r="G165" s="137"/>
      <c r="H165" s="137"/>
      <c r="I165" s="137"/>
      <c r="J165" s="137"/>
      <c r="K165" s="6"/>
      <c r="L165" s="6"/>
      <c r="M165" s="6"/>
      <c r="N165" s="6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 spans="1:26" ht="14.25" customHeight="1">
      <c r="A166" s="138"/>
      <c r="B166" s="138"/>
      <c r="C166" s="138"/>
      <c r="D166" s="137"/>
      <c r="E166" s="137"/>
      <c r="F166" s="137"/>
      <c r="G166" s="137"/>
      <c r="H166" s="137"/>
      <c r="I166" s="137"/>
      <c r="J166" s="137"/>
      <c r="K166" s="6"/>
      <c r="L166" s="6"/>
      <c r="M166" s="6"/>
      <c r="N166" s="6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 spans="1:26" ht="14.25" customHeight="1">
      <c r="A167" s="138"/>
      <c r="B167" s="138"/>
      <c r="C167" s="138"/>
      <c r="D167" s="137"/>
      <c r="E167" s="137"/>
      <c r="F167" s="137"/>
      <c r="G167" s="137"/>
      <c r="H167" s="137"/>
      <c r="I167" s="137"/>
      <c r="J167" s="137"/>
      <c r="K167" s="6"/>
      <c r="L167" s="6"/>
      <c r="M167" s="6"/>
      <c r="N167" s="6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 spans="1:26" ht="14.25" customHeight="1">
      <c r="A168" s="138"/>
      <c r="B168" s="138"/>
      <c r="C168" s="138"/>
      <c r="D168" s="137"/>
      <c r="E168" s="137"/>
      <c r="F168" s="137"/>
      <c r="G168" s="137"/>
      <c r="H168" s="137"/>
      <c r="I168" s="137"/>
      <c r="J168" s="137"/>
      <c r="K168" s="6"/>
      <c r="L168" s="6"/>
      <c r="M168" s="6"/>
      <c r="N168" s="6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 spans="1:26" ht="14.25" customHeight="1">
      <c r="A169" s="138"/>
      <c r="B169" s="138"/>
      <c r="C169" s="138"/>
      <c r="D169" s="137"/>
      <c r="E169" s="137"/>
      <c r="F169" s="137"/>
      <c r="G169" s="137"/>
      <c r="H169" s="137"/>
      <c r="I169" s="137"/>
      <c r="J169" s="137"/>
      <c r="K169" s="6"/>
      <c r="L169" s="6"/>
      <c r="M169" s="6"/>
      <c r="N169" s="6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 spans="1:26" ht="14.25" customHeight="1">
      <c r="A170" s="138"/>
      <c r="B170" s="138"/>
      <c r="C170" s="138"/>
      <c r="D170" s="137"/>
      <c r="E170" s="137"/>
      <c r="F170" s="137"/>
      <c r="G170" s="137"/>
      <c r="H170" s="137"/>
      <c r="I170" s="137"/>
      <c r="J170" s="137"/>
      <c r="K170" s="6"/>
      <c r="L170" s="6"/>
      <c r="M170" s="6"/>
      <c r="N170" s="6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 spans="1:26" ht="14.25" customHeight="1">
      <c r="A171" s="138"/>
      <c r="B171" s="138"/>
      <c r="C171" s="138"/>
      <c r="D171" s="137"/>
      <c r="E171" s="137"/>
      <c r="F171" s="137"/>
      <c r="G171" s="137"/>
      <c r="H171" s="137"/>
      <c r="I171" s="137"/>
      <c r="J171" s="137"/>
      <c r="K171" s="6"/>
      <c r="L171" s="6"/>
      <c r="M171" s="6"/>
      <c r="N171" s="6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spans="1:26" ht="14.25" customHeight="1">
      <c r="A172" s="138"/>
      <c r="B172" s="138"/>
      <c r="C172" s="138"/>
      <c r="D172" s="137"/>
      <c r="E172" s="137"/>
      <c r="F172" s="137"/>
      <c r="G172" s="137"/>
      <c r="H172" s="137"/>
      <c r="I172" s="137"/>
      <c r="J172" s="137"/>
      <c r="K172" s="6"/>
      <c r="L172" s="6"/>
      <c r="M172" s="6"/>
      <c r="N172" s="6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spans="1:26" ht="14.25" customHeight="1">
      <c r="A173" s="138"/>
      <c r="B173" s="138"/>
      <c r="C173" s="138"/>
      <c r="D173" s="137"/>
      <c r="E173" s="137"/>
      <c r="F173" s="137"/>
      <c r="G173" s="137"/>
      <c r="H173" s="137"/>
      <c r="I173" s="137"/>
      <c r="J173" s="137"/>
      <c r="K173" s="6"/>
      <c r="L173" s="6"/>
      <c r="M173" s="6"/>
      <c r="N173" s="6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spans="1:26" ht="14.25" customHeight="1">
      <c r="A174" s="138"/>
      <c r="B174" s="138"/>
      <c r="C174" s="138"/>
      <c r="D174" s="137"/>
      <c r="E174" s="137"/>
      <c r="F174" s="137"/>
      <c r="G174" s="137"/>
      <c r="H174" s="137"/>
      <c r="I174" s="137"/>
      <c r="J174" s="137"/>
      <c r="K174" s="6"/>
      <c r="L174" s="6"/>
      <c r="M174" s="6"/>
      <c r="N174" s="6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spans="1:26" ht="14.25" customHeight="1">
      <c r="A175" s="138"/>
      <c r="B175" s="138"/>
      <c r="C175" s="138"/>
      <c r="D175" s="137"/>
      <c r="E175" s="137"/>
      <c r="F175" s="137"/>
      <c r="G175" s="137"/>
      <c r="H175" s="137"/>
      <c r="I175" s="137"/>
      <c r="J175" s="137"/>
      <c r="K175" s="6"/>
      <c r="L175" s="6"/>
      <c r="M175" s="6"/>
      <c r="N175" s="6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spans="1:26" ht="14.25" customHeight="1">
      <c r="A176" s="138"/>
      <c r="B176" s="138"/>
      <c r="C176" s="138"/>
      <c r="D176" s="137"/>
      <c r="E176" s="137"/>
      <c r="F176" s="137"/>
      <c r="G176" s="137"/>
      <c r="H176" s="137"/>
      <c r="I176" s="137"/>
      <c r="J176" s="137"/>
      <c r="K176" s="6"/>
      <c r="L176" s="6"/>
      <c r="M176" s="6"/>
      <c r="N176" s="6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spans="1:26" ht="14.25" customHeight="1">
      <c r="A177" s="138"/>
      <c r="B177" s="138"/>
      <c r="C177" s="138"/>
      <c r="D177" s="137"/>
      <c r="E177" s="137"/>
      <c r="F177" s="137"/>
      <c r="G177" s="137"/>
      <c r="H177" s="137"/>
      <c r="I177" s="137"/>
      <c r="J177" s="137"/>
      <c r="K177" s="6"/>
      <c r="L177" s="6"/>
      <c r="M177" s="6"/>
      <c r="N177" s="6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spans="1:26" ht="14.25" customHeight="1">
      <c r="A178" s="138"/>
      <c r="B178" s="138"/>
      <c r="C178" s="138"/>
      <c r="D178" s="137"/>
      <c r="E178" s="137"/>
      <c r="F178" s="137"/>
      <c r="G178" s="137"/>
      <c r="H178" s="137"/>
      <c r="I178" s="137"/>
      <c r="J178" s="137"/>
      <c r="K178" s="6"/>
      <c r="L178" s="6"/>
      <c r="M178" s="6"/>
      <c r="N178" s="6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 spans="1:26" ht="14.25" customHeight="1">
      <c r="A179" s="138"/>
      <c r="B179" s="138"/>
      <c r="C179" s="138"/>
      <c r="D179" s="137"/>
      <c r="E179" s="137"/>
      <c r="F179" s="137"/>
      <c r="G179" s="137"/>
      <c r="H179" s="137"/>
      <c r="I179" s="137"/>
      <c r="J179" s="137"/>
      <c r="K179" s="6"/>
      <c r="L179" s="6"/>
      <c r="M179" s="6"/>
      <c r="N179" s="6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 spans="1:26" ht="14.25" customHeight="1">
      <c r="A180" s="138"/>
      <c r="B180" s="138"/>
      <c r="C180" s="138"/>
      <c r="D180" s="137"/>
      <c r="E180" s="137"/>
      <c r="F180" s="137"/>
      <c r="G180" s="137"/>
      <c r="H180" s="137"/>
      <c r="I180" s="137"/>
      <c r="J180" s="137"/>
      <c r="K180" s="6"/>
      <c r="L180" s="6"/>
      <c r="M180" s="6"/>
      <c r="N180" s="6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 spans="1:26" ht="14.25" customHeight="1">
      <c r="A181" s="138"/>
      <c r="B181" s="138"/>
      <c r="C181" s="138"/>
      <c r="D181" s="137"/>
      <c r="E181" s="137"/>
      <c r="F181" s="137"/>
      <c r="G181" s="137"/>
      <c r="H181" s="137"/>
      <c r="I181" s="137"/>
      <c r="J181" s="137"/>
      <c r="K181" s="6"/>
      <c r="L181" s="6"/>
      <c r="M181" s="6"/>
      <c r="N181" s="6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 spans="1:26" ht="14.25" customHeight="1">
      <c r="A182" s="138"/>
      <c r="B182" s="138"/>
      <c r="C182" s="138"/>
      <c r="D182" s="137"/>
      <c r="E182" s="137"/>
      <c r="F182" s="137"/>
      <c r="G182" s="137"/>
      <c r="H182" s="137"/>
      <c r="I182" s="137"/>
      <c r="J182" s="137"/>
      <c r="K182" s="6"/>
      <c r="L182" s="6"/>
      <c r="M182" s="6"/>
      <c r="N182" s="6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 spans="1:26" ht="14.25" customHeight="1">
      <c r="A183" s="138"/>
      <c r="B183" s="138"/>
      <c r="C183" s="138"/>
      <c r="D183" s="137"/>
      <c r="E183" s="137"/>
      <c r="F183" s="137"/>
      <c r="G183" s="137"/>
      <c r="H183" s="137"/>
      <c r="I183" s="137"/>
      <c r="J183" s="137"/>
      <c r="K183" s="6"/>
      <c r="L183" s="6"/>
      <c r="M183" s="6"/>
      <c r="N183" s="6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 spans="1:26" ht="14.25" customHeight="1">
      <c r="A184" s="138"/>
      <c r="B184" s="138"/>
      <c r="C184" s="138"/>
      <c r="D184" s="137"/>
      <c r="E184" s="137"/>
      <c r="F184" s="137"/>
      <c r="G184" s="137"/>
      <c r="H184" s="137"/>
      <c r="I184" s="137"/>
      <c r="J184" s="137"/>
      <c r="K184" s="6"/>
      <c r="L184" s="6"/>
      <c r="M184" s="6"/>
      <c r="N184" s="6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 spans="1:26" ht="14.25" customHeight="1">
      <c r="A185" s="138"/>
      <c r="B185" s="138"/>
      <c r="C185" s="138"/>
      <c r="D185" s="137"/>
      <c r="E185" s="137"/>
      <c r="F185" s="137"/>
      <c r="G185" s="137"/>
      <c r="H185" s="137"/>
      <c r="I185" s="137"/>
      <c r="J185" s="137"/>
      <c r="K185" s="6"/>
      <c r="L185" s="6"/>
      <c r="M185" s="6"/>
      <c r="N185" s="6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 spans="1:26" ht="14.25" customHeight="1">
      <c r="A186" s="138"/>
      <c r="B186" s="138"/>
      <c r="C186" s="138"/>
      <c r="D186" s="137"/>
      <c r="E186" s="137"/>
      <c r="F186" s="137"/>
      <c r="G186" s="137"/>
      <c r="H186" s="137"/>
      <c r="I186" s="137"/>
      <c r="J186" s="137"/>
      <c r="K186" s="6"/>
      <c r="L186" s="6"/>
      <c r="M186" s="6"/>
      <c r="N186" s="6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 spans="1:26" ht="14.25" customHeight="1">
      <c r="A187" s="138"/>
      <c r="B187" s="138"/>
      <c r="C187" s="138"/>
      <c r="D187" s="137"/>
      <c r="E187" s="137"/>
      <c r="F187" s="137"/>
      <c r="G187" s="137"/>
      <c r="H187" s="137"/>
      <c r="I187" s="137"/>
      <c r="J187" s="137"/>
      <c r="K187" s="6"/>
      <c r="L187" s="6"/>
      <c r="M187" s="6"/>
      <c r="N187" s="6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 spans="1:26" ht="14.25" customHeight="1">
      <c r="A188" s="138"/>
      <c r="B188" s="138"/>
      <c r="C188" s="138"/>
      <c r="D188" s="137"/>
      <c r="E188" s="137"/>
      <c r="F188" s="137"/>
      <c r="G188" s="137"/>
      <c r="H188" s="137"/>
      <c r="I188" s="137"/>
      <c r="J188" s="137"/>
      <c r="K188" s="6"/>
      <c r="L188" s="6"/>
      <c r="M188" s="6"/>
      <c r="N188" s="6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 spans="1:26" ht="14.25" customHeight="1">
      <c r="A189" s="138"/>
      <c r="B189" s="138"/>
      <c r="C189" s="138"/>
      <c r="D189" s="137"/>
      <c r="E189" s="137"/>
      <c r="F189" s="137"/>
      <c r="G189" s="137"/>
      <c r="H189" s="137"/>
      <c r="I189" s="137"/>
      <c r="J189" s="137"/>
      <c r="K189" s="6"/>
      <c r="L189" s="6"/>
      <c r="M189" s="6"/>
      <c r="N189" s="6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 spans="1:26" ht="14.25" customHeight="1">
      <c r="A190" s="138"/>
      <c r="B190" s="138"/>
      <c r="C190" s="138"/>
      <c r="D190" s="137"/>
      <c r="E190" s="137"/>
      <c r="F190" s="137"/>
      <c r="G190" s="137"/>
      <c r="H190" s="137"/>
      <c r="I190" s="137"/>
      <c r="J190" s="137"/>
      <c r="K190" s="6"/>
      <c r="L190" s="6"/>
      <c r="M190" s="6"/>
      <c r="N190" s="6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 spans="1:26" ht="14.25" customHeight="1">
      <c r="A191" s="138"/>
      <c r="B191" s="138"/>
      <c r="C191" s="138"/>
      <c r="D191" s="137"/>
      <c r="E191" s="137"/>
      <c r="F191" s="137"/>
      <c r="G191" s="137"/>
      <c r="H191" s="137"/>
      <c r="I191" s="137"/>
      <c r="J191" s="137"/>
      <c r="K191" s="6"/>
      <c r="L191" s="6"/>
      <c r="M191" s="6"/>
      <c r="N191" s="6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 spans="1:26" ht="14.25" customHeight="1">
      <c r="A192" s="138"/>
      <c r="B192" s="138"/>
      <c r="C192" s="138"/>
      <c r="D192" s="137"/>
      <c r="E192" s="137"/>
      <c r="F192" s="137"/>
      <c r="G192" s="137"/>
      <c r="H192" s="137"/>
      <c r="I192" s="137"/>
      <c r="J192" s="137"/>
      <c r="K192" s="6"/>
      <c r="L192" s="6"/>
      <c r="M192" s="6"/>
      <c r="N192" s="6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 spans="1:26" ht="14.25" customHeight="1">
      <c r="A193" s="138"/>
      <c r="B193" s="138"/>
      <c r="C193" s="138"/>
      <c r="D193" s="137"/>
      <c r="E193" s="137"/>
      <c r="F193" s="137"/>
      <c r="G193" s="137"/>
      <c r="H193" s="137"/>
      <c r="I193" s="137"/>
      <c r="J193" s="137"/>
      <c r="K193" s="6"/>
      <c r="L193" s="6"/>
      <c r="M193" s="6"/>
      <c r="N193" s="6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 spans="1:26" ht="14.25" customHeight="1">
      <c r="A194" s="138"/>
      <c r="B194" s="138"/>
      <c r="C194" s="138"/>
      <c r="D194" s="137"/>
      <c r="E194" s="137"/>
      <c r="F194" s="137"/>
      <c r="G194" s="137"/>
      <c r="H194" s="137"/>
      <c r="I194" s="137"/>
      <c r="J194" s="137"/>
      <c r="K194" s="6"/>
      <c r="L194" s="6"/>
      <c r="M194" s="6"/>
      <c r="N194" s="6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 spans="1:26" ht="14.25" customHeight="1">
      <c r="A195" s="138"/>
      <c r="B195" s="138"/>
      <c r="C195" s="138"/>
      <c r="D195" s="137"/>
      <c r="E195" s="137"/>
      <c r="F195" s="137"/>
      <c r="G195" s="137"/>
      <c r="H195" s="137"/>
      <c r="I195" s="137"/>
      <c r="J195" s="137"/>
      <c r="K195" s="6"/>
      <c r="L195" s="6"/>
      <c r="M195" s="6"/>
      <c r="N195" s="6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 spans="1:26" ht="14.25" customHeight="1">
      <c r="A196" s="138"/>
      <c r="B196" s="138"/>
      <c r="C196" s="138"/>
      <c r="D196" s="137"/>
      <c r="E196" s="137"/>
      <c r="F196" s="137"/>
      <c r="G196" s="137"/>
      <c r="H196" s="137"/>
      <c r="I196" s="137"/>
      <c r="J196" s="137"/>
      <c r="K196" s="6"/>
      <c r="L196" s="6"/>
      <c r="M196" s="6"/>
      <c r="N196" s="6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 spans="1:26" ht="14.25" customHeight="1">
      <c r="A197" s="138"/>
      <c r="B197" s="138"/>
      <c r="C197" s="138"/>
      <c r="D197" s="137"/>
      <c r="E197" s="137"/>
      <c r="F197" s="137"/>
      <c r="G197" s="137"/>
      <c r="H197" s="137"/>
      <c r="I197" s="137"/>
      <c r="J197" s="137"/>
      <c r="K197" s="6"/>
      <c r="L197" s="6"/>
      <c r="M197" s="6"/>
      <c r="N197" s="6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 spans="1:26" ht="14.25" customHeight="1">
      <c r="A198" s="138"/>
      <c r="B198" s="138"/>
      <c r="C198" s="138"/>
      <c r="D198" s="137"/>
      <c r="E198" s="137"/>
      <c r="F198" s="137"/>
      <c r="G198" s="137"/>
      <c r="H198" s="137"/>
      <c r="I198" s="137"/>
      <c r="J198" s="137"/>
      <c r="K198" s="6"/>
      <c r="L198" s="6"/>
      <c r="M198" s="6"/>
      <c r="N198" s="6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 spans="1:26" ht="14.25" customHeight="1">
      <c r="A199" s="138"/>
      <c r="B199" s="138"/>
      <c r="C199" s="138"/>
      <c r="D199" s="137"/>
      <c r="E199" s="137"/>
      <c r="F199" s="137"/>
      <c r="G199" s="137"/>
      <c r="H199" s="137"/>
      <c r="I199" s="137"/>
      <c r="J199" s="137"/>
      <c r="K199" s="6"/>
      <c r="L199" s="6"/>
      <c r="M199" s="6"/>
      <c r="N199" s="6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 spans="1:26" ht="14.25" customHeight="1">
      <c r="A200" s="138"/>
      <c r="B200" s="138"/>
      <c r="C200" s="138"/>
      <c r="D200" s="137"/>
      <c r="E200" s="137"/>
      <c r="F200" s="137"/>
      <c r="G200" s="137"/>
      <c r="H200" s="137"/>
      <c r="I200" s="137"/>
      <c r="J200" s="137"/>
      <c r="K200" s="6"/>
      <c r="L200" s="6"/>
      <c r="M200" s="6"/>
      <c r="N200" s="6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 spans="1:26" ht="14.25" customHeight="1">
      <c r="A201" s="138"/>
      <c r="B201" s="138"/>
      <c r="C201" s="138"/>
      <c r="D201" s="137"/>
      <c r="E201" s="137"/>
      <c r="F201" s="137"/>
      <c r="G201" s="137"/>
      <c r="H201" s="137"/>
      <c r="I201" s="137"/>
      <c r="J201" s="137"/>
      <c r="K201" s="6"/>
      <c r="L201" s="6"/>
      <c r="M201" s="6"/>
      <c r="N201" s="6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spans="1:26" ht="14.25" customHeight="1">
      <c r="A202" s="138"/>
      <c r="B202" s="138"/>
      <c r="C202" s="138"/>
      <c r="D202" s="137"/>
      <c r="E202" s="137"/>
      <c r="F202" s="137"/>
      <c r="G202" s="137"/>
      <c r="H202" s="137"/>
      <c r="I202" s="137"/>
      <c r="J202" s="137"/>
      <c r="K202" s="6"/>
      <c r="L202" s="6"/>
      <c r="M202" s="6"/>
      <c r="N202" s="6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spans="1:26" ht="14.25" customHeight="1">
      <c r="A203" s="138"/>
      <c r="B203" s="138"/>
      <c r="C203" s="138"/>
      <c r="D203" s="137"/>
      <c r="E203" s="137"/>
      <c r="F203" s="137"/>
      <c r="G203" s="137"/>
      <c r="H203" s="137"/>
      <c r="I203" s="137"/>
      <c r="J203" s="137"/>
      <c r="K203" s="6"/>
      <c r="L203" s="6"/>
      <c r="M203" s="6"/>
      <c r="N203" s="6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spans="1:26" ht="14.25" customHeight="1">
      <c r="A204" s="138"/>
      <c r="B204" s="138"/>
      <c r="C204" s="138"/>
      <c r="D204" s="137"/>
      <c r="E204" s="137"/>
      <c r="F204" s="137"/>
      <c r="G204" s="137"/>
      <c r="H204" s="137"/>
      <c r="I204" s="137"/>
      <c r="J204" s="137"/>
      <c r="K204" s="6"/>
      <c r="L204" s="6"/>
      <c r="M204" s="6"/>
      <c r="N204" s="6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spans="1:26" ht="14.25" customHeight="1">
      <c r="A205" s="138"/>
      <c r="B205" s="138"/>
      <c r="C205" s="138"/>
      <c r="D205" s="137"/>
      <c r="E205" s="137"/>
      <c r="F205" s="137"/>
      <c r="G205" s="137"/>
      <c r="H205" s="137"/>
      <c r="I205" s="137"/>
      <c r="J205" s="137"/>
      <c r="K205" s="6"/>
      <c r="L205" s="6"/>
      <c r="M205" s="6"/>
      <c r="N205" s="6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spans="1:26" ht="14.25" customHeight="1">
      <c r="A206" s="138"/>
      <c r="B206" s="138"/>
      <c r="C206" s="138"/>
      <c r="D206" s="137"/>
      <c r="E206" s="137"/>
      <c r="F206" s="137"/>
      <c r="G206" s="137"/>
      <c r="H206" s="137"/>
      <c r="I206" s="137"/>
      <c r="J206" s="137"/>
      <c r="K206" s="6"/>
      <c r="L206" s="6"/>
      <c r="M206" s="6"/>
      <c r="N206" s="6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spans="1:26" ht="14.25" customHeight="1">
      <c r="A207" s="138"/>
      <c r="B207" s="138"/>
      <c r="C207" s="138"/>
      <c r="D207" s="137"/>
      <c r="E207" s="137"/>
      <c r="F207" s="137"/>
      <c r="G207" s="137"/>
      <c r="H207" s="137"/>
      <c r="I207" s="137"/>
      <c r="J207" s="137"/>
      <c r="K207" s="6"/>
      <c r="L207" s="6"/>
      <c r="M207" s="6"/>
      <c r="N207" s="6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spans="1:26" ht="14.25" customHeight="1">
      <c r="A208" s="138"/>
      <c r="B208" s="138"/>
      <c r="C208" s="138"/>
      <c r="D208" s="137"/>
      <c r="E208" s="137"/>
      <c r="F208" s="137"/>
      <c r="G208" s="137"/>
      <c r="H208" s="137"/>
      <c r="I208" s="137"/>
      <c r="J208" s="137"/>
      <c r="K208" s="6"/>
      <c r="L208" s="6"/>
      <c r="M208" s="6"/>
      <c r="N208" s="6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spans="1:26" ht="14.25" customHeight="1">
      <c r="A209" s="138"/>
      <c r="B209" s="138"/>
      <c r="C209" s="138"/>
      <c r="D209" s="137"/>
      <c r="E209" s="137"/>
      <c r="F209" s="137"/>
      <c r="G209" s="137"/>
      <c r="H209" s="137"/>
      <c r="I209" s="137"/>
      <c r="J209" s="137"/>
      <c r="K209" s="6"/>
      <c r="L209" s="6"/>
      <c r="M209" s="6"/>
      <c r="N209" s="6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spans="1:26" ht="14.25" customHeight="1">
      <c r="A210" s="138"/>
      <c r="B210" s="138"/>
      <c r="C210" s="138"/>
      <c r="D210" s="137"/>
      <c r="E210" s="137"/>
      <c r="F210" s="137"/>
      <c r="G210" s="137"/>
      <c r="H210" s="137"/>
      <c r="I210" s="137"/>
      <c r="J210" s="137"/>
      <c r="K210" s="6"/>
      <c r="L210" s="6"/>
      <c r="M210" s="6"/>
      <c r="N210" s="6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spans="1:26" ht="14.25" customHeight="1">
      <c r="A211" s="138"/>
      <c r="B211" s="138"/>
      <c r="C211" s="138"/>
      <c r="D211" s="137"/>
      <c r="E211" s="137"/>
      <c r="F211" s="137"/>
      <c r="G211" s="137"/>
      <c r="H211" s="137"/>
      <c r="I211" s="137"/>
      <c r="J211" s="137"/>
      <c r="K211" s="6"/>
      <c r="L211" s="6"/>
      <c r="M211" s="6"/>
      <c r="N211" s="6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spans="1:26" ht="14.25" customHeight="1">
      <c r="A212" s="138"/>
      <c r="B212" s="138"/>
      <c r="C212" s="138"/>
      <c r="D212" s="137"/>
      <c r="E212" s="137"/>
      <c r="F212" s="137"/>
      <c r="G212" s="137"/>
      <c r="H212" s="137"/>
      <c r="I212" s="137"/>
      <c r="J212" s="137"/>
      <c r="K212" s="6"/>
      <c r="L212" s="6"/>
      <c r="M212" s="6"/>
      <c r="N212" s="6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spans="1:26" ht="14.25" customHeight="1">
      <c r="A213" s="138"/>
      <c r="B213" s="138"/>
      <c r="C213" s="138"/>
      <c r="D213" s="137"/>
      <c r="E213" s="137"/>
      <c r="F213" s="137"/>
      <c r="G213" s="137"/>
      <c r="H213" s="137"/>
      <c r="I213" s="137"/>
      <c r="J213" s="137"/>
      <c r="K213" s="6"/>
      <c r="L213" s="6"/>
      <c r="M213" s="6"/>
      <c r="N213" s="6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spans="1:26" ht="14.25" customHeight="1">
      <c r="A214" s="138"/>
      <c r="B214" s="138"/>
      <c r="C214" s="138"/>
      <c r="D214" s="137"/>
      <c r="E214" s="137"/>
      <c r="F214" s="137"/>
      <c r="G214" s="137"/>
      <c r="H214" s="137"/>
      <c r="I214" s="137"/>
      <c r="J214" s="137"/>
      <c r="K214" s="6"/>
      <c r="L214" s="6"/>
      <c r="M214" s="6"/>
      <c r="N214" s="6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spans="1:26" ht="14.25" customHeight="1">
      <c r="A215" s="138"/>
      <c r="B215" s="138"/>
      <c r="C215" s="138"/>
      <c r="D215" s="137"/>
      <c r="E215" s="137"/>
      <c r="F215" s="137"/>
      <c r="G215" s="137"/>
      <c r="H215" s="137"/>
      <c r="I215" s="137"/>
      <c r="J215" s="137"/>
      <c r="K215" s="6"/>
      <c r="L215" s="6"/>
      <c r="M215" s="6"/>
      <c r="N215" s="6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spans="1:26" ht="14.25" customHeight="1">
      <c r="A216" s="138"/>
      <c r="B216" s="138"/>
      <c r="C216" s="138"/>
      <c r="D216" s="137"/>
      <c r="E216" s="137"/>
      <c r="F216" s="137"/>
      <c r="G216" s="137"/>
      <c r="H216" s="137"/>
      <c r="I216" s="137"/>
      <c r="J216" s="137"/>
      <c r="K216" s="6"/>
      <c r="L216" s="6"/>
      <c r="M216" s="6"/>
      <c r="N216" s="6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spans="1:26" ht="14.25" customHeight="1">
      <c r="A217" s="138"/>
      <c r="B217" s="138"/>
      <c r="C217" s="138"/>
      <c r="D217" s="137"/>
      <c r="E217" s="137"/>
      <c r="F217" s="137"/>
      <c r="G217" s="137"/>
      <c r="H217" s="137"/>
      <c r="I217" s="137"/>
      <c r="J217" s="137"/>
      <c r="K217" s="6"/>
      <c r="L217" s="6"/>
      <c r="M217" s="6"/>
      <c r="N217" s="6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spans="1:26" ht="14.25" customHeight="1">
      <c r="A218" s="138"/>
      <c r="B218" s="138"/>
      <c r="C218" s="138"/>
      <c r="D218" s="137"/>
      <c r="E218" s="137"/>
      <c r="F218" s="137"/>
      <c r="G218" s="137"/>
      <c r="H218" s="137"/>
      <c r="I218" s="137"/>
      <c r="J218" s="137"/>
      <c r="K218" s="6"/>
      <c r="L218" s="6"/>
      <c r="M218" s="6"/>
      <c r="N218" s="6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spans="1:26" ht="14.25" customHeight="1">
      <c r="A219" s="138"/>
      <c r="B219" s="138"/>
      <c r="C219" s="138"/>
      <c r="D219" s="137"/>
      <c r="E219" s="137"/>
      <c r="F219" s="137"/>
      <c r="G219" s="137"/>
      <c r="H219" s="137"/>
      <c r="I219" s="137"/>
      <c r="J219" s="137"/>
      <c r="K219" s="6"/>
      <c r="L219" s="6"/>
      <c r="M219" s="6"/>
      <c r="N219" s="6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spans="1:26" ht="14.25" customHeight="1">
      <c r="A220" s="138"/>
      <c r="B220" s="138"/>
      <c r="C220" s="138"/>
      <c r="D220" s="137"/>
      <c r="E220" s="137"/>
      <c r="F220" s="137"/>
      <c r="G220" s="137"/>
      <c r="H220" s="137"/>
      <c r="I220" s="137"/>
      <c r="J220" s="137"/>
      <c r="K220" s="6"/>
      <c r="L220" s="6"/>
      <c r="M220" s="6"/>
      <c r="N220" s="6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spans="1:26" ht="14.25" customHeight="1">
      <c r="A221" s="138"/>
      <c r="B221" s="138"/>
      <c r="C221" s="138"/>
      <c r="D221" s="137"/>
      <c r="E221" s="137"/>
      <c r="F221" s="137"/>
      <c r="G221" s="137"/>
      <c r="H221" s="137"/>
      <c r="I221" s="137"/>
      <c r="J221" s="137"/>
      <c r="K221" s="6"/>
      <c r="L221" s="6"/>
      <c r="M221" s="6"/>
      <c r="N221" s="6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spans="1:26" ht="14.25" customHeight="1">
      <c r="A222" s="138"/>
      <c r="B222" s="138"/>
      <c r="C222" s="138"/>
      <c r="D222" s="137"/>
      <c r="E222" s="137"/>
      <c r="F222" s="137"/>
      <c r="G222" s="137"/>
      <c r="H222" s="137"/>
      <c r="I222" s="137"/>
      <c r="J222" s="137"/>
      <c r="K222" s="6"/>
      <c r="L222" s="6"/>
      <c r="M222" s="6"/>
      <c r="N222" s="6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spans="1:26" ht="14.25" customHeight="1">
      <c r="A223" s="138"/>
      <c r="B223" s="138"/>
      <c r="C223" s="138"/>
      <c r="D223" s="137"/>
      <c r="E223" s="137"/>
      <c r="F223" s="137"/>
      <c r="G223" s="137"/>
      <c r="H223" s="137"/>
      <c r="I223" s="137"/>
      <c r="J223" s="137"/>
      <c r="K223" s="6"/>
      <c r="L223" s="6"/>
      <c r="M223" s="6"/>
      <c r="N223" s="6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spans="1:26" ht="14.25" customHeight="1">
      <c r="A224" s="138"/>
      <c r="B224" s="138"/>
      <c r="C224" s="138"/>
      <c r="D224" s="137"/>
      <c r="E224" s="137"/>
      <c r="F224" s="137"/>
      <c r="G224" s="137"/>
      <c r="H224" s="137"/>
      <c r="I224" s="137"/>
      <c r="J224" s="137"/>
      <c r="K224" s="6"/>
      <c r="L224" s="6"/>
      <c r="M224" s="6"/>
      <c r="N224" s="6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spans="1:26" ht="14.25" customHeight="1">
      <c r="A225" s="138"/>
      <c r="B225" s="138"/>
      <c r="C225" s="138"/>
      <c r="D225" s="137"/>
      <c r="E225" s="137"/>
      <c r="F225" s="137"/>
      <c r="G225" s="137"/>
      <c r="H225" s="137"/>
      <c r="I225" s="137"/>
      <c r="J225" s="137"/>
      <c r="K225" s="6"/>
      <c r="L225" s="6"/>
      <c r="M225" s="6"/>
      <c r="N225" s="6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spans="1:26" ht="14.25" customHeight="1">
      <c r="A226" s="138"/>
      <c r="B226" s="138"/>
      <c r="C226" s="138"/>
      <c r="D226" s="137"/>
      <c r="E226" s="137"/>
      <c r="F226" s="137"/>
      <c r="G226" s="137"/>
      <c r="H226" s="137"/>
      <c r="I226" s="137"/>
      <c r="J226" s="137"/>
      <c r="K226" s="6"/>
      <c r="L226" s="6"/>
      <c r="M226" s="6"/>
      <c r="N226" s="6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spans="1:26" ht="14.25" customHeight="1">
      <c r="A227" s="138"/>
      <c r="B227" s="138"/>
      <c r="C227" s="138"/>
      <c r="D227" s="137"/>
      <c r="E227" s="137"/>
      <c r="F227" s="137"/>
      <c r="G227" s="137"/>
      <c r="H227" s="137"/>
      <c r="I227" s="137"/>
      <c r="J227" s="137"/>
      <c r="K227" s="6"/>
      <c r="L227" s="6"/>
      <c r="M227" s="6"/>
      <c r="N227" s="6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spans="1:26" ht="14.25" customHeight="1">
      <c r="A228" s="138"/>
      <c r="B228" s="138"/>
      <c r="C228" s="138"/>
      <c r="D228" s="137"/>
      <c r="E228" s="137"/>
      <c r="F228" s="137"/>
      <c r="G228" s="137"/>
      <c r="H228" s="137"/>
      <c r="I228" s="137"/>
      <c r="J228" s="137"/>
      <c r="K228" s="6"/>
      <c r="L228" s="6"/>
      <c r="M228" s="6"/>
      <c r="N228" s="6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spans="1:26" ht="14.25" customHeight="1">
      <c r="A229" s="138"/>
      <c r="B229" s="138"/>
      <c r="C229" s="138"/>
      <c r="D229" s="137"/>
      <c r="E229" s="137"/>
      <c r="F229" s="137"/>
      <c r="G229" s="137"/>
      <c r="H229" s="137"/>
      <c r="I229" s="137"/>
      <c r="J229" s="137"/>
      <c r="K229" s="6"/>
      <c r="L229" s="6"/>
      <c r="M229" s="6"/>
      <c r="N229" s="6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spans="1:26" ht="14.25" customHeight="1">
      <c r="A230" s="138"/>
      <c r="B230" s="138"/>
      <c r="C230" s="138"/>
      <c r="D230" s="137"/>
      <c r="E230" s="137"/>
      <c r="F230" s="137"/>
      <c r="G230" s="137"/>
      <c r="H230" s="137"/>
      <c r="I230" s="137"/>
      <c r="J230" s="137"/>
      <c r="K230" s="6"/>
      <c r="L230" s="6"/>
      <c r="M230" s="6"/>
      <c r="N230" s="6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spans="1:26" ht="14.25" customHeight="1">
      <c r="A231" s="138"/>
      <c r="B231" s="138"/>
      <c r="C231" s="138"/>
      <c r="D231" s="137"/>
      <c r="E231" s="137"/>
      <c r="F231" s="137"/>
      <c r="G231" s="137"/>
      <c r="H231" s="137"/>
      <c r="I231" s="137"/>
      <c r="J231" s="137"/>
      <c r="K231" s="6"/>
      <c r="L231" s="6"/>
      <c r="M231" s="6"/>
      <c r="N231" s="6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spans="1:26" ht="14.25" customHeight="1">
      <c r="A232" s="138"/>
      <c r="B232" s="138"/>
      <c r="C232" s="138"/>
      <c r="D232" s="137"/>
      <c r="E232" s="137"/>
      <c r="F232" s="137"/>
      <c r="G232" s="137"/>
      <c r="H232" s="137"/>
      <c r="I232" s="137"/>
      <c r="J232" s="137"/>
      <c r="K232" s="6"/>
      <c r="L232" s="6"/>
      <c r="M232" s="6"/>
      <c r="N232" s="6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spans="1:26" ht="14.25" customHeight="1">
      <c r="A233" s="138"/>
      <c r="B233" s="138"/>
      <c r="C233" s="138"/>
      <c r="D233" s="137"/>
      <c r="E233" s="137"/>
      <c r="F233" s="137"/>
      <c r="G233" s="137"/>
      <c r="H233" s="137"/>
      <c r="I233" s="137"/>
      <c r="J233" s="137"/>
      <c r="K233" s="6"/>
      <c r="L233" s="6"/>
      <c r="M233" s="6"/>
      <c r="N233" s="6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spans="1:26" ht="14.25" customHeight="1">
      <c r="A234" s="138"/>
      <c r="B234" s="138"/>
      <c r="C234" s="138"/>
      <c r="D234" s="137"/>
      <c r="E234" s="137"/>
      <c r="F234" s="137"/>
      <c r="G234" s="137"/>
      <c r="H234" s="137"/>
      <c r="I234" s="137"/>
      <c r="J234" s="137"/>
      <c r="K234" s="6"/>
      <c r="L234" s="6"/>
      <c r="M234" s="6"/>
      <c r="N234" s="6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spans="1:26" ht="14.25" customHeight="1">
      <c r="A235" s="138"/>
      <c r="B235" s="138"/>
      <c r="C235" s="138"/>
      <c r="D235" s="137"/>
      <c r="E235" s="137"/>
      <c r="F235" s="137"/>
      <c r="G235" s="137"/>
      <c r="H235" s="137"/>
      <c r="I235" s="137"/>
      <c r="J235" s="137"/>
      <c r="K235" s="6"/>
      <c r="L235" s="6"/>
      <c r="M235" s="6"/>
      <c r="N235" s="6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spans="1:26" ht="14.25" customHeight="1">
      <c r="A236" s="138"/>
      <c r="B236" s="138"/>
      <c r="C236" s="138"/>
      <c r="D236" s="137"/>
      <c r="E236" s="137"/>
      <c r="F236" s="137"/>
      <c r="G236" s="137"/>
      <c r="H236" s="137"/>
      <c r="I236" s="137"/>
      <c r="J236" s="137"/>
      <c r="K236" s="6"/>
      <c r="L236" s="6"/>
      <c r="M236" s="6"/>
      <c r="N236" s="6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spans="1:26" ht="14.25" customHeight="1">
      <c r="A237" s="138"/>
      <c r="B237" s="138"/>
      <c r="C237" s="138"/>
      <c r="D237" s="137"/>
      <c r="E237" s="137"/>
      <c r="F237" s="137"/>
      <c r="G237" s="137"/>
      <c r="H237" s="137"/>
      <c r="I237" s="137"/>
      <c r="J237" s="137"/>
      <c r="K237" s="6"/>
      <c r="L237" s="6"/>
      <c r="M237" s="6"/>
      <c r="N237" s="6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spans="1:26" ht="14.25" customHeight="1">
      <c r="A238" s="138"/>
      <c r="B238" s="138"/>
      <c r="C238" s="138"/>
      <c r="D238" s="137"/>
      <c r="E238" s="137"/>
      <c r="F238" s="137"/>
      <c r="G238" s="137"/>
      <c r="H238" s="137"/>
      <c r="I238" s="137"/>
      <c r="J238" s="137"/>
      <c r="K238" s="6"/>
      <c r="L238" s="6"/>
      <c r="M238" s="6"/>
      <c r="N238" s="6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spans="1:26" ht="14.25" customHeight="1">
      <c r="A239" s="138"/>
      <c r="B239" s="138"/>
      <c r="C239" s="138"/>
      <c r="D239" s="137"/>
      <c r="E239" s="137"/>
      <c r="F239" s="137"/>
      <c r="G239" s="137"/>
      <c r="H239" s="137"/>
      <c r="I239" s="137"/>
      <c r="J239" s="137"/>
      <c r="K239" s="6"/>
      <c r="L239" s="6"/>
      <c r="M239" s="6"/>
      <c r="N239" s="6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spans="1:26" ht="14.25" customHeight="1">
      <c r="A240" s="138"/>
      <c r="B240" s="138"/>
      <c r="C240" s="138"/>
      <c r="D240" s="137"/>
      <c r="E240" s="137"/>
      <c r="F240" s="137"/>
      <c r="G240" s="137"/>
      <c r="H240" s="137"/>
      <c r="I240" s="137"/>
      <c r="J240" s="137"/>
      <c r="K240" s="6"/>
      <c r="L240" s="6"/>
      <c r="M240" s="6"/>
      <c r="N240" s="6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spans="1:26" ht="14.25" customHeight="1">
      <c r="A241" s="138"/>
      <c r="B241" s="138"/>
      <c r="C241" s="138"/>
      <c r="D241" s="137"/>
      <c r="E241" s="137"/>
      <c r="F241" s="137"/>
      <c r="G241" s="137"/>
      <c r="H241" s="137"/>
      <c r="I241" s="137"/>
      <c r="J241" s="137"/>
      <c r="K241" s="6"/>
      <c r="L241" s="6"/>
      <c r="M241" s="6"/>
      <c r="N241" s="6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spans="1:26" ht="14.25" customHeight="1">
      <c r="A242" s="138"/>
      <c r="B242" s="138"/>
      <c r="C242" s="138"/>
      <c r="D242" s="137"/>
      <c r="E242" s="137"/>
      <c r="F242" s="137"/>
      <c r="G242" s="137"/>
      <c r="H242" s="137"/>
      <c r="I242" s="137"/>
      <c r="J242" s="137"/>
      <c r="K242" s="6"/>
      <c r="L242" s="6"/>
      <c r="M242" s="6"/>
      <c r="N242" s="6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spans="1:26" ht="14.25" customHeight="1">
      <c r="A243" s="138"/>
      <c r="B243" s="138"/>
      <c r="C243" s="138"/>
      <c r="D243" s="137"/>
      <c r="E243" s="137"/>
      <c r="F243" s="137"/>
      <c r="G243" s="137"/>
      <c r="H243" s="137"/>
      <c r="I243" s="137"/>
      <c r="J243" s="137"/>
      <c r="K243" s="6"/>
      <c r="L243" s="6"/>
      <c r="M243" s="6"/>
      <c r="N243" s="6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spans="1:26" ht="14.25" customHeight="1">
      <c r="A244" s="138"/>
      <c r="B244" s="138"/>
      <c r="C244" s="138"/>
      <c r="D244" s="137"/>
      <c r="E244" s="137"/>
      <c r="F244" s="137"/>
      <c r="G244" s="137"/>
      <c r="H244" s="137"/>
      <c r="I244" s="137"/>
      <c r="J244" s="137"/>
      <c r="K244" s="6"/>
      <c r="L244" s="6"/>
      <c r="M244" s="6"/>
      <c r="N244" s="6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spans="1:26" ht="14.25" customHeight="1">
      <c r="A245" s="138"/>
      <c r="B245" s="138"/>
      <c r="C245" s="138"/>
      <c r="D245" s="137"/>
      <c r="E245" s="137"/>
      <c r="F245" s="137"/>
      <c r="G245" s="137"/>
      <c r="H245" s="137"/>
      <c r="I245" s="137"/>
      <c r="J245" s="137"/>
      <c r="K245" s="6"/>
      <c r="L245" s="6"/>
      <c r="M245" s="6"/>
      <c r="N245" s="6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spans="1:26" ht="14.25" customHeight="1">
      <c r="A246" s="138"/>
      <c r="B246" s="138"/>
      <c r="C246" s="138"/>
      <c r="D246" s="137"/>
      <c r="E246" s="137"/>
      <c r="F246" s="137"/>
      <c r="G246" s="137"/>
      <c r="H246" s="137"/>
      <c r="I246" s="137"/>
      <c r="J246" s="137"/>
      <c r="K246" s="6"/>
      <c r="L246" s="6"/>
      <c r="M246" s="6"/>
      <c r="N246" s="6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spans="1:26" ht="14.25" customHeight="1">
      <c r="A247" s="138"/>
      <c r="B247" s="138"/>
      <c r="C247" s="138"/>
      <c r="D247" s="137"/>
      <c r="E247" s="137"/>
      <c r="F247" s="137"/>
      <c r="G247" s="137"/>
      <c r="H247" s="137"/>
      <c r="I247" s="137"/>
      <c r="J247" s="137"/>
      <c r="K247" s="6"/>
      <c r="L247" s="6"/>
      <c r="M247" s="6"/>
      <c r="N247" s="6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spans="1:26" ht="14.25" customHeight="1">
      <c r="A248" s="138"/>
      <c r="B248" s="138"/>
      <c r="C248" s="138"/>
      <c r="D248" s="137"/>
      <c r="E248" s="137"/>
      <c r="F248" s="137"/>
      <c r="G248" s="137"/>
      <c r="H248" s="137"/>
      <c r="I248" s="137"/>
      <c r="J248" s="137"/>
      <c r="K248" s="6"/>
      <c r="L248" s="6"/>
      <c r="M248" s="6"/>
      <c r="N248" s="6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spans="1:26" ht="14.25" customHeight="1">
      <c r="A249" s="138"/>
      <c r="B249" s="138"/>
      <c r="C249" s="138"/>
      <c r="D249" s="137"/>
      <c r="E249" s="137"/>
      <c r="F249" s="137"/>
      <c r="G249" s="137"/>
      <c r="H249" s="137"/>
      <c r="I249" s="137"/>
      <c r="J249" s="137"/>
      <c r="K249" s="6"/>
      <c r="L249" s="6"/>
      <c r="M249" s="6"/>
      <c r="N249" s="6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spans="1:26" ht="14.25" customHeight="1">
      <c r="A250" s="138"/>
      <c r="B250" s="138"/>
      <c r="C250" s="138"/>
      <c r="D250" s="137"/>
      <c r="E250" s="137"/>
      <c r="F250" s="137"/>
      <c r="G250" s="137"/>
      <c r="H250" s="137"/>
      <c r="I250" s="137"/>
      <c r="J250" s="137"/>
      <c r="K250" s="6"/>
      <c r="L250" s="6"/>
      <c r="M250" s="6"/>
      <c r="N250" s="6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spans="1:26" ht="14.25" customHeight="1">
      <c r="A251" s="138"/>
      <c r="B251" s="138"/>
      <c r="C251" s="138"/>
      <c r="D251" s="137"/>
      <c r="E251" s="137"/>
      <c r="F251" s="137"/>
      <c r="G251" s="137"/>
      <c r="H251" s="137"/>
      <c r="I251" s="137"/>
      <c r="J251" s="137"/>
      <c r="K251" s="6"/>
      <c r="L251" s="6"/>
      <c r="M251" s="6"/>
      <c r="N251" s="6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spans="1:26" ht="14.25" customHeight="1">
      <c r="A252" s="138"/>
      <c r="B252" s="138"/>
      <c r="C252" s="138"/>
      <c r="D252" s="137"/>
      <c r="E252" s="137"/>
      <c r="F252" s="137"/>
      <c r="G252" s="137"/>
      <c r="H252" s="137"/>
      <c r="I252" s="137"/>
      <c r="J252" s="137"/>
      <c r="K252" s="6"/>
      <c r="L252" s="6"/>
      <c r="M252" s="6"/>
      <c r="N252" s="6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spans="1:26" ht="14.25" customHeight="1">
      <c r="A253" s="138"/>
      <c r="B253" s="138"/>
      <c r="C253" s="138"/>
      <c r="D253" s="137"/>
      <c r="E253" s="137"/>
      <c r="F253" s="137"/>
      <c r="G253" s="137"/>
      <c r="H253" s="137"/>
      <c r="I253" s="137"/>
      <c r="J253" s="137"/>
      <c r="K253" s="6"/>
      <c r="L253" s="6"/>
      <c r="M253" s="6"/>
      <c r="N253" s="6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spans="1:26" ht="14.25" customHeight="1">
      <c r="A254" s="138"/>
      <c r="B254" s="138"/>
      <c r="C254" s="138"/>
      <c r="D254" s="137"/>
      <c r="E254" s="137"/>
      <c r="F254" s="137"/>
      <c r="G254" s="137"/>
      <c r="H254" s="137"/>
      <c r="I254" s="137"/>
      <c r="J254" s="137"/>
      <c r="K254" s="6"/>
      <c r="L254" s="6"/>
      <c r="M254" s="6"/>
      <c r="N254" s="6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spans="1:26" ht="14.25" customHeight="1">
      <c r="A255" s="138"/>
      <c r="B255" s="138"/>
      <c r="C255" s="138"/>
      <c r="D255" s="137"/>
      <c r="E255" s="137"/>
      <c r="F255" s="137"/>
      <c r="G255" s="137"/>
      <c r="H255" s="137"/>
      <c r="I255" s="137"/>
      <c r="J255" s="137"/>
      <c r="K255" s="6"/>
      <c r="L255" s="6"/>
      <c r="M255" s="6"/>
      <c r="N255" s="6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spans="1:26" ht="14.25" customHeight="1">
      <c r="A256" s="138"/>
      <c r="B256" s="138"/>
      <c r="C256" s="138"/>
      <c r="D256" s="137"/>
      <c r="E256" s="137"/>
      <c r="F256" s="137"/>
      <c r="G256" s="137"/>
      <c r="H256" s="137"/>
      <c r="I256" s="137"/>
      <c r="J256" s="137"/>
      <c r="K256" s="6"/>
      <c r="L256" s="6"/>
      <c r="M256" s="6"/>
      <c r="N256" s="6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spans="1:26" ht="14.25" customHeight="1">
      <c r="A257" s="138"/>
      <c r="B257" s="138"/>
      <c r="C257" s="138"/>
      <c r="D257" s="137"/>
      <c r="E257" s="137"/>
      <c r="F257" s="137"/>
      <c r="G257" s="137"/>
      <c r="H257" s="137"/>
      <c r="I257" s="137"/>
      <c r="J257" s="137"/>
      <c r="K257" s="6"/>
      <c r="L257" s="6"/>
      <c r="M257" s="6"/>
      <c r="N257" s="6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spans="1:26" ht="14.25" customHeight="1">
      <c r="A258" s="138"/>
      <c r="B258" s="138"/>
      <c r="C258" s="138"/>
      <c r="D258" s="137"/>
      <c r="E258" s="137"/>
      <c r="F258" s="137"/>
      <c r="G258" s="137"/>
      <c r="H258" s="137"/>
      <c r="I258" s="137"/>
      <c r="J258" s="137"/>
      <c r="K258" s="6"/>
      <c r="L258" s="6"/>
      <c r="M258" s="6"/>
      <c r="N258" s="6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spans="1:26" ht="14.25" customHeight="1">
      <c r="A259" s="138"/>
      <c r="B259" s="138"/>
      <c r="C259" s="138"/>
      <c r="D259" s="137"/>
      <c r="E259" s="137"/>
      <c r="F259" s="137"/>
      <c r="G259" s="137"/>
      <c r="H259" s="137"/>
      <c r="I259" s="137"/>
      <c r="J259" s="137"/>
      <c r="K259" s="6"/>
      <c r="L259" s="6"/>
      <c r="M259" s="6"/>
      <c r="N259" s="6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spans="1:26" ht="14.25" customHeight="1">
      <c r="A260" s="138"/>
      <c r="B260" s="138"/>
      <c r="C260" s="138"/>
      <c r="D260" s="137"/>
      <c r="E260" s="137"/>
      <c r="F260" s="137"/>
      <c r="G260" s="137"/>
      <c r="H260" s="137"/>
      <c r="I260" s="137"/>
      <c r="J260" s="137"/>
      <c r="K260" s="6"/>
      <c r="L260" s="6"/>
      <c r="M260" s="6"/>
      <c r="N260" s="6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spans="1:26" ht="14.25" customHeight="1">
      <c r="A261" s="138"/>
      <c r="B261" s="138"/>
      <c r="C261" s="138"/>
      <c r="D261" s="137"/>
      <c r="E261" s="137"/>
      <c r="F261" s="137"/>
      <c r="G261" s="137"/>
      <c r="H261" s="137"/>
      <c r="I261" s="137"/>
      <c r="J261" s="137"/>
      <c r="K261" s="6"/>
      <c r="L261" s="6"/>
      <c r="M261" s="6"/>
      <c r="N261" s="6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spans="1:26" ht="14.25" customHeight="1">
      <c r="A262" s="138"/>
      <c r="B262" s="138"/>
      <c r="C262" s="138"/>
      <c r="D262" s="137"/>
      <c r="E262" s="137"/>
      <c r="F262" s="137"/>
      <c r="G262" s="137"/>
      <c r="H262" s="137"/>
      <c r="I262" s="137"/>
      <c r="J262" s="137"/>
      <c r="K262" s="6"/>
      <c r="L262" s="6"/>
      <c r="M262" s="6"/>
      <c r="N262" s="6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spans="1:26" ht="14.25" customHeight="1">
      <c r="A263" s="138"/>
      <c r="B263" s="138"/>
      <c r="C263" s="138"/>
      <c r="D263" s="137"/>
      <c r="E263" s="137"/>
      <c r="F263" s="137"/>
      <c r="G263" s="137"/>
      <c r="H263" s="137"/>
      <c r="I263" s="137"/>
      <c r="J263" s="137"/>
      <c r="K263" s="6"/>
      <c r="L263" s="6"/>
      <c r="M263" s="6"/>
      <c r="N263" s="6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spans="1:26" ht="14.25" customHeight="1">
      <c r="A264" s="138"/>
      <c r="B264" s="138"/>
      <c r="C264" s="138"/>
      <c r="D264" s="137"/>
      <c r="E264" s="137"/>
      <c r="F264" s="137"/>
      <c r="G264" s="137"/>
      <c r="H264" s="137"/>
      <c r="I264" s="137"/>
      <c r="J264" s="137"/>
      <c r="K264" s="6"/>
      <c r="L264" s="6"/>
      <c r="M264" s="6"/>
      <c r="N264" s="6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spans="1:26" ht="14.25" customHeight="1">
      <c r="A265" s="138"/>
      <c r="B265" s="138"/>
      <c r="C265" s="138"/>
      <c r="D265" s="137"/>
      <c r="E265" s="137"/>
      <c r="F265" s="137"/>
      <c r="G265" s="137"/>
      <c r="H265" s="137"/>
      <c r="I265" s="137"/>
      <c r="J265" s="137"/>
      <c r="K265" s="6"/>
      <c r="L265" s="6"/>
      <c r="M265" s="6"/>
      <c r="N265" s="6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spans="1:26" ht="14.25" customHeight="1">
      <c r="A266" s="138"/>
      <c r="B266" s="138"/>
      <c r="C266" s="138"/>
      <c r="D266" s="137"/>
      <c r="E266" s="137"/>
      <c r="F266" s="137"/>
      <c r="G266" s="137"/>
      <c r="H266" s="137"/>
      <c r="I266" s="137"/>
      <c r="J266" s="137"/>
      <c r="K266" s="6"/>
      <c r="L266" s="6"/>
      <c r="M266" s="6"/>
      <c r="N266" s="6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spans="1:26" ht="14.25" customHeight="1">
      <c r="A267" s="138"/>
      <c r="B267" s="138"/>
      <c r="C267" s="138"/>
      <c r="D267" s="137"/>
      <c r="E267" s="137"/>
      <c r="F267" s="137"/>
      <c r="G267" s="137"/>
      <c r="H267" s="137"/>
      <c r="I267" s="137"/>
      <c r="J267" s="137"/>
      <c r="K267" s="6"/>
      <c r="L267" s="6"/>
      <c r="M267" s="6"/>
      <c r="N267" s="6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spans="1:26" ht="14.25" customHeight="1">
      <c r="A268" s="138"/>
      <c r="B268" s="138"/>
      <c r="C268" s="138"/>
      <c r="D268" s="137"/>
      <c r="E268" s="137"/>
      <c r="F268" s="137"/>
      <c r="G268" s="137"/>
      <c r="H268" s="137"/>
      <c r="I268" s="137"/>
      <c r="J268" s="137"/>
      <c r="K268" s="6"/>
      <c r="L268" s="6"/>
      <c r="M268" s="6"/>
      <c r="N268" s="6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spans="1:26" ht="14.25" customHeight="1">
      <c r="A269" s="138"/>
      <c r="B269" s="138"/>
      <c r="C269" s="138"/>
      <c r="D269" s="137"/>
      <c r="E269" s="137"/>
      <c r="F269" s="137"/>
      <c r="G269" s="137"/>
      <c r="H269" s="137"/>
      <c r="I269" s="137"/>
      <c r="J269" s="137"/>
      <c r="K269" s="6"/>
      <c r="L269" s="6"/>
      <c r="M269" s="6"/>
      <c r="N269" s="6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spans="1:26" ht="14.25" customHeight="1">
      <c r="A270" s="138"/>
      <c r="B270" s="138"/>
      <c r="C270" s="138"/>
      <c r="D270" s="137"/>
      <c r="E270" s="137"/>
      <c r="F270" s="137"/>
      <c r="G270" s="137"/>
      <c r="H270" s="137"/>
      <c r="I270" s="137"/>
      <c r="J270" s="137"/>
      <c r="K270" s="6"/>
      <c r="L270" s="6"/>
      <c r="M270" s="6"/>
      <c r="N270" s="6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spans="1:26" ht="14.25" customHeight="1">
      <c r="A271" s="138"/>
      <c r="B271" s="138"/>
      <c r="C271" s="138"/>
      <c r="D271" s="137"/>
      <c r="E271" s="137"/>
      <c r="F271" s="137"/>
      <c r="G271" s="137"/>
      <c r="H271" s="137"/>
      <c r="I271" s="137"/>
      <c r="J271" s="137"/>
      <c r="K271" s="6"/>
      <c r="L271" s="6"/>
      <c r="M271" s="6"/>
      <c r="N271" s="6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spans="1:26" ht="14.25" customHeight="1">
      <c r="A272" s="138"/>
      <c r="B272" s="138"/>
      <c r="C272" s="138"/>
      <c r="D272" s="137"/>
      <c r="E272" s="137"/>
      <c r="F272" s="137"/>
      <c r="G272" s="137"/>
      <c r="H272" s="137"/>
      <c r="I272" s="137"/>
      <c r="J272" s="137"/>
      <c r="K272" s="6"/>
      <c r="L272" s="6"/>
      <c r="M272" s="6"/>
      <c r="N272" s="6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spans="1:26" ht="14.25" customHeight="1">
      <c r="A273" s="138"/>
      <c r="B273" s="138"/>
      <c r="C273" s="138"/>
      <c r="D273" s="137"/>
      <c r="E273" s="137"/>
      <c r="F273" s="137"/>
      <c r="G273" s="137"/>
      <c r="H273" s="137"/>
      <c r="I273" s="137"/>
      <c r="J273" s="137"/>
      <c r="K273" s="6"/>
      <c r="L273" s="6"/>
      <c r="M273" s="6"/>
      <c r="N273" s="6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spans="1:26" ht="14.25" customHeight="1">
      <c r="A274" s="138"/>
      <c r="B274" s="138"/>
      <c r="C274" s="138"/>
      <c r="D274" s="137"/>
      <c r="E274" s="137"/>
      <c r="F274" s="137"/>
      <c r="G274" s="137"/>
      <c r="H274" s="137"/>
      <c r="I274" s="137"/>
      <c r="J274" s="137"/>
      <c r="K274" s="6"/>
      <c r="L274" s="6"/>
      <c r="M274" s="6"/>
      <c r="N274" s="6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spans="1:26" ht="14.25" customHeight="1">
      <c r="A275" s="138"/>
      <c r="B275" s="138"/>
      <c r="C275" s="138"/>
      <c r="D275" s="137"/>
      <c r="E275" s="137"/>
      <c r="F275" s="137"/>
      <c r="G275" s="137"/>
      <c r="H275" s="137"/>
      <c r="I275" s="137"/>
      <c r="J275" s="137"/>
      <c r="K275" s="6"/>
      <c r="L275" s="6"/>
      <c r="M275" s="6"/>
      <c r="N275" s="6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spans="1:26" ht="14.25" customHeight="1">
      <c r="A276" s="138"/>
      <c r="B276" s="138"/>
      <c r="C276" s="138"/>
      <c r="D276" s="137"/>
      <c r="E276" s="137"/>
      <c r="F276" s="137"/>
      <c r="G276" s="137"/>
      <c r="H276" s="137"/>
      <c r="I276" s="137"/>
      <c r="J276" s="137"/>
      <c r="K276" s="6"/>
      <c r="L276" s="6"/>
      <c r="M276" s="6"/>
      <c r="N276" s="6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spans="1:26" ht="14.25" customHeight="1">
      <c r="A277" s="138"/>
      <c r="B277" s="138"/>
      <c r="C277" s="138"/>
      <c r="D277" s="137"/>
      <c r="E277" s="137"/>
      <c r="F277" s="137"/>
      <c r="G277" s="137"/>
      <c r="H277" s="137"/>
      <c r="I277" s="137"/>
      <c r="J277" s="137"/>
      <c r="K277" s="6"/>
      <c r="L277" s="6"/>
      <c r="M277" s="6"/>
      <c r="N277" s="6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spans="1:26" ht="14.25" customHeight="1">
      <c r="A278" s="138"/>
      <c r="B278" s="138"/>
      <c r="C278" s="138"/>
      <c r="D278" s="137"/>
      <c r="E278" s="137"/>
      <c r="F278" s="137"/>
      <c r="G278" s="137"/>
      <c r="H278" s="137"/>
      <c r="I278" s="137"/>
      <c r="J278" s="137"/>
      <c r="K278" s="6"/>
      <c r="L278" s="6"/>
      <c r="M278" s="6"/>
      <c r="N278" s="6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spans="1:26" ht="14.25" customHeight="1">
      <c r="A279" s="138"/>
      <c r="B279" s="138"/>
      <c r="C279" s="138"/>
      <c r="D279" s="137"/>
      <c r="E279" s="137"/>
      <c r="F279" s="137"/>
      <c r="G279" s="137"/>
      <c r="H279" s="137"/>
      <c r="I279" s="137"/>
      <c r="J279" s="137"/>
      <c r="K279" s="6"/>
      <c r="L279" s="6"/>
      <c r="M279" s="6"/>
      <c r="N279" s="6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spans="1:26" ht="14.25" customHeight="1">
      <c r="A280" s="138"/>
      <c r="B280" s="138"/>
      <c r="C280" s="138"/>
      <c r="D280" s="137"/>
      <c r="E280" s="137"/>
      <c r="F280" s="137"/>
      <c r="G280" s="137"/>
      <c r="H280" s="137"/>
      <c r="I280" s="137"/>
      <c r="J280" s="137"/>
      <c r="K280" s="6"/>
      <c r="L280" s="6"/>
      <c r="M280" s="6"/>
      <c r="N280" s="6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spans="1:26" ht="14.25" customHeight="1">
      <c r="A281" s="138"/>
      <c r="B281" s="138"/>
      <c r="C281" s="138"/>
      <c r="D281" s="137"/>
      <c r="E281" s="137"/>
      <c r="F281" s="137"/>
      <c r="G281" s="137"/>
      <c r="H281" s="137"/>
      <c r="I281" s="137"/>
      <c r="J281" s="137"/>
      <c r="K281" s="6"/>
      <c r="L281" s="6"/>
      <c r="M281" s="6"/>
      <c r="N281" s="6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spans="1:26" ht="14.25" customHeight="1">
      <c r="A282" s="138"/>
      <c r="B282" s="138"/>
      <c r="C282" s="138"/>
      <c r="D282" s="137"/>
      <c r="E282" s="137"/>
      <c r="F282" s="137"/>
      <c r="G282" s="137"/>
      <c r="H282" s="137"/>
      <c r="I282" s="137"/>
      <c r="J282" s="137"/>
      <c r="K282" s="6"/>
      <c r="L282" s="6"/>
      <c r="M282" s="6"/>
      <c r="N282" s="6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spans="1:26" ht="14.25" customHeight="1">
      <c r="A283" s="138"/>
      <c r="B283" s="138"/>
      <c r="C283" s="138"/>
      <c r="D283" s="137"/>
      <c r="E283" s="137"/>
      <c r="F283" s="137"/>
      <c r="G283" s="137"/>
      <c r="H283" s="137"/>
      <c r="I283" s="137"/>
      <c r="J283" s="137"/>
      <c r="K283" s="6"/>
      <c r="L283" s="6"/>
      <c r="M283" s="6"/>
      <c r="N283" s="6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spans="1:26" ht="14.25" customHeight="1">
      <c r="A284" s="138"/>
      <c r="B284" s="138"/>
      <c r="C284" s="138"/>
      <c r="D284" s="137"/>
      <c r="E284" s="137"/>
      <c r="F284" s="137"/>
      <c r="G284" s="137"/>
      <c r="H284" s="137"/>
      <c r="I284" s="137"/>
      <c r="J284" s="137"/>
      <c r="K284" s="6"/>
      <c r="L284" s="6"/>
      <c r="M284" s="6"/>
      <c r="N284" s="6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spans="1:26" ht="14.25" customHeight="1">
      <c r="A285" s="138"/>
      <c r="B285" s="138"/>
      <c r="C285" s="138"/>
      <c r="D285" s="137"/>
      <c r="E285" s="137"/>
      <c r="F285" s="137"/>
      <c r="G285" s="137"/>
      <c r="H285" s="137"/>
      <c r="I285" s="137"/>
      <c r="J285" s="137"/>
      <c r="K285" s="6"/>
      <c r="L285" s="6"/>
      <c r="M285" s="6"/>
      <c r="N285" s="6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spans="1:26" ht="14.25" customHeight="1">
      <c r="A286" s="138"/>
      <c r="B286" s="138"/>
      <c r="C286" s="138"/>
      <c r="D286" s="137"/>
      <c r="E286" s="137"/>
      <c r="F286" s="137"/>
      <c r="G286" s="137"/>
      <c r="H286" s="137"/>
      <c r="I286" s="137"/>
      <c r="J286" s="137"/>
      <c r="K286" s="6"/>
      <c r="L286" s="6"/>
      <c r="M286" s="6"/>
      <c r="N286" s="6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spans="1:26" ht="14.25" customHeight="1">
      <c r="A287" s="138"/>
      <c r="B287" s="138"/>
      <c r="C287" s="138"/>
      <c r="D287" s="137"/>
      <c r="E287" s="137"/>
      <c r="F287" s="137"/>
      <c r="G287" s="137"/>
      <c r="H287" s="137"/>
      <c r="I287" s="137"/>
      <c r="J287" s="137"/>
      <c r="K287" s="6"/>
      <c r="L287" s="6"/>
      <c r="M287" s="6"/>
      <c r="N287" s="6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spans="1:26" ht="14.25" customHeight="1">
      <c r="A288" s="138"/>
      <c r="B288" s="138"/>
      <c r="C288" s="138"/>
      <c r="D288" s="137"/>
      <c r="E288" s="137"/>
      <c r="F288" s="137"/>
      <c r="G288" s="137"/>
      <c r="H288" s="137"/>
      <c r="I288" s="137"/>
      <c r="J288" s="137"/>
      <c r="K288" s="6"/>
      <c r="L288" s="6"/>
      <c r="M288" s="6"/>
      <c r="N288" s="6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spans="1:26" ht="14.25" customHeight="1">
      <c r="A289" s="138"/>
      <c r="B289" s="138"/>
      <c r="C289" s="138"/>
      <c r="D289" s="137"/>
      <c r="E289" s="137"/>
      <c r="F289" s="137"/>
      <c r="G289" s="137"/>
      <c r="H289" s="137"/>
      <c r="I289" s="137"/>
      <c r="J289" s="137"/>
      <c r="K289" s="6"/>
      <c r="L289" s="6"/>
      <c r="M289" s="6"/>
      <c r="N289" s="6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spans="1:26" ht="14.25" customHeight="1">
      <c r="A290" s="138"/>
      <c r="B290" s="138"/>
      <c r="C290" s="138"/>
      <c r="D290" s="137"/>
      <c r="E290" s="137"/>
      <c r="F290" s="137"/>
      <c r="G290" s="137"/>
      <c r="H290" s="137"/>
      <c r="I290" s="137"/>
      <c r="J290" s="137"/>
      <c r="K290" s="6"/>
      <c r="L290" s="6"/>
      <c r="M290" s="6"/>
      <c r="N290" s="6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spans="1:26" ht="14.25" customHeight="1">
      <c r="A291" s="138"/>
      <c r="B291" s="138"/>
      <c r="C291" s="138"/>
      <c r="D291" s="137"/>
      <c r="E291" s="137"/>
      <c r="F291" s="137"/>
      <c r="G291" s="137"/>
      <c r="H291" s="137"/>
      <c r="I291" s="137"/>
      <c r="J291" s="137"/>
      <c r="K291" s="6"/>
      <c r="L291" s="6"/>
      <c r="M291" s="6"/>
      <c r="N291" s="6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spans="1:26" ht="14.25" customHeight="1">
      <c r="A292" s="138"/>
      <c r="B292" s="138"/>
      <c r="C292" s="138"/>
      <c r="D292" s="137"/>
      <c r="E292" s="137"/>
      <c r="F292" s="137"/>
      <c r="G292" s="137"/>
      <c r="H292" s="137"/>
      <c r="I292" s="137"/>
      <c r="J292" s="137"/>
      <c r="K292" s="6"/>
      <c r="L292" s="6"/>
      <c r="M292" s="6"/>
      <c r="N292" s="6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spans="1:26" ht="14.25" customHeight="1">
      <c r="A293" s="138"/>
      <c r="B293" s="138"/>
      <c r="C293" s="138"/>
      <c r="D293" s="137"/>
      <c r="E293" s="137"/>
      <c r="F293" s="137"/>
      <c r="G293" s="137"/>
      <c r="H293" s="137"/>
      <c r="I293" s="137"/>
      <c r="J293" s="137"/>
      <c r="K293" s="6"/>
      <c r="L293" s="6"/>
      <c r="M293" s="6"/>
      <c r="N293" s="6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spans="1:26" ht="14.25" customHeight="1">
      <c r="A294" s="138"/>
      <c r="B294" s="138"/>
      <c r="C294" s="138"/>
      <c r="D294" s="137"/>
      <c r="E294" s="137"/>
      <c r="F294" s="137"/>
      <c r="G294" s="137"/>
      <c r="H294" s="137"/>
      <c r="I294" s="137"/>
      <c r="J294" s="137"/>
      <c r="K294" s="6"/>
      <c r="L294" s="6"/>
      <c r="M294" s="6"/>
      <c r="N294" s="6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spans="1:26" ht="14.25" customHeight="1">
      <c r="A295" s="138"/>
      <c r="B295" s="138"/>
      <c r="C295" s="138"/>
      <c r="D295" s="137"/>
      <c r="E295" s="137"/>
      <c r="F295" s="137"/>
      <c r="G295" s="137"/>
      <c r="H295" s="137"/>
      <c r="I295" s="137"/>
      <c r="J295" s="137"/>
      <c r="K295" s="6"/>
      <c r="L295" s="6"/>
      <c r="M295" s="6"/>
      <c r="N295" s="6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spans="1:26" ht="14.25" customHeight="1">
      <c r="A296" s="138"/>
      <c r="B296" s="138"/>
      <c r="C296" s="138"/>
      <c r="D296" s="137"/>
      <c r="E296" s="137"/>
      <c r="F296" s="137"/>
      <c r="G296" s="137"/>
      <c r="H296" s="137"/>
      <c r="I296" s="137"/>
      <c r="J296" s="137"/>
      <c r="K296" s="6"/>
      <c r="L296" s="6"/>
      <c r="M296" s="6"/>
      <c r="N296" s="6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spans="1:26" ht="14.25" customHeight="1">
      <c r="A297" s="138"/>
      <c r="B297" s="138"/>
      <c r="C297" s="138"/>
      <c r="D297" s="137"/>
      <c r="E297" s="137"/>
      <c r="F297" s="137"/>
      <c r="G297" s="137"/>
      <c r="H297" s="137"/>
      <c r="I297" s="137"/>
      <c r="J297" s="137"/>
      <c r="K297" s="6"/>
      <c r="L297" s="6"/>
      <c r="M297" s="6"/>
      <c r="N297" s="6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spans="1:26" ht="14.25" customHeight="1">
      <c r="A298" s="138"/>
      <c r="B298" s="138"/>
      <c r="C298" s="138"/>
      <c r="D298" s="137"/>
      <c r="E298" s="137"/>
      <c r="F298" s="137"/>
      <c r="G298" s="137"/>
      <c r="H298" s="137"/>
      <c r="I298" s="137"/>
      <c r="J298" s="137"/>
      <c r="K298" s="6"/>
      <c r="L298" s="6"/>
      <c r="M298" s="6"/>
      <c r="N298" s="6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spans="1:26" ht="14.25" customHeight="1">
      <c r="A299" s="138"/>
      <c r="B299" s="138"/>
      <c r="C299" s="138"/>
      <c r="D299" s="137"/>
      <c r="E299" s="137"/>
      <c r="F299" s="137"/>
      <c r="G299" s="137"/>
      <c r="H299" s="137"/>
      <c r="I299" s="137"/>
      <c r="J299" s="137"/>
      <c r="K299" s="6"/>
      <c r="L299" s="6"/>
      <c r="M299" s="6"/>
      <c r="N299" s="6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spans="1:26" ht="14.25" customHeight="1">
      <c r="A300" s="138"/>
      <c r="B300" s="138"/>
      <c r="C300" s="138"/>
      <c r="D300" s="137"/>
      <c r="E300" s="137"/>
      <c r="F300" s="137"/>
      <c r="G300" s="137"/>
      <c r="H300" s="137"/>
      <c r="I300" s="137"/>
      <c r="J300" s="137"/>
      <c r="K300" s="6"/>
      <c r="L300" s="6"/>
      <c r="M300" s="6"/>
      <c r="N300" s="6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spans="1:26" ht="14.25" customHeight="1">
      <c r="A301" s="138"/>
      <c r="B301" s="138"/>
      <c r="C301" s="138"/>
      <c r="D301" s="137"/>
      <c r="E301" s="137"/>
      <c r="F301" s="137"/>
      <c r="G301" s="137"/>
      <c r="H301" s="137"/>
      <c r="I301" s="137"/>
      <c r="J301" s="137"/>
      <c r="K301" s="6"/>
      <c r="L301" s="6"/>
      <c r="M301" s="6"/>
      <c r="N301" s="6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spans="1:26" ht="14.25" customHeight="1">
      <c r="A302" s="138"/>
      <c r="B302" s="138"/>
      <c r="C302" s="138"/>
      <c r="D302" s="137"/>
      <c r="E302" s="137"/>
      <c r="F302" s="137"/>
      <c r="G302" s="137"/>
      <c r="H302" s="137"/>
      <c r="I302" s="137"/>
      <c r="J302" s="137"/>
      <c r="K302" s="6"/>
      <c r="L302" s="6"/>
      <c r="M302" s="6"/>
      <c r="N302" s="6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spans="1:26" ht="14.25" customHeight="1">
      <c r="A303" s="138"/>
      <c r="B303" s="138"/>
      <c r="C303" s="138"/>
      <c r="D303" s="137"/>
      <c r="E303" s="137"/>
      <c r="F303" s="137"/>
      <c r="G303" s="137"/>
      <c r="H303" s="137"/>
      <c r="I303" s="137"/>
      <c r="J303" s="137"/>
      <c r="K303" s="6"/>
      <c r="L303" s="6"/>
      <c r="M303" s="6"/>
      <c r="N303" s="6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spans="1:26" ht="14.25" customHeight="1">
      <c r="A304" s="138"/>
      <c r="B304" s="138"/>
      <c r="C304" s="138"/>
      <c r="D304" s="137"/>
      <c r="E304" s="137"/>
      <c r="F304" s="137"/>
      <c r="G304" s="137"/>
      <c r="H304" s="137"/>
      <c r="I304" s="137"/>
      <c r="J304" s="137"/>
      <c r="K304" s="6"/>
      <c r="L304" s="6"/>
      <c r="M304" s="6"/>
      <c r="N304" s="6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spans="1:26" ht="14.25" customHeight="1">
      <c r="A305" s="138"/>
      <c r="B305" s="138"/>
      <c r="C305" s="138"/>
      <c r="D305" s="137"/>
      <c r="E305" s="137"/>
      <c r="F305" s="137"/>
      <c r="G305" s="137"/>
      <c r="H305" s="137"/>
      <c r="I305" s="137"/>
      <c r="J305" s="137"/>
      <c r="K305" s="6"/>
      <c r="L305" s="6"/>
      <c r="M305" s="6"/>
      <c r="N305" s="6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spans="1:26" ht="14.25" customHeight="1">
      <c r="A306" s="138"/>
      <c r="B306" s="138"/>
      <c r="C306" s="138"/>
      <c r="D306" s="137"/>
      <c r="E306" s="137"/>
      <c r="F306" s="137"/>
      <c r="G306" s="137"/>
      <c r="H306" s="137"/>
      <c r="I306" s="137"/>
      <c r="J306" s="137"/>
      <c r="K306" s="6"/>
      <c r="L306" s="6"/>
      <c r="M306" s="6"/>
      <c r="N306" s="6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spans="1:26" ht="14.25" customHeight="1">
      <c r="A307" s="138"/>
      <c r="B307" s="138"/>
      <c r="C307" s="138"/>
      <c r="D307" s="137"/>
      <c r="E307" s="137"/>
      <c r="F307" s="137"/>
      <c r="G307" s="137"/>
      <c r="H307" s="137"/>
      <c r="I307" s="137"/>
      <c r="J307" s="137"/>
      <c r="K307" s="6"/>
      <c r="L307" s="6"/>
      <c r="M307" s="6"/>
      <c r="N307" s="6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spans="1:26" ht="14.25" customHeight="1">
      <c r="A308" s="138"/>
      <c r="B308" s="138"/>
      <c r="C308" s="138"/>
      <c r="D308" s="137"/>
      <c r="E308" s="137"/>
      <c r="F308" s="137"/>
      <c r="G308" s="137"/>
      <c r="H308" s="137"/>
      <c r="I308" s="137"/>
      <c r="J308" s="137"/>
      <c r="K308" s="6"/>
      <c r="L308" s="6"/>
      <c r="M308" s="6"/>
      <c r="N308" s="6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spans="1:26" ht="14.25" customHeight="1">
      <c r="A309" s="138"/>
      <c r="B309" s="138"/>
      <c r="C309" s="138"/>
      <c r="D309" s="137"/>
      <c r="E309" s="137"/>
      <c r="F309" s="137"/>
      <c r="G309" s="137"/>
      <c r="H309" s="137"/>
      <c r="I309" s="137"/>
      <c r="J309" s="137"/>
      <c r="K309" s="6"/>
      <c r="L309" s="6"/>
      <c r="M309" s="6"/>
      <c r="N309" s="6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spans="1:26" ht="14.25" customHeight="1">
      <c r="A310" s="138"/>
      <c r="B310" s="138"/>
      <c r="C310" s="138"/>
      <c r="D310" s="137"/>
      <c r="E310" s="137"/>
      <c r="F310" s="137"/>
      <c r="G310" s="137"/>
      <c r="H310" s="137"/>
      <c r="I310" s="137"/>
      <c r="J310" s="137"/>
      <c r="K310" s="6"/>
      <c r="L310" s="6"/>
      <c r="M310" s="6"/>
      <c r="N310" s="6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spans="1:26" ht="14.25" customHeight="1">
      <c r="A311" s="138"/>
      <c r="B311" s="138"/>
      <c r="C311" s="138"/>
      <c r="D311" s="137"/>
      <c r="E311" s="137"/>
      <c r="F311" s="137"/>
      <c r="G311" s="137"/>
      <c r="H311" s="137"/>
      <c r="I311" s="137"/>
      <c r="J311" s="137"/>
      <c r="K311" s="6"/>
      <c r="L311" s="6"/>
      <c r="M311" s="6"/>
      <c r="N311" s="6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spans="1:26" ht="14.25" customHeight="1">
      <c r="A312" s="138"/>
      <c r="B312" s="138"/>
      <c r="C312" s="138"/>
      <c r="D312" s="137"/>
      <c r="E312" s="137"/>
      <c r="F312" s="137"/>
      <c r="G312" s="137"/>
      <c r="H312" s="137"/>
      <c r="I312" s="137"/>
      <c r="J312" s="137"/>
      <c r="K312" s="6"/>
      <c r="L312" s="6"/>
      <c r="M312" s="6"/>
      <c r="N312" s="6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spans="1:26" ht="14.25" customHeight="1">
      <c r="A313" s="138"/>
      <c r="B313" s="138"/>
      <c r="C313" s="138"/>
      <c r="D313" s="137"/>
      <c r="E313" s="137"/>
      <c r="F313" s="137"/>
      <c r="G313" s="137"/>
      <c r="H313" s="137"/>
      <c r="I313" s="137"/>
      <c r="J313" s="137"/>
      <c r="K313" s="6"/>
      <c r="L313" s="6"/>
      <c r="M313" s="6"/>
      <c r="N313" s="6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spans="1:26" ht="14.25" customHeight="1">
      <c r="A314" s="138"/>
      <c r="B314" s="138"/>
      <c r="C314" s="138"/>
      <c r="D314" s="137"/>
      <c r="E314" s="137"/>
      <c r="F314" s="137"/>
      <c r="G314" s="137"/>
      <c r="H314" s="137"/>
      <c r="I314" s="137"/>
      <c r="J314" s="137"/>
      <c r="K314" s="6"/>
      <c r="L314" s="6"/>
      <c r="M314" s="6"/>
      <c r="N314" s="6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spans="1:26" ht="14.25" customHeight="1">
      <c r="A315" s="138"/>
      <c r="B315" s="138"/>
      <c r="C315" s="138"/>
      <c r="D315" s="137"/>
      <c r="E315" s="137"/>
      <c r="F315" s="137"/>
      <c r="G315" s="137"/>
      <c r="H315" s="137"/>
      <c r="I315" s="137"/>
      <c r="J315" s="137"/>
      <c r="K315" s="6"/>
      <c r="L315" s="6"/>
      <c r="M315" s="6"/>
      <c r="N315" s="6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spans="1:26" ht="14.25" customHeight="1">
      <c r="A316" s="138"/>
      <c r="B316" s="138"/>
      <c r="C316" s="138"/>
      <c r="D316" s="137"/>
      <c r="E316" s="137"/>
      <c r="F316" s="137"/>
      <c r="G316" s="137"/>
      <c r="H316" s="137"/>
      <c r="I316" s="137"/>
      <c r="J316" s="137"/>
      <c r="K316" s="6"/>
      <c r="L316" s="6"/>
      <c r="M316" s="6"/>
      <c r="N316" s="6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spans="1:26" ht="14.25" customHeight="1">
      <c r="A317" s="138"/>
      <c r="B317" s="138"/>
      <c r="C317" s="138"/>
      <c r="D317" s="137"/>
      <c r="E317" s="137"/>
      <c r="F317" s="137"/>
      <c r="G317" s="137"/>
      <c r="H317" s="137"/>
      <c r="I317" s="137"/>
      <c r="J317" s="137"/>
      <c r="K317" s="6"/>
      <c r="L317" s="6"/>
      <c r="M317" s="6"/>
      <c r="N317" s="6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spans="1:26" ht="14.25" customHeight="1">
      <c r="A318" s="138"/>
      <c r="B318" s="138"/>
      <c r="C318" s="138"/>
      <c r="D318" s="137"/>
      <c r="E318" s="137"/>
      <c r="F318" s="137"/>
      <c r="G318" s="137"/>
      <c r="H318" s="137"/>
      <c r="I318" s="137"/>
      <c r="J318" s="137"/>
      <c r="K318" s="6"/>
      <c r="L318" s="6"/>
      <c r="M318" s="6"/>
      <c r="N318" s="6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spans="1:26" ht="14.25" customHeight="1">
      <c r="A319" s="138"/>
      <c r="B319" s="138"/>
      <c r="C319" s="138"/>
      <c r="D319" s="137"/>
      <c r="E319" s="137"/>
      <c r="F319" s="137"/>
      <c r="G319" s="137"/>
      <c r="H319" s="137"/>
      <c r="I319" s="137"/>
      <c r="J319" s="137"/>
      <c r="K319" s="6"/>
      <c r="L319" s="6"/>
      <c r="M319" s="6"/>
      <c r="N319" s="6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spans="1:26" ht="14.25" customHeight="1">
      <c r="A320" s="138"/>
      <c r="B320" s="138"/>
      <c r="C320" s="138"/>
      <c r="D320" s="137"/>
      <c r="E320" s="137"/>
      <c r="F320" s="137"/>
      <c r="G320" s="137"/>
      <c r="H320" s="137"/>
      <c r="I320" s="137"/>
      <c r="J320" s="137"/>
      <c r="K320" s="6"/>
      <c r="L320" s="6"/>
      <c r="M320" s="6"/>
      <c r="N320" s="6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spans="1:26" ht="14.25" customHeight="1">
      <c r="A321" s="138"/>
      <c r="B321" s="138"/>
      <c r="C321" s="138"/>
      <c r="D321" s="137"/>
      <c r="E321" s="137"/>
      <c r="F321" s="137"/>
      <c r="G321" s="137"/>
      <c r="H321" s="137"/>
      <c r="I321" s="137"/>
      <c r="J321" s="137"/>
      <c r="K321" s="6"/>
      <c r="L321" s="6"/>
      <c r="M321" s="6"/>
      <c r="N321" s="6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spans="1:26" ht="14.25" customHeight="1">
      <c r="A322" s="138"/>
      <c r="B322" s="138"/>
      <c r="C322" s="138"/>
      <c r="D322" s="137"/>
      <c r="E322" s="137"/>
      <c r="F322" s="137"/>
      <c r="G322" s="137"/>
      <c r="H322" s="137"/>
      <c r="I322" s="137"/>
      <c r="J322" s="137"/>
      <c r="K322" s="6"/>
      <c r="L322" s="6"/>
      <c r="M322" s="6"/>
      <c r="N322" s="6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spans="1:26" ht="14.25" customHeight="1">
      <c r="A323" s="138"/>
      <c r="B323" s="138"/>
      <c r="C323" s="138"/>
      <c r="D323" s="137"/>
      <c r="E323" s="137"/>
      <c r="F323" s="137"/>
      <c r="G323" s="137"/>
      <c r="H323" s="137"/>
      <c r="I323" s="137"/>
      <c r="J323" s="137"/>
      <c r="K323" s="6"/>
      <c r="L323" s="6"/>
      <c r="M323" s="6"/>
      <c r="N323" s="6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spans="1:26" ht="14.25" customHeight="1">
      <c r="A324" s="138"/>
      <c r="B324" s="138"/>
      <c r="C324" s="138"/>
      <c r="D324" s="137"/>
      <c r="E324" s="137"/>
      <c r="F324" s="137"/>
      <c r="G324" s="137"/>
      <c r="H324" s="137"/>
      <c r="I324" s="137"/>
      <c r="J324" s="137"/>
      <c r="K324" s="6"/>
      <c r="L324" s="6"/>
      <c r="M324" s="6"/>
      <c r="N324" s="6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spans="1:26" ht="14.25" customHeight="1">
      <c r="A325" s="138"/>
      <c r="B325" s="138"/>
      <c r="C325" s="138"/>
      <c r="D325" s="137"/>
      <c r="E325" s="137"/>
      <c r="F325" s="137"/>
      <c r="G325" s="137"/>
      <c r="H325" s="137"/>
      <c r="I325" s="137"/>
      <c r="J325" s="137"/>
      <c r="K325" s="6"/>
      <c r="L325" s="6"/>
      <c r="M325" s="6"/>
      <c r="N325" s="6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spans="1:26" ht="14.25" customHeight="1">
      <c r="A326" s="138"/>
      <c r="B326" s="138"/>
      <c r="C326" s="138"/>
      <c r="D326" s="137"/>
      <c r="E326" s="137"/>
      <c r="F326" s="137"/>
      <c r="G326" s="137"/>
      <c r="H326" s="137"/>
      <c r="I326" s="137"/>
      <c r="J326" s="137"/>
      <c r="K326" s="6"/>
      <c r="L326" s="6"/>
      <c r="M326" s="6"/>
      <c r="N326" s="6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spans="1:26" ht="14.25" customHeight="1">
      <c r="A327" s="138"/>
      <c r="B327" s="138"/>
      <c r="C327" s="138"/>
      <c r="D327" s="137"/>
      <c r="E327" s="137"/>
      <c r="F327" s="137"/>
      <c r="G327" s="137"/>
      <c r="H327" s="137"/>
      <c r="I327" s="137"/>
      <c r="J327" s="137"/>
      <c r="K327" s="6"/>
      <c r="L327" s="6"/>
      <c r="M327" s="6"/>
      <c r="N327" s="6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spans="1:26" ht="14.25" customHeight="1">
      <c r="A328" s="138"/>
      <c r="B328" s="138"/>
      <c r="C328" s="138"/>
      <c r="D328" s="137"/>
      <c r="E328" s="137"/>
      <c r="F328" s="137"/>
      <c r="G328" s="137"/>
      <c r="H328" s="137"/>
      <c r="I328" s="137"/>
      <c r="J328" s="137"/>
      <c r="K328" s="6"/>
      <c r="L328" s="6"/>
      <c r="M328" s="6"/>
      <c r="N328" s="6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spans="1:26" ht="14.25" customHeight="1">
      <c r="A329" s="138"/>
      <c r="B329" s="138"/>
      <c r="C329" s="138"/>
      <c r="D329" s="137"/>
      <c r="E329" s="137"/>
      <c r="F329" s="137"/>
      <c r="G329" s="137"/>
      <c r="H329" s="137"/>
      <c r="I329" s="137"/>
      <c r="J329" s="137"/>
      <c r="K329" s="6"/>
      <c r="L329" s="6"/>
      <c r="M329" s="6"/>
      <c r="N329" s="6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spans="1:26" ht="14.25" customHeight="1">
      <c r="A330" s="138"/>
      <c r="B330" s="138"/>
      <c r="C330" s="138"/>
      <c r="D330" s="137"/>
      <c r="E330" s="137"/>
      <c r="F330" s="137"/>
      <c r="G330" s="137"/>
      <c r="H330" s="137"/>
      <c r="I330" s="137"/>
      <c r="J330" s="137"/>
      <c r="K330" s="6"/>
      <c r="L330" s="6"/>
      <c r="M330" s="6"/>
      <c r="N330" s="6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spans="1:26" ht="14.25" customHeight="1">
      <c r="A331" s="138"/>
      <c r="B331" s="138"/>
      <c r="C331" s="138"/>
      <c r="D331" s="137"/>
      <c r="E331" s="137"/>
      <c r="F331" s="137"/>
      <c r="G331" s="137"/>
      <c r="H331" s="137"/>
      <c r="I331" s="137"/>
      <c r="J331" s="137"/>
      <c r="K331" s="6"/>
      <c r="L331" s="6"/>
      <c r="M331" s="6"/>
      <c r="N331" s="6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spans="1:26" ht="14.25" customHeight="1">
      <c r="A332" s="138"/>
      <c r="B332" s="138"/>
      <c r="C332" s="138"/>
      <c r="D332" s="137"/>
      <c r="E332" s="137"/>
      <c r="F332" s="137"/>
      <c r="G332" s="137"/>
      <c r="H332" s="137"/>
      <c r="I332" s="137"/>
      <c r="J332" s="137"/>
      <c r="K332" s="6"/>
      <c r="L332" s="6"/>
      <c r="M332" s="6"/>
      <c r="N332" s="6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spans="1:26" ht="14.25" customHeight="1">
      <c r="A333" s="138"/>
      <c r="B333" s="138"/>
      <c r="C333" s="138"/>
      <c r="D333" s="137"/>
      <c r="E333" s="137"/>
      <c r="F333" s="137"/>
      <c r="G333" s="137"/>
      <c r="H333" s="137"/>
      <c r="I333" s="137"/>
      <c r="J333" s="137"/>
      <c r="K333" s="6"/>
      <c r="L333" s="6"/>
      <c r="M333" s="6"/>
      <c r="N333" s="6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spans="1:26" ht="14.25" customHeight="1">
      <c r="A334" s="138"/>
      <c r="B334" s="138"/>
      <c r="C334" s="138"/>
      <c r="D334" s="137"/>
      <c r="E334" s="137"/>
      <c r="F334" s="137"/>
      <c r="G334" s="137"/>
      <c r="H334" s="137"/>
      <c r="I334" s="137"/>
      <c r="J334" s="137"/>
      <c r="K334" s="6"/>
      <c r="L334" s="6"/>
      <c r="M334" s="6"/>
      <c r="N334" s="6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spans="1:26" ht="14.25" customHeight="1">
      <c r="A335" s="138"/>
      <c r="B335" s="138"/>
      <c r="C335" s="138"/>
      <c r="D335" s="137"/>
      <c r="E335" s="137"/>
      <c r="F335" s="137"/>
      <c r="G335" s="137"/>
      <c r="H335" s="137"/>
      <c r="I335" s="137"/>
      <c r="J335" s="137"/>
      <c r="K335" s="6"/>
      <c r="L335" s="6"/>
      <c r="M335" s="6"/>
      <c r="N335" s="6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spans="1:26" ht="14.25" customHeight="1">
      <c r="A336" s="138"/>
      <c r="B336" s="138"/>
      <c r="C336" s="138"/>
      <c r="D336" s="137"/>
      <c r="E336" s="137"/>
      <c r="F336" s="137"/>
      <c r="G336" s="137"/>
      <c r="H336" s="137"/>
      <c r="I336" s="137"/>
      <c r="J336" s="137"/>
      <c r="K336" s="6"/>
      <c r="L336" s="6"/>
      <c r="M336" s="6"/>
      <c r="N336" s="6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spans="1:26" ht="14.25" customHeight="1">
      <c r="A337" s="138"/>
      <c r="B337" s="138"/>
      <c r="C337" s="138"/>
      <c r="D337" s="137"/>
      <c r="E337" s="137"/>
      <c r="F337" s="137"/>
      <c r="G337" s="137"/>
      <c r="H337" s="137"/>
      <c r="I337" s="137"/>
      <c r="J337" s="137"/>
      <c r="K337" s="6"/>
      <c r="L337" s="6"/>
      <c r="M337" s="6"/>
      <c r="N337" s="6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spans="1:26" ht="14.25" customHeight="1">
      <c r="A338" s="138"/>
      <c r="B338" s="138"/>
      <c r="C338" s="138"/>
      <c r="D338" s="137"/>
      <c r="E338" s="137"/>
      <c r="F338" s="137"/>
      <c r="G338" s="137"/>
      <c r="H338" s="137"/>
      <c r="I338" s="137"/>
      <c r="J338" s="137"/>
      <c r="K338" s="6"/>
      <c r="L338" s="6"/>
      <c r="M338" s="6"/>
      <c r="N338" s="6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spans="1:26" ht="14.25" customHeight="1">
      <c r="A339" s="138"/>
      <c r="B339" s="138"/>
      <c r="C339" s="138"/>
      <c r="D339" s="137"/>
      <c r="E339" s="137"/>
      <c r="F339" s="137"/>
      <c r="G339" s="137"/>
      <c r="H339" s="137"/>
      <c r="I339" s="137"/>
      <c r="J339" s="137"/>
      <c r="K339" s="6"/>
      <c r="L339" s="6"/>
      <c r="M339" s="6"/>
      <c r="N339" s="6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spans="1:26" ht="14.25" customHeight="1">
      <c r="A340" s="138"/>
      <c r="B340" s="138"/>
      <c r="C340" s="138"/>
      <c r="D340" s="137"/>
      <c r="E340" s="137"/>
      <c r="F340" s="137"/>
      <c r="G340" s="137"/>
      <c r="H340" s="137"/>
      <c r="I340" s="137"/>
      <c r="J340" s="137"/>
      <c r="K340" s="6"/>
      <c r="L340" s="6"/>
      <c r="M340" s="6"/>
      <c r="N340" s="6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spans="1:26" ht="14.25" customHeight="1">
      <c r="A341" s="138"/>
      <c r="B341" s="138"/>
      <c r="C341" s="138"/>
      <c r="D341" s="137"/>
      <c r="E341" s="137"/>
      <c r="F341" s="137"/>
      <c r="G341" s="137"/>
      <c r="H341" s="137"/>
      <c r="I341" s="137"/>
      <c r="J341" s="137"/>
      <c r="K341" s="6"/>
      <c r="L341" s="6"/>
      <c r="M341" s="6"/>
      <c r="N341" s="6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spans="1:26" ht="14.25" customHeight="1">
      <c r="A342" s="138"/>
      <c r="B342" s="138"/>
      <c r="C342" s="138"/>
      <c r="D342" s="137"/>
      <c r="E342" s="137"/>
      <c r="F342" s="137"/>
      <c r="G342" s="137"/>
      <c r="H342" s="137"/>
      <c r="I342" s="137"/>
      <c r="J342" s="137"/>
      <c r="K342" s="6"/>
      <c r="L342" s="6"/>
      <c r="M342" s="6"/>
      <c r="N342" s="6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spans="1:26" ht="14.25" customHeight="1">
      <c r="A343" s="138"/>
      <c r="B343" s="138"/>
      <c r="C343" s="138"/>
      <c r="D343" s="137"/>
      <c r="E343" s="137"/>
      <c r="F343" s="137"/>
      <c r="G343" s="137"/>
      <c r="H343" s="137"/>
      <c r="I343" s="137"/>
      <c r="J343" s="137"/>
      <c r="K343" s="6"/>
      <c r="L343" s="6"/>
      <c r="M343" s="6"/>
      <c r="N343" s="6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spans="1:26" ht="14.25" customHeight="1">
      <c r="A344" s="138"/>
      <c r="B344" s="138"/>
      <c r="C344" s="138"/>
      <c r="D344" s="137"/>
      <c r="E344" s="137"/>
      <c r="F344" s="137"/>
      <c r="G344" s="137"/>
      <c r="H344" s="137"/>
      <c r="I344" s="137"/>
      <c r="J344" s="137"/>
      <c r="K344" s="6"/>
      <c r="L344" s="6"/>
      <c r="M344" s="6"/>
      <c r="N344" s="6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spans="1:26" ht="14.25" customHeight="1">
      <c r="A345" s="138"/>
      <c r="B345" s="138"/>
      <c r="C345" s="138"/>
      <c r="D345" s="137"/>
      <c r="E345" s="137"/>
      <c r="F345" s="137"/>
      <c r="G345" s="137"/>
      <c r="H345" s="137"/>
      <c r="I345" s="137"/>
      <c r="J345" s="137"/>
      <c r="K345" s="6"/>
      <c r="L345" s="6"/>
      <c r="M345" s="6"/>
      <c r="N345" s="6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spans="1:26" ht="14.25" customHeight="1">
      <c r="A346" s="138"/>
      <c r="B346" s="138"/>
      <c r="C346" s="138"/>
      <c r="D346" s="137"/>
      <c r="E346" s="137"/>
      <c r="F346" s="137"/>
      <c r="G346" s="137"/>
      <c r="H346" s="137"/>
      <c r="I346" s="137"/>
      <c r="J346" s="137"/>
      <c r="K346" s="6"/>
      <c r="L346" s="6"/>
      <c r="M346" s="6"/>
      <c r="N346" s="6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spans="1:26" ht="14.25" customHeight="1">
      <c r="A347" s="138"/>
      <c r="B347" s="138"/>
      <c r="C347" s="138"/>
      <c r="D347" s="137"/>
      <c r="E347" s="137"/>
      <c r="F347" s="137"/>
      <c r="G347" s="137"/>
      <c r="H347" s="137"/>
      <c r="I347" s="137"/>
      <c r="J347" s="137"/>
      <c r="K347" s="6"/>
      <c r="L347" s="6"/>
      <c r="M347" s="6"/>
      <c r="N347" s="6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spans="1:26" ht="14.25" customHeight="1">
      <c r="A348" s="138"/>
      <c r="B348" s="138"/>
      <c r="C348" s="138"/>
      <c r="D348" s="137"/>
      <c r="E348" s="137"/>
      <c r="F348" s="137"/>
      <c r="G348" s="137"/>
      <c r="H348" s="137"/>
      <c r="I348" s="137"/>
      <c r="J348" s="137"/>
      <c r="K348" s="6"/>
      <c r="L348" s="6"/>
      <c r="M348" s="6"/>
      <c r="N348" s="6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spans="1:26" ht="14.25" customHeight="1">
      <c r="A349" s="138"/>
      <c r="B349" s="138"/>
      <c r="C349" s="138"/>
      <c r="D349" s="137"/>
      <c r="E349" s="137"/>
      <c r="F349" s="137"/>
      <c r="G349" s="137"/>
      <c r="H349" s="137"/>
      <c r="I349" s="137"/>
      <c r="J349" s="137"/>
      <c r="K349" s="6"/>
      <c r="L349" s="6"/>
      <c r="M349" s="6"/>
      <c r="N349" s="6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spans="1:26" ht="14.25" customHeight="1">
      <c r="A350" s="138"/>
      <c r="B350" s="138"/>
      <c r="C350" s="138"/>
      <c r="D350" s="137"/>
      <c r="E350" s="137"/>
      <c r="F350" s="137"/>
      <c r="G350" s="137"/>
      <c r="H350" s="137"/>
      <c r="I350" s="137"/>
      <c r="J350" s="137"/>
      <c r="K350" s="6"/>
      <c r="L350" s="6"/>
      <c r="M350" s="6"/>
      <c r="N350" s="6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spans="1:26" ht="14.25" customHeight="1">
      <c r="A351" s="138"/>
      <c r="B351" s="138"/>
      <c r="C351" s="138"/>
      <c r="D351" s="137"/>
      <c r="E351" s="137"/>
      <c r="F351" s="137"/>
      <c r="G351" s="137"/>
      <c r="H351" s="137"/>
      <c r="I351" s="137"/>
      <c r="J351" s="137"/>
      <c r="K351" s="6"/>
      <c r="L351" s="6"/>
      <c r="M351" s="6"/>
      <c r="N351" s="6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spans="1:26" ht="14.25" customHeight="1">
      <c r="A352" s="138"/>
      <c r="B352" s="138"/>
      <c r="C352" s="138"/>
      <c r="D352" s="137"/>
      <c r="E352" s="137"/>
      <c r="F352" s="137"/>
      <c r="G352" s="137"/>
      <c r="H352" s="137"/>
      <c r="I352" s="137"/>
      <c r="J352" s="137"/>
      <c r="K352" s="6"/>
      <c r="L352" s="6"/>
      <c r="M352" s="6"/>
      <c r="N352" s="6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spans="1:26" ht="14.25" customHeight="1">
      <c r="A353" s="138"/>
      <c r="B353" s="138"/>
      <c r="C353" s="138"/>
      <c r="D353" s="137"/>
      <c r="E353" s="137"/>
      <c r="F353" s="137"/>
      <c r="G353" s="137"/>
      <c r="H353" s="137"/>
      <c r="I353" s="137"/>
      <c r="J353" s="137"/>
      <c r="K353" s="6"/>
      <c r="L353" s="6"/>
      <c r="M353" s="6"/>
      <c r="N353" s="6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spans="1:26" ht="14.25" customHeight="1">
      <c r="A354" s="138"/>
      <c r="B354" s="138"/>
      <c r="C354" s="138"/>
      <c r="D354" s="137"/>
      <c r="E354" s="137"/>
      <c r="F354" s="137"/>
      <c r="G354" s="137"/>
      <c r="H354" s="137"/>
      <c r="I354" s="137"/>
      <c r="J354" s="137"/>
      <c r="K354" s="6"/>
      <c r="L354" s="6"/>
      <c r="M354" s="6"/>
      <c r="N354" s="6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spans="1:26" ht="14.25" customHeight="1">
      <c r="A355" s="138"/>
      <c r="B355" s="138"/>
      <c r="C355" s="138"/>
      <c r="D355" s="137"/>
      <c r="E355" s="137"/>
      <c r="F355" s="137"/>
      <c r="G355" s="137"/>
      <c r="H355" s="137"/>
      <c r="I355" s="137"/>
      <c r="J355" s="137"/>
      <c r="K355" s="6"/>
      <c r="L355" s="6"/>
      <c r="M355" s="6"/>
      <c r="N355" s="6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spans="1:26" ht="14.25" customHeight="1">
      <c r="A356" s="138"/>
      <c r="B356" s="138"/>
      <c r="C356" s="138"/>
      <c r="D356" s="137"/>
      <c r="E356" s="137"/>
      <c r="F356" s="137"/>
      <c r="G356" s="137"/>
      <c r="H356" s="137"/>
      <c r="I356" s="137"/>
      <c r="J356" s="137"/>
      <c r="K356" s="6"/>
      <c r="L356" s="6"/>
      <c r="M356" s="6"/>
      <c r="N356" s="6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spans="1:26" ht="14.25" customHeight="1">
      <c r="A357" s="138"/>
      <c r="B357" s="138"/>
      <c r="C357" s="138"/>
      <c r="D357" s="137"/>
      <c r="E357" s="137"/>
      <c r="F357" s="137"/>
      <c r="G357" s="137"/>
      <c r="H357" s="137"/>
      <c r="I357" s="137"/>
      <c r="J357" s="137"/>
      <c r="K357" s="6"/>
      <c r="L357" s="6"/>
      <c r="M357" s="6"/>
      <c r="N357" s="6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spans="1:26" ht="14.25" customHeight="1">
      <c r="A358" s="138"/>
      <c r="B358" s="138"/>
      <c r="C358" s="138"/>
      <c r="D358" s="137"/>
      <c r="E358" s="137"/>
      <c r="F358" s="137"/>
      <c r="G358" s="137"/>
      <c r="H358" s="137"/>
      <c r="I358" s="137"/>
      <c r="J358" s="137"/>
      <c r="K358" s="6"/>
      <c r="L358" s="6"/>
      <c r="M358" s="6"/>
      <c r="N358" s="6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spans="1:26" ht="14.25" customHeight="1">
      <c r="A359" s="138"/>
      <c r="B359" s="138"/>
      <c r="C359" s="138"/>
      <c r="D359" s="137"/>
      <c r="E359" s="137"/>
      <c r="F359" s="137"/>
      <c r="G359" s="137"/>
      <c r="H359" s="137"/>
      <c r="I359" s="137"/>
      <c r="J359" s="137"/>
      <c r="K359" s="6"/>
      <c r="L359" s="6"/>
      <c r="M359" s="6"/>
      <c r="N359" s="6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spans="1:26" ht="14.25" customHeight="1">
      <c r="A360" s="138"/>
      <c r="B360" s="138"/>
      <c r="C360" s="138"/>
      <c r="D360" s="137"/>
      <c r="E360" s="137"/>
      <c r="F360" s="137"/>
      <c r="G360" s="137"/>
      <c r="H360" s="137"/>
      <c r="I360" s="137"/>
      <c r="J360" s="137"/>
      <c r="K360" s="6"/>
      <c r="L360" s="6"/>
      <c r="M360" s="6"/>
      <c r="N360" s="6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spans="1:26" ht="14.25" customHeight="1">
      <c r="A361" s="138"/>
      <c r="B361" s="138"/>
      <c r="C361" s="138"/>
      <c r="D361" s="137"/>
      <c r="E361" s="137"/>
      <c r="F361" s="137"/>
      <c r="G361" s="137"/>
      <c r="H361" s="137"/>
      <c r="I361" s="137"/>
      <c r="J361" s="137"/>
      <c r="K361" s="6"/>
      <c r="L361" s="6"/>
      <c r="M361" s="6"/>
      <c r="N361" s="6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spans="1:26" ht="14.25" customHeight="1">
      <c r="A362" s="138"/>
      <c r="B362" s="138"/>
      <c r="C362" s="138"/>
      <c r="D362" s="137"/>
      <c r="E362" s="137"/>
      <c r="F362" s="137"/>
      <c r="G362" s="137"/>
      <c r="H362" s="137"/>
      <c r="I362" s="137"/>
      <c r="J362" s="137"/>
      <c r="K362" s="6"/>
      <c r="L362" s="6"/>
      <c r="M362" s="6"/>
      <c r="N362" s="6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spans="1:26" ht="14.25" customHeight="1">
      <c r="A363" s="138"/>
      <c r="B363" s="138"/>
      <c r="C363" s="138"/>
      <c r="D363" s="137"/>
      <c r="E363" s="137"/>
      <c r="F363" s="137"/>
      <c r="G363" s="137"/>
      <c r="H363" s="137"/>
      <c r="I363" s="137"/>
      <c r="J363" s="137"/>
      <c r="K363" s="6"/>
      <c r="L363" s="6"/>
      <c r="M363" s="6"/>
      <c r="N363" s="6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spans="1:26" ht="14.25" customHeight="1">
      <c r="A364" s="138"/>
      <c r="B364" s="138"/>
      <c r="C364" s="138"/>
      <c r="D364" s="137"/>
      <c r="E364" s="137"/>
      <c r="F364" s="137"/>
      <c r="G364" s="137"/>
      <c r="H364" s="137"/>
      <c r="I364" s="137"/>
      <c r="J364" s="137"/>
      <c r="K364" s="6"/>
      <c r="L364" s="6"/>
      <c r="M364" s="6"/>
      <c r="N364" s="6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spans="1:26" ht="14.25" customHeight="1">
      <c r="A365" s="138"/>
      <c r="B365" s="138"/>
      <c r="C365" s="138"/>
      <c r="D365" s="137"/>
      <c r="E365" s="137"/>
      <c r="F365" s="137"/>
      <c r="G365" s="137"/>
      <c r="H365" s="137"/>
      <c r="I365" s="137"/>
      <c r="J365" s="137"/>
      <c r="K365" s="6"/>
      <c r="L365" s="6"/>
      <c r="M365" s="6"/>
      <c r="N365" s="6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spans="1:26" ht="14.25" customHeight="1">
      <c r="A366" s="138"/>
      <c r="B366" s="138"/>
      <c r="C366" s="138"/>
      <c r="D366" s="137"/>
      <c r="E366" s="137"/>
      <c r="F366" s="137"/>
      <c r="G366" s="137"/>
      <c r="H366" s="137"/>
      <c r="I366" s="137"/>
      <c r="J366" s="137"/>
      <c r="K366" s="6"/>
      <c r="L366" s="6"/>
      <c r="M366" s="6"/>
      <c r="N366" s="6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spans="1:26" ht="14.25" customHeight="1">
      <c r="A367" s="138"/>
      <c r="B367" s="138"/>
      <c r="C367" s="138"/>
      <c r="D367" s="137"/>
      <c r="E367" s="137"/>
      <c r="F367" s="137"/>
      <c r="G367" s="137"/>
      <c r="H367" s="137"/>
      <c r="I367" s="137"/>
      <c r="J367" s="137"/>
      <c r="K367" s="6"/>
      <c r="L367" s="6"/>
      <c r="M367" s="6"/>
      <c r="N367" s="6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spans="1:26" ht="14.25" customHeight="1">
      <c r="A368" s="138"/>
      <c r="B368" s="138"/>
      <c r="C368" s="138"/>
      <c r="D368" s="137"/>
      <c r="E368" s="137"/>
      <c r="F368" s="137"/>
      <c r="G368" s="137"/>
      <c r="H368" s="137"/>
      <c r="I368" s="137"/>
      <c r="J368" s="137"/>
      <c r="K368" s="6"/>
      <c r="L368" s="6"/>
      <c r="M368" s="6"/>
      <c r="N368" s="6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spans="1:26" ht="14.25" customHeight="1">
      <c r="A369" s="138"/>
      <c r="B369" s="138"/>
      <c r="C369" s="138"/>
      <c r="D369" s="137"/>
      <c r="E369" s="137"/>
      <c r="F369" s="137"/>
      <c r="G369" s="137"/>
      <c r="H369" s="137"/>
      <c r="I369" s="137"/>
      <c r="J369" s="137"/>
      <c r="K369" s="6"/>
      <c r="L369" s="6"/>
      <c r="M369" s="6"/>
      <c r="N369" s="6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spans="1:26" ht="14.25" customHeight="1">
      <c r="A370" s="138"/>
      <c r="B370" s="138"/>
      <c r="C370" s="138"/>
      <c r="D370" s="137"/>
      <c r="E370" s="137"/>
      <c r="F370" s="137"/>
      <c r="G370" s="137"/>
      <c r="H370" s="137"/>
      <c r="I370" s="137"/>
      <c r="J370" s="137"/>
      <c r="K370" s="6"/>
      <c r="L370" s="6"/>
      <c r="M370" s="6"/>
      <c r="N370" s="6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spans="1:26" ht="14.25" customHeight="1">
      <c r="A371" s="138"/>
      <c r="B371" s="138"/>
      <c r="C371" s="138"/>
      <c r="D371" s="137"/>
      <c r="E371" s="137"/>
      <c r="F371" s="137"/>
      <c r="G371" s="137"/>
      <c r="H371" s="137"/>
      <c r="I371" s="137"/>
      <c r="J371" s="137"/>
      <c r="K371" s="6"/>
      <c r="L371" s="6"/>
      <c r="M371" s="6"/>
      <c r="N371" s="6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spans="1:26" ht="14.25" customHeight="1">
      <c r="A372" s="138"/>
      <c r="B372" s="138"/>
      <c r="C372" s="138"/>
      <c r="D372" s="137"/>
      <c r="E372" s="137"/>
      <c r="F372" s="137"/>
      <c r="G372" s="137"/>
      <c r="H372" s="137"/>
      <c r="I372" s="137"/>
      <c r="J372" s="137"/>
      <c r="K372" s="6"/>
      <c r="L372" s="6"/>
      <c r="M372" s="6"/>
      <c r="N372" s="6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spans="1:26" ht="14.25" customHeight="1">
      <c r="A373" s="138"/>
      <c r="B373" s="138"/>
      <c r="C373" s="138"/>
      <c r="D373" s="137"/>
      <c r="E373" s="137"/>
      <c r="F373" s="137"/>
      <c r="G373" s="137"/>
      <c r="H373" s="137"/>
      <c r="I373" s="137"/>
      <c r="J373" s="137"/>
      <c r="K373" s="6"/>
      <c r="L373" s="6"/>
      <c r="M373" s="6"/>
      <c r="N373" s="6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spans="1:26" ht="14.25" customHeight="1">
      <c r="A374" s="138"/>
      <c r="B374" s="138"/>
      <c r="C374" s="138"/>
      <c r="D374" s="137"/>
      <c r="E374" s="137"/>
      <c r="F374" s="137"/>
      <c r="G374" s="137"/>
      <c r="H374" s="137"/>
      <c r="I374" s="137"/>
      <c r="J374" s="137"/>
      <c r="K374" s="6"/>
      <c r="L374" s="6"/>
      <c r="M374" s="6"/>
      <c r="N374" s="6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spans="1:26" ht="14.25" customHeight="1">
      <c r="A375" s="138"/>
      <c r="B375" s="138"/>
      <c r="C375" s="138"/>
      <c r="D375" s="137"/>
      <c r="E375" s="137"/>
      <c r="F375" s="137"/>
      <c r="G375" s="137"/>
      <c r="H375" s="137"/>
      <c r="I375" s="137"/>
      <c r="J375" s="137"/>
      <c r="K375" s="6"/>
      <c r="L375" s="6"/>
      <c r="M375" s="6"/>
      <c r="N375" s="6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spans="1:26" ht="14.25" customHeight="1">
      <c r="A376" s="138"/>
      <c r="B376" s="138"/>
      <c r="C376" s="138"/>
      <c r="D376" s="137"/>
      <c r="E376" s="137"/>
      <c r="F376" s="137"/>
      <c r="G376" s="137"/>
      <c r="H376" s="137"/>
      <c r="I376" s="137"/>
      <c r="J376" s="137"/>
      <c r="K376" s="6"/>
      <c r="L376" s="6"/>
      <c r="M376" s="6"/>
      <c r="N376" s="6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spans="1:26" ht="14.25" customHeight="1">
      <c r="A377" s="138"/>
      <c r="B377" s="138"/>
      <c r="C377" s="138"/>
      <c r="D377" s="137"/>
      <c r="E377" s="137"/>
      <c r="F377" s="137"/>
      <c r="G377" s="137"/>
      <c r="H377" s="137"/>
      <c r="I377" s="137"/>
      <c r="J377" s="137"/>
      <c r="K377" s="6"/>
      <c r="L377" s="6"/>
      <c r="M377" s="6"/>
      <c r="N377" s="6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spans="1:26" ht="14.25" customHeight="1">
      <c r="A378" s="138"/>
      <c r="B378" s="138"/>
      <c r="C378" s="138"/>
      <c r="D378" s="137"/>
      <c r="E378" s="137"/>
      <c r="F378" s="137"/>
      <c r="G378" s="137"/>
      <c r="H378" s="137"/>
      <c r="I378" s="137"/>
      <c r="J378" s="137"/>
      <c r="K378" s="6"/>
      <c r="L378" s="6"/>
      <c r="M378" s="6"/>
      <c r="N378" s="6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spans="1:26" ht="14.25" customHeight="1">
      <c r="A379" s="138"/>
      <c r="B379" s="138"/>
      <c r="C379" s="138"/>
      <c r="D379" s="137"/>
      <c r="E379" s="137"/>
      <c r="F379" s="137"/>
      <c r="G379" s="137"/>
      <c r="H379" s="137"/>
      <c r="I379" s="137"/>
      <c r="J379" s="137"/>
      <c r="K379" s="6"/>
      <c r="L379" s="6"/>
      <c r="M379" s="6"/>
      <c r="N379" s="6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spans="1:26" ht="14.25" customHeight="1">
      <c r="A380" s="138"/>
      <c r="B380" s="138"/>
      <c r="C380" s="138"/>
      <c r="D380" s="137"/>
      <c r="E380" s="137"/>
      <c r="F380" s="137"/>
      <c r="G380" s="137"/>
      <c r="H380" s="137"/>
      <c r="I380" s="137"/>
      <c r="J380" s="137"/>
      <c r="K380" s="6"/>
      <c r="L380" s="6"/>
      <c r="M380" s="6"/>
      <c r="N380" s="6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spans="1:26" ht="14.25" customHeight="1">
      <c r="A381" s="138"/>
      <c r="B381" s="138"/>
      <c r="C381" s="138"/>
      <c r="D381" s="137"/>
      <c r="E381" s="137"/>
      <c r="F381" s="137"/>
      <c r="G381" s="137"/>
      <c r="H381" s="137"/>
      <c r="I381" s="137"/>
      <c r="J381" s="137"/>
      <c r="K381" s="6"/>
      <c r="L381" s="6"/>
      <c r="M381" s="6"/>
      <c r="N381" s="6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spans="1:26" ht="14.25" customHeight="1">
      <c r="A382" s="138"/>
      <c r="B382" s="138"/>
      <c r="C382" s="138"/>
      <c r="D382" s="137"/>
      <c r="E382" s="137"/>
      <c r="F382" s="137"/>
      <c r="G382" s="137"/>
      <c r="H382" s="137"/>
      <c r="I382" s="137"/>
      <c r="J382" s="137"/>
      <c r="K382" s="6"/>
      <c r="L382" s="6"/>
      <c r="M382" s="6"/>
      <c r="N382" s="6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spans="1:26" ht="14.25" customHeight="1">
      <c r="A383" s="138"/>
      <c r="B383" s="138"/>
      <c r="C383" s="138"/>
      <c r="D383" s="137"/>
      <c r="E383" s="137"/>
      <c r="F383" s="137"/>
      <c r="G383" s="137"/>
      <c r="H383" s="137"/>
      <c r="I383" s="137"/>
      <c r="J383" s="137"/>
      <c r="K383" s="6"/>
      <c r="L383" s="6"/>
      <c r="M383" s="6"/>
      <c r="N383" s="6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spans="1:26" ht="14.25" customHeight="1">
      <c r="A384" s="138"/>
      <c r="B384" s="138"/>
      <c r="C384" s="138"/>
      <c r="D384" s="137"/>
      <c r="E384" s="137"/>
      <c r="F384" s="137"/>
      <c r="G384" s="137"/>
      <c r="H384" s="137"/>
      <c r="I384" s="137"/>
      <c r="J384" s="137"/>
      <c r="K384" s="6"/>
      <c r="L384" s="6"/>
      <c r="M384" s="6"/>
      <c r="N384" s="6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spans="1:26" ht="14.25" customHeight="1">
      <c r="A385" s="138"/>
      <c r="B385" s="138"/>
      <c r="C385" s="138"/>
      <c r="D385" s="137"/>
      <c r="E385" s="137"/>
      <c r="F385" s="137"/>
      <c r="G385" s="137"/>
      <c r="H385" s="137"/>
      <c r="I385" s="137"/>
      <c r="J385" s="137"/>
      <c r="K385" s="6"/>
      <c r="L385" s="6"/>
      <c r="M385" s="6"/>
      <c r="N385" s="6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spans="1:26" ht="14.25" customHeight="1">
      <c r="A386" s="138"/>
      <c r="B386" s="138"/>
      <c r="C386" s="138"/>
      <c r="D386" s="137"/>
      <c r="E386" s="137"/>
      <c r="F386" s="137"/>
      <c r="G386" s="137"/>
      <c r="H386" s="137"/>
      <c r="I386" s="137"/>
      <c r="J386" s="137"/>
      <c r="K386" s="6"/>
      <c r="L386" s="6"/>
      <c r="M386" s="6"/>
      <c r="N386" s="6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spans="1:26" ht="14.25" customHeight="1">
      <c r="A387" s="138"/>
      <c r="B387" s="138"/>
      <c r="C387" s="138"/>
      <c r="D387" s="137"/>
      <c r="E387" s="137"/>
      <c r="F387" s="137"/>
      <c r="G387" s="137"/>
      <c r="H387" s="137"/>
      <c r="I387" s="137"/>
      <c r="J387" s="137"/>
      <c r="K387" s="6"/>
      <c r="L387" s="6"/>
      <c r="M387" s="6"/>
      <c r="N387" s="6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spans="1:26" ht="14.25" customHeight="1">
      <c r="A388" s="138"/>
      <c r="B388" s="138"/>
      <c r="C388" s="138"/>
      <c r="D388" s="137"/>
      <c r="E388" s="137"/>
      <c r="F388" s="137"/>
      <c r="G388" s="137"/>
      <c r="H388" s="137"/>
      <c r="I388" s="137"/>
      <c r="J388" s="137"/>
      <c r="K388" s="6"/>
      <c r="L388" s="6"/>
      <c r="M388" s="6"/>
      <c r="N388" s="6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spans="1:26" ht="14.25" customHeight="1">
      <c r="A389" s="138"/>
      <c r="B389" s="138"/>
      <c r="C389" s="138"/>
      <c r="D389" s="137"/>
      <c r="E389" s="137"/>
      <c r="F389" s="137"/>
      <c r="G389" s="137"/>
      <c r="H389" s="137"/>
      <c r="I389" s="137"/>
      <c r="J389" s="137"/>
      <c r="K389" s="6"/>
      <c r="L389" s="6"/>
      <c r="M389" s="6"/>
      <c r="N389" s="6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spans="1:26" ht="14.25" customHeight="1">
      <c r="A390" s="138"/>
      <c r="B390" s="138"/>
      <c r="C390" s="138"/>
      <c r="D390" s="137"/>
      <c r="E390" s="137"/>
      <c r="F390" s="137"/>
      <c r="G390" s="137"/>
      <c r="H390" s="137"/>
      <c r="I390" s="137"/>
      <c r="J390" s="137"/>
      <c r="K390" s="6"/>
      <c r="L390" s="6"/>
      <c r="M390" s="6"/>
      <c r="N390" s="6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spans="1:26" ht="14.25" customHeight="1">
      <c r="A391" s="138"/>
      <c r="B391" s="138"/>
      <c r="C391" s="138"/>
      <c r="D391" s="137"/>
      <c r="E391" s="137"/>
      <c r="F391" s="137"/>
      <c r="G391" s="137"/>
      <c r="H391" s="137"/>
      <c r="I391" s="137"/>
      <c r="J391" s="137"/>
      <c r="K391" s="6"/>
      <c r="L391" s="6"/>
      <c r="M391" s="6"/>
      <c r="N391" s="6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spans="1:26" ht="14.25" customHeight="1">
      <c r="A392" s="138"/>
      <c r="B392" s="138"/>
      <c r="C392" s="138"/>
      <c r="D392" s="137"/>
      <c r="E392" s="137"/>
      <c r="F392" s="137"/>
      <c r="G392" s="137"/>
      <c r="H392" s="137"/>
      <c r="I392" s="137"/>
      <c r="J392" s="137"/>
      <c r="K392" s="6"/>
      <c r="L392" s="6"/>
      <c r="M392" s="6"/>
      <c r="N392" s="6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spans="1:26" ht="14.25" customHeight="1">
      <c r="A393" s="138"/>
      <c r="B393" s="138"/>
      <c r="C393" s="138"/>
      <c r="D393" s="137"/>
      <c r="E393" s="137"/>
      <c r="F393" s="137"/>
      <c r="G393" s="137"/>
      <c r="H393" s="137"/>
      <c r="I393" s="137"/>
      <c r="J393" s="137"/>
      <c r="K393" s="6"/>
      <c r="L393" s="6"/>
      <c r="M393" s="6"/>
      <c r="N393" s="6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spans="1:26" ht="14.25" customHeight="1">
      <c r="A394" s="138"/>
      <c r="B394" s="138"/>
      <c r="C394" s="138"/>
      <c r="D394" s="137"/>
      <c r="E394" s="137"/>
      <c r="F394" s="137"/>
      <c r="G394" s="137"/>
      <c r="H394" s="137"/>
      <c r="I394" s="137"/>
      <c r="J394" s="137"/>
      <c r="K394" s="6"/>
      <c r="L394" s="6"/>
      <c r="M394" s="6"/>
      <c r="N394" s="6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spans="1:26" ht="14.25" customHeight="1">
      <c r="A395" s="138"/>
      <c r="B395" s="138"/>
      <c r="C395" s="138"/>
      <c r="D395" s="137"/>
      <c r="E395" s="137"/>
      <c r="F395" s="137"/>
      <c r="G395" s="137"/>
      <c r="H395" s="137"/>
      <c r="I395" s="137"/>
      <c r="J395" s="137"/>
      <c r="K395" s="6"/>
      <c r="L395" s="6"/>
      <c r="M395" s="6"/>
      <c r="N395" s="6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spans="1:26" ht="14.25" customHeight="1">
      <c r="A396" s="138"/>
      <c r="B396" s="138"/>
      <c r="C396" s="138"/>
      <c r="D396" s="137"/>
      <c r="E396" s="137"/>
      <c r="F396" s="137"/>
      <c r="G396" s="137"/>
      <c r="H396" s="137"/>
      <c r="I396" s="137"/>
      <c r="J396" s="137"/>
      <c r="K396" s="6"/>
      <c r="L396" s="6"/>
      <c r="M396" s="6"/>
      <c r="N396" s="6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spans="1:26" ht="14.25" customHeight="1">
      <c r="A397" s="138"/>
      <c r="B397" s="138"/>
      <c r="C397" s="138"/>
      <c r="D397" s="137"/>
      <c r="E397" s="137"/>
      <c r="F397" s="137"/>
      <c r="G397" s="137"/>
      <c r="H397" s="137"/>
      <c r="I397" s="137"/>
      <c r="J397" s="137"/>
      <c r="K397" s="6"/>
      <c r="L397" s="6"/>
      <c r="M397" s="6"/>
      <c r="N397" s="6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spans="1:26" ht="14.25" customHeight="1">
      <c r="A398" s="138"/>
      <c r="B398" s="138"/>
      <c r="C398" s="138"/>
      <c r="D398" s="137"/>
      <c r="E398" s="137"/>
      <c r="F398" s="137"/>
      <c r="G398" s="137"/>
      <c r="H398" s="137"/>
      <c r="I398" s="137"/>
      <c r="J398" s="137"/>
      <c r="K398" s="6"/>
      <c r="L398" s="6"/>
      <c r="M398" s="6"/>
      <c r="N398" s="6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spans="1:26" ht="14.25" customHeight="1">
      <c r="A399" s="138"/>
      <c r="B399" s="138"/>
      <c r="C399" s="138"/>
      <c r="D399" s="137"/>
      <c r="E399" s="137"/>
      <c r="F399" s="137"/>
      <c r="G399" s="137"/>
      <c r="H399" s="137"/>
      <c r="I399" s="137"/>
      <c r="J399" s="137"/>
      <c r="K399" s="6"/>
      <c r="L399" s="6"/>
      <c r="M399" s="6"/>
      <c r="N399" s="6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spans="1:26" ht="14.25" customHeight="1">
      <c r="A400" s="138"/>
      <c r="B400" s="138"/>
      <c r="C400" s="138"/>
      <c r="D400" s="137"/>
      <c r="E400" s="137"/>
      <c r="F400" s="137"/>
      <c r="G400" s="137"/>
      <c r="H400" s="137"/>
      <c r="I400" s="137"/>
      <c r="J400" s="137"/>
      <c r="K400" s="6"/>
      <c r="L400" s="6"/>
      <c r="M400" s="6"/>
      <c r="N400" s="6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spans="1:26" ht="14.25" customHeight="1">
      <c r="A401" s="138"/>
      <c r="B401" s="138"/>
      <c r="C401" s="138"/>
      <c r="D401" s="137"/>
      <c r="E401" s="137"/>
      <c r="F401" s="137"/>
      <c r="G401" s="137"/>
      <c r="H401" s="137"/>
      <c r="I401" s="137"/>
      <c r="J401" s="137"/>
      <c r="K401" s="6"/>
      <c r="L401" s="6"/>
      <c r="M401" s="6"/>
      <c r="N401" s="6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spans="1:26" ht="14.25" customHeight="1">
      <c r="A402" s="138"/>
      <c r="B402" s="138"/>
      <c r="C402" s="138"/>
      <c r="D402" s="137"/>
      <c r="E402" s="137"/>
      <c r="F402" s="137"/>
      <c r="G402" s="137"/>
      <c r="H402" s="137"/>
      <c r="I402" s="137"/>
      <c r="J402" s="137"/>
      <c r="K402" s="6"/>
      <c r="L402" s="6"/>
      <c r="M402" s="6"/>
      <c r="N402" s="6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spans="1:26" ht="14.25" customHeight="1">
      <c r="A403" s="138"/>
      <c r="B403" s="138"/>
      <c r="C403" s="138"/>
      <c r="D403" s="137"/>
      <c r="E403" s="137"/>
      <c r="F403" s="137"/>
      <c r="G403" s="137"/>
      <c r="H403" s="137"/>
      <c r="I403" s="137"/>
      <c r="J403" s="137"/>
      <c r="K403" s="6"/>
      <c r="L403" s="6"/>
      <c r="M403" s="6"/>
      <c r="N403" s="6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spans="1:26" ht="14.25" customHeight="1">
      <c r="A404" s="138"/>
      <c r="B404" s="138"/>
      <c r="C404" s="138"/>
      <c r="D404" s="137"/>
      <c r="E404" s="137"/>
      <c r="F404" s="137"/>
      <c r="G404" s="137"/>
      <c r="H404" s="137"/>
      <c r="I404" s="137"/>
      <c r="J404" s="137"/>
      <c r="K404" s="6"/>
      <c r="L404" s="6"/>
      <c r="M404" s="6"/>
      <c r="N404" s="6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spans="1:26" ht="14.25" customHeight="1">
      <c r="A405" s="138"/>
      <c r="B405" s="138"/>
      <c r="C405" s="138"/>
      <c r="D405" s="137"/>
      <c r="E405" s="137"/>
      <c r="F405" s="137"/>
      <c r="G405" s="137"/>
      <c r="H405" s="137"/>
      <c r="I405" s="137"/>
      <c r="J405" s="137"/>
      <c r="K405" s="6"/>
      <c r="L405" s="6"/>
      <c r="M405" s="6"/>
      <c r="N405" s="6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spans="1:26" ht="14.25" customHeight="1">
      <c r="A406" s="138"/>
      <c r="B406" s="138"/>
      <c r="C406" s="138"/>
      <c r="D406" s="137"/>
      <c r="E406" s="137"/>
      <c r="F406" s="137"/>
      <c r="G406" s="137"/>
      <c r="H406" s="137"/>
      <c r="I406" s="137"/>
      <c r="J406" s="137"/>
      <c r="K406" s="6"/>
      <c r="L406" s="6"/>
      <c r="M406" s="6"/>
      <c r="N406" s="6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spans="1:26" ht="14.25" customHeight="1">
      <c r="A407" s="138"/>
      <c r="B407" s="138"/>
      <c r="C407" s="138"/>
      <c r="D407" s="137"/>
      <c r="E407" s="137"/>
      <c r="F407" s="137"/>
      <c r="G407" s="137"/>
      <c r="H407" s="137"/>
      <c r="I407" s="137"/>
      <c r="J407" s="137"/>
      <c r="K407" s="6"/>
      <c r="L407" s="6"/>
      <c r="M407" s="6"/>
      <c r="N407" s="6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spans="1:26" ht="14.25" customHeight="1">
      <c r="A408" s="138"/>
      <c r="B408" s="138"/>
      <c r="C408" s="138"/>
      <c r="D408" s="137"/>
      <c r="E408" s="137"/>
      <c r="F408" s="137"/>
      <c r="G408" s="137"/>
      <c r="H408" s="137"/>
      <c r="I408" s="137"/>
      <c r="J408" s="137"/>
      <c r="K408" s="6"/>
      <c r="L408" s="6"/>
      <c r="M408" s="6"/>
      <c r="N408" s="6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spans="1:26" ht="14.25" customHeight="1">
      <c r="A409" s="138"/>
      <c r="B409" s="138"/>
      <c r="C409" s="138"/>
      <c r="D409" s="137"/>
      <c r="E409" s="137"/>
      <c r="F409" s="137"/>
      <c r="G409" s="137"/>
      <c r="H409" s="137"/>
      <c r="I409" s="137"/>
      <c r="J409" s="137"/>
      <c r="K409" s="6"/>
      <c r="L409" s="6"/>
      <c r="M409" s="6"/>
      <c r="N409" s="6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spans="1:26" ht="14.25" customHeight="1">
      <c r="A410" s="138"/>
      <c r="B410" s="138"/>
      <c r="C410" s="138"/>
      <c r="D410" s="137"/>
      <c r="E410" s="137"/>
      <c r="F410" s="137"/>
      <c r="G410" s="137"/>
      <c r="H410" s="137"/>
      <c r="I410" s="137"/>
      <c r="J410" s="137"/>
      <c r="K410" s="6"/>
      <c r="L410" s="6"/>
      <c r="M410" s="6"/>
      <c r="N410" s="6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spans="1:26" ht="14.25" customHeight="1">
      <c r="A411" s="138"/>
      <c r="B411" s="138"/>
      <c r="C411" s="138"/>
      <c r="D411" s="137"/>
      <c r="E411" s="137"/>
      <c r="F411" s="137"/>
      <c r="G411" s="137"/>
      <c r="H411" s="137"/>
      <c r="I411" s="137"/>
      <c r="J411" s="137"/>
      <c r="K411" s="6"/>
      <c r="L411" s="6"/>
      <c r="M411" s="6"/>
      <c r="N411" s="6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spans="1:26" ht="14.25" customHeight="1">
      <c r="A412" s="138"/>
      <c r="B412" s="138"/>
      <c r="C412" s="138"/>
      <c r="D412" s="137"/>
      <c r="E412" s="137"/>
      <c r="F412" s="137"/>
      <c r="G412" s="137"/>
      <c r="H412" s="137"/>
      <c r="I412" s="137"/>
      <c r="J412" s="137"/>
      <c r="K412" s="6"/>
      <c r="L412" s="6"/>
      <c r="M412" s="6"/>
      <c r="N412" s="6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spans="1:26" ht="14.25" customHeight="1">
      <c r="A413" s="138"/>
      <c r="B413" s="138"/>
      <c r="C413" s="138"/>
      <c r="D413" s="137"/>
      <c r="E413" s="137"/>
      <c r="F413" s="137"/>
      <c r="G413" s="137"/>
      <c r="H413" s="137"/>
      <c r="I413" s="137"/>
      <c r="J413" s="137"/>
      <c r="K413" s="6"/>
      <c r="L413" s="6"/>
      <c r="M413" s="6"/>
      <c r="N413" s="6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spans="1:26" ht="14.25" customHeight="1">
      <c r="A414" s="138"/>
      <c r="B414" s="138"/>
      <c r="C414" s="138"/>
      <c r="D414" s="137"/>
      <c r="E414" s="137"/>
      <c r="F414" s="137"/>
      <c r="G414" s="137"/>
      <c r="H414" s="137"/>
      <c r="I414" s="137"/>
      <c r="J414" s="137"/>
      <c r="K414" s="6"/>
      <c r="L414" s="6"/>
      <c r="M414" s="6"/>
      <c r="N414" s="6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spans="1:26" ht="14.25" customHeight="1">
      <c r="A415" s="138"/>
      <c r="B415" s="138"/>
      <c r="C415" s="138"/>
      <c r="D415" s="137"/>
      <c r="E415" s="137"/>
      <c r="F415" s="137"/>
      <c r="G415" s="137"/>
      <c r="H415" s="137"/>
      <c r="I415" s="137"/>
      <c r="J415" s="137"/>
      <c r="K415" s="6"/>
      <c r="L415" s="6"/>
      <c r="M415" s="6"/>
      <c r="N415" s="6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spans="1:26" ht="14.25" customHeight="1">
      <c r="A416" s="138"/>
      <c r="B416" s="138"/>
      <c r="C416" s="138"/>
      <c r="D416" s="137"/>
      <c r="E416" s="137"/>
      <c r="F416" s="137"/>
      <c r="G416" s="137"/>
      <c r="H416" s="137"/>
      <c r="I416" s="137"/>
      <c r="J416" s="137"/>
      <c r="K416" s="6"/>
      <c r="L416" s="6"/>
      <c r="M416" s="6"/>
      <c r="N416" s="6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spans="1:26" ht="14.25" customHeight="1">
      <c r="A417" s="138"/>
      <c r="B417" s="138"/>
      <c r="C417" s="138"/>
      <c r="D417" s="137"/>
      <c r="E417" s="137"/>
      <c r="F417" s="137"/>
      <c r="G417" s="137"/>
      <c r="H417" s="137"/>
      <c r="I417" s="137"/>
      <c r="J417" s="137"/>
      <c r="K417" s="6"/>
      <c r="L417" s="6"/>
      <c r="M417" s="6"/>
      <c r="N417" s="6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spans="1:26" ht="14.25" customHeight="1">
      <c r="A418" s="138"/>
      <c r="B418" s="138"/>
      <c r="C418" s="138"/>
      <c r="D418" s="137"/>
      <c r="E418" s="137"/>
      <c r="F418" s="137"/>
      <c r="G418" s="137"/>
      <c r="H418" s="137"/>
      <c r="I418" s="137"/>
      <c r="J418" s="137"/>
      <c r="K418" s="6"/>
      <c r="L418" s="6"/>
      <c r="M418" s="6"/>
      <c r="N418" s="6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spans="1:26" ht="14.25" customHeight="1">
      <c r="A419" s="138"/>
      <c r="B419" s="138"/>
      <c r="C419" s="138"/>
      <c r="D419" s="137"/>
      <c r="E419" s="137"/>
      <c r="F419" s="137"/>
      <c r="G419" s="137"/>
      <c r="H419" s="137"/>
      <c r="I419" s="137"/>
      <c r="J419" s="137"/>
      <c r="K419" s="6"/>
      <c r="L419" s="6"/>
      <c r="M419" s="6"/>
      <c r="N419" s="6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spans="1:26" ht="14.25" customHeight="1">
      <c r="A420" s="138"/>
      <c r="B420" s="138"/>
      <c r="C420" s="138"/>
      <c r="D420" s="137"/>
      <c r="E420" s="137"/>
      <c r="F420" s="137"/>
      <c r="G420" s="137"/>
      <c r="H420" s="137"/>
      <c r="I420" s="137"/>
      <c r="J420" s="137"/>
      <c r="K420" s="6"/>
      <c r="L420" s="6"/>
      <c r="M420" s="6"/>
      <c r="N420" s="6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spans="1:26" ht="14.25" customHeight="1">
      <c r="A421" s="138"/>
      <c r="B421" s="138"/>
      <c r="C421" s="138"/>
      <c r="D421" s="137"/>
      <c r="E421" s="137"/>
      <c r="F421" s="137"/>
      <c r="G421" s="137"/>
      <c r="H421" s="137"/>
      <c r="I421" s="137"/>
      <c r="J421" s="137"/>
      <c r="K421" s="6"/>
      <c r="L421" s="6"/>
      <c r="M421" s="6"/>
      <c r="N421" s="6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spans="1:26" ht="14.25" customHeight="1">
      <c r="A422" s="138"/>
      <c r="B422" s="138"/>
      <c r="C422" s="138"/>
      <c r="D422" s="137"/>
      <c r="E422" s="137"/>
      <c r="F422" s="137"/>
      <c r="G422" s="137"/>
      <c r="H422" s="137"/>
      <c r="I422" s="137"/>
      <c r="J422" s="137"/>
      <c r="K422" s="6"/>
      <c r="L422" s="6"/>
      <c r="M422" s="6"/>
      <c r="N422" s="6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spans="1:26" ht="14.25" customHeight="1">
      <c r="A423" s="138"/>
      <c r="B423" s="138"/>
      <c r="C423" s="138"/>
      <c r="D423" s="137"/>
      <c r="E423" s="137"/>
      <c r="F423" s="137"/>
      <c r="G423" s="137"/>
      <c r="H423" s="137"/>
      <c r="I423" s="137"/>
      <c r="J423" s="137"/>
      <c r="K423" s="6"/>
      <c r="L423" s="6"/>
      <c r="M423" s="6"/>
      <c r="N423" s="6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spans="1:26" ht="14.25" customHeight="1">
      <c r="A424" s="138"/>
      <c r="B424" s="138"/>
      <c r="C424" s="138"/>
      <c r="D424" s="137"/>
      <c r="E424" s="137"/>
      <c r="F424" s="137"/>
      <c r="G424" s="137"/>
      <c r="H424" s="137"/>
      <c r="I424" s="137"/>
      <c r="J424" s="137"/>
      <c r="K424" s="6"/>
      <c r="L424" s="6"/>
      <c r="M424" s="6"/>
      <c r="N424" s="6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spans="1:26" ht="14.25" customHeight="1">
      <c r="A425" s="138"/>
      <c r="B425" s="138"/>
      <c r="C425" s="138"/>
      <c r="D425" s="137"/>
      <c r="E425" s="137"/>
      <c r="F425" s="137"/>
      <c r="G425" s="137"/>
      <c r="H425" s="137"/>
      <c r="I425" s="137"/>
      <c r="J425" s="137"/>
      <c r="K425" s="6"/>
      <c r="L425" s="6"/>
      <c r="M425" s="6"/>
      <c r="N425" s="6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spans="1:26" ht="14.25" customHeight="1">
      <c r="A426" s="138"/>
      <c r="B426" s="138"/>
      <c r="C426" s="138"/>
      <c r="D426" s="137"/>
      <c r="E426" s="137"/>
      <c r="F426" s="137"/>
      <c r="G426" s="137"/>
      <c r="H426" s="137"/>
      <c r="I426" s="137"/>
      <c r="J426" s="137"/>
      <c r="K426" s="6"/>
      <c r="L426" s="6"/>
      <c r="M426" s="6"/>
      <c r="N426" s="6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spans="1:26" ht="14.25" customHeight="1">
      <c r="A427" s="138"/>
      <c r="B427" s="138"/>
      <c r="C427" s="138"/>
      <c r="D427" s="137"/>
      <c r="E427" s="137"/>
      <c r="F427" s="137"/>
      <c r="G427" s="137"/>
      <c r="H427" s="137"/>
      <c r="I427" s="137"/>
      <c r="J427" s="137"/>
      <c r="K427" s="6"/>
      <c r="L427" s="6"/>
      <c r="M427" s="6"/>
      <c r="N427" s="6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spans="1:26" ht="14.25" customHeight="1">
      <c r="A428" s="138"/>
      <c r="B428" s="138"/>
      <c r="C428" s="138"/>
      <c r="D428" s="137"/>
      <c r="E428" s="137"/>
      <c r="F428" s="137"/>
      <c r="G428" s="137"/>
      <c r="H428" s="137"/>
      <c r="I428" s="137"/>
      <c r="J428" s="137"/>
      <c r="K428" s="6"/>
      <c r="L428" s="6"/>
      <c r="M428" s="6"/>
      <c r="N428" s="6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spans="1:26" ht="14.25" customHeight="1">
      <c r="A429" s="138"/>
      <c r="B429" s="138"/>
      <c r="C429" s="138"/>
      <c r="D429" s="137"/>
      <c r="E429" s="137"/>
      <c r="F429" s="137"/>
      <c r="G429" s="137"/>
      <c r="H429" s="137"/>
      <c r="I429" s="137"/>
      <c r="J429" s="137"/>
      <c r="K429" s="6"/>
      <c r="L429" s="6"/>
      <c r="M429" s="6"/>
      <c r="N429" s="6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spans="1:26" ht="14.25" customHeight="1">
      <c r="A430" s="138"/>
      <c r="B430" s="138"/>
      <c r="C430" s="138"/>
      <c r="D430" s="137"/>
      <c r="E430" s="137"/>
      <c r="F430" s="137"/>
      <c r="G430" s="137"/>
      <c r="H430" s="137"/>
      <c r="I430" s="137"/>
      <c r="J430" s="137"/>
      <c r="K430" s="6"/>
      <c r="L430" s="6"/>
      <c r="M430" s="6"/>
      <c r="N430" s="6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spans="1:26" ht="14.25" customHeight="1">
      <c r="A431" s="138"/>
      <c r="B431" s="138"/>
      <c r="C431" s="138"/>
      <c r="D431" s="137"/>
      <c r="E431" s="137"/>
      <c r="F431" s="137"/>
      <c r="G431" s="137"/>
      <c r="H431" s="137"/>
      <c r="I431" s="137"/>
      <c r="J431" s="137"/>
      <c r="K431" s="6"/>
      <c r="L431" s="6"/>
      <c r="M431" s="6"/>
      <c r="N431" s="6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spans="1:26" ht="14.25" customHeight="1">
      <c r="A432" s="138"/>
      <c r="B432" s="138"/>
      <c r="C432" s="138"/>
      <c r="D432" s="137"/>
      <c r="E432" s="137"/>
      <c r="F432" s="137"/>
      <c r="G432" s="137"/>
      <c r="H432" s="137"/>
      <c r="I432" s="137"/>
      <c r="J432" s="137"/>
      <c r="K432" s="6"/>
      <c r="L432" s="6"/>
      <c r="M432" s="6"/>
      <c r="N432" s="6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spans="1:26" ht="14.25" customHeight="1">
      <c r="A433" s="138"/>
      <c r="B433" s="138"/>
      <c r="C433" s="138"/>
      <c r="D433" s="137"/>
      <c r="E433" s="137"/>
      <c r="F433" s="137"/>
      <c r="G433" s="137"/>
      <c r="H433" s="137"/>
      <c r="I433" s="137"/>
      <c r="J433" s="137"/>
      <c r="K433" s="6"/>
      <c r="L433" s="6"/>
      <c r="M433" s="6"/>
      <c r="N433" s="6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spans="1:26" ht="14.25" customHeight="1">
      <c r="A434" s="138"/>
      <c r="B434" s="138"/>
      <c r="C434" s="138"/>
      <c r="D434" s="137"/>
      <c r="E434" s="137"/>
      <c r="F434" s="137"/>
      <c r="G434" s="137"/>
      <c r="H434" s="137"/>
      <c r="I434" s="137"/>
      <c r="J434" s="137"/>
      <c r="K434" s="6"/>
      <c r="L434" s="6"/>
      <c r="M434" s="6"/>
      <c r="N434" s="6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spans="1:26" ht="14.25" customHeight="1">
      <c r="A435" s="138"/>
      <c r="B435" s="138"/>
      <c r="C435" s="138"/>
      <c r="D435" s="137"/>
      <c r="E435" s="137"/>
      <c r="F435" s="137"/>
      <c r="G435" s="137"/>
      <c r="H435" s="137"/>
      <c r="I435" s="137"/>
      <c r="J435" s="137"/>
      <c r="K435" s="6"/>
      <c r="L435" s="6"/>
      <c r="M435" s="6"/>
      <c r="N435" s="6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spans="1:26" ht="14.25" customHeight="1">
      <c r="A436" s="138"/>
      <c r="B436" s="138"/>
      <c r="C436" s="138"/>
      <c r="D436" s="137"/>
      <c r="E436" s="137"/>
      <c r="F436" s="137"/>
      <c r="G436" s="137"/>
      <c r="H436" s="137"/>
      <c r="I436" s="137"/>
      <c r="J436" s="137"/>
      <c r="K436" s="6"/>
      <c r="L436" s="6"/>
      <c r="M436" s="6"/>
      <c r="N436" s="6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spans="1:26" ht="14.25" customHeight="1">
      <c r="A437" s="138"/>
      <c r="B437" s="138"/>
      <c r="C437" s="138"/>
      <c r="D437" s="137"/>
      <c r="E437" s="137"/>
      <c r="F437" s="137"/>
      <c r="G437" s="137"/>
      <c r="H437" s="137"/>
      <c r="I437" s="137"/>
      <c r="J437" s="137"/>
      <c r="K437" s="6"/>
      <c r="L437" s="6"/>
      <c r="M437" s="6"/>
      <c r="N437" s="6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spans="1:26" ht="14.25" customHeight="1">
      <c r="A438" s="138"/>
      <c r="B438" s="138"/>
      <c r="C438" s="138"/>
      <c r="D438" s="137"/>
      <c r="E438" s="137"/>
      <c r="F438" s="137"/>
      <c r="G438" s="137"/>
      <c r="H438" s="137"/>
      <c r="I438" s="137"/>
      <c r="J438" s="137"/>
      <c r="K438" s="6"/>
      <c r="L438" s="6"/>
      <c r="M438" s="6"/>
      <c r="N438" s="6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spans="1:26" ht="14.25" customHeight="1">
      <c r="A439" s="138"/>
      <c r="B439" s="138"/>
      <c r="C439" s="138"/>
      <c r="D439" s="137"/>
      <c r="E439" s="137"/>
      <c r="F439" s="137"/>
      <c r="G439" s="137"/>
      <c r="H439" s="137"/>
      <c r="I439" s="137"/>
      <c r="J439" s="137"/>
      <c r="K439" s="6"/>
      <c r="L439" s="6"/>
      <c r="M439" s="6"/>
      <c r="N439" s="6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spans="1:26" ht="14.25" customHeight="1">
      <c r="A440" s="138"/>
      <c r="B440" s="138"/>
      <c r="C440" s="138"/>
      <c r="D440" s="137"/>
      <c r="E440" s="137"/>
      <c r="F440" s="137"/>
      <c r="G440" s="137"/>
      <c r="H440" s="137"/>
      <c r="I440" s="137"/>
      <c r="J440" s="137"/>
      <c r="K440" s="6"/>
      <c r="L440" s="6"/>
      <c r="M440" s="6"/>
      <c r="N440" s="6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spans="1:26" ht="14.25" customHeight="1">
      <c r="A441" s="138"/>
      <c r="B441" s="138"/>
      <c r="C441" s="138"/>
      <c r="D441" s="137"/>
      <c r="E441" s="137"/>
      <c r="F441" s="137"/>
      <c r="G441" s="137"/>
      <c r="H441" s="137"/>
      <c r="I441" s="137"/>
      <c r="J441" s="137"/>
      <c r="K441" s="6"/>
      <c r="L441" s="6"/>
      <c r="M441" s="6"/>
      <c r="N441" s="6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spans="1:26" ht="14.25" customHeight="1">
      <c r="A442" s="138"/>
      <c r="B442" s="138"/>
      <c r="C442" s="138"/>
      <c r="D442" s="137"/>
      <c r="E442" s="137"/>
      <c r="F442" s="137"/>
      <c r="G442" s="137"/>
      <c r="H442" s="137"/>
      <c r="I442" s="137"/>
      <c r="J442" s="137"/>
      <c r="K442" s="6"/>
      <c r="L442" s="6"/>
      <c r="M442" s="6"/>
      <c r="N442" s="6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spans="1:26" ht="14.25" customHeight="1">
      <c r="A443" s="138"/>
      <c r="B443" s="138"/>
      <c r="C443" s="138"/>
      <c r="D443" s="137"/>
      <c r="E443" s="137"/>
      <c r="F443" s="137"/>
      <c r="G443" s="137"/>
      <c r="H443" s="137"/>
      <c r="I443" s="137"/>
      <c r="J443" s="137"/>
      <c r="K443" s="6"/>
      <c r="L443" s="6"/>
      <c r="M443" s="6"/>
      <c r="N443" s="6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spans="1:26" ht="14.25" customHeight="1">
      <c r="A444" s="138"/>
      <c r="B444" s="138"/>
      <c r="C444" s="138"/>
      <c r="D444" s="137"/>
      <c r="E444" s="137"/>
      <c r="F444" s="137"/>
      <c r="G444" s="137"/>
      <c r="H444" s="137"/>
      <c r="I444" s="137"/>
      <c r="J444" s="137"/>
      <c r="K444" s="6"/>
      <c r="L444" s="6"/>
      <c r="M444" s="6"/>
      <c r="N444" s="6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spans="1:26" ht="14.25" customHeight="1">
      <c r="A445" s="138"/>
      <c r="B445" s="138"/>
      <c r="C445" s="138"/>
      <c r="D445" s="137"/>
      <c r="E445" s="137"/>
      <c r="F445" s="137"/>
      <c r="G445" s="137"/>
      <c r="H445" s="137"/>
      <c r="I445" s="137"/>
      <c r="J445" s="137"/>
      <c r="K445" s="6"/>
      <c r="L445" s="6"/>
      <c r="M445" s="6"/>
      <c r="N445" s="6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spans="1:26" ht="14.25" customHeight="1">
      <c r="A446" s="138"/>
      <c r="B446" s="138"/>
      <c r="C446" s="138"/>
      <c r="D446" s="137"/>
      <c r="E446" s="137"/>
      <c r="F446" s="137"/>
      <c r="G446" s="137"/>
      <c r="H446" s="137"/>
      <c r="I446" s="137"/>
      <c r="J446" s="137"/>
      <c r="K446" s="6"/>
      <c r="L446" s="6"/>
      <c r="M446" s="6"/>
      <c r="N446" s="6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spans="1:26" ht="14.25" customHeight="1">
      <c r="A447" s="138"/>
      <c r="B447" s="138"/>
      <c r="C447" s="138"/>
      <c r="D447" s="137"/>
      <c r="E447" s="137"/>
      <c r="F447" s="137"/>
      <c r="G447" s="137"/>
      <c r="H447" s="137"/>
      <c r="I447" s="137"/>
      <c r="J447" s="137"/>
      <c r="K447" s="6"/>
      <c r="L447" s="6"/>
      <c r="M447" s="6"/>
      <c r="N447" s="6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spans="1:26" ht="14.25" customHeight="1">
      <c r="A448" s="138"/>
      <c r="B448" s="138"/>
      <c r="C448" s="138"/>
      <c r="D448" s="137"/>
      <c r="E448" s="137"/>
      <c r="F448" s="137"/>
      <c r="G448" s="137"/>
      <c r="H448" s="137"/>
      <c r="I448" s="137"/>
      <c r="J448" s="137"/>
      <c r="K448" s="6"/>
      <c r="L448" s="6"/>
      <c r="M448" s="6"/>
      <c r="N448" s="6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spans="1:26" ht="14.25" customHeight="1">
      <c r="A449" s="138"/>
      <c r="B449" s="138"/>
      <c r="C449" s="138"/>
      <c r="D449" s="137"/>
      <c r="E449" s="137"/>
      <c r="F449" s="137"/>
      <c r="G449" s="137"/>
      <c r="H449" s="137"/>
      <c r="I449" s="137"/>
      <c r="J449" s="137"/>
      <c r="K449" s="6"/>
      <c r="L449" s="6"/>
      <c r="M449" s="6"/>
      <c r="N449" s="6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spans="1:26" ht="14.25" customHeight="1">
      <c r="A450" s="138"/>
      <c r="B450" s="138"/>
      <c r="C450" s="138"/>
      <c r="D450" s="137"/>
      <c r="E450" s="137"/>
      <c r="F450" s="137"/>
      <c r="G450" s="137"/>
      <c r="H450" s="137"/>
      <c r="I450" s="137"/>
      <c r="J450" s="137"/>
      <c r="K450" s="6"/>
      <c r="L450" s="6"/>
      <c r="M450" s="6"/>
      <c r="N450" s="6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spans="1:26" ht="14.25" customHeight="1">
      <c r="A451" s="138"/>
      <c r="B451" s="138"/>
      <c r="C451" s="138"/>
      <c r="D451" s="137"/>
      <c r="E451" s="137"/>
      <c r="F451" s="137"/>
      <c r="G451" s="137"/>
      <c r="H451" s="137"/>
      <c r="I451" s="137"/>
      <c r="J451" s="137"/>
      <c r="K451" s="6"/>
      <c r="L451" s="6"/>
      <c r="M451" s="6"/>
      <c r="N451" s="6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spans="1:26" ht="14.25" customHeight="1">
      <c r="A452" s="138"/>
      <c r="B452" s="138"/>
      <c r="C452" s="138"/>
      <c r="D452" s="137"/>
      <c r="E452" s="137"/>
      <c r="F452" s="137"/>
      <c r="G452" s="137"/>
      <c r="H452" s="137"/>
      <c r="I452" s="137"/>
      <c r="J452" s="137"/>
      <c r="K452" s="6"/>
      <c r="L452" s="6"/>
      <c r="M452" s="6"/>
      <c r="N452" s="6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spans="1:26" ht="14.25" customHeight="1">
      <c r="A453" s="138"/>
      <c r="B453" s="138"/>
      <c r="C453" s="138"/>
      <c r="D453" s="137"/>
      <c r="E453" s="137"/>
      <c r="F453" s="137"/>
      <c r="G453" s="137"/>
      <c r="H453" s="137"/>
      <c r="I453" s="137"/>
      <c r="J453" s="137"/>
      <c r="K453" s="6"/>
      <c r="L453" s="6"/>
      <c r="M453" s="6"/>
      <c r="N453" s="6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spans="1:26" ht="14.25" customHeight="1">
      <c r="A454" s="138"/>
      <c r="B454" s="138"/>
      <c r="C454" s="138"/>
      <c r="D454" s="137"/>
      <c r="E454" s="137"/>
      <c r="F454" s="137"/>
      <c r="G454" s="137"/>
      <c r="H454" s="137"/>
      <c r="I454" s="137"/>
      <c r="J454" s="137"/>
      <c r="K454" s="6"/>
      <c r="L454" s="6"/>
      <c r="M454" s="6"/>
      <c r="N454" s="6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spans="1:26" ht="14.25" customHeight="1">
      <c r="A455" s="138"/>
      <c r="B455" s="138"/>
      <c r="C455" s="138"/>
      <c r="D455" s="137"/>
      <c r="E455" s="137"/>
      <c r="F455" s="137"/>
      <c r="G455" s="137"/>
      <c r="H455" s="137"/>
      <c r="I455" s="137"/>
      <c r="J455" s="137"/>
      <c r="K455" s="6"/>
      <c r="L455" s="6"/>
      <c r="M455" s="6"/>
      <c r="N455" s="6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spans="1:26" ht="14.25" customHeight="1">
      <c r="A456" s="138"/>
      <c r="B456" s="138"/>
      <c r="C456" s="138"/>
      <c r="D456" s="137"/>
      <c r="E456" s="137"/>
      <c r="F456" s="137"/>
      <c r="G456" s="137"/>
      <c r="H456" s="137"/>
      <c r="I456" s="137"/>
      <c r="J456" s="137"/>
      <c r="K456" s="6"/>
      <c r="L456" s="6"/>
      <c r="M456" s="6"/>
      <c r="N456" s="6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spans="1:26" ht="14.25" customHeight="1">
      <c r="A457" s="138"/>
      <c r="B457" s="138"/>
      <c r="C457" s="138"/>
      <c r="D457" s="137"/>
      <c r="E457" s="137"/>
      <c r="F457" s="137"/>
      <c r="G457" s="137"/>
      <c r="H457" s="137"/>
      <c r="I457" s="137"/>
      <c r="J457" s="137"/>
      <c r="K457" s="6"/>
      <c r="L457" s="6"/>
      <c r="M457" s="6"/>
      <c r="N457" s="6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spans="1:26" ht="14.25" customHeight="1">
      <c r="A458" s="138"/>
      <c r="B458" s="138"/>
      <c r="C458" s="138"/>
      <c r="D458" s="137"/>
      <c r="E458" s="137"/>
      <c r="F458" s="137"/>
      <c r="G458" s="137"/>
      <c r="H458" s="137"/>
      <c r="I458" s="137"/>
      <c r="J458" s="137"/>
      <c r="K458" s="6"/>
      <c r="L458" s="6"/>
      <c r="M458" s="6"/>
      <c r="N458" s="6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spans="1:26" ht="14.25" customHeight="1">
      <c r="A459" s="138"/>
      <c r="B459" s="138"/>
      <c r="C459" s="138"/>
      <c r="D459" s="137"/>
      <c r="E459" s="137"/>
      <c r="F459" s="137"/>
      <c r="G459" s="137"/>
      <c r="H459" s="137"/>
      <c r="I459" s="137"/>
      <c r="J459" s="137"/>
      <c r="K459" s="6"/>
      <c r="L459" s="6"/>
      <c r="M459" s="6"/>
      <c r="N459" s="6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spans="1:26" ht="14.25" customHeight="1">
      <c r="A460" s="138"/>
      <c r="B460" s="138"/>
      <c r="C460" s="138"/>
      <c r="D460" s="137"/>
      <c r="E460" s="137"/>
      <c r="F460" s="137"/>
      <c r="G460" s="137"/>
      <c r="H460" s="137"/>
      <c r="I460" s="137"/>
      <c r="J460" s="137"/>
      <c r="K460" s="6"/>
      <c r="L460" s="6"/>
      <c r="M460" s="6"/>
      <c r="N460" s="6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spans="1:26" ht="14.25" customHeight="1">
      <c r="A461" s="138"/>
      <c r="B461" s="138"/>
      <c r="C461" s="138"/>
      <c r="D461" s="137"/>
      <c r="E461" s="137"/>
      <c r="F461" s="137"/>
      <c r="G461" s="137"/>
      <c r="H461" s="137"/>
      <c r="I461" s="137"/>
      <c r="J461" s="137"/>
      <c r="K461" s="6"/>
      <c r="L461" s="6"/>
      <c r="M461" s="6"/>
      <c r="N461" s="6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spans="1:26" ht="14.25" customHeight="1">
      <c r="A462" s="138"/>
      <c r="B462" s="138"/>
      <c r="C462" s="138"/>
      <c r="D462" s="137"/>
      <c r="E462" s="137"/>
      <c r="F462" s="137"/>
      <c r="G462" s="137"/>
      <c r="H462" s="137"/>
      <c r="I462" s="137"/>
      <c r="J462" s="137"/>
      <c r="K462" s="6"/>
      <c r="L462" s="6"/>
      <c r="M462" s="6"/>
      <c r="N462" s="6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spans="1:26" ht="14.25" customHeight="1">
      <c r="A463" s="138"/>
      <c r="B463" s="138"/>
      <c r="C463" s="138"/>
      <c r="D463" s="137"/>
      <c r="E463" s="137"/>
      <c r="F463" s="137"/>
      <c r="G463" s="137"/>
      <c r="H463" s="137"/>
      <c r="I463" s="137"/>
      <c r="J463" s="137"/>
      <c r="K463" s="6"/>
      <c r="L463" s="6"/>
      <c r="M463" s="6"/>
      <c r="N463" s="6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spans="1:26" ht="14.25" customHeight="1">
      <c r="A464" s="138"/>
      <c r="B464" s="138"/>
      <c r="C464" s="138"/>
      <c r="D464" s="137"/>
      <c r="E464" s="137"/>
      <c r="F464" s="137"/>
      <c r="G464" s="137"/>
      <c r="H464" s="137"/>
      <c r="I464" s="137"/>
      <c r="J464" s="137"/>
      <c r="K464" s="6"/>
      <c r="L464" s="6"/>
      <c r="M464" s="6"/>
      <c r="N464" s="6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spans="1:26" ht="14.25" customHeight="1">
      <c r="A465" s="138"/>
      <c r="B465" s="138"/>
      <c r="C465" s="138"/>
      <c r="D465" s="137"/>
      <c r="E465" s="137"/>
      <c r="F465" s="137"/>
      <c r="G465" s="137"/>
      <c r="H465" s="137"/>
      <c r="I465" s="137"/>
      <c r="J465" s="137"/>
      <c r="K465" s="6"/>
      <c r="L465" s="6"/>
      <c r="M465" s="6"/>
      <c r="N465" s="6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spans="1:26" ht="14.25" customHeight="1">
      <c r="A466" s="138"/>
      <c r="B466" s="138"/>
      <c r="C466" s="138"/>
      <c r="D466" s="137"/>
      <c r="E466" s="137"/>
      <c r="F466" s="137"/>
      <c r="G466" s="137"/>
      <c r="H466" s="137"/>
      <c r="I466" s="137"/>
      <c r="J466" s="137"/>
      <c r="K466" s="6"/>
      <c r="L466" s="6"/>
      <c r="M466" s="6"/>
      <c r="N466" s="6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spans="1:26" ht="14.25" customHeight="1">
      <c r="A467" s="138"/>
      <c r="B467" s="138"/>
      <c r="C467" s="138"/>
      <c r="D467" s="137"/>
      <c r="E467" s="137"/>
      <c r="F467" s="137"/>
      <c r="G467" s="137"/>
      <c r="H467" s="137"/>
      <c r="I467" s="137"/>
      <c r="J467" s="137"/>
      <c r="K467" s="6"/>
      <c r="L467" s="6"/>
      <c r="M467" s="6"/>
      <c r="N467" s="6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spans="1:26" ht="14.25" customHeight="1">
      <c r="A468" s="138"/>
      <c r="B468" s="138"/>
      <c r="C468" s="138"/>
      <c r="D468" s="137"/>
      <c r="E468" s="137"/>
      <c r="F468" s="137"/>
      <c r="G468" s="137"/>
      <c r="H468" s="137"/>
      <c r="I468" s="137"/>
      <c r="J468" s="137"/>
      <c r="K468" s="6"/>
      <c r="L468" s="6"/>
      <c r="M468" s="6"/>
      <c r="N468" s="6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spans="1:26" ht="14.25" customHeight="1">
      <c r="A469" s="138"/>
      <c r="B469" s="138"/>
      <c r="C469" s="138"/>
      <c r="D469" s="137"/>
      <c r="E469" s="137"/>
      <c r="F469" s="137"/>
      <c r="G469" s="137"/>
      <c r="H469" s="137"/>
      <c r="I469" s="137"/>
      <c r="J469" s="137"/>
      <c r="K469" s="6"/>
      <c r="L469" s="6"/>
      <c r="M469" s="6"/>
      <c r="N469" s="6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spans="1:26" ht="14.25" customHeight="1">
      <c r="A470" s="138"/>
      <c r="B470" s="138"/>
      <c r="C470" s="138"/>
      <c r="D470" s="137"/>
      <c r="E470" s="137"/>
      <c r="F470" s="137"/>
      <c r="G470" s="137"/>
      <c r="H470" s="137"/>
      <c r="I470" s="137"/>
      <c r="J470" s="137"/>
      <c r="K470" s="6"/>
      <c r="L470" s="6"/>
      <c r="M470" s="6"/>
      <c r="N470" s="6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spans="1:26" ht="14.25" customHeight="1">
      <c r="A471" s="138"/>
      <c r="B471" s="138"/>
      <c r="C471" s="138"/>
      <c r="D471" s="137"/>
      <c r="E471" s="137"/>
      <c r="F471" s="137"/>
      <c r="G471" s="137"/>
      <c r="H471" s="137"/>
      <c r="I471" s="137"/>
      <c r="J471" s="137"/>
      <c r="K471" s="6"/>
      <c r="L471" s="6"/>
      <c r="M471" s="6"/>
      <c r="N471" s="6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spans="1:26" ht="14.25" customHeight="1">
      <c r="A472" s="138"/>
      <c r="B472" s="138"/>
      <c r="C472" s="138"/>
      <c r="D472" s="137"/>
      <c r="E472" s="137"/>
      <c r="F472" s="137"/>
      <c r="G472" s="137"/>
      <c r="H472" s="137"/>
      <c r="I472" s="137"/>
      <c r="J472" s="137"/>
      <c r="K472" s="6"/>
      <c r="L472" s="6"/>
      <c r="M472" s="6"/>
      <c r="N472" s="6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spans="1:26" ht="14.25" customHeight="1">
      <c r="A473" s="138"/>
      <c r="B473" s="138"/>
      <c r="C473" s="138"/>
      <c r="D473" s="137"/>
      <c r="E473" s="137"/>
      <c r="F473" s="137"/>
      <c r="G473" s="137"/>
      <c r="H473" s="137"/>
      <c r="I473" s="137"/>
      <c r="J473" s="137"/>
      <c r="K473" s="6"/>
      <c r="L473" s="6"/>
      <c r="M473" s="6"/>
      <c r="N473" s="6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spans="1:26" ht="14.25" customHeight="1">
      <c r="A474" s="138"/>
      <c r="B474" s="138"/>
      <c r="C474" s="138"/>
      <c r="D474" s="137"/>
      <c r="E474" s="137"/>
      <c r="F474" s="137"/>
      <c r="G474" s="137"/>
      <c r="H474" s="137"/>
      <c r="I474" s="137"/>
      <c r="J474" s="137"/>
      <c r="K474" s="6"/>
      <c r="L474" s="6"/>
      <c r="M474" s="6"/>
      <c r="N474" s="6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spans="1:26" ht="14.25" customHeight="1">
      <c r="A475" s="138"/>
      <c r="B475" s="138"/>
      <c r="C475" s="138"/>
      <c r="D475" s="137"/>
      <c r="E475" s="137"/>
      <c r="F475" s="137"/>
      <c r="G475" s="137"/>
      <c r="H475" s="137"/>
      <c r="I475" s="137"/>
      <c r="J475" s="137"/>
      <c r="K475" s="6"/>
      <c r="L475" s="6"/>
      <c r="M475" s="6"/>
      <c r="N475" s="6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spans="1:26" ht="14.25" customHeight="1">
      <c r="A476" s="138"/>
      <c r="B476" s="138"/>
      <c r="C476" s="138"/>
      <c r="D476" s="137"/>
      <c r="E476" s="137"/>
      <c r="F476" s="137"/>
      <c r="G476" s="137"/>
      <c r="H476" s="137"/>
      <c r="I476" s="137"/>
      <c r="J476" s="137"/>
      <c r="K476" s="6"/>
      <c r="L476" s="6"/>
      <c r="M476" s="6"/>
      <c r="N476" s="6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spans="1:26" ht="14.25" customHeight="1">
      <c r="A477" s="138"/>
      <c r="B477" s="138"/>
      <c r="C477" s="138"/>
      <c r="D477" s="137"/>
      <c r="E477" s="137"/>
      <c r="F477" s="137"/>
      <c r="G477" s="137"/>
      <c r="H477" s="137"/>
      <c r="I477" s="137"/>
      <c r="J477" s="137"/>
      <c r="K477" s="6"/>
      <c r="L477" s="6"/>
      <c r="M477" s="6"/>
      <c r="N477" s="6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spans="1:26" ht="14.25" customHeight="1">
      <c r="A478" s="138"/>
      <c r="B478" s="138"/>
      <c r="C478" s="138"/>
      <c r="D478" s="137"/>
      <c r="E478" s="137"/>
      <c r="F478" s="137"/>
      <c r="G478" s="137"/>
      <c r="H478" s="137"/>
      <c r="I478" s="137"/>
      <c r="J478" s="137"/>
      <c r="K478" s="6"/>
      <c r="L478" s="6"/>
      <c r="M478" s="6"/>
      <c r="N478" s="6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spans="1:26" ht="14.25" customHeight="1">
      <c r="A479" s="138"/>
      <c r="B479" s="138"/>
      <c r="C479" s="138"/>
      <c r="D479" s="137"/>
      <c r="E479" s="137"/>
      <c r="F479" s="137"/>
      <c r="G479" s="137"/>
      <c r="H479" s="137"/>
      <c r="I479" s="137"/>
      <c r="J479" s="137"/>
      <c r="K479" s="6"/>
      <c r="L479" s="6"/>
      <c r="M479" s="6"/>
      <c r="N479" s="6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spans="1:26" ht="14.25" customHeight="1">
      <c r="A480" s="138"/>
      <c r="B480" s="138"/>
      <c r="C480" s="138"/>
      <c r="D480" s="137"/>
      <c r="E480" s="137"/>
      <c r="F480" s="137"/>
      <c r="G480" s="137"/>
      <c r="H480" s="137"/>
      <c r="I480" s="137"/>
      <c r="J480" s="137"/>
      <c r="K480" s="6"/>
      <c r="L480" s="6"/>
      <c r="M480" s="6"/>
      <c r="N480" s="6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spans="1:26" ht="14.25" customHeight="1">
      <c r="A481" s="138"/>
      <c r="B481" s="138"/>
      <c r="C481" s="138"/>
      <c r="D481" s="137"/>
      <c r="E481" s="137"/>
      <c r="F481" s="137"/>
      <c r="G481" s="137"/>
      <c r="H481" s="137"/>
      <c r="I481" s="137"/>
      <c r="J481" s="137"/>
      <c r="K481" s="6"/>
      <c r="L481" s="6"/>
      <c r="M481" s="6"/>
      <c r="N481" s="6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spans="1:26" ht="14.25" customHeight="1">
      <c r="A482" s="138"/>
      <c r="B482" s="138"/>
      <c r="C482" s="138"/>
      <c r="D482" s="137"/>
      <c r="E482" s="137"/>
      <c r="F482" s="137"/>
      <c r="G482" s="137"/>
      <c r="H482" s="137"/>
      <c r="I482" s="137"/>
      <c r="J482" s="137"/>
      <c r="K482" s="6"/>
      <c r="L482" s="6"/>
      <c r="M482" s="6"/>
      <c r="N482" s="6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spans="1:26" ht="14.25" customHeight="1">
      <c r="A483" s="138"/>
      <c r="B483" s="138"/>
      <c r="C483" s="138"/>
      <c r="D483" s="137"/>
      <c r="E483" s="137"/>
      <c r="F483" s="137"/>
      <c r="G483" s="137"/>
      <c r="H483" s="137"/>
      <c r="I483" s="137"/>
      <c r="J483" s="137"/>
      <c r="K483" s="6"/>
      <c r="L483" s="6"/>
      <c r="M483" s="6"/>
      <c r="N483" s="6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spans="1:26" ht="14.25" customHeight="1">
      <c r="A484" s="138"/>
      <c r="B484" s="138"/>
      <c r="C484" s="138"/>
      <c r="D484" s="137"/>
      <c r="E484" s="137"/>
      <c r="F484" s="137"/>
      <c r="G484" s="137"/>
      <c r="H484" s="137"/>
      <c r="I484" s="137"/>
      <c r="J484" s="137"/>
      <c r="K484" s="6"/>
      <c r="L484" s="6"/>
      <c r="M484" s="6"/>
      <c r="N484" s="6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spans="1:26" ht="14.25" customHeight="1">
      <c r="A485" s="138"/>
      <c r="B485" s="138"/>
      <c r="C485" s="138"/>
      <c r="D485" s="137"/>
      <c r="E485" s="137"/>
      <c r="F485" s="137"/>
      <c r="G485" s="137"/>
      <c r="H485" s="137"/>
      <c r="I485" s="137"/>
      <c r="J485" s="137"/>
      <c r="K485" s="6"/>
      <c r="L485" s="6"/>
      <c r="M485" s="6"/>
      <c r="N485" s="6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spans="1:26" ht="14.25" customHeight="1">
      <c r="A486" s="138"/>
      <c r="B486" s="138"/>
      <c r="C486" s="138"/>
      <c r="D486" s="137"/>
      <c r="E486" s="137"/>
      <c r="F486" s="137"/>
      <c r="G486" s="137"/>
      <c r="H486" s="137"/>
      <c r="I486" s="137"/>
      <c r="J486" s="137"/>
      <c r="K486" s="6"/>
      <c r="L486" s="6"/>
      <c r="M486" s="6"/>
      <c r="N486" s="6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spans="1:26" ht="14.25" customHeight="1">
      <c r="A487" s="138"/>
      <c r="B487" s="138"/>
      <c r="C487" s="138"/>
      <c r="D487" s="137"/>
      <c r="E487" s="137"/>
      <c r="F487" s="137"/>
      <c r="G487" s="137"/>
      <c r="H487" s="137"/>
      <c r="I487" s="137"/>
      <c r="J487" s="137"/>
      <c r="K487" s="6"/>
      <c r="L487" s="6"/>
      <c r="M487" s="6"/>
      <c r="N487" s="6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spans="1:26" ht="14.25" customHeight="1">
      <c r="A488" s="138"/>
      <c r="B488" s="138"/>
      <c r="C488" s="138"/>
      <c r="D488" s="137"/>
      <c r="E488" s="137"/>
      <c r="F488" s="137"/>
      <c r="G488" s="137"/>
      <c r="H488" s="137"/>
      <c r="I488" s="137"/>
      <c r="J488" s="137"/>
      <c r="K488" s="6"/>
      <c r="L488" s="6"/>
      <c r="M488" s="6"/>
      <c r="N488" s="6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spans="1:26" ht="14.25" customHeight="1">
      <c r="A489" s="138"/>
      <c r="B489" s="138"/>
      <c r="C489" s="138"/>
      <c r="D489" s="137"/>
      <c r="E489" s="137"/>
      <c r="F489" s="137"/>
      <c r="G489" s="137"/>
      <c r="H489" s="137"/>
      <c r="I489" s="137"/>
      <c r="J489" s="137"/>
      <c r="K489" s="6"/>
      <c r="L489" s="6"/>
      <c r="M489" s="6"/>
      <c r="N489" s="6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spans="1:26" ht="14.25" customHeight="1">
      <c r="A490" s="138"/>
      <c r="B490" s="138"/>
      <c r="C490" s="138"/>
      <c r="D490" s="137"/>
      <c r="E490" s="137"/>
      <c r="F490" s="137"/>
      <c r="G490" s="137"/>
      <c r="H490" s="137"/>
      <c r="I490" s="137"/>
      <c r="J490" s="137"/>
      <c r="K490" s="6"/>
      <c r="L490" s="6"/>
      <c r="M490" s="6"/>
      <c r="N490" s="6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spans="1:26" ht="14.25" customHeight="1">
      <c r="A491" s="138"/>
      <c r="B491" s="138"/>
      <c r="C491" s="138"/>
      <c r="D491" s="137"/>
      <c r="E491" s="137"/>
      <c r="F491" s="137"/>
      <c r="G491" s="137"/>
      <c r="H491" s="137"/>
      <c r="I491" s="137"/>
      <c r="J491" s="137"/>
      <c r="K491" s="6"/>
      <c r="L491" s="6"/>
      <c r="M491" s="6"/>
      <c r="N491" s="6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spans="1:26" ht="14.25" customHeight="1">
      <c r="A492" s="138"/>
      <c r="B492" s="138"/>
      <c r="C492" s="138"/>
      <c r="D492" s="137"/>
      <c r="E492" s="137"/>
      <c r="F492" s="137"/>
      <c r="G492" s="137"/>
      <c r="H492" s="137"/>
      <c r="I492" s="137"/>
      <c r="J492" s="137"/>
      <c r="K492" s="6"/>
      <c r="L492" s="6"/>
      <c r="M492" s="6"/>
      <c r="N492" s="6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spans="1:26" ht="14.25" customHeight="1">
      <c r="A493" s="138"/>
      <c r="B493" s="138"/>
      <c r="C493" s="138"/>
      <c r="D493" s="137"/>
      <c r="E493" s="137"/>
      <c r="F493" s="137"/>
      <c r="G493" s="137"/>
      <c r="H493" s="137"/>
      <c r="I493" s="137"/>
      <c r="J493" s="137"/>
      <c r="K493" s="6"/>
      <c r="L493" s="6"/>
      <c r="M493" s="6"/>
      <c r="N493" s="6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spans="1:26" ht="14.25" customHeight="1">
      <c r="A494" s="138"/>
      <c r="B494" s="138"/>
      <c r="C494" s="138"/>
      <c r="D494" s="137"/>
      <c r="E494" s="137"/>
      <c r="F494" s="137"/>
      <c r="G494" s="137"/>
      <c r="H494" s="137"/>
      <c r="I494" s="137"/>
      <c r="J494" s="137"/>
      <c r="K494" s="6"/>
      <c r="L494" s="6"/>
      <c r="M494" s="6"/>
      <c r="N494" s="6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spans="1:26" ht="14.25" customHeight="1">
      <c r="A495" s="138"/>
      <c r="B495" s="138"/>
      <c r="C495" s="138"/>
      <c r="D495" s="137"/>
      <c r="E495" s="137"/>
      <c r="F495" s="137"/>
      <c r="G495" s="137"/>
      <c r="H495" s="137"/>
      <c r="I495" s="137"/>
      <c r="J495" s="137"/>
      <c r="K495" s="6"/>
      <c r="L495" s="6"/>
      <c r="M495" s="6"/>
      <c r="N495" s="6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spans="1:26" ht="14.25" customHeight="1">
      <c r="A496" s="138"/>
      <c r="B496" s="138"/>
      <c r="C496" s="138"/>
      <c r="D496" s="137"/>
      <c r="E496" s="137"/>
      <c r="F496" s="137"/>
      <c r="G496" s="137"/>
      <c r="H496" s="137"/>
      <c r="I496" s="137"/>
      <c r="J496" s="137"/>
      <c r="K496" s="6"/>
      <c r="L496" s="6"/>
      <c r="M496" s="6"/>
      <c r="N496" s="6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spans="1:26" ht="14.25" customHeight="1">
      <c r="A497" s="138"/>
      <c r="B497" s="138"/>
      <c r="C497" s="138"/>
      <c r="D497" s="137"/>
      <c r="E497" s="137"/>
      <c r="F497" s="137"/>
      <c r="G497" s="137"/>
      <c r="H497" s="137"/>
      <c r="I497" s="137"/>
      <c r="J497" s="137"/>
      <c r="K497" s="6"/>
      <c r="L497" s="6"/>
      <c r="M497" s="6"/>
      <c r="N497" s="6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spans="1:26" ht="14.25" customHeight="1">
      <c r="A498" s="138"/>
      <c r="B498" s="138"/>
      <c r="C498" s="138"/>
      <c r="D498" s="137"/>
      <c r="E498" s="137"/>
      <c r="F498" s="137"/>
      <c r="G498" s="137"/>
      <c r="H498" s="137"/>
      <c r="I498" s="137"/>
      <c r="J498" s="137"/>
      <c r="K498" s="6"/>
      <c r="L498" s="6"/>
      <c r="M498" s="6"/>
      <c r="N498" s="6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spans="1:26" ht="14.25" customHeight="1">
      <c r="A499" s="138"/>
      <c r="B499" s="138"/>
      <c r="C499" s="138"/>
      <c r="D499" s="137"/>
      <c r="E499" s="137"/>
      <c r="F499" s="137"/>
      <c r="G499" s="137"/>
      <c r="H499" s="137"/>
      <c r="I499" s="137"/>
      <c r="J499" s="137"/>
      <c r="K499" s="6"/>
      <c r="L499" s="6"/>
      <c r="M499" s="6"/>
      <c r="N499" s="6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spans="1:26" ht="14.25" customHeight="1">
      <c r="A500" s="138"/>
      <c r="B500" s="138"/>
      <c r="C500" s="138"/>
      <c r="D500" s="137"/>
      <c r="E500" s="137"/>
      <c r="F500" s="137"/>
      <c r="G500" s="137"/>
      <c r="H500" s="137"/>
      <c r="I500" s="137"/>
      <c r="J500" s="137"/>
      <c r="K500" s="6"/>
      <c r="L500" s="6"/>
      <c r="M500" s="6"/>
      <c r="N500" s="6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spans="1:26" ht="14.25" customHeight="1">
      <c r="A501" s="138"/>
      <c r="B501" s="138"/>
      <c r="C501" s="138"/>
      <c r="D501" s="137"/>
      <c r="E501" s="137"/>
      <c r="F501" s="137"/>
      <c r="G501" s="137"/>
      <c r="H501" s="137"/>
      <c r="I501" s="137"/>
      <c r="J501" s="137"/>
      <c r="K501" s="6"/>
      <c r="L501" s="6"/>
      <c r="M501" s="6"/>
      <c r="N501" s="6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spans="1:26" ht="14.25" customHeight="1">
      <c r="A502" s="138"/>
      <c r="B502" s="138"/>
      <c r="C502" s="138"/>
      <c r="D502" s="137"/>
      <c r="E502" s="137"/>
      <c r="F502" s="137"/>
      <c r="G502" s="137"/>
      <c r="H502" s="137"/>
      <c r="I502" s="137"/>
      <c r="J502" s="137"/>
      <c r="K502" s="6"/>
      <c r="L502" s="6"/>
      <c r="M502" s="6"/>
      <c r="N502" s="6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spans="1:26" ht="14.25" customHeight="1">
      <c r="A503" s="138"/>
      <c r="B503" s="138"/>
      <c r="C503" s="138"/>
      <c r="D503" s="137"/>
      <c r="E503" s="137"/>
      <c r="F503" s="137"/>
      <c r="G503" s="137"/>
      <c r="H503" s="137"/>
      <c r="I503" s="137"/>
      <c r="J503" s="137"/>
      <c r="K503" s="6"/>
      <c r="L503" s="6"/>
      <c r="M503" s="6"/>
      <c r="N503" s="6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spans="1:26" ht="14.25" customHeight="1">
      <c r="A504" s="138"/>
      <c r="B504" s="138"/>
      <c r="C504" s="138"/>
      <c r="D504" s="137"/>
      <c r="E504" s="137"/>
      <c r="F504" s="137"/>
      <c r="G504" s="137"/>
      <c r="H504" s="137"/>
      <c r="I504" s="137"/>
      <c r="J504" s="137"/>
      <c r="K504" s="6"/>
      <c r="L504" s="6"/>
      <c r="M504" s="6"/>
      <c r="N504" s="6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spans="1:26" ht="14.25" customHeight="1">
      <c r="A505" s="138"/>
      <c r="B505" s="138"/>
      <c r="C505" s="138"/>
      <c r="D505" s="137"/>
      <c r="E505" s="137"/>
      <c r="F505" s="137"/>
      <c r="G505" s="137"/>
      <c r="H505" s="137"/>
      <c r="I505" s="137"/>
      <c r="J505" s="137"/>
      <c r="K505" s="6"/>
      <c r="L505" s="6"/>
      <c r="M505" s="6"/>
      <c r="N505" s="6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spans="1:26" ht="14.25" customHeight="1">
      <c r="A506" s="138"/>
      <c r="B506" s="138"/>
      <c r="C506" s="138"/>
      <c r="D506" s="137"/>
      <c r="E506" s="137"/>
      <c r="F506" s="137"/>
      <c r="G506" s="137"/>
      <c r="H506" s="137"/>
      <c r="I506" s="137"/>
      <c r="J506" s="137"/>
      <c r="K506" s="6"/>
      <c r="L506" s="6"/>
      <c r="M506" s="6"/>
      <c r="N506" s="6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spans="1:26" ht="14.25" customHeight="1">
      <c r="A507" s="138"/>
      <c r="B507" s="138"/>
      <c r="C507" s="138"/>
      <c r="D507" s="137"/>
      <c r="E507" s="137"/>
      <c r="F507" s="137"/>
      <c r="G507" s="137"/>
      <c r="H507" s="137"/>
      <c r="I507" s="137"/>
      <c r="J507" s="137"/>
      <c r="K507" s="6"/>
      <c r="L507" s="6"/>
      <c r="M507" s="6"/>
      <c r="N507" s="6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spans="1:26" ht="14.25" customHeight="1">
      <c r="A508" s="138"/>
      <c r="B508" s="138"/>
      <c r="C508" s="138"/>
      <c r="D508" s="137"/>
      <c r="E508" s="137"/>
      <c r="F508" s="137"/>
      <c r="G508" s="137"/>
      <c r="H508" s="137"/>
      <c r="I508" s="137"/>
      <c r="J508" s="137"/>
      <c r="K508" s="6"/>
      <c r="L508" s="6"/>
      <c r="M508" s="6"/>
      <c r="N508" s="6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spans="1:26" ht="14.25" customHeight="1">
      <c r="A509" s="138"/>
      <c r="B509" s="138"/>
      <c r="C509" s="138"/>
      <c r="D509" s="137"/>
      <c r="E509" s="137"/>
      <c r="F509" s="137"/>
      <c r="G509" s="137"/>
      <c r="H509" s="137"/>
      <c r="I509" s="137"/>
      <c r="J509" s="137"/>
      <c r="K509" s="6"/>
      <c r="L509" s="6"/>
      <c r="M509" s="6"/>
      <c r="N509" s="6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spans="1:26" ht="14.25" customHeight="1">
      <c r="A510" s="138"/>
      <c r="B510" s="138"/>
      <c r="C510" s="138"/>
      <c r="D510" s="137"/>
      <c r="E510" s="137"/>
      <c r="F510" s="137"/>
      <c r="G510" s="137"/>
      <c r="H510" s="137"/>
      <c r="I510" s="137"/>
      <c r="J510" s="137"/>
      <c r="K510" s="6"/>
      <c r="L510" s="6"/>
      <c r="M510" s="6"/>
      <c r="N510" s="6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spans="1:26" ht="14.25" customHeight="1">
      <c r="A511" s="138"/>
      <c r="B511" s="138"/>
      <c r="C511" s="138"/>
      <c r="D511" s="137"/>
      <c r="E511" s="137"/>
      <c r="F511" s="137"/>
      <c r="G511" s="137"/>
      <c r="H511" s="137"/>
      <c r="I511" s="137"/>
      <c r="J511" s="137"/>
      <c r="K511" s="6"/>
      <c r="L511" s="6"/>
      <c r="M511" s="6"/>
      <c r="N511" s="6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spans="1:26" ht="14.25" customHeight="1">
      <c r="A512" s="138"/>
      <c r="B512" s="138"/>
      <c r="C512" s="138"/>
      <c r="D512" s="137"/>
      <c r="E512" s="137"/>
      <c r="F512" s="137"/>
      <c r="G512" s="137"/>
      <c r="H512" s="137"/>
      <c r="I512" s="137"/>
      <c r="J512" s="137"/>
      <c r="K512" s="6"/>
      <c r="L512" s="6"/>
      <c r="M512" s="6"/>
      <c r="N512" s="6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spans="1:26" ht="14.25" customHeight="1">
      <c r="A513" s="138"/>
      <c r="B513" s="138"/>
      <c r="C513" s="138"/>
      <c r="D513" s="137"/>
      <c r="E513" s="137"/>
      <c r="F513" s="137"/>
      <c r="G513" s="137"/>
      <c r="H513" s="137"/>
      <c r="I513" s="137"/>
      <c r="J513" s="137"/>
      <c r="K513" s="6"/>
      <c r="L513" s="6"/>
      <c r="M513" s="6"/>
      <c r="N513" s="6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spans="1:26" ht="14.25" customHeight="1">
      <c r="A514" s="138"/>
      <c r="B514" s="138"/>
      <c r="C514" s="138"/>
      <c r="D514" s="137"/>
      <c r="E514" s="137"/>
      <c r="F514" s="137"/>
      <c r="G514" s="137"/>
      <c r="H514" s="137"/>
      <c r="I514" s="137"/>
      <c r="J514" s="137"/>
      <c r="K514" s="6"/>
      <c r="L514" s="6"/>
      <c r="M514" s="6"/>
      <c r="N514" s="6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spans="1:26" ht="14.25" customHeight="1">
      <c r="A515" s="138"/>
      <c r="B515" s="138"/>
      <c r="C515" s="138"/>
      <c r="D515" s="137"/>
      <c r="E515" s="137"/>
      <c r="F515" s="137"/>
      <c r="G515" s="137"/>
      <c r="H515" s="137"/>
      <c r="I515" s="137"/>
      <c r="J515" s="137"/>
      <c r="K515" s="6"/>
      <c r="L515" s="6"/>
      <c r="M515" s="6"/>
      <c r="N515" s="6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spans="1:26" ht="14.25" customHeight="1">
      <c r="A516" s="138"/>
      <c r="B516" s="138"/>
      <c r="C516" s="138"/>
      <c r="D516" s="137"/>
      <c r="E516" s="137"/>
      <c r="F516" s="137"/>
      <c r="G516" s="137"/>
      <c r="H516" s="137"/>
      <c r="I516" s="137"/>
      <c r="J516" s="137"/>
      <c r="K516" s="6"/>
      <c r="L516" s="6"/>
      <c r="M516" s="6"/>
      <c r="N516" s="6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spans="1:26" ht="14.25" customHeight="1">
      <c r="A517" s="138"/>
      <c r="B517" s="138"/>
      <c r="C517" s="138"/>
      <c r="D517" s="137"/>
      <c r="E517" s="137"/>
      <c r="F517" s="137"/>
      <c r="G517" s="137"/>
      <c r="H517" s="137"/>
      <c r="I517" s="137"/>
      <c r="J517" s="137"/>
      <c r="K517" s="6"/>
      <c r="L517" s="6"/>
      <c r="M517" s="6"/>
      <c r="N517" s="6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spans="1:26" ht="14.25" customHeight="1">
      <c r="A518" s="138"/>
      <c r="B518" s="138"/>
      <c r="C518" s="138"/>
      <c r="D518" s="137"/>
      <c r="E518" s="137"/>
      <c r="F518" s="137"/>
      <c r="G518" s="137"/>
      <c r="H518" s="137"/>
      <c r="I518" s="137"/>
      <c r="J518" s="137"/>
      <c r="K518" s="6"/>
      <c r="L518" s="6"/>
      <c r="M518" s="6"/>
      <c r="N518" s="6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spans="1:26" ht="14.25" customHeight="1">
      <c r="A519" s="138"/>
      <c r="B519" s="138"/>
      <c r="C519" s="138"/>
      <c r="D519" s="137"/>
      <c r="E519" s="137"/>
      <c r="F519" s="137"/>
      <c r="G519" s="137"/>
      <c r="H519" s="137"/>
      <c r="I519" s="137"/>
      <c r="J519" s="137"/>
      <c r="K519" s="6"/>
      <c r="L519" s="6"/>
      <c r="M519" s="6"/>
      <c r="N519" s="6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spans="1:26" ht="14.25" customHeight="1">
      <c r="A520" s="138"/>
      <c r="B520" s="138"/>
      <c r="C520" s="138"/>
      <c r="D520" s="137"/>
      <c r="E520" s="137"/>
      <c r="F520" s="137"/>
      <c r="G520" s="137"/>
      <c r="H520" s="137"/>
      <c r="I520" s="137"/>
      <c r="J520" s="137"/>
      <c r="K520" s="6"/>
      <c r="L520" s="6"/>
      <c r="M520" s="6"/>
      <c r="N520" s="6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spans="1:26" ht="14.25" customHeight="1">
      <c r="A521" s="138"/>
      <c r="B521" s="138"/>
      <c r="C521" s="138"/>
      <c r="D521" s="137"/>
      <c r="E521" s="137"/>
      <c r="F521" s="137"/>
      <c r="G521" s="137"/>
      <c r="H521" s="137"/>
      <c r="I521" s="137"/>
      <c r="J521" s="137"/>
      <c r="K521" s="6"/>
      <c r="L521" s="6"/>
      <c r="M521" s="6"/>
      <c r="N521" s="6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spans="1:26" ht="14.25" customHeight="1">
      <c r="A522" s="138"/>
      <c r="B522" s="138"/>
      <c r="C522" s="138"/>
      <c r="D522" s="137"/>
      <c r="E522" s="137"/>
      <c r="F522" s="137"/>
      <c r="G522" s="137"/>
      <c r="H522" s="137"/>
      <c r="I522" s="137"/>
      <c r="J522" s="137"/>
      <c r="K522" s="6"/>
      <c r="L522" s="6"/>
      <c r="M522" s="6"/>
      <c r="N522" s="6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spans="1:26" ht="14.25" customHeight="1">
      <c r="A523" s="138"/>
      <c r="B523" s="138"/>
      <c r="C523" s="138"/>
      <c r="D523" s="137"/>
      <c r="E523" s="137"/>
      <c r="F523" s="137"/>
      <c r="G523" s="137"/>
      <c r="H523" s="137"/>
      <c r="I523" s="137"/>
      <c r="J523" s="137"/>
      <c r="K523" s="6"/>
      <c r="L523" s="6"/>
      <c r="M523" s="6"/>
      <c r="N523" s="6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spans="1:26" ht="14.25" customHeight="1">
      <c r="A524" s="138"/>
      <c r="B524" s="138"/>
      <c r="C524" s="138"/>
      <c r="D524" s="137"/>
      <c r="E524" s="137"/>
      <c r="F524" s="137"/>
      <c r="G524" s="137"/>
      <c r="H524" s="137"/>
      <c r="I524" s="137"/>
      <c r="J524" s="137"/>
      <c r="K524" s="6"/>
      <c r="L524" s="6"/>
      <c r="M524" s="6"/>
      <c r="N524" s="6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spans="1:26" ht="14.25" customHeight="1">
      <c r="A525" s="138"/>
      <c r="B525" s="138"/>
      <c r="C525" s="138"/>
      <c r="D525" s="137"/>
      <c r="E525" s="137"/>
      <c r="F525" s="137"/>
      <c r="G525" s="137"/>
      <c r="H525" s="137"/>
      <c r="I525" s="137"/>
      <c r="J525" s="137"/>
      <c r="K525" s="6"/>
      <c r="L525" s="6"/>
      <c r="M525" s="6"/>
      <c r="N525" s="6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spans="1:26" ht="14.25" customHeight="1">
      <c r="A526" s="138"/>
      <c r="B526" s="138"/>
      <c r="C526" s="138"/>
      <c r="D526" s="137"/>
      <c r="E526" s="137"/>
      <c r="F526" s="137"/>
      <c r="G526" s="137"/>
      <c r="H526" s="137"/>
      <c r="I526" s="137"/>
      <c r="J526" s="137"/>
      <c r="K526" s="6"/>
      <c r="L526" s="6"/>
      <c r="M526" s="6"/>
      <c r="N526" s="6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spans="1:26" ht="14.25" customHeight="1">
      <c r="A527" s="138"/>
      <c r="B527" s="138"/>
      <c r="C527" s="138"/>
      <c r="D527" s="137"/>
      <c r="E527" s="137"/>
      <c r="F527" s="137"/>
      <c r="G527" s="137"/>
      <c r="H527" s="137"/>
      <c r="I527" s="137"/>
      <c r="J527" s="137"/>
      <c r="K527" s="6"/>
      <c r="L527" s="6"/>
      <c r="M527" s="6"/>
      <c r="N527" s="6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spans="1:26" ht="14.25" customHeight="1">
      <c r="A528" s="138"/>
      <c r="B528" s="138"/>
      <c r="C528" s="138"/>
      <c r="D528" s="137"/>
      <c r="E528" s="137"/>
      <c r="F528" s="137"/>
      <c r="G528" s="137"/>
      <c r="H528" s="137"/>
      <c r="I528" s="137"/>
      <c r="J528" s="137"/>
      <c r="K528" s="6"/>
      <c r="L528" s="6"/>
      <c r="M528" s="6"/>
      <c r="N528" s="6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spans="1:26" ht="14.25" customHeight="1">
      <c r="A529" s="138"/>
      <c r="B529" s="138"/>
      <c r="C529" s="138"/>
      <c r="D529" s="137"/>
      <c r="E529" s="137"/>
      <c r="F529" s="137"/>
      <c r="G529" s="137"/>
      <c r="H529" s="137"/>
      <c r="I529" s="137"/>
      <c r="J529" s="137"/>
      <c r="K529" s="6"/>
      <c r="L529" s="6"/>
      <c r="M529" s="6"/>
      <c r="N529" s="6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spans="1:26" ht="14.25" customHeight="1">
      <c r="A530" s="138"/>
      <c r="B530" s="138"/>
      <c r="C530" s="138"/>
      <c r="D530" s="137"/>
      <c r="E530" s="137"/>
      <c r="F530" s="137"/>
      <c r="G530" s="137"/>
      <c r="H530" s="137"/>
      <c r="I530" s="137"/>
      <c r="J530" s="137"/>
      <c r="K530" s="6"/>
      <c r="L530" s="6"/>
      <c r="M530" s="6"/>
      <c r="N530" s="6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spans="1:26" ht="14.25" customHeight="1">
      <c r="A531" s="138"/>
      <c r="B531" s="138"/>
      <c r="C531" s="138"/>
      <c r="D531" s="137"/>
      <c r="E531" s="137"/>
      <c r="F531" s="137"/>
      <c r="G531" s="137"/>
      <c r="H531" s="137"/>
      <c r="I531" s="137"/>
      <c r="J531" s="137"/>
      <c r="K531" s="6"/>
      <c r="L531" s="6"/>
      <c r="M531" s="6"/>
      <c r="N531" s="6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spans="1:26" ht="14.25" customHeight="1">
      <c r="A532" s="138"/>
      <c r="B532" s="138"/>
      <c r="C532" s="138"/>
      <c r="D532" s="137"/>
      <c r="E532" s="137"/>
      <c r="F532" s="137"/>
      <c r="G532" s="137"/>
      <c r="H532" s="137"/>
      <c r="I532" s="137"/>
      <c r="J532" s="137"/>
      <c r="K532" s="6"/>
      <c r="L532" s="6"/>
      <c r="M532" s="6"/>
      <c r="N532" s="6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spans="1:26" ht="14.25" customHeight="1">
      <c r="A533" s="138"/>
      <c r="B533" s="138"/>
      <c r="C533" s="138"/>
      <c r="D533" s="137"/>
      <c r="E533" s="137"/>
      <c r="F533" s="137"/>
      <c r="G533" s="137"/>
      <c r="H533" s="137"/>
      <c r="I533" s="137"/>
      <c r="J533" s="137"/>
      <c r="K533" s="6"/>
      <c r="L533" s="6"/>
      <c r="M533" s="6"/>
      <c r="N533" s="6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spans="1:26" ht="14.25" customHeight="1">
      <c r="A534" s="138"/>
      <c r="B534" s="138"/>
      <c r="C534" s="138"/>
      <c r="D534" s="137"/>
      <c r="E534" s="137"/>
      <c r="F534" s="137"/>
      <c r="G534" s="137"/>
      <c r="H534" s="137"/>
      <c r="I534" s="137"/>
      <c r="J534" s="137"/>
      <c r="K534" s="6"/>
      <c r="L534" s="6"/>
      <c r="M534" s="6"/>
      <c r="N534" s="6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spans="1:26" ht="14.25" customHeight="1">
      <c r="A535" s="138"/>
      <c r="B535" s="138"/>
      <c r="C535" s="138"/>
      <c r="D535" s="137"/>
      <c r="E535" s="137"/>
      <c r="F535" s="137"/>
      <c r="G535" s="137"/>
      <c r="H535" s="137"/>
      <c r="I535" s="137"/>
      <c r="J535" s="137"/>
      <c r="K535" s="6"/>
      <c r="L535" s="6"/>
      <c r="M535" s="6"/>
      <c r="N535" s="6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spans="1:26" ht="14.25" customHeight="1">
      <c r="A536" s="138"/>
      <c r="B536" s="138"/>
      <c r="C536" s="138"/>
      <c r="D536" s="137"/>
      <c r="E536" s="137"/>
      <c r="F536" s="137"/>
      <c r="G536" s="137"/>
      <c r="H536" s="137"/>
      <c r="I536" s="137"/>
      <c r="J536" s="137"/>
      <c r="K536" s="6"/>
      <c r="L536" s="6"/>
      <c r="M536" s="6"/>
      <c r="N536" s="6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spans="1:26" ht="14.25" customHeight="1">
      <c r="A537" s="138"/>
      <c r="B537" s="138"/>
      <c r="C537" s="138"/>
      <c r="D537" s="137"/>
      <c r="E537" s="137"/>
      <c r="F537" s="137"/>
      <c r="G537" s="137"/>
      <c r="H537" s="137"/>
      <c r="I537" s="137"/>
      <c r="J537" s="137"/>
      <c r="K537" s="6"/>
      <c r="L537" s="6"/>
      <c r="M537" s="6"/>
      <c r="N537" s="6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spans="1:26" ht="14.25" customHeight="1">
      <c r="A538" s="138"/>
      <c r="B538" s="138"/>
      <c r="C538" s="138"/>
      <c r="D538" s="137"/>
      <c r="E538" s="137"/>
      <c r="F538" s="137"/>
      <c r="G538" s="137"/>
      <c r="H538" s="137"/>
      <c r="I538" s="137"/>
      <c r="J538" s="137"/>
      <c r="K538" s="6"/>
      <c r="L538" s="6"/>
      <c r="M538" s="6"/>
      <c r="N538" s="6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spans="1:26" ht="14.25" customHeight="1">
      <c r="A539" s="138"/>
      <c r="B539" s="138"/>
      <c r="C539" s="138"/>
      <c r="D539" s="137"/>
      <c r="E539" s="137"/>
      <c r="F539" s="137"/>
      <c r="G539" s="137"/>
      <c r="H539" s="137"/>
      <c r="I539" s="137"/>
      <c r="J539" s="137"/>
      <c r="K539" s="6"/>
      <c r="L539" s="6"/>
      <c r="M539" s="6"/>
      <c r="N539" s="6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spans="1:26" ht="14.25" customHeight="1">
      <c r="A540" s="138"/>
      <c r="B540" s="138"/>
      <c r="C540" s="138"/>
      <c r="D540" s="137"/>
      <c r="E540" s="137"/>
      <c r="F540" s="137"/>
      <c r="G540" s="137"/>
      <c r="H540" s="137"/>
      <c r="I540" s="137"/>
      <c r="J540" s="137"/>
      <c r="K540" s="6"/>
      <c r="L540" s="6"/>
      <c r="M540" s="6"/>
      <c r="N540" s="6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spans="1:26" ht="14.25" customHeight="1">
      <c r="A541" s="138"/>
      <c r="B541" s="138"/>
      <c r="C541" s="138"/>
      <c r="D541" s="137"/>
      <c r="E541" s="137"/>
      <c r="F541" s="137"/>
      <c r="G541" s="137"/>
      <c r="H541" s="137"/>
      <c r="I541" s="137"/>
      <c r="J541" s="137"/>
      <c r="K541" s="6"/>
      <c r="L541" s="6"/>
      <c r="M541" s="6"/>
      <c r="N541" s="6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spans="1:26" ht="14.25" customHeight="1">
      <c r="A542" s="138"/>
      <c r="B542" s="138"/>
      <c r="C542" s="138"/>
      <c r="D542" s="137"/>
      <c r="E542" s="137"/>
      <c r="F542" s="137"/>
      <c r="G542" s="137"/>
      <c r="H542" s="137"/>
      <c r="I542" s="137"/>
      <c r="J542" s="137"/>
      <c r="K542" s="6"/>
      <c r="L542" s="6"/>
      <c r="M542" s="6"/>
      <c r="N542" s="6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spans="1:26" ht="14.25" customHeight="1">
      <c r="A543" s="138"/>
      <c r="B543" s="138"/>
      <c r="C543" s="138"/>
      <c r="D543" s="137"/>
      <c r="E543" s="137"/>
      <c r="F543" s="137"/>
      <c r="G543" s="137"/>
      <c r="H543" s="137"/>
      <c r="I543" s="137"/>
      <c r="J543" s="137"/>
      <c r="K543" s="6"/>
      <c r="L543" s="6"/>
      <c r="M543" s="6"/>
      <c r="N543" s="6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spans="1:26" ht="14.25" customHeight="1">
      <c r="A544" s="138"/>
      <c r="B544" s="138"/>
      <c r="C544" s="138"/>
      <c r="D544" s="137"/>
      <c r="E544" s="137"/>
      <c r="F544" s="137"/>
      <c r="G544" s="137"/>
      <c r="H544" s="137"/>
      <c r="I544" s="137"/>
      <c r="J544" s="137"/>
      <c r="K544" s="6"/>
      <c r="L544" s="6"/>
      <c r="M544" s="6"/>
      <c r="N544" s="6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spans="1:26" ht="14.25" customHeight="1">
      <c r="A545" s="138"/>
      <c r="B545" s="138"/>
      <c r="C545" s="138"/>
      <c r="D545" s="137"/>
      <c r="E545" s="137"/>
      <c r="F545" s="137"/>
      <c r="G545" s="137"/>
      <c r="H545" s="137"/>
      <c r="I545" s="137"/>
      <c r="J545" s="137"/>
      <c r="K545" s="6"/>
      <c r="L545" s="6"/>
      <c r="M545" s="6"/>
      <c r="N545" s="6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spans="1:26" ht="14.25" customHeight="1">
      <c r="A546" s="138"/>
      <c r="B546" s="138"/>
      <c r="C546" s="138"/>
      <c r="D546" s="137"/>
      <c r="E546" s="137"/>
      <c r="F546" s="137"/>
      <c r="G546" s="137"/>
      <c r="H546" s="137"/>
      <c r="I546" s="137"/>
      <c r="J546" s="137"/>
      <c r="K546" s="6"/>
      <c r="L546" s="6"/>
      <c r="M546" s="6"/>
      <c r="N546" s="6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spans="1:26" ht="14.25" customHeight="1">
      <c r="A547" s="138"/>
      <c r="B547" s="138"/>
      <c r="C547" s="138"/>
      <c r="D547" s="137"/>
      <c r="E547" s="137"/>
      <c r="F547" s="137"/>
      <c r="G547" s="137"/>
      <c r="H547" s="137"/>
      <c r="I547" s="137"/>
      <c r="J547" s="137"/>
      <c r="K547" s="6"/>
      <c r="L547" s="6"/>
      <c r="M547" s="6"/>
      <c r="N547" s="6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spans="1:26" ht="14.25" customHeight="1">
      <c r="A548" s="138"/>
      <c r="B548" s="138"/>
      <c r="C548" s="138"/>
      <c r="D548" s="137"/>
      <c r="E548" s="137"/>
      <c r="F548" s="137"/>
      <c r="G548" s="137"/>
      <c r="H548" s="137"/>
      <c r="I548" s="137"/>
      <c r="J548" s="137"/>
      <c r="K548" s="6"/>
      <c r="L548" s="6"/>
      <c r="M548" s="6"/>
      <c r="N548" s="6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spans="1:26" ht="14.25" customHeight="1">
      <c r="A549" s="138"/>
      <c r="B549" s="138"/>
      <c r="C549" s="138"/>
      <c r="D549" s="137"/>
      <c r="E549" s="137"/>
      <c r="F549" s="137"/>
      <c r="G549" s="137"/>
      <c r="H549" s="137"/>
      <c r="I549" s="137"/>
      <c r="J549" s="137"/>
      <c r="K549" s="6"/>
      <c r="L549" s="6"/>
      <c r="M549" s="6"/>
      <c r="N549" s="6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spans="1:26" ht="14.25" customHeight="1">
      <c r="A550" s="138"/>
      <c r="B550" s="138"/>
      <c r="C550" s="138"/>
      <c r="D550" s="137"/>
      <c r="E550" s="137"/>
      <c r="F550" s="137"/>
      <c r="G550" s="137"/>
      <c r="H550" s="137"/>
      <c r="I550" s="137"/>
      <c r="J550" s="137"/>
      <c r="K550" s="6"/>
      <c r="L550" s="6"/>
      <c r="M550" s="6"/>
      <c r="N550" s="6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spans="1:26" ht="14.25" customHeight="1">
      <c r="A551" s="138"/>
      <c r="B551" s="138"/>
      <c r="C551" s="138"/>
      <c r="D551" s="137"/>
      <c r="E551" s="137"/>
      <c r="F551" s="137"/>
      <c r="G551" s="137"/>
      <c r="H551" s="137"/>
      <c r="I551" s="137"/>
      <c r="J551" s="137"/>
      <c r="K551" s="6"/>
      <c r="L551" s="6"/>
      <c r="M551" s="6"/>
      <c r="N551" s="6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spans="1:26" ht="14.25" customHeight="1">
      <c r="A552" s="138"/>
      <c r="B552" s="138"/>
      <c r="C552" s="138"/>
      <c r="D552" s="137"/>
      <c r="E552" s="137"/>
      <c r="F552" s="137"/>
      <c r="G552" s="137"/>
      <c r="H552" s="137"/>
      <c r="I552" s="137"/>
      <c r="J552" s="137"/>
      <c r="K552" s="6"/>
      <c r="L552" s="6"/>
      <c r="M552" s="6"/>
      <c r="N552" s="6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spans="1:26" ht="14.25" customHeight="1">
      <c r="A553" s="138"/>
      <c r="B553" s="138"/>
      <c r="C553" s="138"/>
      <c r="D553" s="137"/>
      <c r="E553" s="137"/>
      <c r="F553" s="137"/>
      <c r="G553" s="137"/>
      <c r="H553" s="137"/>
      <c r="I553" s="137"/>
      <c r="J553" s="137"/>
      <c r="K553" s="6"/>
      <c r="L553" s="6"/>
      <c r="M553" s="6"/>
      <c r="N553" s="6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spans="1:26" ht="14.25" customHeight="1">
      <c r="A554" s="138"/>
      <c r="B554" s="138"/>
      <c r="C554" s="138"/>
      <c r="D554" s="137"/>
      <c r="E554" s="137"/>
      <c r="F554" s="137"/>
      <c r="G554" s="137"/>
      <c r="H554" s="137"/>
      <c r="I554" s="137"/>
      <c r="J554" s="137"/>
      <c r="K554" s="6"/>
      <c r="L554" s="6"/>
      <c r="M554" s="6"/>
      <c r="N554" s="6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spans="1:26" ht="14.25" customHeight="1">
      <c r="A555" s="138"/>
      <c r="B555" s="138"/>
      <c r="C555" s="138"/>
      <c r="D555" s="137"/>
      <c r="E555" s="137"/>
      <c r="F555" s="137"/>
      <c r="G555" s="137"/>
      <c r="H555" s="137"/>
      <c r="I555" s="137"/>
      <c r="J555" s="137"/>
      <c r="K555" s="6"/>
      <c r="L555" s="6"/>
      <c r="M555" s="6"/>
      <c r="N555" s="6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spans="1:26" ht="14.25" customHeight="1">
      <c r="A556" s="138"/>
      <c r="B556" s="138"/>
      <c r="C556" s="138"/>
      <c r="D556" s="137"/>
      <c r="E556" s="137"/>
      <c r="F556" s="137"/>
      <c r="G556" s="137"/>
      <c r="H556" s="137"/>
      <c r="I556" s="137"/>
      <c r="J556" s="137"/>
      <c r="K556" s="6"/>
      <c r="L556" s="6"/>
      <c r="M556" s="6"/>
      <c r="N556" s="6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spans="1:26" ht="14.25" customHeight="1">
      <c r="A557" s="138"/>
      <c r="B557" s="138"/>
      <c r="C557" s="138"/>
      <c r="D557" s="137"/>
      <c r="E557" s="137"/>
      <c r="F557" s="137"/>
      <c r="G557" s="137"/>
      <c r="H557" s="137"/>
      <c r="I557" s="137"/>
      <c r="J557" s="137"/>
      <c r="K557" s="6"/>
      <c r="L557" s="6"/>
      <c r="M557" s="6"/>
      <c r="N557" s="6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spans="1:26" ht="14.25" customHeight="1">
      <c r="A558" s="138"/>
      <c r="B558" s="138"/>
      <c r="C558" s="138"/>
      <c r="D558" s="137"/>
      <c r="E558" s="137"/>
      <c r="F558" s="137"/>
      <c r="G558" s="137"/>
      <c r="H558" s="137"/>
      <c r="I558" s="137"/>
      <c r="J558" s="137"/>
      <c r="K558" s="6"/>
      <c r="L558" s="6"/>
      <c r="M558" s="6"/>
      <c r="N558" s="6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spans="1:26" ht="14.25" customHeight="1">
      <c r="A559" s="138"/>
      <c r="B559" s="138"/>
      <c r="C559" s="138"/>
      <c r="D559" s="137"/>
      <c r="E559" s="137"/>
      <c r="F559" s="137"/>
      <c r="G559" s="137"/>
      <c r="H559" s="137"/>
      <c r="I559" s="137"/>
      <c r="J559" s="137"/>
      <c r="K559" s="6"/>
      <c r="L559" s="6"/>
      <c r="M559" s="6"/>
      <c r="N559" s="6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spans="1:26" ht="14.25" customHeight="1">
      <c r="A560" s="138"/>
      <c r="B560" s="138"/>
      <c r="C560" s="138"/>
      <c r="D560" s="137"/>
      <c r="E560" s="137"/>
      <c r="F560" s="137"/>
      <c r="G560" s="137"/>
      <c r="H560" s="137"/>
      <c r="I560" s="137"/>
      <c r="J560" s="137"/>
      <c r="K560" s="6"/>
      <c r="L560" s="6"/>
      <c r="M560" s="6"/>
      <c r="N560" s="6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spans="1:26" ht="14.25" customHeight="1">
      <c r="A561" s="138"/>
      <c r="B561" s="138"/>
      <c r="C561" s="138"/>
      <c r="D561" s="137"/>
      <c r="E561" s="137"/>
      <c r="F561" s="137"/>
      <c r="G561" s="137"/>
      <c r="H561" s="137"/>
      <c r="I561" s="137"/>
      <c r="J561" s="137"/>
      <c r="K561" s="6"/>
      <c r="L561" s="6"/>
      <c r="M561" s="6"/>
      <c r="N561" s="6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spans="1:26" ht="14.25" customHeight="1">
      <c r="A562" s="138"/>
      <c r="B562" s="138"/>
      <c r="C562" s="138"/>
      <c r="D562" s="137"/>
      <c r="E562" s="137"/>
      <c r="F562" s="137"/>
      <c r="G562" s="137"/>
      <c r="H562" s="137"/>
      <c r="I562" s="137"/>
      <c r="J562" s="137"/>
      <c r="K562" s="6"/>
      <c r="L562" s="6"/>
      <c r="M562" s="6"/>
      <c r="N562" s="6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spans="1:26" ht="14.25" customHeight="1">
      <c r="A563" s="138"/>
      <c r="B563" s="138"/>
      <c r="C563" s="138"/>
      <c r="D563" s="137"/>
      <c r="E563" s="137"/>
      <c r="F563" s="137"/>
      <c r="G563" s="137"/>
      <c r="H563" s="137"/>
      <c r="I563" s="137"/>
      <c r="J563" s="137"/>
      <c r="K563" s="6"/>
      <c r="L563" s="6"/>
      <c r="M563" s="6"/>
      <c r="N563" s="6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spans="1:26" ht="14.25" customHeight="1">
      <c r="A564" s="138"/>
      <c r="B564" s="138"/>
      <c r="C564" s="138"/>
      <c r="D564" s="137"/>
      <c r="E564" s="137"/>
      <c r="F564" s="137"/>
      <c r="G564" s="137"/>
      <c r="H564" s="137"/>
      <c r="I564" s="137"/>
      <c r="J564" s="137"/>
      <c r="K564" s="6"/>
      <c r="L564" s="6"/>
      <c r="M564" s="6"/>
      <c r="N564" s="6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spans="1:26" ht="14.25" customHeight="1">
      <c r="A565" s="138"/>
      <c r="B565" s="138"/>
      <c r="C565" s="138"/>
      <c r="D565" s="137"/>
      <c r="E565" s="137"/>
      <c r="F565" s="137"/>
      <c r="G565" s="137"/>
      <c r="H565" s="137"/>
      <c r="I565" s="137"/>
      <c r="J565" s="137"/>
      <c r="K565" s="6"/>
      <c r="L565" s="6"/>
      <c r="M565" s="6"/>
      <c r="N565" s="6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spans="1:26" ht="14.25" customHeight="1">
      <c r="A566" s="138"/>
      <c r="B566" s="138"/>
      <c r="C566" s="138"/>
      <c r="D566" s="137"/>
      <c r="E566" s="137"/>
      <c r="F566" s="137"/>
      <c r="G566" s="137"/>
      <c r="H566" s="137"/>
      <c r="I566" s="137"/>
      <c r="J566" s="137"/>
      <c r="K566" s="6"/>
      <c r="L566" s="6"/>
      <c r="M566" s="6"/>
      <c r="N566" s="6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spans="1:26" ht="14.25" customHeight="1">
      <c r="A567" s="138"/>
      <c r="B567" s="138"/>
      <c r="C567" s="138"/>
      <c r="D567" s="137"/>
      <c r="E567" s="137"/>
      <c r="F567" s="137"/>
      <c r="G567" s="137"/>
      <c r="H567" s="137"/>
      <c r="I567" s="137"/>
      <c r="J567" s="137"/>
      <c r="K567" s="6"/>
      <c r="L567" s="6"/>
      <c r="M567" s="6"/>
      <c r="N567" s="6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spans="1:26" ht="14.25" customHeight="1">
      <c r="A568" s="138"/>
      <c r="B568" s="138"/>
      <c r="C568" s="138"/>
      <c r="D568" s="137"/>
      <c r="E568" s="137"/>
      <c r="F568" s="137"/>
      <c r="G568" s="137"/>
      <c r="H568" s="137"/>
      <c r="I568" s="137"/>
      <c r="J568" s="137"/>
      <c r="K568" s="6"/>
      <c r="L568" s="6"/>
      <c r="M568" s="6"/>
      <c r="N568" s="6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spans="1:26" ht="14.25" customHeight="1">
      <c r="A569" s="138"/>
      <c r="B569" s="138"/>
      <c r="C569" s="138"/>
      <c r="D569" s="137"/>
      <c r="E569" s="137"/>
      <c r="F569" s="137"/>
      <c r="G569" s="137"/>
      <c r="H569" s="137"/>
      <c r="I569" s="137"/>
      <c r="J569" s="137"/>
      <c r="K569" s="6"/>
      <c r="L569" s="6"/>
      <c r="M569" s="6"/>
      <c r="N569" s="6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spans="1:26" ht="14.25" customHeight="1">
      <c r="A570" s="138"/>
      <c r="B570" s="138"/>
      <c r="C570" s="138"/>
      <c r="D570" s="137"/>
      <c r="E570" s="137"/>
      <c r="F570" s="137"/>
      <c r="G570" s="137"/>
      <c r="H570" s="137"/>
      <c r="I570" s="137"/>
      <c r="J570" s="137"/>
      <c r="K570" s="6"/>
      <c r="L570" s="6"/>
      <c r="M570" s="6"/>
      <c r="N570" s="6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spans="1:26" ht="14.25" customHeight="1">
      <c r="A571" s="138"/>
      <c r="B571" s="138"/>
      <c r="C571" s="138"/>
      <c r="D571" s="137"/>
      <c r="E571" s="137"/>
      <c r="F571" s="137"/>
      <c r="G571" s="137"/>
      <c r="H571" s="137"/>
      <c r="I571" s="137"/>
      <c r="J571" s="137"/>
      <c r="K571" s="6"/>
      <c r="L571" s="6"/>
      <c r="M571" s="6"/>
      <c r="N571" s="6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spans="1:26" ht="14.25" customHeight="1">
      <c r="A572" s="138"/>
      <c r="B572" s="138"/>
      <c r="C572" s="138"/>
      <c r="D572" s="137"/>
      <c r="E572" s="137"/>
      <c r="F572" s="137"/>
      <c r="G572" s="137"/>
      <c r="H572" s="137"/>
      <c r="I572" s="137"/>
      <c r="J572" s="137"/>
      <c r="K572" s="6"/>
      <c r="L572" s="6"/>
      <c r="M572" s="6"/>
      <c r="N572" s="6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spans="1:26" ht="14.25" customHeight="1">
      <c r="A573" s="138"/>
      <c r="B573" s="138"/>
      <c r="C573" s="138"/>
      <c r="D573" s="137"/>
      <c r="E573" s="137"/>
      <c r="F573" s="137"/>
      <c r="G573" s="137"/>
      <c r="H573" s="137"/>
      <c r="I573" s="137"/>
      <c r="J573" s="137"/>
      <c r="K573" s="6"/>
      <c r="L573" s="6"/>
      <c r="M573" s="6"/>
      <c r="N573" s="6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spans="1:26" ht="14.25" customHeight="1">
      <c r="A574" s="138"/>
      <c r="B574" s="138"/>
      <c r="C574" s="138"/>
      <c r="D574" s="137"/>
      <c r="E574" s="137"/>
      <c r="F574" s="137"/>
      <c r="G574" s="137"/>
      <c r="H574" s="137"/>
      <c r="I574" s="137"/>
      <c r="J574" s="137"/>
      <c r="K574" s="6"/>
      <c r="L574" s="6"/>
      <c r="M574" s="6"/>
      <c r="N574" s="6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spans="1:26" ht="14.25" customHeight="1">
      <c r="A575" s="138"/>
      <c r="B575" s="138"/>
      <c r="C575" s="138"/>
      <c r="D575" s="137"/>
      <c r="E575" s="137"/>
      <c r="F575" s="137"/>
      <c r="G575" s="137"/>
      <c r="H575" s="137"/>
      <c r="I575" s="137"/>
      <c r="J575" s="137"/>
      <c r="K575" s="6"/>
      <c r="L575" s="6"/>
      <c r="M575" s="6"/>
      <c r="N575" s="6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spans="1:26" ht="14.25" customHeight="1">
      <c r="A576" s="138"/>
      <c r="B576" s="138"/>
      <c r="C576" s="138"/>
      <c r="D576" s="137"/>
      <c r="E576" s="137"/>
      <c r="F576" s="137"/>
      <c r="G576" s="137"/>
      <c r="H576" s="137"/>
      <c r="I576" s="137"/>
      <c r="J576" s="137"/>
      <c r="K576" s="6"/>
      <c r="L576" s="6"/>
      <c r="M576" s="6"/>
      <c r="N576" s="6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spans="1:26" ht="14.25" customHeight="1">
      <c r="A577" s="138"/>
      <c r="B577" s="138"/>
      <c r="C577" s="138"/>
      <c r="D577" s="137"/>
      <c r="E577" s="137"/>
      <c r="F577" s="137"/>
      <c r="G577" s="137"/>
      <c r="H577" s="137"/>
      <c r="I577" s="137"/>
      <c r="J577" s="137"/>
      <c r="K577" s="6"/>
      <c r="L577" s="6"/>
      <c r="M577" s="6"/>
      <c r="N577" s="6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spans="1:26" ht="14.25" customHeight="1">
      <c r="A578" s="138"/>
      <c r="B578" s="138"/>
      <c r="C578" s="138"/>
      <c r="D578" s="137"/>
      <c r="E578" s="137"/>
      <c r="F578" s="137"/>
      <c r="G578" s="137"/>
      <c r="H578" s="137"/>
      <c r="I578" s="137"/>
      <c r="J578" s="137"/>
      <c r="K578" s="6"/>
      <c r="L578" s="6"/>
      <c r="M578" s="6"/>
      <c r="N578" s="6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spans="1:26" ht="14.25" customHeight="1">
      <c r="A579" s="138"/>
      <c r="B579" s="138"/>
      <c r="C579" s="138"/>
      <c r="D579" s="137"/>
      <c r="E579" s="137"/>
      <c r="F579" s="137"/>
      <c r="G579" s="137"/>
      <c r="H579" s="137"/>
      <c r="I579" s="137"/>
      <c r="J579" s="137"/>
      <c r="K579" s="6"/>
      <c r="L579" s="6"/>
      <c r="M579" s="6"/>
      <c r="N579" s="6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spans="1:26" ht="14.25" customHeight="1">
      <c r="A580" s="138"/>
      <c r="B580" s="138"/>
      <c r="C580" s="138"/>
      <c r="D580" s="137"/>
      <c r="E580" s="137"/>
      <c r="F580" s="137"/>
      <c r="G580" s="137"/>
      <c r="H580" s="137"/>
      <c r="I580" s="137"/>
      <c r="J580" s="137"/>
      <c r="K580" s="6"/>
      <c r="L580" s="6"/>
      <c r="M580" s="6"/>
      <c r="N580" s="6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spans="1:26" ht="14.25" customHeight="1">
      <c r="A581" s="138"/>
      <c r="B581" s="138"/>
      <c r="C581" s="138"/>
      <c r="D581" s="137"/>
      <c r="E581" s="137"/>
      <c r="F581" s="137"/>
      <c r="G581" s="137"/>
      <c r="H581" s="137"/>
      <c r="I581" s="137"/>
      <c r="J581" s="137"/>
      <c r="K581" s="6"/>
      <c r="L581" s="6"/>
      <c r="M581" s="6"/>
      <c r="N581" s="6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spans="1:26" ht="14.25" customHeight="1">
      <c r="A582" s="138"/>
      <c r="B582" s="138"/>
      <c r="C582" s="138"/>
      <c r="D582" s="137"/>
      <c r="E582" s="137"/>
      <c r="F582" s="137"/>
      <c r="G582" s="137"/>
      <c r="H582" s="137"/>
      <c r="I582" s="137"/>
      <c r="J582" s="137"/>
      <c r="K582" s="6"/>
      <c r="L582" s="6"/>
      <c r="M582" s="6"/>
      <c r="N582" s="6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spans="1:26" ht="14.25" customHeight="1">
      <c r="A583" s="138"/>
      <c r="B583" s="138"/>
      <c r="C583" s="138"/>
      <c r="D583" s="137"/>
      <c r="E583" s="137"/>
      <c r="F583" s="137"/>
      <c r="G583" s="137"/>
      <c r="H583" s="137"/>
      <c r="I583" s="137"/>
      <c r="J583" s="137"/>
      <c r="K583" s="6"/>
      <c r="L583" s="6"/>
      <c r="M583" s="6"/>
      <c r="N583" s="6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spans="1:26" ht="14.25" customHeight="1">
      <c r="A584" s="138"/>
      <c r="B584" s="138"/>
      <c r="C584" s="138"/>
      <c r="D584" s="137"/>
      <c r="E584" s="137"/>
      <c r="F584" s="137"/>
      <c r="G584" s="137"/>
      <c r="H584" s="137"/>
      <c r="I584" s="137"/>
      <c r="J584" s="137"/>
      <c r="K584" s="6"/>
      <c r="L584" s="6"/>
      <c r="M584" s="6"/>
      <c r="N584" s="6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spans="1:26" ht="14.25" customHeight="1">
      <c r="A585" s="138"/>
      <c r="B585" s="138"/>
      <c r="C585" s="138"/>
      <c r="D585" s="137"/>
      <c r="E585" s="137"/>
      <c r="F585" s="137"/>
      <c r="G585" s="137"/>
      <c r="H585" s="137"/>
      <c r="I585" s="137"/>
      <c r="J585" s="137"/>
      <c r="K585" s="6"/>
      <c r="L585" s="6"/>
      <c r="M585" s="6"/>
      <c r="N585" s="6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spans="1:26" ht="14.25" customHeight="1">
      <c r="A586" s="138"/>
      <c r="B586" s="138"/>
      <c r="C586" s="138"/>
      <c r="D586" s="137"/>
      <c r="E586" s="137"/>
      <c r="F586" s="137"/>
      <c r="G586" s="137"/>
      <c r="H586" s="137"/>
      <c r="I586" s="137"/>
      <c r="J586" s="137"/>
      <c r="K586" s="6"/>
      <c r="L586" s="6"/>
      <c r="M586" s="6"/>
      <c r="N586" s="6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spans="1:26" ht="14.25" customHeight="1">
      <c r="A587" s="138"/>
      <c r="B587" s="138"/>
      <c r="C587" s="138"/>
      <c r="D587" s="137"/>
      <c r="E587" s="137"/>
      <c r="F587" s="137"/>
      <c r="G587" s="137"/>
      <c r="H587" s="137"/>
      <c r="I587" s="137"/>
      <c r="J587" s="137"/>
      <c r="K587" s="6"/>
      <c r="L587" s="6"/>
      <c r="M587" s="6"/>
      <c r="N587" s="6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spans="1:26" ht="14.25" customHeight="1">
      <c r="A588" s="138"/>
      <c r="B588" s="138"/>
      <c r="C588" s="138"/>
      <c r="D588" s="137"/>
      <c r="E588" s="137"/>
      <c r="F588" s="137"/>
      <c r="G588" s="137"/>
      <c r="H588" s="137"/>
      <c r="I588" s="137"/>
      <c r="J588" s="137"/>
      <c r="K588" s="6"/>
      <c r="L588" s="6"/>
      <c r="M588" s="6"/>
      <c r="N588" s="6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spans="1:26" ht="14.25" customHeight="1">
      <c r="A589" s="138"/>
      <c r="B589" s="138"/>
      <c r="C589" s="138"/>
      <c r="D589" s="137"/>
      <c r="E589" s="137"/>
      <c r="F589" s="137"/>
      <c r="G589" s="137"/>
      <c r="H589" s="137"/>
      <c r="I589" s="137"/>
      <c r="J589" s="137"/>
      <c r="K589" s="6"/>
      <c r="L589" s="6"/>
      <c r="M589" s="6"/>
      <c r="N589" s="6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spans="1:26" ht="14.25" customHeight="1">
      <c r="A590" s="138"/>
      <c r="B590" s="138"/>
      <c r="C590" s="138"/>
      <c r="D590" s="137"/>
      <c r="E590" s="137"/>
      <c r="F590" s="137"/>
      <c r="G590" s="137"/>
      <c r="H590" s="137"/>
      <c r="I590" s="137"/>
      <c r="J590" s="137"/>
      <c r="K590" s="6"/>
      <c r="L590" s="6"/>
      <c r="M590" s="6"/>
      <c r="N590" s="6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spans="1:26" ht="14.25" customHeight="1">
      <c r="A591" s="138"/>
      <c r="B591" s="138"/>
      <c r="C591" s="138"/>
      <c r="D591" s="137"/>
      <c r="E591" s="137"/>
      <c r="F591" s="137"/>
      <c r="G591" s="137"/>
      <c r="H591" s="137"/>
      <c r="I591" s="137"/>
      <c r="J591" s="137"/>
      <c r="K591" s="6"/>
      <c r="L591" s="6"/>
      <c r="M591" s="6"/>
      <c r="N591" s="6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spans="1:26" ht="14.25" customHeight="1">
      <c r="A592" s="138"/>
      <c r="B592" s="138"/>
      <c r="C592" s="138"/>
      <c r="D592" s="137"/>
      <c r="E592" s="137"/>
      <c r="F592" s="137"/>
      <c r="G592" s="137"/>
      <c r="H592" s="137"/>
      <c r="I592" s="137"/>
      <c r="J592" s="137"/>
      <c r="K592" s="6"/>
      <c r="L592" s="6"/>
      <c r="M592" s="6"/>
      <c r="N592" s="6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spans="1:26" ht="14.25" customHeight="1">
      <c r="A593" s="138"/>
      <c r="B593" s="138"/>
      <c r="C593" s="138"/>
      <c r="D593" s="137"/>
      <c r="E593" s="137"/>
      <c r="F593" s="137"/>
      <c r="G593" s="137"/>
      <c r="H593" s="137"/>
      <c r="I593" s="137"/>
      <c r="J593" s="137"/>
      <c r="K593" s="6"/>
      <c r="L593" s="6"/>
      <c r="M593" s="6"/>
      <c r="N593" s="6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spans="1:26" ht="14.25" customHeight="1">
      <c r="A594" s="138"/>
      <c r="B594" s="138"/>
      <c r="C594" s="138"/>
      <c r="D594" s="137"/>
      <c r="E594" s="137"/>
      <c r="F594" s="137"/>
      <c r="G594" s="137"/>
      <c r="H594" s="137"/>
      <c r="I594" s="137"/>
      <c r="J594" s="137"/>
      <c r="K594" s="6"/>
      <c r="L594" s="6"/>
      <c r="M594" s="6"/>
      <c r="N594" s="6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spans="1:26" ht="14.25" customHeight="1">
      <c r="A595" s="138"/>
      <c r="B595" s="138"/>
      <c r="C595" s="138"/>
      <c r="D595" s="137"/>
      <c r="E595" s="137"/>
      <c r="F595" s="137"/>
      <c r="G595" s="137"/>
      <c r="H595" s="137"/>
      <c r="I595" s="137"/>
      <c r="J595" s="137"/>
      <c r="K595" s="6"/>
      <c r="L595" s="6"/>
      <c r="M595" s="6"/>
      <c r="N595" s="6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spans="1:26" ht="14.25" customHeight="1">
      <c r="A596" s="138"/>
      <c r="B596" s="138"/>
      <c r="C596" s="138"/>
      <c r="D596" s="137"/>
      <c r="E596" s="137"/>
      <c r="F596" s="137"/>
      <c r="G596" s="137"/>
      <c r="H596" s="137"/>
      <c r="I596" s="137"/>
      <c r="J596" s="137"/>
      <c r="K596" s="6"/>
      <c r="L596" s="6"/>
      <c r="M596" s="6"/>
      <c r="N596" s="6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spans="1:26" ht="14.25" customHeight="1">
      <c r="A597" s="138"/>
      <c r="B597" s="138"/>
      <c r="C597" s="138"/>
      <c r="D597" s="137"/>
      <c r="E597" s="137"/>
      <c r="F597" s="137"/>
      <c r="G597" s="137"/>
      <c r="H597" s="137"/>
      <c r="I597" s="137"/>
      <c r="J597" s="137"/>
      <c r="K597" s="6"/>
      <c r="L597" s="6"/>
      <c r="M597" s="6"/>
      <c r="N597" s="6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spans="1:26" ht="14.25" customHeight="1">
      <c r="A598" s="138"/>
      <c r="B598" s="138"/>
      <c r="C598" s="138"/>
      <c r="D598" s="137"/>
      <c r="E598" s="137"/>
      <c r="F598" s="137"/>
      <c r="G598" s="137"/>
      <c r="H598" s="137"/>
      <c r="I598" s="137"/>
      <c r="J598" s="137"/>
      <c r="K598" s="6"/>
      <c r="L598" s="6"/>
      <c r="M598" s="6"/>
      <c r="N598" s="6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spans="1:26" ht="14.25" customHeight="1">
      <c r="A599" s="138"/>
      <c r="B599" s="138"/>
      <c r="C599" s="138"/>
      <c r="D599" s="137"/>
      <c r="E599" s="137"/>
      <c r="F599" s="137"/>
      <c r="G599" s="137"/>
      <c r="H599" s="137"/>
      <c r="I599" s="137"/>
      <c r="J599" s="137"/>
      <c r="K599" s="6"/>
      <c r="L599" s="6"/>
      <c r="M599" s="6"/>
      <c r="N599" s="6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spans="1:26" ht="14.25" customHeight="1">
      <c r="A600" s="138"/>
      <c r="B600" s="138"/>
      <c r="C600" s="138"/>
      <c r="D600" s="137"/>
      <c r="E600" s="137"/>
      <c r="F600" s="137"/>
      <c r="G600" s="137"/>
      <c r="H600" s="137"/>
      <c r="I600" s="137"/>
      <c r="J600" s="137"/>
      <c r="K600" s="6"/>
      <c r="L600" s="6"/>
      <c r="M600" s="6"/>
      <c r="N600" s="6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spans="1:26" ht="14.25" customHeight="1">
      <c r="A601" s="138"/>
      <c r="B601" s="138"/>
      <c r="C601" s="138"/>
      <c r="D601" s="137"/>
      <c r="E601" s="137"/>
      <c r="F601" s="137"/>
      <c r="G601" s="137"/>
      <c r="H601" s="137"/>
      <c r="I601" s="137"/>
      <c r="J601" s="137"/>
      <c r="K601" s="6"/>
      <c r="L601" s="6"/>
      <c r="M601" s="6"/>
      <c r="N601" s="6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spans="1:26" ht="14.25" customHeight="1">
      <c r="A602" s="138"/>
      <c r="B602" s="138"/>
      <c r="C602" s="138"/>
      <c r="D602" s="137"/>
      <c r="E602" s="137"/>
      <c r="F602" s="137"/>
      <c r="G602" s="137"/>
      <c r="H602" s="137"/>
      <c r="I602" s="137"/>
      <c r="J602" s="137"/>
      <c r="K602" s="6"/>
      <c r="L602" s="6"/>
      <c r="M602" s="6"/>
      <c r="N602" s="6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spans="1:26" ht="14.25" customHeight="1">
      <c r="A603" s="138"/>
      <c r="B603" s="138"/>
      <c r="C603" s="138"/>
      <c r="D603" s="137"/>
      <c r="E603" s="137"/>
      <c r="F603" s="137"/>
      <c r="G603" s="137"/>
      <c r="H603" s="137"/>
      <c r="I603" s="137"/>
      <c r="J603" s="137"/>
      <c r="K603" s="6"/>
      <c r="L603" s="6"/>
      <c r="M603" s="6"/>
      <c r="N603" s="6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spans="1:26" ht="14.25" customHeight="1">
      <c r="A604" s="138"/>
      <c r="B604" s="138"/>
      <c r="C604" s="138"/>
      <c r="D604" s="137"/>
      <c r="E604" s="137"/>
      <c r="F604" s="137"/>
      <c r="G604" s="137"/>
      <c r="H604" s="137"/>
      <c r="I604" s="137"/>
      <c r="J604" s="137"/>
      <c r="K604" s="6"/>
      <c r="L604" s="6"/>
      <c r="M604" s="6"/>
      <c r="N604" s="6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spans="1:26" ht="14.25" customHeight="1">
      <c r="A605" s="138"/>
      <c r="B605" s="138"/>
      <c r="C605" s="138"/>
      <c r="D605" s="137"/>
      <c r="E605" s="137"/>
      <c r="F605" s="137"/>
      <c r="G605" s="137"/>
      <c r="H605" s="137"/>
      <c r="I605" s="137"/>
      <c r="J605" s="137"/>
      <c r="K605" s="6"/>
      <c r="L605" s="6"/>
      <c r="M605" s="6"/>
      <c r="N605" s="6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spans="1:26" ht="14.25" customHeight="1">
      <c r="A606" s="138"/>
      <c r="B606" s="138"/>
      <c r="C606" s="138"/>
      <c r="D606" s="137"/>
      <c r="E606" s="137"/>
      <c r="F606" s="137"/>
      <c r="G606" s="137"/>
      <c r="H606" s="137"/>
      <c r="I606" s="137"/>
      <c r="J606" s="137"/>
      <c r="K606" s="6"/>
      <c r="L606" s="6"/>
      <c r="M606" s="6"/>
      <c r="N606" s="6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spans="1:26" ht="14.25" customHeight="1">
      <c r="A607" s="138"/>
      <c r="B607" s="138"/>
      <c r="C607" s="138"/>
      <c r="D607" s="137"/>
      <c r="E607" s="137"/>
      <c r="F607" s="137"/>
      <c r="G607" s="137"/>
      <c r="H607" s="137"/>
      <c r="I607" s="137"/>
      <c r="J607" s="137"/>
      <c r="K607" s="6"/>
      <c r="L607" s="6"/>
      <c r="M607" s="6"/>
      <c r="N607" s="6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spans="1:26" ht="14.25" customHeight="1">
      <c r="A608" s="138"/>
      <c r="B608" s="138"/>
      <c r="C608" s="138"/>
      <c r="D608" s="137"/>
      <c r="E608" s="137"/>
      <c r="F608" s="137"/>
      <c r="G608" s="137"/>
      <c r="H608" s="137"/>
      <c r="I608" s="137"/>
      <c r="J608" s="137"/>
      <c r="K608" s="6"/>
      <c r="L608" s="6"/>
      <c r="M608" s="6"/>
      <c r="N608" s="6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spans="1:26" ht="14.25" customHeight="1">
      <c r="A609" s="138"/>
      <c r="B609" s="138"/>
      <c r="C609" s="138"/>
      <c r="D609" s="137"/>
      <c r="E609" s="137"/>
      <c r="F609" s="137"/>
      <c r="G609" s="137"/>
      <c r="H609" s="137"/>
      <c r="I609" s="137"/>
      <c r="J609" s="137"/>
      <c r="K609" s="6"/>
      <c r="L609" s="6"/>
      <c r="M609" s="6"/>
      <c r="N609" s="6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spans="1:26" ht="14.25" customHeight="1">
      <c r="A610" s="138"/>
      <c r="B610" s="138"/>
      <c r="C610" s="138"/>
      <c r="D610" s="137"/>
      <c r="E610" s="137"/>
      <c r="F610" s="137"/>
      <c r="G610" s="137"/>
      <c r="H610" s="137"/>
      <c r="I610" s="137"/>
      <c r="J610" s="137"/>
      <c r="K610" s="6"/>
      <c r="L610" s="6"/>
      <c r="M610" s="6"/>
      <c r="N610" s="6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spans="1:26" ht="14.25" customHeight="1">
      <c r="A611" s="138"/>
      <c r="B611" s="138"/>
      <c r="C611" s="138"/>
      <c r="D611" s="137"/>
      <c r="E611" s="137"/>
      <c r="F611" s="137"/>
      <c r="G611" s="137"/>
      <c r="H611" s="137"/>
      <c r="I611" s="137"/>
      <c r="J611" s="137"/>
      <c r="K611" s="6"/>
      <c r="L611" s="6"/>
      <c r="M611" s="6"/>
      <c r="N611" s="6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spans="1:26" ht="14.25" customHeight="1">
      <c r="A612" s="138"/>
      <c r="B612" s="138"/>
      <c r="C612" s="138"/>
      <c r="D612" s="137"/>
      <c r="E612" s="137"/>
      <c r="F612" s="137"/>
      <c r="G612" s="137"/>
      <c r="H612" s="137"/>
      <c r="I612" s="137"/>
      <c r="J612" s="137"/>
      <c r="K612" s="6"/>
      <c r="L612" s="6"/>
      <c r="M612" s="6"/>
      <c r="N612" s="6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spans="1:26" ht="14.25" customHeight="1">
      <c r="A613" s="138"/>
      <c r="B613" s="138"/>
      <c r="C613" s="138"/>
      <c r="D613" s="137"/>
      <c r="E613" s="137"/>
      <c r="F613" s="137"/>
      <c r="G613" s="137"/>
      <c r="H613" s="137"/>
      <c r="I613" s="137"/>
      <c r="J613" s="137"/>
      <c r="K613" s="6"/>
      <c r="L613" s="6"/>
      <c r="M613" s="6"/>
      <c r="N613" s="6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spans="1:26" ht="14.25" customHeight="1">
      <c r="A614" s="138"/>
      <c r="B614" s="138"/>
      <c r="C614" s="138"/>
      <c r="D614" s="137"/>
      <c r="E614" s="137"/>
      <c r="F614" s="137"/>
      <c r="G614" s="137"/>
      <c r="H614" s="137"/>
      <c r="I614" s="137"/>
      <c r="J614" s="137"/>
      <c r="K614" s="6"/>
      <c r="L614" s="6"/>
      <c r="M614" s="6"/>
      <c r="N614" s="6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spans="1:26" ht="14.25" customHeight="1">
      <c r="A615" s="138"/>
      <c r="B615" s="138"/>
      <c r="C615" s="138"/>
      <c r="D615" s="137"/>
      <c r="E615" s="137"/>
      <c r="F615" s="137"/>
      <c r="G615" s="137"/>
      <c r="H615" s="137"/>
      <c r="I615" s="137"/>
      <c r="J615" s="137"/>
      <c r="K615" s="6"/>
      <c r="L615" s="6"/>
      <c r="M615" s="6"/>
      <c r="N615" s="6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spans="1:26" ht="14.25" customHeight="1">
      <c r="A616" s="138"/>
      <c r="B616" s="138"/>
      <c r="C616" s="138"/>
      <c r="D616" s="137"/>
      <c r="E616" s="137"/>
      <c r="F616" s="137"/>
      <c r="G616" s="137"/>
      <c r="H616" s="137"/>
      <c r="I616" s="137"/>
      <c r="J616" s="137"/>
      <c r="K616" s="6"/>
      <c r="L616" s="6"/>
      <c r="M616" s="6"/>
      <c r="N616" s="6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spans="1:26" ht="14.25" customHeight="1">
      <c r="A617" s="138"/>
      <c r="B617" s="138"/>
      <c r="C617" s="138"/>
      <c r="D617" s="137"/>
      <c r="E617" s="137"/>
      <c r="F617" s="137"/>
      <c r="G617" s="137"/>
      <c r="H617" s="137"/>
      <c r="I617" s="137"/>
      <c r="J617" s="137"/>
      <c r="K617" s="6"/>
      <c r="L617" s="6"/>
      <c r="M617" s="6"/>
      <c r="N617" s="6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spans="1:26" ht="14.25" customHeight="1">
      <c r="A618" s="138"/>
      <c r="B618" s="138"/>
      <c r="C618" s="138"/>
      <c r="D618" s="137"/>
      <c r="E618" s="137"/>
      <c r="F618" s="137"/>
      <c r="G618" s="137"/>
      <c r="H618" s="137"/>
      <c r="I618" s="137"/>
      <c r="J618" s="137"/>
      <c r="K618" s="6"/>
      <c r="L618" s="6"/>
      <c r="M618" s="6"/>
      <c r="N618" s="6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spans="1:26" ht="14.25" customHeight="1">
      <c r="A619" s="138"/>
      <c r="B619" s="138"/>
      <c r="C619" s="138"/>
      <c r="D619" s="137"/>
      <c r="E619" s="137"/>
      <c r="F619" s="137"/>
      <c r="G619" s="137"/>
      <c r="H619" s="137"/>
      <c r="I619" s="137"/>
      <c r="J619" s="137"/>
      <c r="K619" s="6"/>
      <c r="L619" s="6"/>
      <c r="M619" s="6"/>
      <c r="N619" s="6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spans="1:26" ht="14.25" customHeight="1">
      <c r="A620" s="138"/>
      <c r="B620" s="138"/>
      <c r="C620" s="138"/>
      <c r="D620" s="137"/>
      <c r="E620" s="137"/>
      <c r="F620" s="137"/>
      <c r="G620" s="137"/>
      <c r="H620" s="137"/>
      <c r="I620" s="137"/>
      <c r="J620" s="137"/>
      <c r="K620" s="6"/>
      <c r="L620" s="6"/>
      <c r="M620" s="6"/>
      <c r="N620" s="6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spans="1:26" ht="14.25" customHeight="1">
      <c r="A621" s="138"/>
      <c r="B621" s="138"/>
      <c r="C621" s="138"/>
      <c r="D621" s="137"/>
      <c r="E621" s="137"/>
      <c r="F621" s="137"/>
      <c r="G621" s="137"/>
      <c r="H621" s="137"/>
      <c r="I621" s="137"/>
      <c r="J621" s="137"/>
      <c r="K621" s="6"/>
      <c r="L621" s="6"/>
      <c r="M621" s="6"/>
      <c r="N621" s="6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spans="1:26" ht="14.25" customHeight="1">
      <c r="A622" s="138"/>
      <c r="B622" s="138"/>
      <c r="C622" s="138"/>
      <c r="D622" s="137"/>
      <c r="E622" s="137"/>
      <c r="F622" s="137"/>
      <c r="G622" s="137"/>
      <c r="H622" s="137"/>
      <c r="I622" s="137"/>
      <c r="J622" s="137"/>
      <c r="K622" s="6"/>
      <c r="L622" s="6"/>
      <c r="M622" s="6"/>
      <c r="N622" s="6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spans="1:26" ht="14.25" customHeight="1">
      <c r="A623" s="138"/>
      <c r="B623" s="138"/>
      <c r="C623" s="138"/>
      <c r="D623" s="137"/>
      <c r="E623" s="137"/>
      <c r="F623" s="137"/>
      <c r="G623" s="137"/>
      <c r="H623" s="137"/>
      <c r="I623" s="137"/>
      <c r="J623" s="137"/>
      <c r="K623" s="6"/>
      <c r="L623" s="6"/>
      <c r="M623" s="6"/>
      <c r="N623" s="6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spans="1:26" ht="14.25" customHeight="1">
      <c r="A624" s="138"/>
      <c r="B624" s="138"/>
      <c r="C624" s="138"/>
      <c r="D624" s="137"/>
      <c r="E624" s="137"/>
      <c r="F624" s="137"/>
      <c r="G624" s="137"/>
      <c r="H624" s="137"/>
      <c r="I624" s="137"/>
      <c r="J624" s="137"/>
      <c r="K624" s="6"/>
      <c r="L624" s="6"/>
      <c r="M624" s="6"/>
      <c r="N624" s="6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spans="1:26" ht="14.25" customHeight="1">
      <c r="A625" s="138"/>
      <c r="B625" s="138"/>
      <c r="C625" s="138"/>
      <c r="D625" s="137"/>
      <c r="E625" s="137"/>
      <c r="F625" s="137"/>
      <c r="G625" s="137"/>
      <c r="H625" s="137"/>
      <c r="I625" s="137"/>
      <c r="J625" s="137"/>
      <c r="K625" s="6"/>
      <c r="L625" s="6"/>
      <c r="M625" s="6"/>
      <c r="N625" s="6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spans="1:26" ht="14.25" customHeight="1">
      <c r="A626" s="138"/>
      <c r="B626" s="138"/>
      <c r="C626" s="138"/>
      <c r="D626" s="137"/>
      <c r="E626" s="137"/>
      <c r="F626" s="137"/>
      <c r="G626" s="137"/>
      <c r="H626" s="137"/>
      <c r="I626" s="137"/>
      <c r="J626" s="137"/>
      <c r="K626" s="6"/>
      <c r="L626" s="6"/>
      <c r="M626" s="6"/>
      <c r="N626" s="6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spans="1:26" ht="14.25" customHeight="1">
      <c r="A627" s="138"/>
      <c r="B627" s="138"/>
      <c r="C627" s="138"/>
      <c r="D627" s="137"/>
      <c r="E627" s="137"/>
      <c r="F627" s="137"/>
      <c r="G627" s="137"/>
      <c r="H627" s="137"/>
      <c r="I627" s="137"/>
      <c r="J627" s="137"/>
      <c r="K627" s="6"/>
      <c r="L627" s="6"/>
      <c r="M627" s="6"/>
      <c r="N627" s="6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spans="1:26" ht="14.25" customHeight="1">
      <c r="A628" s="138"/>
      <c r="B628" s="138"/>
      <c r="C628" s="138"/>
      <c r="D628" s="137"/>
      <c r="E628" s="137"/>
      <c r="F628" s="137"/>
      <c r="G628" s="137"/>
      <c r="H628" s="137"/>
      <c r="I628" s="137"/>
      <c r="J628" s="137"/>
      <c r="K628" s="6"/>
      <c r="L628" s="6"/>
      <c r="M628" s="6"/>
      <c r="N628" s="6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spans="1:26" ht="14.25" customHeight="1">
      <c r="A629" s="138"/>
      <c r="B629" s="138"/>
      <c r="C629" s="138"/>
      <c r="D629" s="137"/>
      <c r="E629" s="137"/>
      <c r="F629" s="137"/>
      <c r="G629" s="137"/>
      <c r="H629" s="137"/>
      <c r="I629" s="137"/>
      <c r="J629" s="137"/>
      <c r="K629" s="6"/>
      <c r="L629" s="6"/>
      <c r="M629" s="6"/>
      <c r="N629" s="6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spans="1:26" ht="14.25" customHeight="1">
      <c r="A630" s="138"/>
      <c r="B630" s="138"/>
      <c r="C630" s="138"/>
      <c r="D630" s="137"/>
      <c r="E630" s="137"/>
      <c r="F630" s="137"/>
      <c r="G630" s="137"/>
      <c r="H630" s="137"/>
      <c r="I630" s="137"/>
      <c r="J630" s="137"/>
      <c r="K630" s="6"/>
      <c r="L630" s="6"/>
      <c r="M630" s="6"/>
      <c r="N630" s="6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spans="1:26" ht="14.25" customHeight="1">
      <c r="A631" s="138"/>
      <c r="B631" s="138"/>
      <c r="C631" s="138"/>
      <c r="D631" s="137"/>
      <c r="E631" s="137"/>
      <c r="F631" s="137"/>
      <c r="G631" s="137"/>
      <c r="H631" s="137"/>
      <c r="I631" s="137"/>
      <c r="J631" s="137"/>
      <c r="K631" s="6"/>
      <c r="L631" s="6"/>
      <c r="M631" s="6"/>
      <c r="N631" s="6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spans="1:26" ht="14.25" customHeight="1">
      <c r="A632" s="138"/>
      <c r="B632" s="138"/>
      <c r="C632" s="138"/>
      <c r="D632" s="137"/>
      <c r="E632" s="137"/>
      <c r="F632" s="137"/>
      <c r="G632" s="137"/>
      <c r="H632" s="137"/>
      <c r="I632" s="137"/>
      <c r="J632" s="137"/>
      <c r="K632" s="6"/>
      <c r="L632" s="6"/>
      <c r="M632" s="6"/>
      <c r="N632" s="6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spans="1:26" ht="14.25" customHeight="1">
      <c r="A633" s="138"/>
      <c r="B633" s="138"/>
      <c r="C633" s="138"/>
      <c r="D633" s="137"/>
      <c r="E633" s="137"/>
      <c r="F633" s="137"/>
      <c r="G633" s="137"/>
      <c r="H633" s="137"/>
      <c r="I633" s="137"/>
      <c r="J633" s="137"/>
      <c r="K633" s="6"/>
      <c r="L633" s="6"/>
      <c r="M633" s="6"/>
      <c r="N633" s="6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spans="1:26" ht="14.25" customHeight="1">
      <c r="A634" s="138"/>
      <c r="B634" s="138"/>
      <c r="C634" s="138"/>
      <c r="D634" s="137"/>
      <c r="E634" s="137"/>
      <c r="F634" s="137"/>
      <c r="G634" s="137"/>
      <c r="H634" s="137"/>
      <c r="I634" s="137"/>
      <c r="J634" s="137"/>
      <c r="K634" s="6"/>
      <c r="L634" s="6"/>
      <c r="M634" s="6"/>
      <c r="N634" s="6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spans="1:26" ht="14.25" customHeight="1">
      <c r="A635" s="138"/>
      <c r="B635" s="138"/>
      <c r="C635" s="138"/>
      <c r="D635" s="137"/>
      <c r="E635" s="137"/>
      <c r="F635" s="137"/>
      <c r="G635" s="137"/>
      <c r="H635" s="137"/>
      <c r="I635" s="137"/>
      <c r="J635" s="137"/>
      <c r="K635" s="6"/>
      <c r="L635" s="6"/>
      <c r="M635" s="6"/>
      <c r="N635" s="6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spans="1:26" ht="14.25" customHeight="1">
      <c r="A636" s="138"/>
      <c r="B636" s="138"/>
      <c r="C636" s="138"/>
      <c r="D636" s="137"/>
      <c r="E636" s="137"/>
      <c r="F636" s="137"/>
      <c r="G636" s="137"/>
      <c r="H636" s="137"/>
      <c r="I636" s="137"/>
      <c r="J636" s="137"/>
      <c r="K636" s="6"/>
      <c r="L636" s="6"/>
      <c r="M636" s="6"/>
      <c r="N636" s="6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spans="1:26" ht="14.25" customHeight="1">
      <c r="A637" s="138"/>
      <c r="B637" s="138"/>
      <c r="C637" s="138"/>
      <c r="D637" s="137"/>
      <c r="E637" s="137"/>
      <c r="F637" s="137"/>
      <c r="G637" s="137"/>
      <c r="H637" s="137"/>
      <c r="I637" s="137"/>
      <c r="J637" s="137"/>
      <c r="K637" s="6"/>
      <c r="L637" s="6"/>
      <c r="M637" s="6"/>
      <c r="N637" s="6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spans="1:26" ht="14.25" customHeight="1">
      <c r="A638" s="138"/>
      <c r="B638" s="138"/>
      <c r="C638" s="138"/>
      <c r="D638" s="137"/>
      <c r="E638" s="137"/>
      <c r="F638" s="137"/>
      <c r="G638" s="137"/>
      <c r="H638" s="137"/>
      <c r="I638" s="137"/>
      <c r="J638" s="137"/>
      <c r="K638" s="6"/>
      <c r="L638" s="6"/>
      <c r="M638" s="6"/>
      <c r="N638" s="6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spans="1:26" ht="14.25" customHeight="1">
      <c r="A639" s="138"/>
      <c r="B639" s="138"/>
      <c r="C639" s="138"/>
      <c r="D639" s="137"/>
      <c r="E639" s="137"/>
      <c r="F639" s="137"/>
      <c r="G639" s="137"/>
      <c r="H639" s="137"/>
      <c r="I639" s="137"/>
      <c r="J639" s="137"/>
      <c r="K639" s="6"/>
      <c r="L639" s="6"/>
      <c r="M639" s="6"/>
      <c r="N639" s="6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spans="1:26" ht="14.25" customHeight="1">
      <c r="A640" s="138"/>
      <c r="B640" s="138"/>
      <c r="C640" s="138"/>
      <c r="D640" s="137"/>
      <c r="E640" s="137"/>
      <c r="F640" s="137"/>
      <c r="G640" s="137"/>
      <c r="H640" s="137"/>
      <c r="I640" s="137"/>
      <c r="J640" s="137"/>
      <c r="K640" s="6"/>
      <c r="L640" s="6"/>
      <c r="M640" s="6"/>
      <c r="N640" s="6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spans="1:26" ht="14.25" customHeight="1">
      <c r="A641" s="138"/>
      <c r="B641" s="138"/>
      <c r="C641" s="138"/>
      <c r="D641" s="137"/>
      <c r="E641" s="137"/>
      <c r="F641" s="137"/>
      <c r="G641" s="137"/>
      <c r="H641" s="137"/>
      <c r="I641" s="137"/>
      <c r="J641" s="137"/>
      <c r="K641" s="6"/>
      <c r="L641" s="6"/>
      <c r="M641" s="6"/>
      <c r="N641" s="6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spans="1:26" ht="14.25" customHeight="1">
      <c r="A642" s="138"/>
      <c r="B642" s="138"/>
      <c r="C642" s="138"/>
      <c r="D642" s="137"/>
      <c r="E642" s="137"/>
      <c r="F642" s="137"/>
      <c r="G642" s="137"/>
      <c r="H642" s="137"/>
      <c r="I642" s="137"/>
      <c r="J642" s="137"/>
      <c r="K642" s="6"/>
      <c r="L642" s="6"/>
      <c r="M642" s="6"/>
      <c r="N642" s="6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spans="1:26" ht="14.25" customHeight="1">
      <c r="A643" s="138"/>
      <c r="B643" s="138"/>
      <c r="C643" s="138"/>
      <c r="D643" s="137"/>
      <c r="E643" s="137"/>
      <c r="F643" s="137"/>
      <c r="G643" s="137"/>
      <c r="H643" s="137"/>
      <c r="I643" s="137"/>
      <c r="J643" s="137"/>
      <c r="K643" s="6"/>
      <c r="L643" s="6"/>
      <c r="M643" s="6"/>
      <c r="N643" s="6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spans="1:26" ht="14.25" customHeight="1">
      <c r="A644" s="138"/>
      <c r="B644" s="138"/>
      <c r="C644" s="138"/>
      <c r="D644" s="137"/>
      <c r="E644" s="137"/>
      <c r="F644" s="137"/>
      <c r="G644" s="137"/>
      <c r="H644" s="137"/>
      <c r="I644" s="137"/>
      <c r="J644" s="137"/>
      <c r="K644" s="6"/>
      <c r="L644" s="6"/>
      <c r="M644" s="6"/>
      <c r="N644" s="6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spans="1:26" ht="14.25" customHeight="1">
      <c r="A645" s="138"/>
      <c r="B645" s="138"/>
      <c r="C645" s="138"/>
      <c r="D645" s="137"/>
      <c r="E645" s="137"/>
      <c r="F645" s="137"/>
      <c r="G645" s="137"/>
      <c r="H645" s="137"/>
      <c r="I645" s="137"/>
      <c r="J645" s="137"/>
      <c r="K645" s="6"/>
      <c r="L645" s="6"/>
      <c r="M645" s="6"/>
      <c r="N645" s="6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spans="1:26" ht="14.25" customHeight="1">
      <c r="A646" s="138"/>
      <c r="B646" s="138"/>
      <c r="C646" s="138"/>
      <c r="D646" s="137"/>
      <c r="E646" s="137"/>
      <c r="F646" s="137"/>
      <c r="G646" s="137"/>
      <c r="H646" s="137"/>
      <c r="I646" s="137"/>
      <c r="J646" s="137"/>
      <c r="K646" s="6"/>
      <c r="L646" s="6"/>
      <c r="M646" s="6"/>
      <c r="N646" s="6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spans="1:26" ht="14.25" customHeight="1">
      <c r="A647" s="138"/>
      <c r="B647" s="138"/>
      <c r="C647" s="138"/>
      <c r="D647" s="137"/>
      <c r="E647" s="137"/>
      <c r="F647" s="137"/>
      <c r="G647" s="137"/>
      <c r="H647" s="137"/>
      <c r="I647" s="137"/>
      <c r="J647" s="137"/>
      <c r="K647" s="6"/>
      <c r="L647" s="6"/>
      <c r="M647" s="6"/>
      <c r="N647" s="6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spans="1:26" ht="14.25" customHeight="1">
      <c r="A648" s="138"/>
      <c r="B648" s="138"/>
      <c r="C648" s="138"/>
      <c r="D648" s="137"/>
      <c r="E648" s="137"/>
      <c r="F648" s="137"/>
      <c r="G648" s="137"/>
      <c r="H648" s="137"/>
      <c r="I648" s="137"/>
      <c r="J648" s="137"/>
      <c r="K648" s="6"/>
      <c r="L648" s="6"/>
      <c r="M648" s="6"/>
      <c r="N648" s="6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spans="1:26" ht="14.25" customHeight="1">
      <c r="A649" s="138"/>
      <c r="B649" s="138"/>
      <c r="C649" s="138"/>
      <c r="D649" s="137"/>
      <c r="E649" s="137"/>
      <c r="F649" s="137"/>
      <c r="G649" s="137"/>
      <c r="H649" s="137"/>
      <c r="I649" s="137"/>
      <c r="J649" s="137"/>
      <c r="K649" s="6"/>
      <c r="L649" s="6"/>
      <c r="M649" s="6"/>
      <c r="N649" s="6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spans="1:26" ht="14.25" customHeight="1">
      <c r="A650" s="138"/>
      <c r="B650" s="138"/>
      <c r="C650" s="138"/>
      <c r="D650" s="137"/>
      <c r="E650" s="137"/>
      <c r="F650" s="137"/>
      <c r="G650" s="137"/>
      <c r="H650" s="137"/>
      <c r="I650" s="137"/>
      <c r="J650" s="137"/>
      <c r="K650" s="6"/>
      <c r="L650" s="6"/>
      <c r="M650" s="6"/>
      <c r="N650" s="6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spans="1:26" ht="14.25" customHeight="1">
      <c r="A651" s="138"/>
      <c r="B651" s="138"/>
      <c r="C651" s="138"/>
      <c r="D651" s="137"/>
      <c r="E651" s="137"/>
      <c r="F651" s="137"/>
      <c r="G651" s="137"/>
      <c r="H651" s="137"/>
      <c r="I651" s="137"/>
      <c r="J651" s="137"/>
      <c r="K651" s="6"/>
      <c r="L651" s="6"/>
      <c r="M651" s="6"/>
      <c r="N651" s="6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spans="1:26" ht="14.25" customHeight="1">
      <c r="A652" s="138"/>
      <c r="B652" s="138"/>
      <c r="C652" s="138"/>
      <c r="D652" s="137"/>
      <c r="E652" s="137"/>
      <c r="F652" s="137"/>
      <c r="G652" s="137"/>
      <c r="H652" s="137"/>
      <c r="I652" s="137"/>
      <c r="J652" s="137"/>
      <c r="K652" s="6"/>
      <c r="L652" s="6"/>
      <c r="M652" s="6"/>
      <c r="N652" s="6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spans="1:26" ht="14.25" customHeight="1">
      <c r="A653" s="138"/>
      <c r="B653" s="138"/>
      <c r="C653" s="138"/>
      <c r="D653" s="137"/>
      <c r="E653" s="137"/>
      <c r="F653" s="137"/>
      <c r="G653" s="137"/>
      <c r="H653" s="137"/>
      <c r="I653" s="137"/>
      <c r="J653" s="137"/>
      <c r="K653" s="6"/>
      <c r="L653" s="6"/>
      <c r="M653" s="6"/>
      <c r="N653" s="6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spans="1:26" ht="14.25" customHeight="1">
      <c r="A654" s="138"/>
      <c r="B654" s="138"/>
      <c r="C654" s="138"/>
      <c r="D654" s="137"/>
      <c r="E654" s="137"/>
      <c r="F654" s="137"/>
      <c r="G654" s="137"/>
      <c r="H654" s="137"/>
      <c r="I654" s="137"/>
      <c r="J654" s="137"/>
      <c r="K654" s="6"/>
      <c r="L654" s="6"/>
      <c r="M654" s="6"/>
      <c r="N654" s="6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spans="1:26" ht="14.25" customHeight="1">
      <c r="A655" s="138"/>
      <c r="B655" s="138"/>
      <c r="C655" s="138"/>
      <c r="D655" s="137"/>
      <c r="E655" s="137"/>
      <c r="F655" s="137"/>
      <c r="G655" s="137"/>
      <c r="H655" s="137"/>
      <c r="I655" s="137"/>
      <c r="J655" s="137"/>
      <c r="K655" s="6"/>
      <c r="L655" s="6"/>
      <c r="M655" s="6"/>
      <c r="N655" s="6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spans="1:26" ht="14.25" customHeight="1">
      <c r="A656" s="138"/>
      <c r="B656" s="138"/>
      <c r="C656" s="138"/>
      <c r="D656" s="137"/>
      <c r="E656" s="137"/>
      <c r="F656" s="137"/>
      <c r="G656" s="137"/>
      <c r="H656" s="137"/>
      <c r="I656" s="137"/>
      <c r="J656" s="137"/>
      <c r="K656" s="6"/>
      <c r="L656" s="6"/>
      <c r="M656" s="6"/>
      <c r="N656" s="6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spans="1:26" ht="14.25" customHeight="1">
      <c r="A657" s="138"/>
      <c r="B657" s="138"/>
      <c r="C657" s="138"/>
      <c r="D657" s="137"/>
      <c r="E657" s="137"/>
      <c r="F657" s="137"/>
      <c r="G657" s="137"/>
      <c r="H657" s="137"/>
      <c r="I657" s="137"/>
      <c r="J657" s="137"/>
      <c r="K657" s="6"/>
      <c r="L657" s="6"/>
      <c r="M657" s="6"/>
      <c r="N657" s="6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spans="1:26" ht="14.25" customHeight="1">
      <c r="A658" s="138"/>
      <c r="B658" s="138"/>
      <c r="C658" s="138"/>
      <c r="D658" s="137"/>
      <c r="E658" s="137"/>
      <c r="F658" s="137"/>
      <c r="G658" s="137"/>
      <c r="H658" s="137"/>
      <c r="I658" s="137"/>
      <c r="J658" s="137"/>
      <c r="K658" s="6"/>
      <c r="L658" s="6"/>
      <c r="M658" s="6"/>
      <c r="N658" s="6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spans="1:26" ht="14.25" customHeight="1">
      <c r="A659" s="138"/>
      <c r="B659" s="138"/>
      <c r="C659" s="138"/>
      <c r="D659" s="137"/>
      <c r="E659" s="137"/>
      <c r="F659" s="137"/>
      <c r="G659" s="137"/>
      <c r="H659" s="137"/>
      <c r="I659" s="137"/>
      <c r="J659" s="137"/>
      <c r="K659" s="6"/>
      <c r="L659" s="6"/>
      <c r="M659" s="6"/>
      <c r="N659" s="6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spans="1:26" ht="14.25" customHeight="1">
      <c r="A660" s="138"/>
      <c r="B660" s="138"/>
      <c r="C660" s="138"/>
      <c r="D660" s="137"/>
      <c r="E660" s="137"/>
      <c r="F660" s="137"/>
      <c r="G660" s="137"/>
      <c r="H660" s="137"/>
      <c r="I660" s="137"/>
      <c r="J660" s="137"/>
      <c r="K660" s="6"/>
      <c r="L660" s="6"/>
      <c r="M660" s="6"/>
      <c r="N660" s="6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spans="1:26" ht="14.25" customHeight="1">
      <c r="A661" s="138"/>
      <c r="B661" s="138"/>
      <c r="C661" s="138"/>
      <c r="D661" s="137"/>
      <c r="E661" s="137"/>
      <c r="F661" s="137"/>
      <c r="G661" s="137"/>
      <c r="H661" s="137"/>
      <c r="I661" s="137"/>
      <c r="J661" s="137"/>
      <c r="K661" s="6"/>
      <c r="L661" s="6"/>
      <c r="M661" s="6"/>
      <c r="N661" s="6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spans="1:26" ht="14.25" customHeight="1">
      <c r="A662" s="138"/>
      <c r="B662" s="138"/>
      <c r="C662" s="138"/>
      <c r="D662" s="137"/>
      <c r="E662" s="137"/>
      <c r="F662" s="137"/>
      <c r="G662" s="137"/>
      <c r="H662" s="137"/>
      <c r="I662" s="137"/>
      <c r="J662" s="137"/>
      <c r="K662" s="6"/>
      <c r="L662" s="6"/>
      <c r="M662" s="6"/>
      <c r="N662" s="6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spans="1:26" ht="14.25" customHeight="1">
      <c r="A663" s="138"/>
      <c r="B663" s="138"/>
      <c r="C663" s="138"/>
      <c r="D663" s="137"/>
      <c r="E663" s="137"/>
      <c r="F663" s="137"/>
      <c r="G663" s="137"/>
      <c r="H663" s="137"/>
      <c r="I663" s="137"/>
      <c r="J663" s="137"/>
      <c r="K663" s="6"/>
      <c r="L663" s="6"/>
      <c r="M663" s="6"/>
      <c r="N663" s="6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spans="1:26" ht="14.25" customHeight="1">
      <c r="A664" s="138"/>
      <c r="B664" s="138"/>
      <c r="C664" s="138"/>
      <c r="D664" s="137"/>
      <c r="E664" s="137"/>
      <c r="F664" s="137"/>
      <c r="G664" s="137"/>
      <c r="H664" s="137"/>
      <c r="I664" s="137"/>
      <c r="J664" s="137"/>
      <c r="K664" s="6"/>
      <c r="L664" s="6"/>
      <c r="M664" s="6"/>
      <c r="N664" s="6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spans="1:26" ht="14.25" customHeight="1">
      <c r="A665" s="138"/>
      <c r="B665" s="138"/>
      <c r="C665" s="138"/>
      <c r="D665" s="137"/>
      <c r="E665" s="137"/>
      <c r="F665" s="137"/>
      <c r="G665" s="137"/>
      <c r="H665" s="137"/>
      <c r="I665" s="137"/>
      <c r="J665" s="137"/>
      <c r="K665" s="6"/>
      <c r="L665" s="6"/>
      <c r="M665" s="6"/>
      <c r="N665" s="6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spans="1:26" ht="14.25" customHeight="1">
      <c r="A666" s="138"/>
      <c r="B666" s="138"/>
      <c r="C666" s="138"/>
      <c r="D666" s="137"/>
      <c r="E666" s="137"/>
      <c r="F666" s="137"/>
      <c r="G666" s="137"/>
      <c r="H666" s="137"/>
      <c r="I666" s="137"/>
      <c r="J666" s="137"/>
      <c r="K666" s="6"/>
      <c r="L666" s="6"/>
      <c r="M666" s="6"/>
      <c r="N666" s="6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spans="1:26" ht="14.25" customHeight="1">
      <c r="A667" s="138"/>
      <c r="B667" s="138"/>
      <c r="C667" s="138"/>
      <c r="D667" s="137"/>
      <c r="E667" s="137"/>
      <c r="F667" s="137"/>
      <c r="G667" s="137"/>
      <c r="H667" s="137"/>
      <c r="I667" s="137"/>
      <c r="J667" s="137"/>
      <c r="K667" s="6"/>
      <c r="L667" s="6"/>
      <c r="M667" s="6"/>
      <c r="N667" s="6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spans="1:26" ht="14.25" customHeight="1">
      <c r="A668" s="138"/>
      <c r="B668" s="138"/>
      <c r="C668" s="138"/>
      <c r="D668" s="137"/>
      <c r="E668" s="137"/>
      <c r="F668" s="137"/>
      <c r="G668" s="137"/>
      <c r="H668" s="137"/>
      <c r="I668" s="137"/>
      <c r="J668" s="137"/>
      <c r="K668" s="6"/>
      <c r="L668" s="6"/>
      <c r="M668" s="6"/>
      <c r="N668" s="6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spans="1:26" ht="14.25" customHeight="1">
      <c r="A669" s="138"/>
      <c r="B669" s="138"/>
      <c r="C669" s="138"/>
      <c r="D669" s="137"/>
      <c r="E669" s="137"/>
      <c r="F669" s="137"/>
      <c r="G669" s="137"/>
      <c r="H669" s="137"/>
      <c r="I669" s="137"/>
      <c r="J669" s="137"/>
      <c r="K669" s="6"/>
      <c r="L669" s="6"/>
      <c r="M669" s="6"/>
      <c r="N669" s="6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spans="1:26" ht="14.25" customHeight="1">
      <c r="A670" s="138"/>
      <c r="B670" s="138"/>
      <c r="C670" s="138"/>
      <c r="D670" s="137"/>
      <c r="E670" s="137"/>
      <c r="F670" s="137"/>
      <c r="G670" s="137"/>
      <c r="H670" s="137"/>
      <c r="I670" s="137"/>
      <c r="J670" s="137"/>
      <c r="K670" s="6"/>
      <c r="L670" s="6"/>
      <c r="M670" s="6"/>
      <c r="N670" s="6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spans="1:26" ht="14.25" customHeight="1">
      <c r="A671" s="138"/>
      <c r="B671" s="138"/>
      <c r="C671" s="138"/>
      <c r="D671" s="137"/>
      <c r="E671" s="137"/>
      <c r="F671" s="137"/>
      <c r="G671" s="137"/>
      <c r="H671" s="137"/>
      <c r="I671" s="137"/>
      <c r="J671" s="137"/>
      <c r="K671" s="6"/>
      <c r="L671" s="6"/>
      <c r="M671" s="6"/>
      <c r="N671" s="6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spans="1:26" ht="14.25" customHeight="1">
      <c r="A672" s="138"/>
      <c r="B672" s="138"/>
      <c r="C672" s="138"/>
      <c r="D672" s="137"/>
      <c r="E672" s="137"/>
      <c r="F672" s="137"/>
      <c r="G672" s="137"/>
      <c r="H672" s="137"/>
      <c r="I672" s="137"/>
      <c r="J672" s="137"/>
      <c r="K672" s="6"/>
      <c r="L672" s="6"/>
      <c r="M672" s="6"/>
      <c r="N672" s="6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spans="1:26" ht="14.25" customHeight="1">
      <c r="A673" s="138"/>
      <c r="B673" s="138"/>
      <c r="C673" s="138"/>
      <c r="D673" s="137"/>
      <c r="E673" s="137"/>
      <c r="F673" s="137"/>
      <c r="G673" s="137"/>
      <c r="H673" s="137"/>
      <c r="I673" s="137"/>
      <c r="J673" s="137"/>
      <c r="K673" s="6"/>
      <c r="L673" s="6"/>
      <c r="M673" s="6"/>
      <c r="N673" s="6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spans="1:26" ht="14.25" customHeight="1">
      <c r="A674" s="138"/>
      <c r="B674" s="138"/>
      <c r="C674" s="138"/>
      <c r="D674" s="137"/>
      <c r="E674" s="137"/>
      <c r="F674" s="137"/>
      <c r="G674" s="137"/>
      <c r="H674" s="137"/>
      <c r="I674" s="137"/>
      <c r="J674" s="137"/>
      <c r="K674" s="6"/>
      <c r="L674" s="6"/>
      <c r="M674" s="6"/>
      <c r="N674" s="6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spans="1:26" ht="14.25" customHeight="1">
      <c r="A675" s="138"/>
      <c r="B675" s="138"/>
      <c r="C675" s="138"/>
      <c r="D675" s="137"/>
      <c r="E675" s="137"/>
      <c r="F675" s="137"/>
      <c r="G675" s="137"/>
      <c r="H675" s="137"/>
      <c r="I675" s="137"/>
      <c r="J675" s="137"/>
      <c r="K675" s="6"/>
      <c r="L675" s="6"/>
      <c r="M675" s="6"/>
      <c r="N675" s="6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spans="1:26" ht="14.25" customHeight="1">
      <c r="A676" s="138"/>
      <c r="B676" s="138"/>
      <c r="C676" s="138"/>
      <c r="D676" s="137"/>
      <c r="E676" s="137"/>
      <c r="F676" s="137"/>
      <c r="G676" s="137"/>
      <c r="H676" s="137"/>
      <c r="I676" s="137"/>
      <c r="J676" s="137"/>
      <c r="K676" s="6"/>
      <c r="L676" s="6"/>
      <c r="M676" s="6"/>
      <c r="N676" s="6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spans="1:26" ht="14.25" customHeight="1">
      <c r="A677" s="138"/>
      <c r="B677" s="138"/>
      <c r="C677" s="138"/>
      <c r="D677" s="137"/>
      <c r="E677" s="137"/>
      <c r="F677" s="137"/>
      <c r="G677" s="137"/>
      <c r="H677" s="137"/>
      <c r="I677" s="137"/>
      <c r="J677" s="137"/>
      <c r="K677" s="6"/>
      <c r="L677" s="6"/>
      <c r="M677" s="6"/>
      <c r="N677" s="6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spans="1:26" ht="14.25" customHeight="1">
      <c r="A678" s="138"/>
      <c r="B678" s="138"/>
      <c r="C678" s="138"/>
      <c r="D678" s="137"/>
      <c r="E678" s="137"/>
      <c r="F678" s="137"/>
      <c r="G678" s="137"/>
      <c r="H678" s="137"/>
      <c r="I678" s="137"/>
      <c r="J678" s="137"/>
      <c r="K678" s="6"/>
      <c r="L678" s="6"/>
      <c r="M678" s="6"/>
      <c r="N678" s="6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spans="1:26" ht="14.25" customHeight="1">
      <c r="A679" s="138"/>
      <c r="B679" s="138"/>
      <c r="C679" s="138"/>
      <c r="D679" s="137"/>
      <c r="E679" s="137"/>
      <c r="F679" s="137"/>
      <c r="G679" s="137"/>
      <c r="H679" s="137"/>
      <c r="I679" s="137"/>
      <c r="J679" s="137"/>
      <c r="K679" s="6"/>
      <c r="L679" s="6"/>
      <c r="M679" s="6"/>
      <c r="N679" s="6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spans="1:26" ht="14.25" customHeight="1">
      <c r="A680" s="138"/>
      <c r="B680" s="138"/>
      <c r="C680" s="138"/>
      <c r="D680" s="137"/>
      <c r="E680" s="137"/>
      <c r="F680" s="137"/>
      <c r="G680" s="137"/>
      <c r="H680" s="137"/>
      <c r="I680" s="137"/>
      <c r="J680" s="137"/>
      <c r="K680" s="6"/>
      <c r="L680" s="6"/>
      <c r="M680" s="6"/>
      <c r="N680" s="6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spans="1:26" ht="14.25" customHeight="1">
      <c r="A681" s="138"/>
      <c r="B681" s="138"/>
      <c r="C681" s="138"/>
      <c r="D681" s="137"/>
      <c r="E681" s="137"/>
      <c r="F681" s="137"/>
      <c r="G681" s="137"/>
      <c r="H681" s="137"/>
      <c r="I681" s="137"/>
      <c r="J681" s="137"/>
      <c r="K681" s="6"/>
      <c r="L681" s="6"/>
      <c r="M681" s="6"/>
      <c r="N681" s="6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spans="1:26" ht="14.25" customHeight="1">
      <c r="A682" s="138"/>
      <c r="B682" s="138"/>
      <c r="C682" s="138"/>
      <c r="D682" s="137"/>
      <c r="E682" s="137"/>
      <c r="F682" s="137"/>
      <c r="G682" s="137"/>
      <c r="H682" s="137"/>
      <c r="I682" s="137"/>
      <c r="J682" s="137"/>
      <c r="K682" s="6"/>
      <c r="L682" s="6"/>
      <c r="M682" s="6"/>
      <c r="N682" s="6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spans="1:26" ht="14.25" customHeight="1">
      <c r="A683" s="138"/>
      <c r="B683" s="138"/>
      <c r="C683" s="138"/>
      <c r="D683" s="137"/>
      <c r="E683" s="137"/>
      <c r="F683" s="137"/>
      <c r="G683" s="137"/>
      <c r="H683" s="137"/>
      <c r="I683" s="137"/>
      <c r="J683" s="137"/>
      <c r="K683" s="6"/>
      <c r="L683" s="6"/>
      <c r="M683" s="6"/>
      <c r="N683" s="6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spans="1:26" ht="14.25" customHeight="1">
      <c r="A684" s="138"/>
      <c r="B684" s="138"/>
      <c r="C684" s="138"/>
      <c r="D684" s="137"/>
      <c r="E684" s="137"/>
      <c r="F684" s="137"/>
      <c r="G684" s="137"/>
      <c r="H684" s="137"/>
      <c r="I684" s="137"/>
      <c r="J684" s="137"/>
      <c r="K684" s="6"/>
      <c r="L684" s="6"/>
      <c r="M684" s="6"/>
      <c r="N684" s="6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spans="1:26" ht="14.25" customHeight="1">
      <c r="A685" s="138"/>
      <c r="B685" s="138"/>
      <c r="C685" s="138"/>
      <c r="D685" s="137"/>
      <c r="E685" s="137"/>
      <c r="F685" s="137"/>
      <c r="G685" s="137"/>
      <c r="H685" s="137"/>
      <c r="I685" s="137"/>
      <c r="J685" s="137"/>
      <c r="K685" s="6"/>
      <c r="L685" s="6"/>
      <c r="M685" s="6"/>
      <c r="N685" s="6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spans="1:26" ht="14.25" customHeight="1">
      <c r="A686" s="138"/>
      <c r="B686" s="138"/>
      <c r="C686" s="138"/>
      <c r="D686" s="137"/>
      <c r="E686" s="137"/>
      <c r="F686" s="137"/>
      <c r="G686" s="137"/>
      <c r="H686" s="137"/>
      <c r="I686" s="137"/>
      <c r="J686" s="137"/>
      <c r="K686" s="6"/>
      <c r="L686" s="6"/>
      <c r="M686" s="6"/>
      <c r="N686" s="6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spans="1:26" ht="14.25" customHeight="1">
      <c r="A687" s="138"/>
      <c r="B687" s="138"/>
      <c r="C687" s="138"/>
      <c r="D687" s="137"/>
      <c r="E687" s="137"/>
      <c r="F687" s="137"/>
      <c r="G687" s="137"/>
      <c r="H687" s="137"/>
      <c r="I687" s="137"/>
      <c r="J687" s="137"/>
      <c r="K687" s="6"/>
      <c r="L687" s="6"/>
      <c r="M687" s="6"/>
      <c r="N687" s="6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spans="1:26" ht="14.25" customHeight="1">
      <c r="A688" s="138"/>
      <c r="B688" s="138"/>
      <c r="C688" s="138"/>
      <c r="D688" s="137"/>
      <c r="E688" s="137"/>
      <c r="F688" s="137"/>
      <c r="G688" s="137"/>
      <c r="H688" s="137"/>
      <c r="I688" s="137"/>
      <c r="J688" s="137"/>
      <c r="K688" s="6"/>
      <c r="L688" s="6"/>
      <c r="M688" s="6"/>
      <c r="N688" s="6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spans="1:26" ht="14.25" customHeight="1">
      <c r="A689" s="138"/>
      <c r="B689" s="138"/>
      <c r="C689" s="138"/>
      <c r="D689" s="137"/>
      <c r="E689" s="137"/>
      <c r="F689" s="137"/>
      <c r="G689" s="137"/>
      <c r="H689" s="137"/>
      <c r="I689" s="137"/>
      <c r="J689" s="137"/>
      <c r="K689" s="6"/>
      <c r="L689" s="6"/>
      <c r="M689" s="6"/>
      <c r="N689" s="6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spans="1:26" ht="14.25" customHeight="1">
      <c r="A690" s="138"/>
      <c r="B690" s="138"/>
      <c r="C690" s="138"/>
      <c r="D690" s="137"/>
      <c r="E690" s="137"/>
      <c r="F690" s="137"/>
      <c r="G690" s="137"/>
      <c r="H690" s="137"/>
      <c r="I690" s="137"/>
      <c r="J690" s="137"/>
      <c r="K690" s="6"/>
      <c r="L690" s="6"/>
      <c r="M690" s="6"/>
      <c r="N690" s="6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spans="1:26" ht="14.25" customHeight="1">
      <c r="A691" s="138"/>
      <c r="B691" s="138"/>
      <c r="C691" s="138"/>
      <c r="D691" s="137"/>
      <c r="E691" s="137"/>
      <c r="F691" s="137"/>
      <c r="G691" s="137"/>
      <c r="H691" s="137"/>
      <c r="I691" s="137"/>
      <c r="J691" s="137"/>
      <c r="K691" s="6"/>
      <c r="L691" s="6"/>
      <c r="M691" s="6"/>
      <c r="N691" s="6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spans="1:26" ht="14.25" customHeight="1">
      <c r="A692" s="138"/>
      <c r="B692" s="138"/>
      <c r="C692" s="138"/>
      <c r="D692" s="137"/>
      <c r="E692" s="137"/>
      <c r="F692" s="137"/>
      <c r="G692" s="137"/>
      <c r="H692" s="137"/>
      <c r="I692" s="137"/>
      <c r="J692" s="137"/>
      <c r="K692" s="6"/>
      <c r="L692" s="6"/>
      <c r="M692" s="6"/>
      <c r="N692" s="6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spans="1:26" ht="14.25" customHeight="1">
      <c r="A693" s="138"/>
      <c r="B693" s="138"/>
      <c r="C693" s="138"/>
      <c r="D693" s="137"/>
      <c r="E693" s="137"/>
      <c r="F693" s="137"/>
      <c r="G693" s="137"/>
      <c r="H693" s="137"/>
      <c r="I693" s="137"/>
      <c r="J693" s="137"/>
      <c r="K693" s="6"/>
      <c r="L693" s="6"/>
      <c r="M693" s="6"/>
      <c r="N693" s="6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spans="1:26" ht="14.25" customHeight="1">
      <c r="A694" s="138"/>
      <c r="B694" s="138"/>
      <c r="C694" s="138"/>
      <c r="D694" s="137"/>
      <c r="E694" s="137"/>
      <c r="F694" s="137"/>
      <c r="G694" s="137"/>
      <c r="H694" s="137"/>
      <c r="I694" s="137"/>
      <c r="J694" s="137"/>
      <c r="K694" s="6"/>
      <c r="L694" s="6"/>
      <c r="M694" s="6"/>
      <c r="N694" s="6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spans="1:26" ht="14.25" customHeight="1">
      <c r="A695" s="138"/>
      <c r="B695" s="138"/>
      <c r="C695" s="138"/>
      <c r="D695" s="137"/>
      <c r="E695" s="137"/>
      <c r="F695" s="137"/>
      <c r="G695" s="137"/>
      <c r="H695" s="137"/>
      <c r="I695" s="137"/>
      <c r="J695" s="137"/>
      <c r="K695" s="6"/>
      <c r="L695" s="6"/>
      <c r="M695" s="6"/>
      <c r="N695" s="6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spans="1:26" ht="14.25" customHeight="1">
      <c r="A696" s="138"/>
      <c r="B696" s="138"/>
      <c r="C696" s="138"/>
      <c r="D696" s="137"/>
      <c r="E696" s="137"/>
      <c r="F696" s="137"/>
      <c r="G696" s="137"/>
      <c r="H696" s="137"/>
      <c r="I696" s="137"/>
      <c r="J696" s="137"/>
      <c r="K696" s="6"/>
      <c r="L696" s="6"/>
      <c r="M696" s="6"/>
      <c r="N696" s="6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spans="1:26" ht="14.25" customHeight="1">
      <c r="A697" s="138"/>
      <c r="B697" s="138"/>
      <c r="C697" s="138"/>
      <c r="D697" s="137"/>
      <c r="E697" s="137"/>
      <c r="F697" s="137"/>
      <c r="G697" s="137"/>
      <c r="H697" s="137"/>
      <c r="I697" s="137"/>
      <c r="J697" s="137"/>
      <c r="K697" s="6"/>
      <c r="L697" s="6"/>
      <c r="M697" s="6"/>
      <c r="N697" s="6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spans="1:26" ht="14.25" customHeight="1">
      <c r="A698" s="138"/>
      <c r="B698" s="138"/>
      <c r="C698" s="138"/>
      <c r="D698" s="137"/>
      <c r="E698" s="137"/>
      <c r="F698" s="137"/>
      <c r="G698" s="137"/>
      <c r="H698" s="137"/>
      <c r="I698" s="137"/>
      <c r="J698" s="137"/>
      <c r="K698" s="6"/>
      <c r="L698" s="6"/>
      <c r="M698" s="6"/>
      <c r="N698" s="6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spans="1:26" ht="14.25" customHeight="1">
      <c r="A699" s="138"/>
      <c r="B699" s="138"/>
      <c r="C699" s="138"/>
      <c r="D699" s="137"/>
      <c r="E699" s="137"/>
      <c r="F699" s="137"/>
      <c r="G699" s="137"/>
      <c r="H699" s="137"/>
      <c r="I699" s="137"/>
      <c r="J699" s="137"/>
      <c r="K699" s="6"/>
      <c r="L699" s="6"/>
      <c r="M699" s="6"/>
      <c r="N699" s="6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spans="1:26" ht="14.25" customHeight="1">
      <c r="A700" s="138"/>
      <c r="B700" s="138"/>
      <c r="C700" s="138"/>
      <c r="D700" s="137"/>
      <c r="E700" s="137"/>
      <c r="F700" s="137"/>
      <c r="G700" s="137"/>
      <c r="H700" s="137"/>
      <c r="I700" s="137"/>
      <c r="J700" s="137"/>
      <c r="K700" s="6"/>
      <c r="L700" s="6"/>
      <c r="M700" s="6"/>
      <c r="N700" s="6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spans="1:26" ht="14.25" customHeight="1">
      <c r="A701" s="138"/>
      <c r="B701" s="138"/>
      <c r="C701" s="138"/>
      <c r="D701" s="137"/>
      <c r="E701" s="137"/>
      <c r="F701" s="137"/>
      <c r="G701" s="137"/>
      <c r="H701" s="137"/>
      <c r="I701" s="137"/>
      <c r="J701" s="137"/>
      <c r="K701" s="6"/>
      <c r="L701" s="6"/>
      <c r="M701" s="6"/>
      <c r="N701" s="6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spans="1:26" ht="14.25" customHeight="1">
      <c r="A702" s="138"/>
      <c r="B702" s="138"/>
      <c r="C702" s="138"/>
      <c r="D702" s="137"/>
      <c r="E702" s="137"/>
      <c r="F702" s="137"/>
      <c r="G702" s="137"/>
      <c r="H702" s="137"/>
      <c r="I702" s="137"/>
      <c r="J702" s="137"/>
      <c r="K702" s="6"/>
      <c r="L702" s="6"/>
      <c r="M702" s="6"/>
      <c r="N702" s="6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spans="1:26" ht="14.25" customHeight="1">
      <c r="A703" s="138"/>
      <c r="B703" s="138"/>
      <c r="C703" s="138"/>
      <c r="D703" s="137"/>
      <c r="E703" s="137"/>
      <c r="F703" s="137"/>
      <c r="G703" s="137"/>
      <c r="H703" s="137"/>
      <c r="I703" s="137"/>
      <c r="J703" s="137"/>
      <c r="K703" s="6"/>
      <c r="L703" s="6"/>
      <c r="M703" s="6"/>
      <c r="N703" s="6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spans="1:26" ht="14.25" customHeight="1">
      <c r="A704" s="138"/>
      <c r="B704" s="138"/>
      <c r="C704" s="138"/>
      <c r="D704" s="137"/>
      <c r="E704" s="137"/>
      <c r="F704" s="137"/>
      <c r="G704" s="137"/>
      <c r="H704" s="137"/>
      <c r="I704" s="137"/>
      <c r="J704" s="137"/>
      <c r="K704" s="6"/>
      <c r="L704" s="6"/>
      <c r="M704" s="6"/>
      <c r="N704" s="6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spans="1:26" ht="14.25" customHeight="1">
      <c r="A705" s="138"/>
      <c r="B705" s="138"/>
      <c r="C705" s="138"/>
      <c r="D705" s="137"/>
      <c r="E705" s="137"/>
      <c r="F705" s="137"/>
      <c r="G705" s="137"/>
      <c r="H705" s="137"/>
      <c r="I705" s="137"/>
      <c r="J705" s="137"/>
      <c r="K705" s="6"/>
      <c r="L705" s="6"/>
      <c r="M705" s="6"/>
      <c r="N705" s="6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spans="1:26" ht="14.25" customHeight="1">
      <c r="A706" s="138"/>
      <c r="B706" s="138"/>
      <c r="C706" s="138"/>
      <c r="D706" s="137"/>
      <c r="E706" s="137"/>
      <c r="F706" s="137"/>
      <c r="G706" s="137"/>
      <c r="H706" s="137"/>
      <c r="I706" s="137"/>
      <c r="J706" s="137"/>
      <c r="K706" s="6"/>
      <c r="L706" s="6"/>
      <c r="M706" s="6"/>
      <c r="N706" s="6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spans="1:26" ht="14.25" customHeight="1">
      <c r="A707" s="138"/>
      <c r="B707" s="138"/>
      <c r="C707" s="138"/>
      <c r="D707" s="137"/>
      <c r="E707" s="137"/>
      <c r="F707" s="137"/>
      <c r="G707" s="137"/>
      <c r="H707" s="137"/>
      <c r="I707" s="137"/>
      <c r="J707" s="137"/>
      <c r="K707" s="6"/>
      <c r="L707" s="6"/>
      <c r="M707" s="6"/>
      <c r="N707" s="6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spans="1:26" ht="14.25" customHeight="1">
      <c r="A708" s="138"/>
      <c r="B708" s="138"/>
      <c r="C708" s="138"/>
      <c r="D708" s="137"/>
      <c r="E708" s="137"/>
      <c r="F708" s="137"/>
      <c r="G708" s="137"/>
      <c r="H708" s="137"/>
      <c r="I708" s="137"/>
      <c r="J708" s="137"/>
      <c r="K708" s="6"/>
      <c r="L708" s="6"/>
      <c r="M708" s="6"/>
      <c r="N708" s="6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spans="1:26" ht="14.25" customHeight="1">
      <c r="A709" s="138"/>
      <c r="B709" s="138"/>
      <c r="C709" s="138"/>
      <c r="D709" s="137"/>
      <c r="E709" s="137"/>
      <c r="F709" s="137"/>
      <c r="G709" s="137"/>
      <c r="H709" s="137"/>
      <c r="I709" s="137"/>
      <c r="J709" s="137"/>
      <c r="K709" s="6"/>
      <c r="L709" s="6"/>
      <c r="M709" s="6"/>
      <c r="N709" s="6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spans="1:26" ht="14.25" customHeight="1">
      <c r="A710" s="138"/>
      <c r="B710" s="138"/>
      <c r="C710" s="138"/>
      <c r="D710" s="137"/>
      <c r="E710" s="137"/>
      <c r="F710" s="137"/>
      <c r="G710" s="137"/>
      <c r="H710" s="137"/>
      <c r="I710" s="137"/>
      <c r="J710" s="137"/>
      <c r="K710" s="6"/>
      <c r="L710" s="6"/>
      <c r="M710" s="6"/>
      <c r="N710" s="6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spans="1:26" ht="14.25" customHeight="1">
      <c r="A711" s="138"/>
      <c r="B711" s="138"/>
      <c r="C711" s="138"/>
      <c r="D711" s="137"/>
      <c r="E711" s="137"/>
      <c r="F711" s="137"/>
      <c r="G711" s="137"/>
      <c r="H711" s="137"/>
      <c r="I711" s="137"/>
      <c r="J711" s="137"/>
      <c r="K711" s="6"/>
      <c r="L711" s="6"/>
      <c r="M711" s="6"/>
      <c r="N711" s="6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spans="1:26" ht="14.25" customHeight="1">
      <c r="A712" s="138"/>
      <c r="B712" s="138"/>
      <c r="C712" s="138"/>
      <c r="D712" s="137"/>
      <c r="E712" s="137"/>
      <c r="F712" s="137"/>
      <c r="G712" s="137"/>
      <c r="H712" s="137"/>
      <c r="I712" s="137"/>
      <c r="J712" s="137"/>
      <c r="K712" s="6"/>
      <c r="L712" s="6"/>
      <c r="M712" s="6"/>
      <c r="N712" s="6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spans="1:26" ht="14.25" customHeight="1">
      <c r="A713" s="138"/>
      <c r="B713" s="138"/>
      <c r="C713" s="138"/>
      <c r="D713" s="137"/>
      <c r="E713" s="137"/>
      <c r="F713" s="137"/>
      <c r="G713" s="137"/>
      <c r="H713" s="137"/>
      <c r="I713" s="137"/>
      <c r="J713" s="137"/>
      <c r="K713" s="6"/>
      <c r="L713" s="6"/>
      <c r="M713" s="6"/>
      <c r="N713" s="6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spans="1:26" ht="14.25" customHeight="1">
      <c r="A714" s="138"/>
      <c r="B714" s="138"/>
      <c r="C714" s="138"/>
      <c r="D714" s="137"/>
      <c r="E714" s="137"/>
      <c r="F714" s="137"/>
      <c r="G714" s="137"/>
      <c r="H714" s="137"/>
      <c r="I714" s="137"/>
      <c r="J714" s="137"/>
      <c r="K714" s="6"/>
      <c r="L714" s="6"/>
      <c r="M714" s="6"/>
      <c r="N714" s="6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spans="1:26" ht="14.25" customHeight="1">
      <c r="A715" s="138"/>
      <c r="B715" s="138"/>
      <c r="C715" s="138"/>
      <c r="D715" s="137"/>
      <c r="E715" s="137"/>
      <c r="F715" s="137"/>
      <c r="G715" s="137"/>
      <c r="H715" s="137"/>
      <c r="I715" s="137"/>
      <c r="J715" s="137"/>
      <c r="K715" s="6"/>
      <c r="L715" s="6"/>
      <c r="M715" s="6"/>
      <c r="N715" s="6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spans="1:26" ht="14.25" customHeight="1">
      <c r="A716" s="138"/>
      <c r="B716" s="138"/>
      <c r="C716" s="138"/>
      <c r="D716" s="137"/>
      <c r="E716" s="137"/>
      <c r="F716" s="137"/>
      <c r="G716" s="137"/>
      <c r="H716" s="137"/>
      <c r="I716" s="137"/>
      <c r="J716" s="137"/>
      <c r="K716" s="6"/>
      <c r="L716" s="6"/>
      <c r="M716" s="6"/>
      <c r="N716" s="6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spans="1:26" ht="14.25" customHeight="1">
      <c r="A717" s="138"/>
      <c r="B717" s="138"/>
      <c r="C717" s="138"/>
      <c r="D717" s="137"/>
      <c r="E717" s="137"/>
      <c r="F717" s="137"/>
      <c r="G717" s="137"/>
      <c r="H717" s="137"/>
      <c r="I717" s="137"/>
      <c r="J717" s="137"/>
      <c r="K717" s="6"/>
      <c r="L717" s="6"/>
      <c r="M717" s="6"/>
      <c r="N717" s="6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spans="1:26" ht="14.25" customHeight="1">
      <c r="A718" s="138"/>
      <c r="B718" s="138"/>
      <c r="C718" s="138"/>
      <c r="D718" s="137"/>
      <c r="E718" s="137"/>
      <c r="F718" s="137"/>
      <c r="G718" s="137"/>
      <c r="H718" s="137"/>
      <c r="I718" s="137"/>
      <c r="J718" s="137"/>
      <c r="K718" s="6"/>
      <c r="L718" s="6"/>
      <c r="M718" s="6"/>
      <c r="N718" s="6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spans="1:26" ht="14.25" customHeight="1">
      <c r="A719" s="138"/>
      <c r="B719" s="138"/>
      <c r="C719" s="138"/>
      <c r="D719" s="137"/>
      <c r="E719" s="137"/>
      <c r="F719" s="137"/>
      <c r="G719" s="137"/>
      <c r="H719" s="137"/>
      <c r="I719" s="137"/>
      <c r="J719" s="137"/>
      <c r="K719" s="6"/>
      <c r="L719" s="6"/>
      <c r="M719" s="6"/>
      <c r="N719" s="6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spans="1:26" ht="14.25" customHeight="1">
      <c r="A720" s="138"/>
      <c r="B720" s="138"/>
      <c r="C720" s="138"/>
      <c r="D720" s="137"/>
      <c r="E720" s="137"/>
      <c r="F720" s="137"/>
      <c r="G720" s="137"/>
      <c r="H720" s="137"/>
      <c r="I720" s="137"/>
      <c r="J720" s="137"/>
      <c r="K720" s="6"/>
      <c r="L720" s="6"/>
      <c r="M720" s="6"/>
      <c r="N720" s="6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spans="1:26" ht="14.25" customHeight="1">
      <c r="A721" s="138"/>
      <c r="B721" s="138"/>
      <c r="C721" s="138"/>
      <c r="D721" s="137"/>
      <c r="E721" s="137"/>
      <c r="F721" s="137"/>
      <c r="G721" s="137"/>
      <c r="H721" s="137"/>
      <c r="I721" s="137"/>
      <c r="J721" s="137"/>
      <c r="K721" s="6"/>
      <c r="L721" s="6"/>
      <c r="M721" s="6"/>
      <c r="N721" s="6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spans="1:26" ht="14.25" customHeight="1">
      <c r="A722" s="138"/>
      <c r="B722" s="138"/>
      <c r="C722" s="138"/>
      <c r="D722" s="137"/>
      <c r="E722" s="137"/>
      <c r="F722" s="137"/>
      <c r="G722" s="137"/>
      <c r="H722" s="137"/>
      <c r="I722" s="137"/>
      <c r="J722" s="137"/>
      <c r="K722" s="6"/>
      <c r="L722" s="6"/>
      <c r="M722" s="6"/>
      <c r="N722" s="6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spans="1:26" ht="14.25" customHeight="1">
      <c r="A723" s="138"/>
      <c r="B723" s="138"/>
      <c r="C723" s="138"/>
      <c r="D723" s="137"/>
      <c r="E723" s="137"/>
      <c r="F723" s="137"/>
      <c r="G723" s="137"/>
      <c r="H723" s="137"/>
      <c r="I723" s="137"/>
      <c r="J723" s="137"/>
      <c r="K723" s="6"/>
      <c r="L723" s="6"/>
      <c r="M723" s="6"/>
      <c r="N723" s="6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spans="1:26" ht="14.25" customHeight="1">
      <c r="A724" s="138"/>
      <c r="B724" s="138"/>
      <c r="C724" s="138"/>
      <c r="D724" s="137"/>
      <c r="E724" s="137"/>
      <c r="F724" s="137"/>
      <c r="G724" s="137"/>
      <c r="H724" s="137"/>
      <c r="I724" s="137"/>
      <c r="J724" s="137"/>
      <c r="K724" s="6"/>
      <c r="L724" s="6"/>
      <c r="M724" s="6"/>
      <c r="N724" s="6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spans="1:26" ht="14.25" customHeight="1">
      <c r="A725" s="138"/>
      <c r="B725" s="138"/>
      <c r="C725" s="138"/>
      <c r="D725" s="137"/>
      <c r="E725" s="137"/>
      <c r="F725" s="137"/>
      <c r="G725" s="137"/>
      <c r="H725" s="137"/>
      <c r="I725" s="137"/>
      <c r="J725" s="137"/>
      <c r="K725" s="6"/>
      <c r="L725" s="6"/>
      <c r="M725" s="6"/>
      <c r="N725" s="6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spans="1:26" ht="14.25" customHeight="1">
      <c r="A726" s="138"/>
      <c r="B726" s="138"/>
      <c r="C726" s="138"/>
      <c r="D726" s="137"/>
      <c r="E726" s="137"/>
      <c r="F726" s="137"/>
      <c r="G726" s="137"/>
      <c r="H726" s="137"/>
      <c r="I726" s="137"/>
      <c r="J726" s="137"/>
      <c r="K726" s="6"/>
      <c r="L726" s="6"/>
      <c r="M726" s="6"/>
      <c r="N726" s="6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spans="1:26" ht="14.25" customHeight="1">
      <c r="A727" s="138"/>
      <c r="B727" s="138"/>
      <c r="C727" s="138"/>
      <c r="D727" s="137"/>
      <c r="E727" s="137"/>
      <c r="F727" s="137"/>
      <c r="G727" s="137"/>
      <c r="H727" s="137"/>
      <c r="I727" s="137"/>
      <c r="J727" s="137"/>
      <c r="K727" s="6"/>
      <c r="L727" s="6"/>
      <c r="M727" s="6"/>
      <c r="N727" s="6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spans="1:26" ht="14.25" customHeight="1">
      <c r="A728" s="138"/>
      <c r="B728" s="138"/>
      <c r="C728" s="138"/>
      <c r="D728" s="137"/>
      <c r="E728" s="137"/>
      <c r="F728" s="137"/>
      <c r="G728" s="137"/>
      <c r="H728" s="137"/>
      <c r="I728" s="137"/>
      <c r="J728" s="137"/>
      <c r="K728" s="6"/>
      <c r="L728" s="6"/>
      <c r="M728" s="6"/>
      <c r="N728" s="6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spans="1:26" ht="14.25" customHeight="1">
      <c r="A729" s="138"/>
      <c r="B729" s="138"/>
      <c r="C729" s="138"/>
      <c r="D729" s="137"/>
      <c r="E729" s="137"/>
      <c r="F729" s="137"/>
      <c r="G729" s="137"/>
      <c r="H729" s="137"/>
      <c r="I729" s="137"/>
      <c r="J729" s="137"/>
      <c r="K729" s="6"/>
      <c r="L729" s="6"/>
      <c r="M729" s="6"/>
      <c r="N729" s="6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spans="1:26" ht="14.25" customHeight="1">
      <c r="A730" s="138"/>
      <c r="B730" s="138"/>
      <c r="C730" s="138"/>
      <c r="D730" s="137"/>
      <c r="E730" s="137"/>
      <c r="F730" s="137"/>
      <c r="G730" s="137"/>
      <c r="H730" s="137"/>
      <c r="I730" s="137"/>
      <c r="J730" s="137"/>
      <c r="K730" s="6"/>
      <c r="L730" s="6"/>
      <c r="M730" s="6"/>
      <c r="N730" s="6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spans="1:26" ht="14.25" customHeight="1">
      <c r="A731" s="138"/>
      <c r="B731" s="138"/>
      <c r="C731" s="138"/>
      <c r="D731" s="137"/>
      <c r="E731" s="137"/>
      <c r="F731" s="137"/>
      <c r="G731" s="137"/>
      <c r="H731" s="137"/>
      <c r="I731" s="137"/>
      <c r="J731" s="137"/>
      <c r="K731" s="6"/>
      <c r="L731" s="6"/>
      <c r="M731" s="6"/>
      <c r="N731" s="6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spans="1:26" ht="14.25" customHeight="1">
      <c r="A732" s="138"/>
      <c r="B732" s="138"/>
      <c r="C732" s="138"/>
      <c r="D732" s="137"/>
      <c r="E732" s="137"/>
      <c r="F732" s="137"/>
      <c r="G732" s="137"/>
      <c r="H732" s="137"/>
      <c r="I732" s="137"/>
      <c r="J732" s="137"/>
      <c r="K732" s="6"/>
      <c r="L732" s="6"/>
      <c r="M732" s="6"/>
      <c r="N732" s="6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spans="1:26" ht="14.25" customHeight="1">
      <c r="A733" s="138"/>
      <c r="B733" s="138"/>
      <c r="C733" s="138"/>
      <c r="D733" s="137"/>
      <c r="E733" s="137"/>
      <c r="F733" s="137"/>
      <c r="G733" s="137"/>
      <c r="H733" s="137"/>
      <c r="I733" s="137"/>
      <c r="J733" s="137"/>
      <c r="K733" s="6"/>
      <c r="L733" s="6"/>
      <c r="M733" s="6"/>
      <c r="N733" s="6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spans="1:26" ht="14.25" customHeight="1">
      <c r="A734" s="138"/>
      <c r="B734" s="138"/>
      <c r="C734" s="138"/>
      <c r="D734" s="137"/>
      <c r="E734" s="137"/>
      <c r="F734" s="137"/>
      <c r="G734" s="137"/>
      <c r="H734" s="137"/>
      <c r="I734" s="137"/>
      <c r="J734" s="137"/>
      <c r="K734" s="6"/>
      <c r="L734" s="6"/>
      <c r="M734" s="6"/>
      <c r="N734" s="6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spans="1:26" ht="14.25" customHeight="1">
      <c r="A735" s="138"/>
      <c r="B735" s="138"/>
      <c r="C735" s="138"/>
      <c r="D735" s="137"/>
      <c r="E735" s="137"/>
      <c r="F735" s="137"/>
      <c r="G735" s="137"/>
      <c r="H735" s="137"/>
      <c r="I735" s="137"/>
      <c r="J735" s="137"/>
      <c r="K735" s="6"/>
      <c r="L735" s="6"/>
      <c r="M735" s="6"/>
      <c r="N735" s="6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spans="1:26" ht="14.25" customHeight="1">
      <c r="A736" s="138"/>
      <c r="B736" s="138"/>
      <c r="C736" s="138"/>
      <c r="D736" s="137"/>
      <c r="E736" s="137"/>
      <c r="F736" s="137"/>
      <c r="G736" s="137"/>
      <c r="H736" s="137"/>
      <c r="I736" s="137"/>
      <c r="J736" s="137"/>
      <c r="K736" s="6"/>
      <c r="L736" s="6"/>
      <c r="M736" s="6"/>
      <c r="N736" s="6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spans="1:26" ht="14.25" customHeight="1">
      <c r="A737" s="138"/>
      <c r="B737" s="138"/>
      <c r="C737" s="138"/>
      <c r="D737" s="137"/>
      <c r="E737" s="137"/>
      <c r="F737" s="137"/>
      <c r="G737" s="137"/>
      <c r="H737" s="137"/>
      <c r="I737" s="137"/>
      <c r="J737" s="137"/>
      <c r="K737" s="6"/>
      <c r="L737" s="6"/>
      <c r="M737" s="6"/>
      <c r="N737" s="6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spans="1:26" ht="14.25" customHeight="1">
      <c r="A738" s="138"/>
      <c r="B738" s="138"/>
      <c r="C738" s="138"/>
      <c r="D738" s="137"/>
      <c r="E738" s="137"/>
      <c r="F738" s="137"/>
      <c r="G738" s="137"/>
      <c r="H738" s="137"/>
      <c r="I738" s="137"/>
      <c r="J738" s="137"/>
      <c r="K738" s="6"/>
      <c r="L738" s="6"/>
      <c r="M738" s="6"/>
      <c r="N738" s="6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spans="1:26" ht="14.25" customHeight="1">
      <c r="A739" s="138"/>
      <c r="B739" s="138"/>
      <c r="C739" s="138"/>
      <c r="D739" s="137"/>
      <c r="E739" s="137"/>
      <c r="F739" s="137"/>
      <c r="G739" s="137"/>
      <c r="H739" s="137"/>
      <c r="I739" s="137"/>
      <c r="J739" s="137"/>
      <c r="K739" s="6"/>
      <c r="L739" s="6"/>
      <c r="M739" s="6"/>
      <c r="N739" s="6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spans="1:26" ht="14.25" customHeight="1">
      <c r="A740" s="138"/>
      <c r="B740" s="138"/>
      <c r="C740" s="138"/>
      <c r="D740" s="137"/>
      <c r="E740" s="137"/>
      <c r="F740" s="137"/>
      <c r="G740" s="137"/>
      <c r="H740" s="137"/>
      <c r="I740" s="137"/>
      <c r="J740" s="137"/>
      <c r="K740" s="6"/>
      <c r="L740" s="6"/>
      <c r="M740" s="6"/>
      <c r="N740" s="6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spans="1:26" ht="14.25" customHeight="1">
      <c r="A741" s="138"/>
      <c r="B741" s="138"/>
      <c r="C741" s="138"/>
      <c r="D741" s="137"/>
      <c r="E741" s="137"/>
      <c r="F741" s="137"/>
      <c r="G741" s="137"/>
      <c r="H741" s="137"/>
      <c r="I741" s="137"/>
      <c r="J741" s="137"/>
      <c r="K741" s="6"/>
      <c r="L741" s="6"/>
      <c r="M741" s="6"/>
      <c r="N741" s="6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spans="1:26" ht="14.25" customHeight="1">
      <c r="A742" s="138"/>
      <c r="B742" s="138"/>
      <c r="C742" s="138"/>
      <c r="D742" s="137"/>
      <c r="E742" s="137"/>
      <c r="F742" s="137"/>
      <c r="G742" s="137"/>
      <c r="H742" s="137"/>
      <c r="I742" s="137"/>
      <c r="J742" s="137"/>
      <c r="K742" s="6"/>
      <c r="L742" s="6"/>
      <c r="M742" s="6"/>
      <c r="N742" s="6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spans="1:26" ht="14.25" customHeight="1">
      <c r="A743" s="138"/>
      <c r="B743" s="138"/>
      <c r="C743" s="138"/>
      <c r="D743" s="137"/>
      <c r="E743" s="137"/>
      <c r="F743" s="137"/>
      <c r="G743" s="137"/>
      <c r="H743" s="137"/>
      <c r="I743" s="137"/>
      <c r="J743" s="137"/>
      <c r="K743" s="6"/>
      <c r="L743" s="6"/>
      <c r="M743" s="6"/>
      <c r="N743" s="6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spans="1:26" ht="14.25" customHeight="1">
      <c r="A744" s="138"/>
      <c r="B744" s="138"/>
      <c r="C744" s="138"/>
      <c r="D744" s="137"/>
      <c r="E744" s="137"/>
      <c r="F744" s="137"/>
      <c r="G744" s="137"/>
      <c r="H744" s="137"/>
      <c r="I744" s="137"/>
      <c r="J744" s="137"/>
      <c r="K744" s="6"/>
      <c r="L744" s="6"/>
      <c r="M744" s="6"/>
      <c r="N744" s="6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spans="1:26" ht="14.25" customHeight="1">
      <c r="A745" s="138"/>
      <c r="B745" s="138"/>
      <c r="C745" s="138"/>
      <c r="D745" s="137"/>
      <c r="E745" s="137"/>
      <c r="F745" s="137"/>
      <c r="G745" s="137"/>
      <c r="H745" s="137"/>
      <c r="I745" s="137"/>
      <c r="J745" s="137"/>
      <c r="K745" s="6"/>
      <c r="L745" s="6"/>
      <c r="M745" s="6"/>
      <c r="N745" s="6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spans="1:26" ht="14.25" customHeight="1">
      <c r="A746" s="138"/>
      <c r="B746" s="138"/>
      <c r="C746" s="138"/>
      <c r="D746" s="137"/>
      <c r="E746" s="137"/>
      <c r="F746" s="137"/>
      <c r="G746" s="137"/>
      <c r="H746" s="137"/>
      <c r="I746" s="137"/>
      <c r="J746" s="137"/>
      <c r="K746" s="6"/>
      <c r="L746" s="6"/>
      <c r="M746" s="6"/>
      <c r="N746" s="6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spans="1:26" ht="14.25" customHeight="1">
      <c r="A747" s="138"/>
      <c r="B747" s="138"/>
      <c r="C747" s="138"/>
      <c r="D747" s="137"/>
      <c r="E747" s="137"/>
      <c r="F747" s="137"/>
      <c r="G747" s="137"/>
      <c r="H747" s="137"/>
      <c r="I747" s="137"/>
      <c r="J747" s="137"/>
      <c r="K747" s="6"/>
      <c r="L747" s="6"/>
      <c r="M747" s="6"/>
      <c r="N747" s="6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spans="1:26" ht="14.25" customHeight="1">
      <c r="A748" s="138"/>
      <c r="B748" s="138"/>
      <c r="C748" s="138"/>
      <c r="D748" s="137"/>
      <c r="E748" s="137"/>
      <c r="F748" s="137"/>
      <c r="G748" s="137"/>
      <c r="H748" s="137"/>
      <c r="I748" s="137"/>
      <c r="J748" s="137"/>
      <c r="K748" s="6"/>
      <c r="L748" s="6"/>
      <c r="M748" s="6"/>
      <c r="N748" s="6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spans="1:26" ht="14.25" customHeight="1">
      <c r="A749" s="138"/>
      <c r="B749" s="138"/>
      <c r="C749" s="138"/>
      <c r="D749" s="137"/>
      <c r="E749" s="137"/>
      <c r="F749" s="137"/>
      <c r="G749" s="137"/>
      <c r="H749" s="137"/>
      <c r="I749" s="137"/>
      <c r="J749" s="137"/>
      <c r="K749" s="6"/>
      <c r="L749" s="6"/>
      <c r="M749" s="6"/>
      <c r="N749" s="6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spans="1:26" ht="14.25" customHeight="1">
      <c r="A750" s="138"/>
      <c r="B750" s="138"/>
      <c r="C750" s="138"/>
      <c r="D750" s="137"/>
      <c r="E750" s="137"/>
      <c r="F750" s="137"/>
      <c r="G750" s="137"/>
      <c r="H750" s="137"/>
      <c r="I750" s="137"/>
      <c r="J750" s="137"/>
      <c r="K750" s="6"/>
      <c r="L750" s="6"/>
      <c r="M750" s="6"/>
      <c r="N750" s="6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spans="1:26" ht="14.25" customHeight="1">
      <c r="A751" s="138"/>
      <c r="B751" s="138"/>
      <c r="C751" s="138"/>
      <c r="D751" s="137"/>
      <c r="E751" s="137"/>
      <c r="F751" s="137"/>
      <c r="G751" s="137"/>
      <c r="H751" s="137"/>
      <c r="I751" s="137"/>
      <c r="J751" s="137"/>
      <c r="K751" s="6"/>
      <c r="L751" s="6"/>
      <c r="M751" s="6"/>
      <c r="N751" s="6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spans="1:26" ht="14.25" customHeight="1">
      <c r="A752" s="138"/>
      <c r="B752" s="138"/>
      <c r="C752" s="138"/>
      <c r="D752" s="137"/>
      <c r="E752" s="137"/>
      <c r="F752" s="137"/>
      <c r="G752" s="137"/>
      <c r="H752" s="137"/>
      <c r="I752" s="137"/>
      <c r="J752" s="137"/>
      <c r="K752" s="6"/>
      <c r="L752" s="6"/>
      <c r="M752" s="6"/>
      <c r="N752" s="6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spans="1:26" ht="14.25" customHeight="1">
      <c r="A753" s="138"/>
      <c r="B753" s="138"/>
      <c r="C753" s="138"/>
      <c r="D753" s="137"/>
      <c r="E753" s="137"/>
      <c r="F753" s="137"/>
      <c r="G753" s="137"/>
      <c r="H753" s="137"/>
      <c r="I753" s="137"/>
      <c r="J753" s="137"/>
      <c r="K753" s="6"/>
      <c r="L753" s="6"/>
      <c r="M753" s="6"/>
      <c r="N753" s="6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spans="1:26" ht="14.25" customHeight="1">
      <c r="A754" s="138"/>
      <c r="B754" s="138"/>
      <c r="C754" s="138"/>
      <c r="D754" s="137"/>
      <c r="E754" s="137"/>
      <c r="F754" s="137"/>
      <c r="G754" s="137"/>
      <c r="H754" s="137"/>
      <c r="I754" s="137"/>
      <c r="J754" s="137"/>
      <c r="K754" s="6"/>
      <c r="L754" s="6"/>
      <c r="M754" s="6"/>
      <c r="N754" s="6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spans="1:26" ht="14.25" customHeight="1">
      <c r="A755" s="138"/>
      <c r="B755" s="138"/>
      <c r="C755" s="138"/>
      <c r="D755" s="137"/>
      <c r="E755" s="137"/>
      <c r="F755" s="137"/>
      <c r="G755" s="137"/>
      <c r="H755" s="137"/>
      <c r="I755" s="137"/>
      <c r="J755" s="137"/>
      <c r="K755" s="6"/>
      <c r="L755" s="6"/>
      <c r="M755" s="6"/>
      <c r="N755" s="6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spans="1:26" ht="14.25" customHeight="1">
      <c r="A756" s="138"/>
      <c r="B756" s="138"/>
      <c r="C756" s="138"/>
      <c r="D756" s="137"/>
      <c r="E756" s="137"/>
      <c r="F756" s="137"/>
      <c r="G756" s="137"/>
      <c r="H756" s="137"/>
      <c r="I756" s="137"/>
      <c r="J756" s="137"/>
      <c r="K756" s="6"/>
      <c r="L756" s="6"/>
      <c r="M756" s="6"/>
      <c r="N756" s="6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spans="1:26" ht="14.25" customHeight="1">
      <c r="A757" s="138"/>
      <c r="B757" s="138"/>
      <c r="C757" s="138"/>
      <c r="D757" s="137"/>
      <c r="E757" s="137"/>
      <c r="F757" s="137"/>
      <c r="G757" s="137"/>
      <c r="H757" s="137"/>
      <c r="I757" s="137"/>
      <c r="J757" s="137"/>
      <c r="K757" s="6"/>
      <c r="L757" s="6"/>
      <c r="M757" s="6"/>
      <c r="N757" s="6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spans="1:26" ht="14.25" customHeight="1">
      <c r="A758" s="138"/>
      <c r="B758" s="138"/>
      <c r="C758" s="138"/>
      <c r="D758" s="137"/>
      <c r="E758" s="137"/>
      <c r="F758" s="137"/>
      <c r="G758" s="137"/>
      <c r="H758" s="137"/>
      <c r="I758" s="137"/>
      <c r="J758" s="137"/>
      <c r="K758" s="6"/>
      <c r="L758" s="6"/>
      <c r="M758" s="6"/>
      <c r="N758" s="6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spans="1:26" ht="14.25" customHeight="1">
      <c r="A759" s="138"/>
      <c r="B759" s="138"/>
      <c r="C759" s="138"/>
      <c r="D759" s="137"/>
      <c r="E759" s="137"/>
      <c r="F759" s="137"/>
      <c r="G759" s="137"/>
      <c r="H759" s="137"/>
      <c r="I759" s="137"/>
      <c r="J759" s="137"/>
      <c r="K759" s="6"/>
      <c r="L759" s="6"/>
      <c r="M759" s="6"/>
      <c r="N759" s="6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spans="1:26" ht="14.25" customHeight="1">
      <c r="A760" s="138"/>
      <c r="B760" s="138"/>
      <c r="C760" s="138"/>
      <c r="D760" s="137"/>
      <c r="E760" s="137"/>
      <c r="F760" s="137"/>
      <c r="G760" s="137"/>
      <c r="H760" s="137"/>
      <c r="I760" s="137"/>
      <c r="J760" s="137"/>
      <c r="K760" s="6"/>
      <c r="L760" s="6"/>
      <c r="M760" s="6"/>
      <c r="N760" s="6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spans="1:26" ht="14.25" customHeight="1">
      <c r="A761" s="138"/>
      <c r="B761" s="138"/>
      <c r="C761" s="138"/>
      <c r="D761" s="137"/>
      <c r="E761" s="137"/>
      <c r="F761" s="137"/>
      <c r="G761" s="137"/>
      <c r="H761" s="137"/>
      <c r="I761" s="137"/>
      <c r="J761" s="137"/>
      <c r="K761" s="6"/>
      <c r="L761" s="6"/>
      <c r="M761" s="6"/>
      <c r="N761" s="6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spans="1:26" ht="14.25" customHeight="1">
      <c r="A762" s="138"/>
      <c r="B762" s="138"/>
      <c r="C762" s="138"/>
      <c r="D762" s="137"/>
      <c r="E762" s="137"/>
      <c r="F762" s="137"/>
      <c r="G762" s="137"/>
      <c r="H762" s="137"/>
      <c r="I762" s="137"/>
      <c r="J762" s="137"/>
      <c r="K762" s="6"/>
      <c r="L762" s="6"/>
      <c r="M762" s="6"/>
      <c r="N762" s="6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spans="1:26" ht="14.25" customHeight="1">
      <c r="A763" s="138"/>
      <c r="B763" s="138"/>
      <c r="C763" s="138"/>
      <c r="D763" s="137"/>
      <c r="E763" s="137"/>
      <c r="F763" s="137"/>
      <c r="G763" s="137"/>
      <c r="H763" s="137"/>
      <c r="I763" s="137"/>
      <c r="J763" s="137"/>
      <c r="K763" s="6"/>
      <c r="L763" s="6"/>
      <c r="M763" s="6"/>
      <c r="N763" s="6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spans="1:26" ht="14.25" customHeight="1">
      <c r="A764" s="138"/>
      <c r="B764" s="138"/>
      <c r="C764" s="138"/>
      <c r="D764" s="137"/>
      <c r="E764" s="137"/>
      <c r="F764" s="137"/>
      <c r="G764" s="137"/>
      <c r="H764" s="137"/>
      <c r="I764" s="137"/>
      <c r="J764" s="137"/>
      <c r="K764" s="6"/>
      <c r="L764" s="6"/>
      <c r="M764" s="6"/>
      <c r="N764" s="6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spans="1:26" ht="14.25" customHeight="1">
      <c r="A765" s="138"/>
      <c r="B765" s="138"/>
      <c r="C765" s="138"/>
      <c r="D765" s="137"/>
      <c r="E765" s="137"/>
      <c r="F765" s="137"/>
      <c r="G765" s="137"/>
      <c r="H765" s="137"/>
      <c r="I765" s="137"/>
      <c r="J765" s="137"/>
      <c r="K765" s="6"/>
      <c r="L765" s="6"/>
      <c r="M765" s="6"/>
      <c r="N765" s="6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spans="1:26" ht="14.25" customHeight="1">
      <c r="A766" s="138"/>
      <c r="B766" s="138"/>
      <c r="C766" s="138"/>
      <c r="D766" s="137"/>
      <c r="E766" s="137"/>
      <c r="F766" s="137"/>
      <c r="G766" s="137"/>
      <c r="H766" s="137"/>
      <c r="I766" s="137"/>
      <c r="J766" s="137"/>
      <c r="K766" s="6"/>
      <c r="L766" s="6"/>
      <c r="M766" s="6"/>
      <c r="N766" s="6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spans="1:26" ht="14.25" customHeight="1">
      <c r="A767" s="138"/>
      <c r="B767" s="138"/>
      <c r="C767" s="138"/>
      <c r="D767" s="137"/>
      <c r="E767" s="137"/>
      <c r="F767" s="137"/>
      <c r="G767" s="137"/>
      <c r="H767" s="137"/>
      <c r="I767" s="137"/>
      <c r="J767" s="137"/>
      <c r="K767" s="6"/>
      <c r="L767" s="6"/>
      <c r="M767" s="6"/>
      <c r="N767" s="6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spans="1:26" ht="14.25" customHeight="1">
      <c r="A768" s="138"/>
      <c r="B768" s="138"/>
      <c r="C768" s="138"/>
      <c r="D768" s="137"/>
      <c r="E768" s="137"/>
      <c r="F768" s="137"/>
      <c r="G768" s="137"/>
      <c r="H768" s="137"/>
      <c r="I768" s="137"/>
      <c r="J768" s="137"/>
      <c r="K768" s="6"/>
      <c r="L768" s="6"/>
      <c r="M768" s="6"/>
      <c r="N768" s="6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spans="1:26" ht="14.25" customHeight="1">
      <c r="A769" s="138"/>
      <c r="B769" s="138"/>
      <c r="C769" s="138"/>
      <c r="D769" s="137"/>
      <c r="E769" s="137"/>
      <c r="F769" s="137"/>
      <c r="G769" s="137"/>
      <c r="H769" s="137"/>
      <c r="I769" s="137"/>
      <c r="J769" s="137"/>
      <c r="K769" s="6"/>
      <c r="L769" s="6"/>
      <c r="M769" s="6"/>
      <c r="N769" s="6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spans="1:26" ht="14.25" customHeight="1">
      <c r="A770" s="138"/>
      <c r="B770" s="138"/>
      <c r="C770" s="138"/>
      <c r="D770" s="137"/>
      <c r="E770" s="137"/>
      <c r="F770" s="137"/>
      <c r="G770" s="137"/>
      <c r="H770" s="137"/>
      <c r="I770" s="137"/>
      <c r="J770" s="137"/>
      <c r="K770" s="6"/>
      <c r="L770" s="6"/>
      <c r="M770" s="6"/>
      <c r="N770" s="6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spans="1:26" ht="14.25" customHeight="1">
      <c r="A771" s="138"/>
      <c r="B771" s="138"/>
      <c r="C771" s="138"/>
      <c r="D771" s="137"/>
      <c r="E771" s="137"/>
      <c r="F771" s="137"/>
      <c r="G771" s="137"/>
      <c r="H771" s="137"/>
      <c r="I771" s="137"/>
      <c r="J771" s="137"/>
      <c r="K771" s="6"/>
      <c r="L771" s="6"/>
      <c r="M771" s="6"/>
      <c r="N771" s="6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spans="1:26" ht="14.25" customHeight="1">
      <c r="A772" s="138"/>
      <c r="B772" s="138"/>
      <c r="C772" s="138"/>
      <c r="D772" s="137"/>
      <c r="E772" s="137"/>
      <c r="F772" s="137"/>
      <c r="G772" s="137"/>
      <c r="H772" s="137"/>
      <c r="I772" s="137"/>
      <c r="J772" s="137"/>
      <c r="K772" s="6"/>
      <c r="L772" s="6"/>
      <c r="M772" s="6"/>
      <c r="N772" s="6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spans="1:26" ht="14.25" customHeight="1">
      <c r="A773" s="138"/>
      <c r="B773" s="138"/>
      <c r="C773" s="138"/>
      <c r="D773" s="137"/>
      <c r="E773" s="137"/>
      <c r="F773" s="137"/>
      <c r="G773" s="137"/>
      <c r="H773" s="137"/>
      <c r="I773" s="137"/>
      <c r="J773" s="137"/>
      <c r="K773" s="6"/>
      <c r="L773" s="6"/>
      <c r="M773" s="6"/>
      <c r="N773" s="6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spans="1:26" ht="14.25" customHeight="1">
      <c r="A774" s="138"/>
      <c r="B774" s="138"/>
      <c r="C774" s="138"/>
      <c r="D774" s="137"/>
      <c r="E774" s="137"/>
      <c r="F774" s="137"/>
      <c r="G774" s="137"/>
      <c r="H774" s="137"/>
      <c r="I774" s="137"/>
      <c r="J774" s="137"/>
      <c r="K774" s="6"/>
      <c r="L774" s="6"/>
      <c r="M774" s="6"/>
      <c r="N774" s="6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spans="1:26" ht="14.25" customHeight="1">
      <c r="A775" s="138"/>
      <c r="B775" s="138"/>
      <c r="C775" s="138"/>
      <c r="D775" s="137"/>
      <c r="E775" s="137"/>
      <c r="F775" s="137"/>
      <c r="G775" s="137"/>
      <c r="H775" s="137"/>
      <c r="I775" s="137"/>
      <c r="J775" s="137"/>
      <c r="K775" s="6"/>
      <c r="L775" s="6"/>
      <c r="M775" s="6"/>
      <c r="N775" s="6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spans="1:26" ht="14.25" customHeight="1">
      <c r="A776" s="138"/>
      <c r="B776" s="138"/>
      <c r="C776" s="138"/>
      <c r="D776" s="137"/>
      <c r="E776" s="137"/>
      <c r="F776" s="137"/>
      <c r="G776" s="137"/>
      <c r="H776" s="137"/>
      <c r="I776" s="137"/>
      <c r="J776" s="137"/>
      <c r="K776" s="6"/>
      <c r="L776" s="6"/>
      <c r="M776" s="6"/>
      <c r="N776" s="6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spans="1:26" ht="14.25" customHeight="1">
      <c r="A777" s="138"/>
      <c r="B777" s="138"/>
      <c r="C777" s="138"/>
      <c r="D777" s="137"/>
      <c r="E777" s="137"/>
      <c r="F777" s="137"/>
      <c r="G777" s="137"/>
      <c r="H777" s="137"/>
      <c r="I777" s="137"/>
      <c r="J777" s="137"/>
      <c r="K777" s="6"/>
      <c r="L777" s="6"/>
      <c r="M777" s="6"/>
      <c r="N777" s="6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spans="1:26" ht="14.25" customHeight="1">
      <c r="A778" s="138"/>
      <c r="B778" s="138"/>
      <c r="C778" s="138"/>
      <c r="D778" s="137"/>
      <c r="E778" s="137"/>
      <c r="F778" s="137"/>
      <c r="G778" s="137"/>
      <c r="H778" s="137"/>
      <c r="I778" s="137"/>
      <c r="J778" s="137"/>
      <c r="K778" s="6"/>
      <c r="L778" s="6"/>
      <c r="M778" s="6"/>
      <c r="N778" s="6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spans="1:26" ht="14.25" customHeight="1">
      <c r="A779" s="138"/>
      <c r="B779" s="138"/>
      <c r="C779" s="138"/>
      <c r="D779" s="137"/>
      <c r="E779" s="137"/>
      <c r="F779" s="137"/>
      <c r="G779" s="137"/>
      <c r="H779" s="137"/>
      <c r="I779" s="137"/>
      <c r="J779" s="137"/>
      <c r="K779" s="6"/>
      <c r="L779" s="6"/>
      <c r="M779" s="6"/>
      <c r="N779" s="6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spans="1:26" ht="14.25" customHeight="1">
      <c r="A780" s="138"/>
      <c r="B780" s="138"/>
      <c r="C780" s="138"/>
      <c r="D780" s="137"/>
      <c r="E780" s="137"/>
      <c r="F780" s="137"/>
      <c r="G780" s="137"/>
      <c r="H780" s="137"/>
      <c r="I780" s="137"/>
      <c r="J780" s="137"/>
      <c r="K780" s="6"/>
      <c r="L780" s="6"/>
      <c r="M780" s="6"/>
      <c r="N780" s="6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spans="1:26" ht="14.25" customHeight="1">
      <c r="A781" s="138"/>
      <c r="B781" s="138"/>
      <c r="C781" s="138"/>
      <c r="D781" s="137"/>
      <c r="E781" s="137"/>
      <c r="F781" s="137"/>
      <c r="G781" s="137"/>
      <c r="H781" s="137"/>
      <c r="I781" s="137"/>
      <c r="J781" s="137"/>
      <c r="K781" s="6"/>
      <c r="L781" s="6"/>
      <c r="M781" s="6"/>
      <c r="N781" s="6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spans="1:26" ht="14.25" customHeight="1">
      <c r="A782" s="138"/>
      <c r="B782" s="138"/>
      <c r="C782" s="138"/>
      <c r="D782" s="137"/>
      <c r="E782" s="137"/>
      <c r="F782" s="137"/>
      <c r="G782" s="137"/>
      <c r="H782" s="137"/>
      <c r="I782" s="137"/>
      <c r="J782" s="137"/>
      <c r="K782" s="6"/>
      <c r="L782" s="6"/>
      <c r="M782" s="6"/>
      <c r="N782" s="6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spans="1:26" ht="14.25" customHeight="1">
      <c r="A783" s="138"/>
      <c r="B783" s="138"/>
      <c r="C783" s="138"/>
      <c r="D783" s="137"/>
      <c r="E783" s="137"/>
      <c r="F783" s="137"/>
      <c r="G783" s="137"/>
      <c r="H783" s="137"/>
      <c r="I783" s="137"/>
      <c r="J783" s="137"/>
      <c r="K783" s="6"/>
      <c r="L783" s="6"/>
      <c r="M783" s="6"/>
      <c r="N783" s="6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spans="1:26" ht="14.25" customHeight="1">
      <c r="A784" s="138"/>
      <c r="B784" s="138"/>
      <c r="C784" s="138"/>
      <c r="D784" s="137"/>
      <c r="E784" s="137"/>
      <c r="F784" s="137"/>
      <c r="G784" s="137"/>
      <c r="H784" s="137"/>
      <c r="I784" s="137"/>
      <c r="J784" s="137"/>
      <c r="K784" s="6"/>
      <c r="L784" s="6"/>
      <c r="M784" s="6"/>
      <c r="N784" s="6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spans="1:26" ht="14.25" customHeight="1">
      <c r="A785" s="138"/>
      <c r="B785" s="138"/>
      <c r="C785" s="138"/>
      <c r="D785" s="137"/>
      <c r="E785" s="137"/>
      <c r="F785" s="137"/>
      <c r="G785" s="137"/>
      <c r="H785" s="137"/>
      <c r="I785" s="137"/>
      <c r="J785" s="137"/>
      <c r="K785" s="6"/>
      <c r="L785" s="6"/>
      <c r="M785" s="6"/>
      <c r="N785" s="6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spans="1:26" ht="14.25" customHeight="1">
      <c r="A786" s="138"/>
      <c r="B786" s="138"/>
      <c r="C786" s="138"/>
      <c r="D786" s="137"/>
      <c r="E786" s="137"/>
      <c r="F786" s="137"/>
      <c r="G786" s="137"/>
      <c r="H786" s="137"/>
      <c r="I786" s="137"/>
      <c r="J786" s="137"/>
      <c r="K786" s="6"/>
      <c r="L786" s="6"/>
      <c r="M786" s="6"/>
      <c r="N786" s="6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spans="1:26" ht="14.25" customHeight="1">
      <c r="A787" s="138"/>
      <c r="B787" s="138"/>
      <c r="C787" s="138"/>
      <c r="D787" s="137"/>
      <c r="E787" s="137"/>
      <c r="F787" s="137"/>
      <c r="G787" s="137"/>
      <c r="H787" s="137"/>
      <c r="I787" s="137"/>
      <c r="J787" s="137"/>
      <c r="K787" s="6"/>
      <c r="L787" s="6"/>
      <c r="M787" s="6"/>
      <c r="N787" s="6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spans="1:26" ht="14.25" customHeight="1">
      <c r="A788" s="138"/>
      <c r="B788" s="138"/>
      <c r="C788" s="138"/>
      <c r="D788" s="137"/>
      <c r="E788" s="137"/>
      <c r="F788" s="137"/>
      <c r="G788" s="137"/>
      <c r="H788" s="137"/>
      <c r="I788" s="137"/>
      <c r="J788" s="137"/>
      <c r="K788" s="6"/>
      <c r="L788" s="6"/>
      <c r="M788" s="6"/>
      <c r="N788" s="6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spans="1:26" ht="14.25" customHeight="1">
      <c r="A789" s="138"/>
      <c r="B789" s="138"/>
      <c r="C789" s="138"/>
      <c r="D789" s="137"/>
      <c r="E789" s="137"/>
      <c r="F789" s="137"/>
      <c r="G789" s="137"/>
      <c r="H789" s="137"/>
      <c r="I789" s="137"/>
      <c r="J789" s="137"/>
      <c r="K789" s="6"/>
      <c r="L789" s="6"/>
      <c r="M789" s="6"/>
      <c r="N789" s="6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spans="1:26" ht="14.25" customHeight="1">
      <c r="A790" s="138"/>
      <c r="B790" s="138"/>
      <c r="C790" s="138"/>
      <c r="D790" s="137"/>
      <c r="E790" s="137"/>
      <c r="F790" s="137"/>
      <c r="G790" s="137"/>
      <c r="H790" s="137"/>
      <c r="I790" s="137"/>
      <c r="J790" s="137"/>
      <c r="K790" s="6"/>
      <c r="L790" s="6"/>
      <c r="M790" s="6"/>
      <c r="N790" s="6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spans="1:26" ht="14.25" customHeight="1">
      <c r="A791" s="138"/>
      <c r="B791" s="138"/>
      <c r="C791" s="138"/>
      <c r="D791" s="137"/>
      <c r="E791" s="137"/>
      <c r="F791" s="137"/>
      <c r="G791" s="137"/>
      <c r="H791" s="137"/>
      <c r="I791" s="137"/>
      <c r="J791" s="137"/>
      <c r="K791" s="6"/>
      <c r="L791" s="6"/>
      <c r="M791" s="6"/>
      <c r="N791" s="6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spans="1:26" ht="14.25" customHeight="1">
      <c r="A792" s="138"/>
      <c r="B792" s="138"/>
      <c r="C792" s="138"/>
      <c r="D792" s="137"/>
      <c r="E792" s="137"/>
      <c r="F792" s="137"/>
      <c r="G792" s="137"/>
      <c r="H792" s="137"/>
      <c r="I792" s="137"/>
      <c r="J792" s="137"/>
      <c r="K792" s="6"/>
      <c r="L792" s="6"/>
      <c r="M792" s="6"/>
      <c r="N792" s="6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spans="1:26" ht="14.25" customHeight="1">
      <c r="A793" s="138"/>
      <c r="B793" s="138"/>
      <c r="C793" s="138"/>
      <c r="D793" s="137"/>
      <c r="E793" s="137"/>
      <c r="F793" s="137"/>
      <c r="G793" s="137"/>
      <c r="H793" s="137"/>
      <c r="I793" s="137"/>
      <c r="J793" s="137"/>
      <c r="K793" s="6"/>
      <c r="L793" s="6"/>
      <c r="M793" s="6"/>
      <c r="N793" s="6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spans="1:26" ht="14.25" customHeight="1">
      <c r="A794" s="138"/>
      <c r="B794" s="138"/>
      <c r="C794" s="138"/>
      <c r="D794" s="137"/>
      <c r="E794" s="137"/>
      <c r="F794" s="137"/>
      <c r="G794" s="137"/>
      <c r="H794" s="137"/>
      <c r="I794" s="137"/>
      <c r="J794" s="137"/>
      <c r="K794" s="6"/>
      <c r="L794" s="6"/>
      <c r="M794" s="6"/>
      <c r="N794" s="6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spans="1:26" ht="14.25" customHeight="1">
      <c r="A795" s="138"/>
      <c r="B795" s="138"/>
      <c r="C795" s="138"/>
      <c r="D795" s="137"/>
      <c r="E795" s="137"/>
      <c r="F795" s="137"/>
      <c r="G795" s="137"/>
      <c r="H795" s="137"/>
      <c r="I795" s="137"/>
      <c r="J795" s="137"/>
      <c r="K795" s="6"/>
      <c r="L795" s="6"/>
      <c r="M795" s="6"/>
      <c r="N795" s="6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spans="1:26" ht="14.25" customHeight="1">
      <c r="A796" s="138"/>
      <c r="B796" s="138"/>
      <c r="C796" s="138"/>
      <c r="D796" s="137"/>
      <c r="E796" s="137"/>
      <c r="F796" s="137"/>
      <c r="G796" s="137"/>
      <c r="H796" s="137"/>
      <c r="I796" s="137"/>
      <c r="J796" s="137"/>
      <c r="K796" s="6"/>
      <c r="L796" s="6"/>
      <c r="M796" s="6"/>
      <c r="N796" s="6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spans="1:26" ht="14.25" customHeight="1">
      <c r="A797" s="138"/>
      <c r="B797" s="138"/>
      <c r="C797" s="138"/>
      <c r="D797" s="137"/>
      <c r="E797" s="137"/>
      <c r="F797" s="137"/>
      <c r="G797" s="137"/>
      <c r="H797" s="137"/>
      <c r="I797" s="137"/>
      <c r="J797" s="137"/>
      <c r="K797" s="6"/>
      <c r="L797" s="6"/>
      <c r="M797" s="6"/>
      <c r="N797" s="6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spans="1:26" ht="14.25" customHeight="1">
      <c r="A798" s="138"/>
      <c r="B798" s="138"/>
      <c r="C798" s="138"/>
      <c r="D798" s="137"/>
      <c r="E798" s="137"/>
      <c r="F798" s="137"/>
      <c r="G798" s="137"/>
      <c r="H798" s="137"/>
      <c r="I798" s="137"/>
      <c r="J798" s="137"/>
      <c r="K798" s="6"/>
      <c r="L798" s="6"/>
      <c r="M798" s="6"/>
      <c r="N798" s="6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spans="1:26" ht="14.25" customHeight="1">
      <c r="A799" s="138"/>
      <c r="B799" s="138"/>
      <c r="C799" s="138"/>
      <c r="D799" s="137"/>
      <c r="E799" s="137"/>
      <c r="F799" s="137"/>
      <c r="G799" s="137"/>
      <c r="H799" s="137"/>
      <c r="I799" s="137"/>
      <c r="J799" s="137"/>
      <c r="K799" s="6"/>
      <c r="L799" s="6"/>
      <c r="M799" s="6"/>
      <c r="N799" s="6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spans="1:26" ht="14.25" customHeight="1">
      <c r="A800" s="138"/>
      <c r="B800" s="138"/>
      <c r="C800" s="138"/>
      <c r="D800" s="137"/>
      <c r="E800" s="137"/>
      <c r="F800" s="137"/>
      <c r="G800" s="137"/>
      <c r="H800" s="137"/>
      <c r="I800" s="137"/>
      <c r="J800" s="137"/>
      <c r="K800" s="6"/>
      <c r="L800" s="6"/>
      <c r="M800" s="6"/>
      <c r="N800" s="6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spans="1:26" ht="14.25" customHeight="1">
      <c r="A801" s="138"/>
      <c r="B801" s="138"/>
      <c r="C801" s="138"/>
      <c r="D801" s="137"/>
      <c r="E801" s="137"/>
      <c r="F801" s="137"/>
      <c r="G801" s="137"/>
      <c r="H801" s="137"/>
      <c r="I801" s="137"/>
      <c r="J801" s="137"/>
      <c r="K801" s="6"/>
      <c r="L801" s="6"/>
      <c r="M801" s="6"/>
      <c r="N801" s="6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spans="1:26" ht="14.25" customHeight="1">
      <c r="A802" s="138"/>
      <c r="B802" s="138"/>
      <c r="C802" s="138"/>
      <c r="D802" s="137"/>
      <c r="E802" s="137"/>
      <c r="F802" s="137"/>
      <c r="G802" s="137"/>
      <c r="H802" s="137"/>
      <c r="I802" s="137"/>
      <c r="J802" s="137"/>
      <c r="K802" s="6"/>
      <c r="L802" s="6"/>
      <c r="M802" s="6"/>
      <c r="N802" s="6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spans="1:26" ht="14.25" customHeight="1">
      <c r="A803" s="138"/>
      <c r="B803" s="138"/>
      <c r="C803" s="138"/>
      <c r="D803" s="137"/>
      <c r="E803" s="137"/>
      <c r="F803" s="137"/>
      <c r="G803" s="137"/>
      <c r="H803" s="137"/>
      <c r="I803" s="137"/>
      <c r="J803" s="137"/>
      <c r="K803" s="6"/>
      <c r="L803" s="6"/>
      <c r="M803" s="6"/>
      <c r="N803" s="6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spans="1:26" ht="14.25" customHeight="1">
      <c r="A804" s="138"/>
      <c r="B804" s="138"/>
      <c r="C804" s="138"/>
      <c r="D804" s="137"/>
      <c r="E804" s="137"/>
      <c r="F804" s="137"/>
      <c r="G804" s="137"/>
      <c r="H804" s="137"/>
      <c r="I804" s="137"/>
      <c r="J804" s="137"/>
      <c r="K804" s="6"/>
      <c r="L804" s="6"/>
      <c r="M804" s="6"/>
      <c r="N804" s="6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spans="1:26" ht="14.25" customHeight="1">
      <c r="A805" s="138"/>
      <c r="B805" s="138"/>
      <c r="C805" s="138"/>
      <c r="D805" s="137"/>
      <c r="E805" s="137"/>
      <c r="F805" s="137"/>
      <c r="G805" s="137"/>
      <c r="H805" s="137"/>
      <c r="I805" s="137"/>
      <c r="J805" s="137"/>
      <c r="K805" s="6"/>
      <c r="L805" s="6"/>
      <c r="M805" s="6"/>
      <c r="N805" s="6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spans="1:26" ht="14.25" customHeight="1">
      <c r="A806" s="138"/>
      <c r="B806" s="138"/>
      <c r="C806" s="138"/>
      <c r="D806" s="137"/>
      <c r="E806" s="137"/>
      <c r="F806" s="137"/>
      <c r="G806" s="137"/>
      <c r="H806" s="137"/>
      <c r="I806" s="137"/>
      <c r="J806" s="137"/>
      <c r="K806" s="6"/>
      <c r="L806" s="6"/>
      <c r="M806" s="6"/>
      <c r="N806" s="6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spans="1:26" ht="14.25" customHeight="1">
      <c r="A807" s="138"/>
      <c r="B807" s="138"/>
      <c r="C807" s="138"/>
      <c r="D807" s="137"/>
      <c r="E807" s="137"/>
      <c r="F807" s="137"/>
      <c r="G807" s="137"/>
      <c r="H807" s="137"/>
      <c r="I807" s="137"/>
      <c r="J807" s="137"/>
      <c r="K807" s="6"/>
      <c r="L807" s="6"/>
      <c r="M807" s="6"/>
      <c r="N807" s="6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spans="1:26" ht="14.25" customHeight="1">
      <c r="A808" s="138"/>
      <c r="B808" s="138"/>
      <c r="C808" s="138"/>
      <c r="D808" s="137"/>
      <c r="E808" s="137"/>
      <c r="F808" s="137"/>
      <c r="G808" s="137"/>
      <c r="H808" s="137"/>
      <c r="I808" s="137"/>
      <c r="J808" s="137"/>
      <c r="K808" s="6"/>
      <c r="L808" s="6"/>
      <c r="M808" s="6"/>
      <c r="N808" s="6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spans="1:26" ht="14.25" customHeight="1">
      <c r="A809" s="138"/>
      <c r="B809" s="138"/>
      <c r="C809" s="138"/>
      <c r="D809" s="137"/>
      <c r="E809" s="137"/>
      <c r="F809" s="137"/>
      <c r="G809" s="137"/>
      <c r="H809" s="137"/>
      <c r="I809" s="137"/>
      <c r="J809" s="137"/>
      <c r="K809" s="6"/>
      <c r="L809" s="6"/>
      <c r="M809" s="6"/>
      <c r="N809" s="6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spans="1:26" ht="14.25" customHeight="1">
      <c r="A810" s="138"/>
      <c r="B810" s="138"/>
      <c r="C810" s="138"/>
      <c r="D810" s="137"/>
      <c r="E810" s="137"/>
      <c r="F810" s="137"/>
      <c r="G810" s="137"/>
      <c r="H810" s="137"/>
      <c r="I810" s="137"/>
      <c r="J810" s="137"/>
      <c r="K810" s="6"/>
      <c r="L810" s="6"/>
      <c r="M810" s="6"/>
      <c r="N810" s="6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spans="1:26" ht="14.25" customHeight="1">
      <c r="A811" s="138"/>
      <c r="B811" s="138"/>
      <c r="C811" s="138"/>
      <c r="D811" s="137"/>
      <c r="E811" s="137"/>
      <c r="F811" s="137"/>
      <c r="G811" s="137"/>
      <c r="H811" s="137"/>
      <c r="I811" s="137"/>
      <c r="J811" s="137"/>
      <c r="K811" s="6"/>
      <c r="L811" s="6"/>
      <c r="M811" s="6"/>
      <c r="N811" s="6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spans="1:26" ht="14.25" customHeight="1">
      <c r="A812" s="138"/>
      <c r="B812" s="138"/>
      <c r="C812" s="138"/>
      <c r="D812" s="137"/>
      <c r="E812" s="137"/>
      <c r="F812" s="137"/>
      <c r="G812" s="137"/>
      <c r="H812" s="137"/>
      <c r="I812" s="137"/>
      <c r="J812" s="137"/>
      <c r="K812" s="6"/>
      <c r="L812" s="6"/>
      <c r="M812" s="6"/>
      <c r="N812" s="6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spans="1:26" ht="14.25" customHeight="1">
      <c r="A813" s="138"/>
      <c r="B813" s="138"/>
      <c r="C813" s="138"/>
      <c r="D813" s="137"/>
      <c r="E813" s="137"/>
      <c r="F813" s="137"/>
      <c r="G813" s="137"/>
      <c r="H813" s="137"/>
      <c r="I813" s="137"/>
      <c r="J813" s="137"/>
      <c r="K813" s="6"/>
      <c r="L813" s="6"/>
      <c r="M813" s="6"/>
      <c r="N813" s="6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spans="1:26" ht="14.25" customHeight="1">
      <c r="A814" s="138"/>
      <c r="B814" s="138"/>
      <c r="C814" s="138"/>
      <c r="D814" s="137"/>
      <c r="E814" s="137"/>
      <c r="F814" s="137"/>
      <c r="G814" s="137"/>
      <c r="H814" s="137"/>
      <c r="I814" s="137"/>
      <c r="J814" s="137"/>
      <c r="K814" s="6"/>
      <c r="L814" s="6"/>
      <c r="M814" s="6"/>
      <c r="N814" s="6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spans="1:26" ht="14.25" customHeight="1">
      <c r="A815" s="138"/>
      <c r="B815" s="138"/>
      <c r="C815" s="138"/>
      <c r="D815" s="137"/>
      <c r="E815" s="137"/>
      <c r="F815" s="137"/>
      <c r="G815" s="137"/>
      <c r="H815" s="137"/>
      <c r="I815" s="137"/>
      <c r="J815" s="137"/>
      <c r="K815" s="6"/>
      <c r="L815" s="6"/>
      <c r="M815" s="6"/>
      <c r="N815" s="6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spans="1:26" ht="14.25" customHeight="1">
      <c r="A816" s="138"/>
      <c r="B816" s="138"/>
      <c r="C816" s="138"/>
      <c r="D816" s="137"/>
      <c r="E816" s="137"/>
      <c r="F816" s="137"/>
      <c r="G816" s="137"/>
      <c r="H816" s="137"/>
      <c r="I816" s="137"/>
      <c r="J816" s="137"/>
      <c r="K816" s="6"/>
      <c r="L816" s="6"/>
      <c r="M816" s="6"/>
      <c r="N816" s="6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spans="1:26" ht="14.25" customHeight="1">
      <c r="A817" s="138"/>
      <c r="B817" s="138"/>
      <c r="C817" s="138"/>
      <c r="D817" s="137"/>
      <c r="E817" s="137"/>
      <c r="F817" s="137"/>
      <c r="G817" s="137"/>
      <c r="H817" s="137"/>
      <c r="I817" s="137"/>
      <c r="J817" s="137"/>
      <c r="K817" s="6"/>
      <c r="L817" s="6"/>
      <c r="M817" s="6"/>
      <c r="N817" s="6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spans="1:26" ht="14.25" customHeight="1">
      <c r="A818" s="138"/>
      <c r="B818" s="138"/>
      <c r="C818" s="138"/>
      <c r="D818" s="137"/>
      <c r="E818" s="137"/>
      <c r="F818" s="137"/>
      <c r="G818" s="137"/>
      <c r="H818" s="137"/>
      <c r="I818" s="137"/>
      <c r="J818" s="137"/>
      <c r="K818" s="6"/>
      <c r="L818" s="6"/>
      <c r="M818" s="6"/>
      <c r="N818" s="6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spans="1:26" ht="14.25" customHeight="1">
      <c r="A819" s="138"/>
      <c r="B819" s="138"/>
      <c r="C819" s="138"/>
      <c r="D819" s="137"/>
      <c r="E819" s="137"/>
      <c r="F819" s="137"/>
      <c r="G819" s="137"/>
      <c r="H819" s="137"/>
      <c r="I819" s="137"/>
      <c r="J819" s="137"/>
      <c r="K819" s="6"/>
      <c r="L819" s="6"/>
      <c r="M819" s="6"/>
      <c r="N819" s="6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spans="1:26" ht="14.25" customHeight="1">
      <c r="A820" s="138"/>
      <c r="B820" s="138"/>
      <c r="C820" s="138"/>
      <c r="D820" s="137"/>
      <c r="E820" s="137"/>
      <c r="F820" s="137"/>
      <c r="G820" s="137"/>
      <c r="H820" s="137"/>
      <c r="I820" s="137"/>
      <c r="J820" s="137"/>
      <c r="K820" s="6"/>
      <c r="L820" s="6"/>
      <c r="M820" s="6"/>
      <c r="N820" s="6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spans="1:26" ht="14.25" customHeight="1">
      <c r="A821" s="138"/>
      <c r="B821" s="138"/>
      <c r="C821" s="138"/>
      <c r="D821" s="137"/>
      <c r="E821" s="137"/>
      <c r="F821" s="137"/>
      <c r="G821" s="137"/>
      <c r="H821" s="137"/>
      <c r="I821" s="137"/>
      <c r="J821" s="137"/>
      <c r="K821" s="6"/>
      <c r="L821" s="6"/>
      <c r="M821" s="6"/>
      <c r="N821" s="6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spans="1:26" ht="14.25" customHeight="1">
      <c r="A822" s="138"/>
      <c r="B822" s="138"/>
      <c r="C822" s="138"/>
      <c r="D822" s="137"/>
      <c r="E822" s="137"/>
      <c r="F822" s="137"/>
      <c r="G822" s="137"/>
      <c r="H822" s="137"/>
      <c r="I822" s="137"/>
      <c r="J822" s="137"/>
      <c r="K822" s="6"/>
      <c r="L822" s="6"/>
      <c r="M822" s="6"/>
      <c r="N822" s="6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spans="1:26" ht="14.25" customHeight="1">
      <c r="A823" s="138"/>
      <c r="B823" s="138"/>
      <c r="C823" s="138"/>
      <c r="D823" s="137"/>
      <c r="E823" s="137"/>
      <c r="F823" s="137"/>
      <c r="G823" s="137"/>
      <c r="H823" s="137"/>
      <c r="I823" s="137"/>
      <c r="J823" s="137"/>
      <c r="K823" s="6"/>
      <c r="L823" s="6"/>
      <c r="M823" s="6"/>
      <c r="N823" s="6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spans="1:26" ht="14.25" customHeight="1">
      <c r="A824" s="138"/>
      <c r="B824" s="138"/>
      <c r="C824" s="138"/>
      <c r="D824" s="137"/>
      <c r="E824" s="137"/>
      <c r="F824" s="137"/>
      <c r="G824" s="137"/>
      <c r="H824" s="137"/>
      <c r="I824" s="137"/>
      <c r="J824" s="137"/>
      <c r="K824" s="6"/>
      <c r="L824" s="6"/>
      <c r="M824" s="6"/>
      <c r="N824" s="6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spans="1:26" ht="14.25" customHeight="1">
      <c r="A825" s="138"/>
      <c r="B825" s="138"/>
      <c r="C825" s="138"/>
      <c r="D825" s="137"/>
      <c r="E825" s="137"/>
      <c r="F825" s="137"/>
      <c r="G825" s="137"/>
      <c r="H825" s="137"/>
      <c r="I825" s="137"/>
      <c r="J825" s="137"/>
      <c r="K825" s="6"/>
      <c r="L825" s="6"/>
      <c r="M825" s="6"/>
      <c r="N825" s="6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spans="1:26" ht="14.25" customHeight="1">
      <c r="A826" s="138"/>
      <c r="B826" s="138"/>
      <c r="C826" s="138"/>
      <c r="D826" s="137"/>
      <c r="E826" s="137"/>
      <c r="F826" s="137"/>
      <c r="G826" s="137"/>
      <c r="H826" s="137"/>
      <c r="I826" s="137"/>
      <c r="J826" s="137"/>
      <c r="K826" s="6"/>
      <c r="L826" s="6"/>
      <c r="M826" s="6"/>
      <c r="N826" s="6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spans="1:26" ht="14.25" customHeight="1">
      <c r="A827" s="138"/>
      <c r="B827" s="138"/>
      <c r="C827" s="138"/>
      <c r="D827" s="137"/>
      <c r="E827" s="137"/>
      <c r="F827" s="137"/>
      <c r="G827" s="137"/>
      <c r="H827" s="137"/>
      <c r="I827" s="137"/>
      <c r="J827" s="137"/>
      <c r="K827" s="6"/>
      <c r="L827" s="6"/>
      <c r="M827" s="6"/>
      <c r="N827" s="6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spans="1:26" ht="14.25" customHeight="1">
      <c r="A828" s="138"/>
      <c r="B828" s="138"/>
      <c r="C828" s="138"/>
      <c r="D828" s="137"/>
      <c r="E828" s="137"/>
      <c r="F828" s="137"/>
      <c r="G828" s="137"/>
      <c r="H828" s="137"/>
      <c r="I828" s="137"/>
      <c r="J828" s="137"/>
      <c r="K828" s="6"/>
      <c r="L828" s="6"/>
      <c r="M828" s="6"/>
      <c r="N828" s="6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spans="1:26" ht="14.25" customHeight="1">
      <c r="A829" s="138"/>
      <c r="B829" s="138"/>
      <c r="C829" s="138"/>
      <c r="D829" s="137"/>
      <c r="E829" s="137"/>
      <c r="F829" s="137"/>
      <c r="G829" s="137"/>
      <c r="H829" s="137"/>
      <c r="I829" s="137"/>
      <c r="J829" s="137"/>
      <c r="K829" s="6"/>
      <c r="L829" s="6"/>
      <c r="M829" s="6"/>
      <c r="N829" s="6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spans="1:26" ht="14.25" customHeight="1">
      <c r="A830" s="138"/>
      <c r="B830" s="138"/>
      <c r="C830" s="138"/>
      <c r="D830" s="137"/>
      <c r="E830" s="137"/>
      <c r="F830" s="137"/>
      <c r="G830" s="137"/>
      <c r="H830" s="137"/>
      <c r="I830" s="137"/>
      <c r="J830" s="137"/>
      <c r="K830" s="6"/>
      <c r="L830" s="6"/>
      <c r="M830" s="6"/>
      <c r="N830" s="6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spans="1:26" ht="14.25" customHeight="1">
      <c r="A831" s="138"/>
      <c r="B831" s="138"/>
      <c r="C831" s="138"/>
      <c r="D831" s="137"/>
      <c r="E831" s="137"/>
      <c r="F831" s="137"/>
      <c r="G831" s="137"/>
      <c r="H831" s="137"/>
      <c r="I831" s="137"/>
      <c r="J831" s="137"/>
      <c r="K831" s="6"/>
      <c r="L831" s="6"/>
      <c r="M831" s="6"/>
      <c r="N831" s="6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spans="1:26" ht="14.25" customHeight="1">
      <c r="A832" s="138"/>
      <c r="B832" s="138"/>
      <c r="C832" s="138"/>
      <c r="D832" s="137"/>
      <c r="E832" s="137"/>
      <c r="F832" s="137"/>
      <c r="G832" s="137"/>
      <c r="H832" s="137"/>
      <c r="I832" s="137"/>
      <c r="J832" s="137"/>
      <c r="K832" s="6"/>
      <c r="L832" s="6"/>
      <c r="M832" s="6"/>
      <c r="N832" s="6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spans="1:26" ht="14.25" customHeight="1">
      <c r="A833" s="138"/>
      <c r="B833" s="138"/>
      <c r="C833" s="138"/>
      <c r="D833" s="137"/>
      <c r="E833" s="137"/>
      <c r="F833" s="137"/>
      <c r="G833" s="137"/>
      <c r="H833" s="137"/>
      <c r="I833" s="137"/>
      <c r="J833" s="137"/>
      <c r="K833" s="6"/>
      <c r="L833" s="6"/>
      <c r="M833" s="6"/>
      <c r="N833" s="6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spans="1:26" ht="14.25" customHeight="1">
      <c r="A834" s="138"/>
      <c r="B834" s="138"/>
      <c r="C834" s="138"/>
      <c r="D834" s="137"/>
      <c r="E834" s="137"/>
      <c r="F834" s="137"/>
      <c r="G834" s="137"/>
      <c r="H834" s="137"/>
      <c r="I834" s="137"/>
      <c r="J834" s="137"/>
      <c r="K834" s="6"/>
      <c r="L834" s="6"/>
      <c r="M834" s="6"/>
      <c r="N834" s="6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spans="1:26" ht="14.25" customHeight="1">
      <c r="A835" s="138"/>
      <c r="B835" s="138"/>
      <c r="C835" s="138"/>
      <c r="D835" s="137"/>
      <c r="E835" s="137"/>
      <c r="F835" s="137"/>
      <c r="G835" s="137"/>
      <c r="H835" s="137"/>
      <c r="I835" s="137"/>
      <c r="J835" s="137"/>
      <c r="K835" s="6"/>
      <c r="L835" s="6"/>
      <c r="M835" s="6"/>
      <c r="N835" s="6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spans="1:26" ht="14.25" customHeight="1">
      <c r="A836" s="138"/>
      <c r="B836" s="138"/>
      <c r="C836" s="138"/>
      <c r="D836" s="137"/>
      <c r="E836" s="137"/>
      <c r="F836" s="137"/>
      <c r="G836" s="137"/>
      <c r="H836" s="137"/>
      <c r="I836" s="137"/>
      <c r="J836" s="137"/>
      <c r="K836" s="6"/>
      <c r="L836" s="6"/>
      <c r="M836" s="6"/>
      <c r="N836" s="6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spans="1:26" ht="14.25" customHeight="1">
      <c r="A837" s="138"/>
      <c r="B837" s="138"/>
      <c r="C837" s="138"/>
      <c r="D837" s="137"/>
      <c r="E837" s="137"/>
      <c r="F837" s="137"/>
      <c r="G837" s="137"/>
      <c r="H837" s="137"/>
      <c r="I837" s="137"/>
      <c r="J837" s="137"/>
      <c r="K837" s="6"/>
      <c r="L837" s="6"/>
      <c r="M837" s="6"/>
      <c r="N837" s="6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spans="1:26" ht="14.25" customHeight="1">
      <c r="A838" s="138"/>
      <c r="B838" s="138"/>
      <c r="C838" s="138"/>
      <c r="D838" s="137"/>
      <c r="E838" s="137"/>
      <c r="F838" s="137"/>
      <c r="G838" s="137"/>
      <c r="H838" s="137"/>
      <c r="I838" s="137"/>
      <c r="J838" s="137"/>
      <c r="K838" s="6"/>
      <c r="L838" s="6"/>
      <c r="M838" s="6"/>
      <c r="N838" s="6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spans="1:26" ht="14.25" customHeight="1">
      <c r="A839" s="138"/>
      <c r="B839" s="138"/>
      <c r="C839" s="138"/>
      <c r="D839" s="137"/>
      <c r="E839" s="137"/>
      <c r="F839" s="137"/>
      <c r="G839" s="137"/>
      <c r="H839" s="137"/>
      <c r="I839" s="137"/>
      <c r="J839" s="137"/>
      <c r="K839" s="6"/>
      <c r="L839" s="6"/>
      <c r="M839" s="6"/>
      <c r="N839" s="6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spans="1:26" ht="14.25" customHeight="1">
      <c r="A840" s="138"/>
      <c r="B840" s="138"/>
      <c r="C840" s="138"/>
      <c r="D840" s="137"/>
      <c r="E840" s="137"/>
      <c r="F840" s="137"/>
      <c r="G840" s="137"/>
      <c r="H840" s="137"/>
      <c r="I840" s="137"/>
      <c r="J840" s="137"/>
      <c r="K840" s="6"/>
      <c r="L840" s="6"/>
      <c r="M840" s="6"/>
      <c r="N840" s="6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spans="1:26" ht="14.25" customHeight="1">
      <c r="A841" s="138"/>
      <c r="B841" s="138"/>
      <c r="C841" s="138"/>
      <c r="D841" s="137"/>
      <c r="E841" s="137"/>
      <c r="F841" s="137"/>
      <c r="G841" s="137"/>
      <c r="H841" s="137"/>
      <c r="I841" s="137"/>
      <c r="J841" s="137"/>
      <c r="K841" s="6"/>
      <c r="L841" s="6"/>
      <c r="M841" s="6"/>
      <c r="N841" s="6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spans="1:26" ht="14.25" customHeight="1">
      <c r="A842" s="138"/>
      <c r="B842" s="138"/>
      <c r="C842" s="138"/>
      <c r="D842" s="137"/>
      <c r="E842" s="137"/>
      <c r="F842" s="137"/>
      <c r="G842" s="137"/>
      <c r="H842" s="137"/>
      <c r="I842" s="137"/>
      <c r="J842" s="137"/>
      <c r="K842" s="6"/>
      <c r="L842" s="6"/>
      <c r="M842" s="6"/>
      <c r="N842" s="6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spans="1:26" ht="14.25" customHeight="1">
      <c r="A843" s="138"/>
      <c r="B843" s="138"/>
      <c r="C843" s="138"/>
      <c r="D843" s="137"/>
      <c r="E843" s="137"/>
      <c r="F843" s="137"/>
      <c r="G843" s="137"/>
      <c r="H843" s="137"/>
      <c r="I843" s="137"/>
      <c r="J843" s="137"/>
      <c r="K843" s="6"/>
      <c r="L843" s="6"/>
      <c r="M843" s="6"/>
      <c r="N843" s="6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spans="1:26" ht="14.25" customHeight="1">
      <c r="A844" s="138"/>
      <c r="B844" s="138"/>
      <c r="C844" s="138"/>
      <c r="D844" s="137"/>
      <c r="E844" s="137"/>
      <c r="F844" s="137"/>
      <c r="G844" s="137"/>
      <c r="H844" s="137"/>
      <c r="I844" s="137"/>
      <c r="J844" s="137"/>
      <c r="K844" s="6"/>
      <c r="L844" s="6"/>
      <c r="M844" s="6"/>
      <c r="N844" s="6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spans="1:26" ht="14.25" customHeight="1">
      <c r="A845" s="138"/>
      <c r="B845" s="138"/>
      <c r="C845" s="138"/>
      <c r="D845" s="137"/>
      <c r="E845" s="137"/>
      <c r="F845" s="137"/>
      <c r="G845" s="137"/>
      <c r="H845" s="137"/>
      <c r="I845" s="137"/>
      <c r="J845" s="137"/>
      <c r="K845" s="6"/>
      <c r="L845" s="6"/>
      <c r="M845" s="6"/>
      <c r="N845" s="6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spans="1:26" ht="14.25" customHeight="1">
      <c r="A846" s="138"/>
      <c r="B846" s="138"/>
      <c r="C846" s="138"/>
      <c r="D846" s="137"/>
      <c r="E846" s="137"/>
      <c r="F846" s="137"/>
      <c r="G846" s="137"/>
      <c r="H846" s="137"/>
      <c r="I846" s="137"/>
      <c r="J846" s="137"/>
      <c r="K846" s="6"/>
      <c r="L846" s="6"/>
      <c r="M846" s="6"/>
      <c r="N846" s="6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spans="1:26" ht="14.25" customHeight="1">
      <c r="A847" s="138"/>
      <c r="B847" s="138"/>
      <c r="C847" s="138"/>
      <c r="D847" s="137"/>
      <c r="E847" s="137"/>
      <c r="F847" s="137"/>
      <c r="G847" s="137"/>
      <c r="H847" s="137"/>
      <c r="I847" s="137"/>
      <c r="J847" s="137"/>
      <c r="K847" s="6"/>
      <c r="L847" s="6"/>
      <c r="M847" s="6"/>
      <c r="N847" s="6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spans="1:26" ht="14.25" customHeight="1">
      <c r="A848" s="138"/>
      <c r="B848" s="138"/>
      <c r="C848" s="138"/>
      <c r="D848" s="137"/>
      <c r="E848" s="137"/>
      <c r="F848" s="137"/>
      <c r="G848" s="137"/>
      <c r="H848" s="137"/>
      <c r="I848" s="137"/>
      <c r="J848" s="137"/>
      <c r="K848" s="6"/>
      <c r="L848" s="6"/>
      <c r="M848" s="6"/>
      <c r="N848" s="6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spans="1:26" ht="14.25" customHeight="1">
      <c r="A849" s="138"/>
      <c r="B849" s="138"/>
      <c r="C849" s="138"/>
      <c r="D849" s="137"/>
      <c r="E849" s="137"/>
      <c r="F849" s="137"/>
      <c r="G849" s="137"/>
      <c r="H849" s="137"/>
      <c r="I849" s="137"/>
      <c r="J849" s="137"/>
      <c r="K849" s="6"/>
      <c r="L849" s="6"/>
      <c r="M849" s="6"/>
      <c r="N849" s="6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spans="1:26" ht="14.25" customHeight="1">
      <c r="A850" s="138"/>
      <c r="B850" s="138"/>
      <c r="C850" s="138"/>
      <c r="D850" s="137"/>
      <c r="E850" s="137"/>
      <c r="F850" s="137"/>
      <c r="G850" s="137"/>
      <c r="H850" s="137"/>
      <c r="I850" s="137"/>
      <c r="J850" s="137"/>
      <c r="K850" s="6"/>
      <c r="L850" s="6"/>
      <c r="M850" s="6"/>
      <c r="N850" s="6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spans="1:26" ht="14.25" customHeight="1">
      <c r="A851" s="138"/>
      <c r="B851" s="138"/>
      <c r="C851" s="138"/>
      <c r="D851" s="137"/>
      <c r="E851" s="137"/>
      <c r="F851" s="137"/>
      <c r="G851" s="137"/>
      <c r="H851" s="137"/>
      <c r="I851" s="137"/>
      <c r="J851" s="137"/>
      <c r="K851" s="6"/>
      <c r="L851" s="6"/>
      <c r="M851" s="6"/>
      <c r="N851" s="6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spans="1:26" ht="14.25" customHeight="1">
      <c r="A852" s="138"/>
      <c r="B852" s="138"/>
      <c r="C852" s="138"/>
      <c r="D852" s="137"/>
      <c r="E852" s="137"/>
      <c r="F852" s="137"/>
      <c r="G852" s="137"/>
      <c r="H852" s="137"/>
      <c r="I852" s="137"/>
      <c r="J852" s="137"/>
      <c r="K852" s="6"/>
      <c r="L852" s="6"/>
      <c r="M852" s="6"/>
      <c r="N852" s="6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spans="1:26" ht="14.25" customHeight="1">
      <c r="A853" s="138"/>
      <c r="B853" s="138"/>
      <c r="C853" s="138"/>
      <c r="D853" s="137"/>
      <c r="E853" s="137"/>
      <c r="F853" s="137"/>
      <c r="G853" s="137"/>
      <c r="H853" s="137"/>
      <c r="I853" s="137"/>
      <c r="J853" s="137"/>
      <c r="K853" s="6"/>
      <c r="L853" s="6"/>
      <c r="M853" s="6"/>
      <c r="N853" s="6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spans="1:26" ht="14.25" customHeight="1">
      <c r="A854" s="138"/>
      <c r="B854" s="138"/>
      <c r="C854" s="138"/>
      <c r="D854" s="137"/>
      <c r="E854" s="137"/>
      <c r="F854" s="137"/>
      <c r="G854" s="137"/>
      <c r="H854" s="137"/>
      <c r="I854" s="137"/>
      <c r="J854" s="137"/>
      <c r="K854" s="6"/>
      <c r="L854" s="6"/>
      <c r="M854" s="6"/>
      <c r="N854" s="6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spans="1:26" ht="14.25" customHeight="1">
      <c r="A855" s="138"/>
      <c r="B855" s="138"/>
      <c r="C855" s="138"/>
      <c r="D855" s="137"/>
      <c r="E855" s="137"/>
      <c r="F855" s="137"/>
      <c r="G855" s="137"/>
      <c r="H855" s="137"/>
      <c r="I855" s="137"/>
      <c r="J855" s="137"/>
      <c r="K855" s="6"/>
      <c r="L855" s="6"/>
      <c r="M855" s="6"/>
      <c r="N855" s="6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spans="1:26" ht="14.25" customHeight="1">
      <c r="A856" s="138"/>
      <c r="B856" s="138"/>
      <c r="C856" s="138"/>
      <c r="D856" s="137"/>
      <c r="E856" s="137"/>
      <c r="F856" s="137"/>
      <c r="G856" s="137"/>
      <c r="H856" s="137"/>
      <c r="I856" s="137"/>
      <c r="J856" s="137"/>
      <c r="K856" s="6"/>
      <c r="L856" s="6"/>
      <c r="M856" s="6"/>
      <c r="N856" s="6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spans="1:26" ht="14.25" customHeight="1">
      <c r="A857" s="138"/>
      <c r="B857" s="138"/>
      <c r="C857" s="138"/>
      <c r="D857" s="137"/>
      <c r="E857" s="137"/>
      <c r="F857" s="137"/>
      <c r="G857" s="137"/>
      <c r="H857" s="137"/>
      <c r="I857" s="137"/>
      <c r="J857" s="137"/>
      <c r="K857" s="6"/>
      <c r="L857" s="6"/>
      <c r="M857" s="6"/>
      <c r="N857" s="6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spans="1:26" ht="14.25" customHeight="1">
      <c r="A858" s="138"/>
      <c r="B858" s="138"/>
      <c r="C858" s="138"/>
      <c r="D858" s="137"/>
      <c r="E858" s="137"/>
      <c r="F858" s="137"/>
      <c r="G858" s="137"/>
      <c r="H858" s="137"/>
      <c r="I858" s="137"/>
      <c r="J858" s="137"/>
      <c r="K858" s="6"/>
      <c r="L858" s="6"/>
      <c r="M858" s="6"/>
      <c r="N858" s="6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spans="1:26" ht="14.25" customHeight="1">
      <c r="A859" s="138"/>
      <c r="B859" s="138"/>
      <c r="C859" s="138"/>
      <c r="D859" s="137"/>
      <c r="E859" s="137"/>
      <c r="F859" s="137"/>
      <c r="G859" s="137"/>
      <c r="H859" s="137"/>
      <c r="I859" s="137"/>
      <c r="J859" s="137"/>
      <c r="K859" s="6"/>
      <c r="L859" s="6"/>
      <c r="M859" s="6"/>
      <c r="N859" s="6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spans="1:26" ht="14.25" customHeight="1">
      <c r="A860" s="138"/>
      <c r="B860" s="138"/>
      <c r="C860" s="138"/>
      <c r="D860" s="137"/>
      <c r="E860" s="137"/>
      <c r="F860" s="137"/>
      <c r="G860" s="137"/>
      <c r="H860" s="137"/>
      <c r="I860" s="137"/>
      <c r="J860" s="137"/>
      <c r="K860" s="6"/>
      <c r="L860" s="6"/>
      <c r="M860" s="6"/>
      <c r="N860" s="6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spans="1:26" ht="14.25" customHeight="1">
      <c r="A861" s="138"/>
      <c r="B861" s="138"/>
      <c r="C861" s="138"/>
      <c r="D861" s="137"/>
      <c r="E861" s="137"/>
      <c r="F861" s="137"/>
      <c r="G861" s="137"/>
      <c r="H861" s="137"/>
      <c r="I861" s="137"/>
      <c r="J861" s="137"/>
      <c r="K861" s="6"/>
      <c r="L861" s="6"/>
      <c r="M861" s="6"/>
      <c r="N861" s="6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spans="1:26" ht="14.25" customHeight="1">
      <c r="A862" s="138"/>
      <c r="B862" s="138"/>
      <c r="C862" s="138"/>
      <c r="D862" s="137"/>
      <c r="E862" s="137"/>
      <c r="F862" s="137"/>
      <c r="G862" s="137"/>
      <c r="H862" s="137"/>
      <c r="I862" s="137"/>
      <c r="J862" s="137"/>
      <c r="K862" s="6"/>
      <c r="L862" s="6"/>
      <c r="M862" s="6"/>
      <c r="N862" s="6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spans="1:26" ht="14.25" customHeight="1">
      <c r="A863" s="138"/>
      <c r="B863" s="138"/>
      <c r="C863" s="138"/>
      <c r="D863" s="137"/>
      <c r="E863" s="137"/>
      <c r="F863" s="137"/>
      <c r="G863" s="137"/>
      <c r="H863" s="137"/>
      <c r="I863" s="137"/>
      <c r="J863" s="137"/>
      <c r="K863" s="6"/>
      <c r="L863" s="6"/>
      <c r="M863" s="6"/>
      <c r="N863" s="6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spans="1:26" ht="14.25" customHeight="1">
      <c r="A864" s="138"/>
      <c r="B864" s="138"/>
      <c r="C864" s="138"/>
      <c r="D864" s="137"/>
      <c r="E864" s="137"/>
      <c r="F864" s="137"/>
      <c r="G864" s="137"/>
      <c r="H864" s="137"/>
      <c r="I864" s="137"/>
      <c r="J864" s="137"/>
      <c r="K864" s="6"/>
      <c r="L864" s="6"/>
      <c r="M864" s="6"/>
      <c r="N864" s="6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spans="1:26" ht="14.25" customHeight="1">
      <c r="A865" s="138"/>
      <c r="B865" s="138"/>
      <c r="C865" s="138"/>
      <c r="D865" s="137"/>
      <c r="E865" s="137"/>
      <c r="F865" s="137"/>
      <c r="G865" s="137"/>
      <c r="H865" s="137"/>
      <c r="I865" s="137"/>
      <c r="J865" s="137"/>
      <c r="K865" s="6"/>
      <c r="L865" s="6"/>
      <c r="M865" s="6"/>
      <c r="N865" s="6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spans="1:26" ht="14.25" customHeight="1">
      <c r="A866" s="138"/>
      <c r="B866" s="138"/>
      <c r="C866" s="138"/>
      <c r="D866" s="137"/>
      <c r="E866" s="137"/>
      <c r="F866" s="137"/>
      <c r="G866" s="137"/>
      <c r="H866" s="137"/>
      <c r="I866" s="137"/>
      <c r="J866" s="137"/>
      <c r="K866" s="6"/>
      <c r="L866" s="6"/>
      <c r="M866" s="6"/>
      <c r="N866" s="6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spans="1:26" ht="14.25" customHeight="1">
      <c r="A867" s="138"/>
      <c r="B867" s="138"/>
      <c r="C867" s="138"/>
      <c r="D867" s="137"/>
      <c r="E867" s="137"/>
      <c r="F867" s="137"/>
      <c r="G867" s="137"/>
      <c r="H867" s="137"/>
      <c r="I867" s="137"/>
      <c r="J867" s="137"/>
      <c r="K867" s="6"/>
      <c r="L867" s="6"/>
      <c r="M867" s="6"/>
      <c r="N867" s="6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spans="1:26" ht="14.25" customHeight="1">
      <c r="A868" s="138"/>
      <c r="B868" s="138"/>
      <c r="C868" s="138"/>
      <c r="D868" s="137"/>
      <c r="E868" s="137"/>
      <c r="F868" s="137"/>
      <c r="G868" s="137"/>
      <c r="H868" s="137"/>
      <c r="I868" s="137"/>
      <c r="J868" s="137"/>
      <c r="K868" s="6"/>
      <c r="L868" s="6"/>
      <c r="M868" s="6"/>
      <c r="N868" s="6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spans="1:26" ht="14.25" customHeight="1">
      <c r="A869" s="138"/>
      <c r="B869" s="138"/>
      <c r="C869" s="138"/>
      <c r="D869" s="137"/>
      <c r="E869" s="137"/>
      <c r="F869" s="137"/>
      <c r="G869" s="137"/>
      <c r="H869" s="137"/>
      <c r="I869" s="137"/>
      <c r="J869" s="137"/>
      <c r="K869" s="6"/>
      <c r="L869" s="6"/>
      <c r="M869" s="6"/>
      <c r="N869" s="6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spans="1:26" ht="14.25" customHeight="1">
      <c r="A870" s="138"/>
      <c r="B870" s="138"/>
      <c r="C870" s="138"/>
      <c r="D870" s="137"/>
      <c r="E870" s="137"/>
      <c r="F870" s="137"/>
      <c r="G870" s="137"/>
      <c r="H870" s="137"/>
      <c r="I870" s="137"/>
      <c r="J870" s="137"/>
      <c r="K870" s="6"/>
      <c r="L870" s="6"/>
      <c r="M870" s="6"/>
      <c r="N870" s="6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spans="1:26" ht="14.25" customHeight="1">
      <c r="A871" s="138"/>
      <c r="B871" s="138"/>
      <c r="C871" s="138"/>
      <c r="D871" s="137"/>
      <c r="E871" s="137"/>
      <c r="F871" s="137"/>
      <c r="G871" s="137"/>
      <c r="H871" s="137"/>
      <c r="I871" s="137"/>
      <c r="J871" s="137"/>
      <c r="K871" s="6"/>
      <c r="L871" s="6"/>
      <c r="M871" s="6"/>
      <c r="N871" s="6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spans="1:26" ht="14.25" customHeight="1">
      <c r="A872" s="138"/>
      <c r="B872" s="138"/>
      <c r="C872" s="138"/>
      <c r="D872" s="137"/>
      <c r="E872" s="137"/>
      <c r="F872" s="137"/>
      <c r="G872" s="137"/>
      <c r="H872" s="137"/>
      <c r="I872" s="137"/>
      <c r="J872" s="137"/>
      <c r="K872" s="6"/>
      <c r="L872" s="6"/>
      <c r="M872" s="6"/>
      <c r="N872" s="6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spans="1:26" ht="14.25" customHeight="1">
      <c r="A873" s="138"/>
      <c r="B873" s="138"/>
      <c r="C873" s="138"/>
      <c r="D873" s="137"/>
      <c r="E873" s="137"/>
      <c r="F873" s="137"/>
      <c r="G873" s="137"/>
      <c r="H873" s="137"/>
      <c r="I873" s="137"/>
      <c r="J873" s="137"/>
      <c r="K873" s="6"/>
      <c r="L873" s="6"/>
      <c r="M873" s="6"/>
      <c r="N873" s="6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spans="1:26" ht="14.25" customHeight="1">
      <c r="A874" s="138"/>
      <c r="B874" s="138"/>
      <c r="C874" s="138"/>
      <c r="D874" s="137"/>
      <c r="E874" s="137"/>
      <c r="F874" s="137"/>
      <c r="G874" s="137"/>
      <c r="H874" s="137"/>
      <c r="I874" s="137"/>
      <c r="J874" s="137"/>
      <c r="K874" s="6"/>
      <c r="L874" s="6"/>
      <c r="M874" s="6"/>
      <c r="N874" s="6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spans="1:26" ht="14.25" customHeight="1">
      <c r="A875" s="138"/>
      <c r="B875" s="138"/>
      <c r="C875" s="138"/>
      <c r="D875" s="137"/>
      <c r="E875" s="137"/>
      <c r="F875" s="137"/>
      <c r="G875" s="137"/>
      <c r="H875" s="137"/>
      <c r="I875" s="137"/>
      <c r="J875" s="137"/>
      <c r="K875" s="6"/>
      <c r="L875" s="6"/>
      <c r="M875" s="6"/>
      <c r="N875" s="6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spans="1:26" ht="14.25" customHeight="1">
      <c r="A876" s="138"/>
      <c r="B876" s="138"/>
      <c r="C876" s="138"/>
      <c r="D876" s="137"/>
      <c r="E876" s="137"/>
      <c r="F876" s="137"/>
      <c r="G876" s="137"/>
      <c r="H876" s="137"/>
      <c r="I876" s="137"/>
      <c r="J876" s="137"/>
      <c r="K876" s="6"/>
      <c r="L876" s="6"/>
      <c r="M876" s="6"/>
      <c r="N876" s="6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spans="1:26" ht="14.25" customHeight="1">
      <c r="A877" s="138"/>
      <c r="B877" s="138"/>
      <c r="C877" s="138"/>
      <c r="D877" s="137"/>
      <c r="E877" s="137"/>
      <c r="F877" s="137"/>
      <c r="G877" s="137"/>
      <c r="H877" s="137"/>
      <c r="I877" s="137"/>
      <c r="J877" s="137"/>
      <c r="K877" s="6"/>
      <c r="L877" s="6"/>
      <c r="M877" s="6"/>
      <c r="N877" s="6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spans="1:26" ht="14.25" customHeight="1">
      <c r="A878" s="138"/>
      <c r="B878" s="138"/>
      <c r="C878" s="138"/>
      <c r="D878" s="137"/>
      <c r="E878" s="137"/>
      <c r="F878" s="137"/>
      <c r="G878" s="137"/>
      <c r="H878" s="137"/>
      <c r="I878" s="137"/>
      <c r="J878" s="137"/>
      <c r="K878" s="6"/>
      <c r="L878" s="6"/>
      <c r="M878" s="6"/>
      <c r="N878" s="6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spans="1:26" ht="14.25" customHeight="1">
      <c r="A879" s="138"/>
      <c r="B879" s="138"/>
      <c r="C879" s="138"/>
      <c r="D879" s="137"/>
      <c r="E879" s="137"/>
      <c r="F879" s="137"/>
      <c r="G879" s="137"/>
      <c r="H879" s="137"/>
      <c r="I879" s="137"/>
      <c r="J879" s="137"/>
      <c r="K879" s="6"/>
      <c r="L879" s="6"/>
      <c r="M879" s="6"/>
      <c r="N879" s="6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spans="1:26" ht="14.25" customHeight="1">
      <c r="A880" s="138"/>
      <c r="B880" s="138"/>
      <c r="C880" s="138"/>
      <c r="D880" s="137"/>
      <c r="E880" s="137"/>
      <c r="F880" s="137"/>
      <c r="G880" s="137"/>
      <c r="H880" s="137"/>
      <c r="I880" s="137"/>
      <c r="J880" s="137"/>
      <c r="K880" s="6"/>
      <c r="L880" s="6"/>
      <c r="M880" s="6"/>
      <c r="N880" s="6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spans="1:26" ht="14.25" customHeight="1">
      <c r="A881" s="138"/>
      <c r="B881" s="138"/>
      <c r="C881" s="138"/>
      <c r="D881" s="137"/>
      <c r="E881" s="137"/>
      <c r="F881" s="137"/>
      <c r="G881" s="137"/>
      <c r="H881" s="137"/>
      <c r="I881" s="137"/>
      <c r="J881" s="137"/>
      <c r="K881" s="6"/>
      <c r="L881" s="6"/>
      <c r="M881" s="6"/>
      <c r="N881" s="6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spans="1:26" ht="14.25" customHeight="1">
      <c r="A882" s="138"/>
      <c r="B882" s="138"/>
      <c r="C882" s="138"/>
      <c r="D882" s="137"/>
      <c r="E882" s="137"/>
      <c r="F882" s="137"/>
      <c r="G882" s="137"/>
      <c r="H882" s="137"/>
      <c r="I882" s="137"/>
      <c r="J882" s="137"/>
      <c r="K882" s="6"/>
      <c r="L882" s="6"/>
      <c r="M882" s="6"/>
      <c r="N882" s="6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spans="1:26" ht="14.25" customHeight="1">
      <c r="A883" s="138"/>
      <c r="B883" s="138"/>
      <c r="C883" s="138"/>
      <c r="D883" s="137"/>
      <c r="E883" s="137"/>
      <c r="F883" s="137"/>
      <c r="G883" s="137"/>
      <c r="H883" s="137"/>
      <c r="I883" s="137"/>
      <c r="J883" s="137"/>
      <c r="K883" s="6"/>
      <c r="L883" s="6"/>
      <c r="M883" s="6"/>
      <c r="N883" s="6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spans="1:26" ht="14.25" customHeight="1">
      <c r="A884" s="138"/>
      <c r="B884" s="138"/>
      <c r="C884" s="138"/>
      <c r="D884" s="137"/>
      <c r="E884" s="137"/>
      <c r="F884" s="137"/>
      <c r="G884" s="137"/>
      <c r="H884" s="137"/>
      <c r="I884" s="137"/>
      <c r="J884" s="137"/>
      <c r="K884" s="6"/>
      <c r="L884" s="6"/>
      <c r="M884" s="6"/>
      <c r="N884" s="6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spans="1:26" ht="14.25" customHeight="1">
      <c r="A885" s="138"/>
      <c r="B885" s="138"/>
      <c r="C885" s="138"/>
      <c r="D885" s="137"/>
      <c r="E885" s="137"/>
      <c r="F885" s="137"/>
      <c r="G885" s="137"/>
      <c r="H885" s="137"/>
      <c r="I885" s="137"/>
      <c r="J885" s="137"/>
      <c r="K885" s="6"/>
      <c r="L885" s="6"/>
      <c r="M885" s="6"/>
      <c r="N885" s="6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spans="1:26" ht="14.25" customHeight="1">
      <c r="A886" s="138"/>
      <c r="B886" s="138"/>
      <c r="C886" s="138"/>
      <c r="D886" s="137"/>
      <c r="E886" s="137"/>
      <c r="F886" s="137"/>
      <c r="G886" s="137"/>
      <c r="H886" s="137"/>
      <c r="I886" s="137"/>
      <c r="J886" s="137"/>
      <c r="K886" s="6"/>
      <c r="L886" s="6"/>
      <c r="M886" s="6"/>
      <c r="N886" s="6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spans="1:26" ht="14.25" customHeight="1">
      <c r="A887" s="138"/>
      <c r="B887" s="138"/>
      <c r="C887" s="138"/>
      <c r="D887" s="137"/>
      <c r="E887" s="137"/>
      <c r="F887" s="137"/>
      <c r="G887" s="137"/>
      <c r="H887" s="137"/>
      <c r="I887" s="137"/>
      <c r="J887" s="137"/>
      <c r="K887" s="6"/>
      <c r="L887" s="6"/>
      <c r="M887" s="6"/>
      <c r="N887" s="6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spans="1:26" ht="14.25" customHeight="1">
      <c r="A888" s="138"/>
      <c r="B888" s="138"/>
      <c r="C888" s="138"/>
      <c r="D888" s="137"/>
      <c r="E888" s="137"/>
      <c r="F888" s="137"/>
      <c r="G888" s="137"/>
      <c r="H888" s="137"/>
      <c r="I888" s="137"/>
      <c r="J888" s="137"/>
      <c r="K888" s="6"/>
      <c r="L888" s="6"/>
      <c r="M888" s="6"/>
      <c r="N888" s="6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spans="1:26" ht="14.25" customHeight="1">
      <c r="A889" s="138"/>
      <c r="B889" s="138"/>
      <c r="C889" s="138"/>
      <c r="D889" s="137"/>
      <c r="E889" s="137"/>
      <c r="F889" s="137"/>
      <c r="G889" s="137"/>
      <c r="H889" s="137"/>
      <c r="I889" s="137"/>
      <c r="J889" s="137"/>
      <c r="K889" s="6"/>
      <c r="L889" s="6"/>
      <c r="M889" s="6"/>
      <c r="N889" s="6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spans="1:26" ht="14.25" customHeight="1">
      <c r="A890" s="138"/>
      <c r="B890" s="138"/>
      <c r="C890" s="138"/>
      <c r="D890" s="137"/>
      <c r="E890" s="137"/>
      <c r="F890" s="137"/>
      <c r="G890" s="137"/>
      <c r="H890" s="137"/>
      <c r="I890" s="137"/>
      <c r="J890" s="137"/>
      <c r="K890" s="6"/>
      <c r="L890" s="6"/>
      <c r="M890" s="6"/>
      <c r="N890" s="6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spans="1:26" ht="14.25" customHeight="1">
      <c r="A891" s="138"/>
      <c r="B891" s="138"/>
      <c r="C891" s="138"/>
      <c r="D891" s="137"/>
      <c r="E891" s="137"/>
      <c r="F891" s="137"/>
      <c r="G891" s="137"/>
      <c r="H891" s="137"/>
      <c r="I891" s="137"/>
      <c r="J891" s="137"/>
      <c r="K891" s="6"/>
      <c r="L891" s="6"/>
      <c r="M891" s="6"/>
      <c r="N891" s="6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spans="1:26" ht="14.25" customHeight="1">
      <c r="A892" s="138"/>
      <c r="B892" s="138"/>
      <c r="C892" s="138"/>
      <c r="D892" s="137"/>
      <c r="E892" s="137"/>
      <c r="F892" s="137"/>
      <c r="G892" s="137"/>
      <c r="H892" s="137"/>
      <c r="I892" s="137"/>
      <c r="J892" s="137"/>
      <c r="K892" s="6"/>
      <c r="L892" s="6"/>
      <c r="M892" s="6"/>
      <c r="N892" s="6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spans="1:26" ht="14.25" customHeight="1">
      <c r="A893" s="138"/>
      <c r="B893" s="138"/>
      <c r="C893" s="138"/>
      <c r="D893" s="137"/>
      <c r="E893" s="137"/>
      <c r="F893" s="137"/>
      <c r="G893" s="137"/>
      <c r="H893" s="137"/>
      <c r="I893" s="137"/>
      <c r="J893" s="137"/>
      <c r="K893" s="6"/>
      <c r="L893" s="6"/>
      <c r="M893" s="6"/>
      <c r="N893" s="6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spans="1:26" ht="14.25" customHeight="1">
      <c r="A894" s="138"/>
      <c r="B894" s="138"/>
      <c r="C894" s="138"/>
      <c r="D894" s="137"/>
      <c r="E894" s="137"/>
      <c r="F894" s="137"/>
      <c r="G894" s="137"/>
      <c r="H894" s="137"/>
      <c r="I894" s="137"/>
      <c r="J894" s="137"/>
      <c r="K894" s="6"/>
      <c r="L894" s="6"/>
      <c r="M894" s="6"/>
      <c r="N894" s="6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spans="1:26" ht="14.25" customHeight="1">
      <c r="A895" s="138"/>
      <c r="B895" s="138"/>
      <c r="C895" s="138"/>
      <c r="D895" s="137"/>
      <c r="E895" s="137"/>
      <c r="F895" s="137"/>
      <c r="G895" s="137"/>
      <c r="H895" s="137"/>
      <c r="I895" s="137"/>
      <c r="J895" s="137"/>
      <c r="K895" s="6"/>
      <c r="L895" s="6"/>
      <c r="M895" s="6"/>
      <c r="N895" s="6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spans="1:26" ht="14.25" customHeight="1">
      <c r="A896" s="138"/>
      <c r="B896" s="138"/>
      <c r="C896" s="138"/>
      <c r="D896" s="137"/>
      <c r="E896" s="137"/>
      <c r="F896" s="137"/>
      <c r="G896" s="137"/>
      <c r="H896" s="137"/>
      <c r="I896" s="137"/>
      <c r="J896" s="137"/>
      <c r="K896" s="6"/>
      <c r="L896" s="6"/>
      <c r="M896" s="6"/>
      <c r="N896" s="6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spans="1:26" ht="14.25" customHeight="1">
      <c r="A897" s="138"/>
      <c r="B897" s="138"/>
      <c r="C897" s="138"/>
      <c r="D897" s="137"/>
      <c r="E897" s="137"/>
      <c r="F897" s="137"/>
      <c r="G897" s="137"/>
      <c r="H897" s="137"/>
      <c r="I897" s="137"/>
      <c r="J897" s="137"/>
      <c r="K897" s="6"/>
      <c r="L897" s="6"/>
      <c r="M897" s="6"/>
      <c r="N897" s="6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spans="1:26" ht="14.25" customHeight="1">
      <c r="A898" s="138"/>
      <c r="B898" s="138"/>
      <c r="C898" s="138"/>
      <c r="D898" s="137"/>
      <c r="E898" s="137"/>
      <c r="F898" s="137"/>
      <c r="G898" s="137"/>
      <c r="H898" s="137"/>
      <c r="I898" s="137"/>
      <c r="J898" s="137"/>
      <c r="K898" s="6"/>
      <c r="L898" s="6"/>
      <c r="M898" s="6"/>
      <c r="N898" s="6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spans="1:26" ht="14.25" customHeight="1">
      <c r="A899" s="138"/>
      <c r="B899" s="138"/>
      <c r="C899" s="138"/>
      <c r="D899" s="137"/>
      <c r="E899" s="137"/>
      <c r="F899" s="137"/>
      <c r="G899" s="137"/>
      <c r="H899" s="137"/>
      <c r="I899" s="137"/>
      <c r="J899" s="137"/>
      <c r="K899" s="6"/>
      <c r="L899" s="6"/>
      <c r="M899" s="6"/>
      <c r="N899" s="6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spans="1:26" ht="14.25" customHeight="1">
      <c r="A900" s="138"/>
      <c r="B900" s="138"/>
      <c r="C900" s="138"/>
      <c r="D900" s="137"/>
      <c r="E900" s="137"/>
      <c r="F900" s="137"/>
      <c r="G900" s="137"/>
      <c r="H900" s="137"/>
      <c r="I900" s="137"/>
      <c r="J900" s="137"/>
      <c r="K900" s="6"/>
      <c r="L900" s="6"/>
      <c r="M900" s="6"/>
      <c r="N900" s="6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spans="1:26" ht="14.25" customHeight="1">
      <c r="A901" s="138"/>
      <c r="B901" s="138"/>
      <c r="C901" s="138"/>
      <c r="D901" s="137"/>
      <c r="E901" s="137"/>
      <c r="F901" s="137"/>
      <c r="G901" s="137"/>
      <c r="H901" s="137"/>
      <c r="I901" s="137"/>
      <c r="J901" s="137"/>
      <c r="K901" s="6"/>
      <c r="L901" s="6"/>
      <c r="M901" s="6"/>
      <c r="N901" s="6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spans="1:26" ht="14.25" customHeight="1">
      <c r="A902" s="138"/>
      <c r="B902" s="138"/>
      <c r="C902" s="138"/>
      <c r="D902" s="137"/>
      <c r="E902" s="137"/>
      <c r="F902" s="137"/>
      <c r="G902" s="137"/>
      <c r="H902" s="137"/>
      <c r="I902" s="137"/>
      <c r="J902" s="137"/>
      <c r="K902" s="6"/>
      <c r="L902" s="6"/>
      <c r="M902" s="6"/>
      <c r="N902" s="6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spans="1:26" ht="14.25" customHeight="1">
      <c r="A903" s="138"/>
      <c r="B903" s="138"/>
      <c r="C903" s="138"/>
      <c r="D903" s="137"/>
      <c r="E903" s="137"/>
      <c r="F903" s="137"/>
      <c r="G903" s="137"/>
      <c r="H903" s="137"/>
      <c r="I903" s="137"/>
      <c r="J903" s="137"/>
      <c r="K903" s="6"/>
      <c r="L903" s="6"/>
      <c r="M903" s="6"/>
      <c r="N903" s="6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spans="1:26" ht="14.25" customHeight="1">
      <c r="A904" s="138"/>
      <c r="B904" s="138"/>
      <c r="C904" s="138"/>
      <c r="D904" s="137"/>
      <c r="E904" s="137"/>
      <c r="F904" s="137"/>
      <c r="G904" s="137"/>
      <c r="H904" s="137"/>
      <c r="I904" s="137"/>
      <c r="J904" s="137"/>
      <c r="K904" s="6"/>
      <c r="L904" s="6"/>
      <c r="M904" s="6"/>
      <c r="N904" s="6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spans="1:26" ht="14.25" customHeight="1">
      <c r="A905" s="138"/>
      <c r="B905" s="138"/>
      <c r="C905" s="138"/>
      <c r="D905" s="137"/>
      <c r="E905" s="137"/>
      <c r="F905" s="137"/>
      <c r="G905" s="137"/>
      <c r="H905" s="137"/>
      <c r="I905" s="137"/>
      <c r="J905" s="137"/>
      <c r="K905" s="6"/>
      <c r="L905" s="6"/>
      <c r="M905" s="6"/>
      <c r="N905" s="6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spans="1:26" ht="14.25" customHeight="1">
      <c r="A906" s="138"/>
      <c r="B906" s="138"/>
      <c r="C906" s="138"/>
      <c r="D906" s="137"/>
      <c r="E906" s="137"/>
      <c r="F906" s="137"/>
      <c r="G906" s="137"/>
      <c r="H906" s="137"/>
      <c r="I906" s="137"/>
      <c r="J906" s="137"/>
      <c r="K906" s="6"/>
      <c r="L906" s="6"/>
      <c r="M906" s="6"/>
      <c r="N906" s="6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spans="1:26" ht="14.25" customHeight="1">
      <c r="A907" s="138"/>
      <c r="B907" s="138"/>
      <c r="C907" s="138"/>
      <c r="D907" s="137"/>
      <c r="E907" s="137"/>
      <c r="F907" s="137"/>
      <c r="G907" s="137"/>
      <c r="H907" s="137"/>
      <c r="I907" s="137"/>
      <c r="J907" s="137"/>
      <c r="K907" s="6"/>
      <c r="L907" s="6"/>
      <c r="M907" s="6"/>
      <c r="N907" s="6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spans="1:26" ht="14.25" customHeight="1">
      <c r="A908" s="138"/>
      <c r="B908" s="138"/>
      <c r="C908" s="138"/>
      <c r="D908" s="137"/>
      <c r="E908" s="137"/>
      <c r="F908" s="137"/>
      <c r="G908" s="137"/>
      <c r="H908" s="137"/>
      <c r="I908" s="137"/>
      <c r="J908" s="137"/>
      <c r="K908" s="6"/>
      <c r="L908" s="6"/>
      <c r="M908" s="6"/>
      <c r="N908" s="6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spans="1:26" ht="14.25" customHeight="1">
      <c r="A909" s="138"/>
      <c r="B909" s="138"/>
      <c r="C909" s="138"/>
      <c r="D909" s="137"/>
      <c r="E909" s="137"/>
      <c r="F909" s="137"/>
      <c r="G909" s="137"/>
      <c r="H909" s="137"/>
      <c r="I909" s="137"/>
      <c r="J909" s="137"/>
      <c r="K909" s="6"/>
      <c r="L909" s="6"/>
      <c r="M909" s="6"/>
      <c r="N909" s="6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spans="1:26" ht="14.25" customHeight="1">
      <c r="A910" s="138"/>
      <c r="B910" s="138"/>
      <c r="C910" s="138"/>
      <c r="D910" s="137"/>
      <c r="E910" s="137"/>
      <c r="F910" s="137"/>
      <c r="G910" s="137"/>
      <c r="H910" s="137"/>
      <c r="I910" s="137"/>
      <c r="J910" s="137"/>
      <c r="K910" s="6"/>
      <c r="L910" s="6"/>
      <c r="M910" s="6"/>
      <c r="N910" s="6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spans="1:26" ht="14.25" customHeight="1">
      <c r="A911" s="138"/>
      <c r="B911" s="138"/>
      <c r="C911" s="138"/>
      <c r="D911" s="137"/>
      <c r="E911" s="137"/>
      <c r="F911" s="137"/>
      <c r="G911" s="137"/>
      <c r="H911" s="137"/>
      <c r="I911" s="137"/>
      <c r="J911" s="137"/>
      <c r="K911" s="6"/>
      <c r="L911" s="6"/>
      <c r="M911" s="6"/>
      <c r="N911" s="6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spans="1:26" ht="14.25" customHeight="1">
      <c r="A912" s="138"/>
      <c r="B912" s="138"/>
      <c r="C912" s="138"/>
      <c r="D912" s="137"/>
      <c r="E912" s="137"/>
      <c r="F912" s="137"/>
      <c r="G912" s="137"/>
      <c r="H912" s="137"/>
      <c r="I912" s="137"/>
      <c r="J912" s="137"/>
      <c r="K912" s="6"/>
      <c r="L912" s="6"/>
      <c r="M912" s="6"/>
      <c r="N912" s="6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spans="1:26" ht="14.25" customHeight="1">
      <c r="A913" s="138"/>
      <c r="B913" s="138"/>
      <c r="C913" s="138"/>
      <c r="D913" s="137"/>
      <c r="E913" s="137"/>
      <c r="F913" s="137"/>
      <c r="G913" s="137"/>
      <c r="H913" s="137"/>
      <c r="I913" s="137"/>
      <c r="J913" s="137"/>
      <c r="K913" s="6"/>
      <c r="L913" s="6"/>
      <c r="M913" s="6"/>
      <c r="N913" s="6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spans="1:26" ht="14.25" customHeight="1">
      <c r="A914" s="138"/>
      <c r="B914" s="138"/>
      <c r="C914" s="138"/>
      <c r="D914" s="137"/>
      <c r="E914" s="137"/>
      <c r="F914" s="137"/>
      <c r="G914" s="137"/>
      <c r="H914" s="137"/>
      <c r="I914" s="137"/>
      <c r="J914" s="137"/>
      <c r="K914" s="6"/>
      <c r="L914" s="6"/>
      <c r="M914" s="6"/>
      <c r="N914" s="6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spans="1:26" ht="14.25" customHeight="1">
      <c r="A915" s="138"/>
      <c r="B915" s="138"/>
      <c r="C915" s="138"/>
      <c r="D915" s="137"/>
      <c r="E915" s="137"/>
      <c r="F915" s="137"/>
      <c r="G915" s="137"/>
      <c r="H915" s="137"/>
      <c r="I915" s="137"/>
      <c r="J915" s="137"/>
      <c r="K915" s="6"/>
      <c r="L915" s="6"/>
      <c r="M915" s="6"/>
      <c r="N915" s="6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spans="1:26" ht="14.25" customHeight="1">
      <c r="A916" s="138"/>
      <c r="B916" s="138"/>
      <c r="C916" s="138"/>
      <c r="D916" s="137"/>
      <c r="E916" s="137"/>
      <c r="F916" s="137"/>
      <c r="G916" s="137"/>
      <c r="H916" s="137"/>
      <c r="I916" s="137"/>
      <c r="J916" s="137"/>
      <c r="K916" s="6"/>
      <c r="L916" s="6"/>
      <c r="M916" s="6"/>
      <c r="N916" s="6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spans="1:26" ht="14.25" customHeight="1">
      <c r="A917" s="138"/>
      <c r="B917" s="138"/>
      <c r="C917" s="138"/>
      <c r="D917" s="137"/>
      <c r="E917" s="137"/>
      <c r="F917" s="137"/>
      <c r="G917" s="137"/>
      <c r="H917" s="137"/>
      <c r="I917" s="137"/>
      <c r="J917" s="137"/>
      <c r="K917" s="6"/>
      <c r="L917" s="6"/>
      <c r="M917" s="6"/>
      <c r="N917" s="6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spans="1:26" ht="14.25" customHeight="1">
      <c r="A918" s="138"/>
      <c r="B918" s="138"/>
      <c r="C918" s="138"/>
      <c r="D918" s="137"/>
      <c r="E918" s="137"/>
      <c r="F918" s="137"/>
      <c r="G918" s="137"/>
      <c r="H918" s="137"/>
      <c r="I918" s="137"/>
      <c r="J918" s="137"/>
      <c r="K918" s="6"/>
      <c r="L918" s="6"/>
      <c r="M918" s="6"/>
      <c r="N918" s="6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spans="1:26" ht="14.25" customHeight="1">
      <c r="A919" s="138"/>
      <c r="B919" s="138"/>
      <c r="C919" s="138"/>
      <c r="D919" s="137"/>
      <c r="E919" s="137"/>
      <c r="F919" s="137"/>
      <c r="G919" s="137"/>
      <c r="H919" s="137"/>
      <c r="I919" s="137"/>
      <c r="J919" s="137"/>
      <c r="K919" s="6"/>
      <c r="L919" s="6"/>
      <c r="M919" s="6"/>
      <c r="N919" s="6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spans="1:26" ht="14.25" customHeight="1">
      <c r="A920" s="138"/>
      <c r="B920" s="138"/>
      <c r="C920" s="138"/>
      <c r="D920" s="137"/>
      <c r="E920" s="137"/>
      <c r="F920" s="137"/>
      <c r="G920" s="137"/>
      <c r="H920" s="137"/>
      <c r="I920" s="137"/>
      <c r="J920" s="137"/>
      <c r="K920" s="6"/>
      <c r="L920" s="6"/>
      <c r="M920" s="6"/>
      <c r="N920" s="6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spans="1:26" ht="14.25" customHeight="1">
      <c r="A921" s="138"/>
      <c r="B921" s="138"/>
      <c r="C921" s="138"/>
      <c r="D921" s="137"/>
      <c r="E921" s="137"/>
      <c r="F921" s="137"/>
      <c r="G921" s="137"/>
      <c r="H921" s="137"/>
      <c r="I921" s="137"/>
      <c r="J921" s="137"/>
      <c r="K921" s="6"/>
      <c r="L921" s="6"/>
      <c r="M921" s="6"/>
      <c r="N921" s="6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spans="1:26" ht="14.25" customHeight="1">
      <c r="A922" s="138"/>
      <c r="B922" s="138"/>
      <c r="C922" s="138"/>
      <c r="D922" s="137"/>
      <c r="E922" s="137"/>
      <c r="F922" s="137"/>
      <c r="G922" s="137"/>
      <c r="H922" s="137"/>
      <c r="I922" s="137"/>
      <c r="J922" s="137"/>
      <c r="K922" s="6"/>
      <c r="L922" s="6"/>
      <c r="M922" s="6"/>
      <c r="N922" s="6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spans="1:26" ht="14.25" customHeight="1">
      <c r="A923" s="138"/>
      <c r="B923" s="138"/>
      <c r="C923" s="138"/>
      <c r="D923" s="137"/>
      <c r="E923" s="137"/>
      <c r="F923" s="137"/>
      <c r="G923" s="137"/>
      <c r="H923" s="137"/>
      <c r="I923" s="137"/>
      <c r="J923" s="137"/>
      <c r="K923" s="6"/>
      <c r="L923" s="6"/>
      <c r="M923" s="6"/>
      <c r="N923" s="6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spans="1:26" ht="14.25" customHeight="1">
      <c r="A924" s="138"/>
      <c r="B924" s="138"/>
      <c r="C924" s="138"/>
      <c r="D924" s="137"/>
      <c r="E924" s="137"/>
      <c r="F924" s="137"/>
      <c r="G924" s="137"/>
      <c r="H924" s="137"/>
      <c r="I924" s="137"/>
      <c r="J924" s="137"/>
      <c r="K924" s="6"/>
      <c r="L924" s="6"/>
      <c r="M924" s="6"/>
      <c r="N924" s="6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spans="1:26" ht="14.25" customHeight="1">
      <c r="A925" s="138"/>
      <c r="B925" s="138"/>
      <c r="C925" s="138"/>
      <c r="D925" s="137"/>
      <c r="E925" s="137"/>
      <c r="F925" s="137"/>
      <c r="G925" s="137"/>
      <c r="H925" s="137"/>
      <c r="I925" s="137"/>
      <c r="J925" s="137"/>
      <c r="K925" s="6"/>
      <c r="L925" s="6"/>
      <c r="M925" s="6"/>
      <c r="N925" s="6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spans="1:26" ht="14.25" customHeight="1">
      <c r="A926" s="138"/>
      <c r="B926" s="138"/>
      <c r="C926" s="138"/>
      <c r="D926" s="137"/>
      <c r="E926" s="137"/>
      <c r="F926" s="137"/>
      <c r="G926" s="137"/>
      <c r="H926" s="137"/>
      <c r="I926" s="137"/>
      <c r="J926" s="137"/>
      <c r="K926" s="6"/>
      <c r="L926" s="6"/>
      <c r="M926" s="6"/>
      <c r="N926" s="6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spans="1:26" ht="14.25" customHeight="1">
      <c r="A927" s="138"/>
      <c r="B927" s="138"/>
      <c r="C927" s="138"/>
      <c r="D927" s="137"/>
      <c r="E927" s="137"/>
      <c r="F927" s="137"/>
      <c r="G927" s="137"/>
      <c r="H927" s="137"/>
      <c r="I927" s="137"/>
      <c r="J927" s="137"/>
      <c r="K927" s="6"/>
      <c r="L927" s="6"/>
      <c r="M927" s="6"/>
      <c r="N927" s="6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spans="1:26" ht="14.25" customHeight="1">
      <c r="A928" s="138"/>
      <c r="B928" s="138"/>
      <c r="C928" s="138"/>
      <c r="D928" s="137"/>
      <c r="E928" s="137"/>
      <c r="F928" s="137"/>
      <c r="G928" s="137"/>
      <c r="H928" s="137"/>
      <c r="I928" s="137"/>
      <c r="J928" s="137"/>
      <c r="K928" s="6"/>
      <c r="L928" s="6"/>
      <c r="M928" s="6"/>
      <c r="N928" s="6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spans="1:26" ht="14.25" customHeight="1">
      <c r="A929" s="138"/>
      <c r="B929" s="138"/>
      <c r="C929" s="138"/>
      <c r="D929" s="137"/>
      <c r="E929" s="137"/>
      <c r="F929" s="137"/>
      <c r="G929" s="137"/>
      <c r="H929" s="137"/>
      <c r="I929" s="137"/>
      <c r="J929" s="137"/>
      <c r="K929" s="6"/>
      <c r="L929" s="6"/>
      <c r="M929" s="6"/>
      <c r="N929" s="6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spans="1:26" ht="14.25" customHeight="1">
      <c r="A930" s="138"/>
      <c r="B930" s="138"/>
      <c r="C930" s="138"/>
      <c r="D930" s="137"/>
      <c r="E930" s="137"/>
      <c r="F930" s="137"/>
      <c r="G930" s="137"/>
      <c r="H930" s="137"/>
      <c r="I930" s="137"/>
      <c r="J930" s="137"/>
      <c r="K930" s="6"/>
      <c r="L930" s="6"/>
      <c r="M930" s="6"/>
      <c r="N930" s="6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spans="1:26" ht="14.25" customHeight="1">
      <c r="A931" s="138"/>
      <c r="B931" s="138"/>
      <c r="C931" s="138"/>
      <c r="D931" s="137"/>
      <c r="E931" s="137"/>
      <c r="F931" s="137"/>
      <c r="G931" s="137"/>
      <c r="H931" s="137"/>
      <c r="I931" s="137"/>
      <c r="J931" s="137"/>
      <c r="K931" s="6"/>
      <c r="L931" s="6"/>
      <c r="M931" s="6"/>
      <c r="N931" s="6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spans="1:26" ht="14.25" customHeight="1">
      <c r="A932" s="138"/>
      <c r="B932" s="138"/>
      <c r="C932" s="138"/>
      <c r="D932" s="137"/>
      <c r="E932" s="137"/>
      <c r="F932" s="137"/>
      <c r="G932" s="137"/>
      <c r="H932" s="137"/>
      <c r="I932" s="137"/>
      <c r="J932" s="137"/>
      <c r="K932" s="6"/>
      <c r="L932" s="6"/>
      <c r="M932" s="6"/>
      <c r="N932" s="6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spans="1:26" ht="14.25" customHeight="1">
      <c r="A933" s="138"/>
      <c r="B933" s="138"/>
      <c r="C933" s="138"/>
      <c r="D933" s="137"/>
      <c r="E933" s="137"/>
      <c r="F933" s="137"/>
      <c r="G933" s="137"/>
      <c r="H933" s="137"/>
      <c r="I933" s="137"/>
      <c r="J933" s="137"/>
      <c r="K933" s="6"/>
      <c r="L933" s="6"/>
      <c r="M933" s="6"/>
      <c r="N933" s="6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spans="1:26" ht="14.25" customHeight="1">
      <c r="A934" s="138"/>
      <c r="B934" s="138"/>
      <c r="C934" s="138"/>
      <c r="D934" s="137"/>
      <c r="E934" s="137"/>
      <c r="F934" s="137"/>
      <c r="G934" s="137"/>
      <c r="H934" s="137"/>
      <c r="I934" s="137"/>
      <c r="J934" s="137"/>
      <c r="K934" s="6"/>
      <c r="L934" s="6"/>
      <c r="M934" s="6"/>
      <c r="N934" s="6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spans="1:26" ht="14.25" customHeight="1">
      <c r="A935" s="138"/>
      <c r="B935" s="138"/>
      <c r="C935" s="138"/>
      <c r="D935" s="137"/>
      <c r="E935" s="137"/>
      <c r="F935" s="137"/>
      <c r="G935" s="137"/>
      <c r="H935" s="137"/>
      <c r="I935" s="137"/>
      <c r="J935" s="137"/>
      <c r="K935" s="6"/>
      <c r="L935" s="6"/>
      <c r="M935" s="6"/>
      <c r="N935" s="6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spans="1:26" ht="14.25" customHeight="1">
      <c r="A936" s="138"/>
      <c r="B936" s="138"/>
      <c r="C936" s="138"/>
      <c r="D936" s="137"/>
      <c r="E936" s="137"/>
      <c r="F936" s="137"/>
      <c r="G936" s="137"/>
      <c r="H936" s="137"/>
      <c r="I936" s="137"/>
      <c r="J936" s="137"/>
      <c r="K936" s="6"/>
      <c r="L936" s="6"/>
      <c r="M936" s="6"/>
      <c r="N936" s="6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spans="1:26" ht="14.25" customHeight="1">
      <c r="A937" s="138"/>
      <c r="B937" s="138"/>
      <c r="C937" s="138"/>
      <c r="D937" s="137"/>
      <c r="E937" s="137"/>
      <c r="F937" s="137"/>
      <c r="G937" s="137"/>
      <c r="H937" s="137"/>
      <c r="I937" s="137"/>
      <c r="J937" s="137"/>
      <c r="K937" s="6"/>
      <c r="L937" s="6"/>
      <c r="M937" s="6"/>
      <c r="N937" s="6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spans="1:26" ht="14.25" customHeight="1">
      <c r="A938" s="138"/>
      <c r="B938" s="138"/>
      <c r="C938" s="138"/>
      <c r="D938" s="137"/>
      <c r="E938" s="137"/>
      <c r="F938" s="137"/>
      <c r="G938" s="137"/>
      <c r="H938" s="137"/>
      <c r="I938" s="137"/>
      <c r="J938" s="137"/>
      <c r="K938" s="6"/>
      <c r="L938" s="6"/>
      <c r="M938" s="6"/>
      <c r="N938" s="6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spans="1:26" ht="14.25" customHeight="1">
      <c r="A939" s="138"/>
      <c r="B939" s="138"/>
      <c r="C939" s="138"/>
      <c r="D939" s="137"/>
      <c r="E939" s="137"/>
      <c r="F939" s="137"/>
      <c r="G939" s="137"/>
      <c r="H939" s="137"/>
      <c r="I939" s="137"/>
      <c r="J939" s="137"/>
      <c r="K939" s="6"/>
      <c r="L939" s="6"/>
      <c r="M939" s="6"/>
      <c r="N939" s="6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spans="1:26" ht="14.25" customHeight="1">
      <c r="A940" s="138"/>
      <c r="B940" s="138"/>
      <c r="C940" s="138"/>
      <c r="D940" s="137"/>
      <c r="E940" s="137"/>
      <c r="F940" s="137"/>
      <c r="G940" s="137"/>
      <c r="H940" s="137"/>
      <c r="I940" s="137"/>
      <c r="J940" s="137"/>
      <c r="K940" s="6"/>
      <c r="L940" s="6"/>
      <c r="M940" s="6"/>
      <c r="N940" s="6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spans="1:26" ht="14.25" customHeight="1">
      <c r="A941" s="138"/>
      <c r="B941" s="138"/>
      <c r="C941" s="138"/>
      <c r="D941" s="137"/>
      <c r="E941" s="137"/>
      <c r="F941" s="137"/>
      <c r="G941" s="137"/>
      <c r="H941" s="137"/>
      <c r="I941" s="137"/>
      <c r="J941" s="137"/>
      <c r="K941" s="6"/>
      <c r="L941" s="6"/>
      <c r="M941" s="6"/>
      <c r="N941" s="6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spans="1:26" ht="14.25" customHeight="1">
      <c r="A942" s="138"/>
      <c r="B942" s="138"/>
      <c r="C942" s="138"/>
      <c r="D942" s="137"/>
      <c r="E942" s="137"/>
      <c r="F942" s="137"/>
      <c r="G942" s="137"/>
      <c r="H942" s="137"/>
      <c r="I942" s="137"/>
      <c r="J942" s="137"/>
      <c r="K942" s="6"/>
      <c r="L942" s="6"/>
      <c r="M942" s="6"/>
      <c r="N942" s="6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spans="1:26" ht="14.25" customHeight="1">
      <c r="A943" s="138"/>
      <c r="B943" s="138"/>
      <c r="C943" s="138"/>
      <c r="D943" s="137"/>
      <c r="E943" s="137"/>
      <c r="F943" s="137"/>
      <c r="G943" s="137"/>
      <c r="H943" s="137"/>
      <c r="I943" s="137"/>
      <c r="J943" s="137"/>
      <c r="K943" s="6"/>
      <c r="L943" s="6"/>
      <c r="M943" s="6"/>
      <c r="N943" s="6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spans="1:26" ht="14.25" customHeight="1">
      <c r="A944" s="138"/>
      <c r="B944" s="138"/>
      <c r="C944" s="138"/>
      <c r="D944" s="137"/>
      <c r="E944" s="137"/>
      <c r="F944" s="137"/>
      <c r="G944" s="137"/>
      <c r="H944" s="137"/>
      <c r="I944" s="137"/>
      <c r="J944" s="137"/>
      <c r="K944" s="6"/>
      <c r="L944" s="6"/>
      <c r="M944" s="6"/>
      <c r="N944" s="6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spans="1:26" ht="14.25" customHeight="1">
      <c r="A945" s="138"/>
      <c r="B945" s="138"/>
      <c r="C945" s="138"/>
      <c r="D945" s="137"/>
      <c r="E945" s="137"/>
      <c r="F945" s="137"/>
      <c r="G945" s="137"/>
      <c r="H945" s="137"/>
      <c r="I945" s="137"/>
      <c r="J945" s="137"/>
      <c r="K945" s="6"/>
      <c r="L945" s="6"/>
      <c r="M945" s="6"/>
      <c r="N945" s="6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spans="1:26" ht="14.25" customHeight="1">
      <c r="A946" s="138"/>
      <c r="B946" s="138"/>
      <c r="C946" s="138"/>
      <c r="D946" s="137"/>
      <c r="E946" s="137"/>
      <c r="F946" s="137"/>
      <c r="G946" s="137"/>
      <c r="H946" s="137"/>
      <c r="I946" s="137"/>
      <c r="J946" s="137"/>
      <c r="K946" s="6"/>
      <c r="L946" s="6"/>
      <c r="M946" s="6"/>
      <c r="N946" s="6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spans="1:26" ht="14.25" customHeight="1">
      <c r="A947" s="138"/>
      <c r="B947" s="138"/>
      <c r="C947" s="138"/>
      <c r="D947" s="137"/>
      <c r="E947" s="137"/>
      <c r="F947" s="137"/>
      <c r="G947" s="137"/>
      <c r="H947" s="137"/>
      <c r="I947" s="137"/>
      <c r="J947" s="137"/>
      <c r="K947" s="6"/>
      <c r="L947" s="6"/>
      <c r="M947" s="6"/>
      <c r="N947" s="6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spans="1:26" ht="14.25" customHeight="1">
      <c r="A948" s="138"/>
      <c r="B948" s="138"/>
      <c r="C948" s="138"/>
      <c r="D948" s="137"/>
      <c r="E948" s="137"/>
      <c r="F948" s="137"/>
      <c r="G948" s="137"/>
      <c r="H948" s="137"/>
      <c r="I948" s="137"/>
      <c r="J948" s="137"/>
      <c r="K948" s="6"/>
      <c r="L948" s="6"/>
      <c r="M948" s="6"/>
      <c r="N948" s="6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spans="1:26" ht="14.25" customHeight="1">
      <c r="A949" s="138"/>
      <c r="B949" s="138"/>
      <c r="C949" s="138"/>
      <c r="D949" s="137"/>
      <c r="E949" s="137"/>
      <c r="F949" s="137"/>
      <c r="G949" s="137"/>
      <c r="H949" s="137"/>
      <c r="I949" s="137"/>
      <c r="J949" s="137"/>
      <c r="K949" s="6"/>
      <c r="L949" s="6"/>
      <c r="M949" s="6"/>
      <c r="N949" s="6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spans="1:26" ht="14.25" customHeight="1">
      <c r="A950" s="138"/>
      <c r="B950" s="138"/>
      <c r="C950" s="138"/>
      <c r="D950" s="137"/>
      <c r="E950" s="137"/>
      <c r="F950" s="137"/>
      <c r="G950" s="137"/>
      <c r="H950" s="137"/>
      <c r="I950" s="137"/>
      <c r="J950" s="137"/>
      <c r="K950" s="6"/>
      <c r="L950" s="6"/>
      <c r="M950" s="6"/>
      <c r="N950" s="6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spans="1:26" ht="14.25" customHeight="1">
      <c r="A951" s="138"/>
      <c r="B951" s="138"/>
      <c r="C951" s="138"/>
      <c r="D951" s="137"/>
      <c r="E951" s="137"/>
      <c r="F951" s="137"/>
      <c r="G951" s="137"/>
      <c r="H951" s="137"/>
      <c r="I951" s="137"/>
      <c r="J951" s="137"/>
      <c r="K951" s="6"/>
      <c r="L951" s="6"/>
      <c r="M951" s="6"/>
      <c r="N951" s="6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spans="1:26" ht="14.25" customHeight="1">
      <c r="A952" s="138"/>
      <c r="B952" s="138"/>
      <c r="C952" s="138"/>
      <c r="D952" s="137"/>
      <c r="E952" s="137"/>
      <c r="F952" s="137"/>
      <c r="G952" s="137"/>
      <c r="H952" s="137"/>
      <c r="I952" s="137"/>
      <c r="J952" s="137"/>
      <c r="K952" s="6"/>
      <c r="L952" s="6"/>
      <c r="M952" s="6"/>
      <c r="N952" s="6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spans="1:26" ht="14.25" customHeight="1">
      <c r="A953" s="138"/>
      <c r="B953" s="138"/>
      <c r="C953" s="138"/>
      <c r="D953" s="137"/>
      <c r="E953" s="137"/>
      <c r="F953" s="137"/>
      <c r="G953" s="137"/>
      <c r="H953" s="137"/>
      <c r="I953" s="137"/>
      <c r="J953" s="137"/>
      <c r="K953" s="6"/>
      <c r="L953" s="6"/>
      <c r="M953" s="6"/>
      <c r="N953" s="6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spans="1:26" ht="14.25" customHeight="1">
      <c r="A954" s="138"/>
      <c r="B954" s="138"/>
      <c r="C954" s="138"/>
      <c r="D954" s="137"/>
      <c r="E954" s="137"/>
      <c r="F954" s="137"/>
      <c r="G954" s="137"/>
      <c r="H954" s="137"/>
      <c r="I954" s="137"/>
      <c r="J954" s="137"/>
      <c r="K954" s="6"/>
      <c r="L954" s="6"/>
      <c r="M954" s="6"/>
      <c r="N954" s="6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spans="1:26" ht="14.25" customHeight="1">
      <c r="A955" s="138"/>
      <c r="B955" s="138"/>
      <c r="C955" s="138"/>
      <c r="D955" s="137"/>
      <c r="E955" s="137"/>
      <c r="F955" s="137"/>
      <c r="G955" s="137"/>
      <c r="H955" s="137"/>
      <c r="I955" s="137"/>
      <c r="J955" s="137"/>
      <c r="K955" s="6"/>
      <c r="L955" s="6"/>
      <c r="M955" s="6"/>
      <c r="N955" s="6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spans="1:26" ht="14.25" customHeight="1">
      <c r="A956" s="138"/>
      <c r="B956" s="138"/>
      <c r="C956" s="138"/>
      <c r="D956" s="137"/>
      <c r="E956" s="137"/>
      <c r="F956" s="137"/>
      <c r="G956" s="137"/>
      <c r="H956" s="137"/>
      <c r="I956" s="137"/>
      <c r="J956" s="137"/>
      <c r="K956" s="6"/>
      <c r="L956" s="6"/>
      <c r="M956" s="6"/>
      <c r="N956" s="6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spans="1:26" ht="14.25" customHeight="1">
      <c r="A957" s="138"/>
      <c r="B957" s="138"/>
      <c r="C957" s="138"/>
      <c r="D957" s="137"/>
      <c r="E957" s="137"/>
      <c r="F957" s="137"/>
      <c r="G957" s="137"/>
      <c r="H957" s="137"/>
      <c r="I957" s="137"/>
      <c r="J957" s="137"/>
      <c r="K957" s="6"/>
      <c r="L957" s="6"/>
      <c r="M957" s="6"/>
      <c r="N957" s="6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spans="1:26" ht="14.25" customHeight="1">
      <c r="A958" s="138"/>
      <c r="B958" s="138"/>
      <c r="C958" s="138"/>
      <c r="D958" s="137"/>
      <c r="E958" s="137"/>
      <c r="F958" s="137"/>
      <c r="G958" s="137"/>
      <c r="H958" s="137"/>
      <c r="I958" s="137"/>
      <c r="J958" s="137"/>
      <c r="K958" s="6"/>
      <c r="L958" s="6"/>
      <c r="M958" s="6"/>
      <c r="N958" s="6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spans="1:26" ht="14.25" customHeight="1">
      <c r="A959" s="138"/>
      <c r="B959" s="138"/>
      <c r="C959" s="138"/>
      <c r="D959" s="137"/>
      <c r="E959" s="137"/>
      <c r="F959" s="137"/>
      <c r="G959" s="137"/>
      <c r="H959" s="137"/>
      <c r="I959" s="137"/>
      <c r="J959" s="137"/>
      <c r="K959" s="6"/>
      <c r="L959" s="6"/>
      <c r="M959" s="6"/>
      <c r="N959" s="6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spans="1:26" ht="14.25" customHeight="1">
      <c r="A960" s="138"/>
      <c r="B960" s="138"/>
      <c r="C960" s="138"/>
      <c r="D960" s="137"/>
      <c r="E960" s="137"/>
      <c r="F960" s="137"/>
      <c r="G960" s="137"/>
      <c r="H960" s="137"/>
      <c r="I960" s="137"/>
      <c r="J960" s="137"/>
      <c r="K960" s="6"/>
      <c r="L960" s="6"/>
      <c r="M960" s="6"/>
      <c r="N960" s="6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spans="1:26" ht="14.25" customHeight="1">
      <c r="A961" s="138"/>
      <c r="B961" s="138"/>
      <c r="C961" s="138"/>
      <c r="D961" s="137"/>
      <c r="E961" s="137"/>
      <c r="F961" s="137"/>
      <c r="G961" s="137"/>
      <c r="H961" s="137"/>
      <c r="I961" s="137"/>
      <c r="J961" s="137"/>
      <c r="K961" s="6"/>
      <c r="L961" s="6"/>
      <c r="M961" s="6"/>
      <c r="N961" s="6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spans="1:26" ht="14.25" customHeight="1">
      <c r="A962" s="138"/>
      <c r="B962" s="138"/>
      <c r="C962" s="138"/>
      <c r="D962" s="137"/>
      <c r="E962" s="137"/>
      <c r="F962" s="137"/>
      <c r="G962" s="137"/>
      <c r="H962" s="137"/>
      <c r="I962" s="137"/>
      <c r="J962" s="137"/>
      <c r="K962" s="6"/>
      <c r="L962" s="6"/>
      <c r="M962" s="6"/>
      <c r="N962" s="6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spans="1:26" ht="14.25" customHeight="1">
      <c r="A963" s="138"/>
      <c r="B963" s="138"/>
      <c r="C963" s="138"/>
      <c r="D963" s="137"/>
      <c r="E963" s="137"/>
      <c r="F963" s="137"/>
      <c r="G963" s="137"/>
      <c r="H963" s="137"/>
      <c r="I963" s="137"/>
      <c r="J963" s="137"/>
      <c r="K963" s="6"/>
      <c r="L963" s="6"/>
      <c r="M963" s="6"/>
      <c r="N963" s="6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spans="1:26" ht="14.25" customHeight="1">
      <c r="A964" s="138"/>
      <c r="B964" s="138"/>
      <c r="C964" s="138"/>
      <c r="D964" s="137"/>
      <c r="E964" s="137"/>
      <c r="F964" s="137"/>
      <c r="G964" s="137"/>
      <c r="H964" s="137"/>
      <c r="I964" s="137"/>
      <c r="J964" s="137"/>
      <c r="K964" s="6"/>
      <c r="L964" s="6"/>
      <c r="M964" s="6"/>
      <c r="N964" s="6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spans="1:26" ht="14.25" customHeight="1">
      <c r="A965" s="138"/>
      <c r="B965" s="138"/>
      <c r="C965" s="138"/>
      <c r="D965" s="137"/>
      <c r="E965" s="137"/>
      <c r="F965" s="137"/>
      <c r="G965" s="137"/>
      <c r="H965" s="137"/>
      <c r="I965" s="137"/>
      <c r="J965" s="137"/>
      <c r="K965" s="6"/>
      <c r="L965" s="6"/>
      <c r="M965" s="6"/>
      <c r="N965" s="6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spans="1:26" ht="14.25" customHeight="1">
      <c r="A966" s="138"/>
      <c r="B966" s="138"/>
      <c r="C966" s="138"/>
      <c r="D966" s="137"/>
      <c r="E966" s="137"/>
      <c r="F966" s="137"/>
      <c r="G966" s="137"/>
      <c r="H966" s="137"/>
      <c r="I966" s="137"/>
      <c r="J966" s="137"/>
      <c r="K966" s="6"/>
      <c r="L966" s="6"/>
      <c r="M966" s="6"/>
      <c r="N966" s="6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spans="1:26" ht="14.25" customHeight="1">
      <c r="A967" s="138"/>
      <c r="B967" s="138"/>
      <c r="C967" s="138"/>
      <c r="D967" s="137"/>
      <c r="E967" s="137"/>
      <c r="F967" s="137"/>
      <c r="G967" s="137"/>
      <c r="H967" s="137"/>
      <c r="I967" s="137"/>
      <c r="J967" s="137"/>
      <c r="K967" s="6"/>
      <c r="L967" s="6"/>
      <c r="M967" s="6"/>
      <c r="N967" s="6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spans="1:26" ht="14.25" customHeight="1">
      <c r="A968" s="138"/>
      <c r="B968" s="138"/>
      <c r="C968" s="138"/>
      <c r="D968" s="137"/>
      <c r="E968" s="137"/>
      <c r="F968" s="137"/>
      <c r="G968" s="137"/>
      <c r="H968" s="137"/>
      <c r="I968" s="137"/>
      <c r="J968" s="137"/>
      <c r="K968" s="6"/>
      <c r="L968" s="6"/>
      <c r="M968" s="6"/>
      <c r="N968" s="6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spans="1:26" ht="14.25" customHeight="1">
      <c r="A969" s="138"/>
      <c r="B969" s="138"/>
      <c r="C969" s="138"/>
      <c r="D969" s="137"/>
      <c r="E969" s="137"/>
      <c r="F969" s="137"/>
      <c r="G969" s="137"/>
      <c r="H969" s="137"/>
      <c r="I969" s="137"/>
      <c r="J969" s="137"/>
      <c r="K969" s="6"/>
      <c r="L969" s="6"/>
      <c r="M969" s="6"/>
      <c r="N969" s="6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spans="1:26" ht="14.25" customHeight="1">
      <c r="A970" s="138"/>
      <c r="B970" s="138"/>
      <c r="C970" s="138"/>
      <c r="D970" s="137"/>
      <c r="E970" s="137"/>
      <c r="F970" s="137"/>
      <c r="G970" s="137"/>
      <c r="H970" s="137"/>
      <c r="I970" s="137"/>
      <c r="J970" s="137"/>
      <c r="K970" s="6"/>
      <c r="L970" s="6"/>
      <c r="M970" s="6"/>
      <c r="N970" s="6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spans="1:26" ht="14.25" customHeight="1">
      <c r="A971" s="138"/>
      <c r="B971" s="138"/>
      <c r="C971" s="138"/>
      <c r="D971" s="137"/>
      <c r="E971" s="137"/>
      <c r="F971" s="137"/>
      <c r="G971" s="137"/>
      <c r="H971" s="137"/>
      <c r="I971" s="137"/>
      <c r="J971" s="137"/>
      <c r="K971" s="6"/>
      <c r="L971" s="6"/>
      <c r="M971" s="6"/>
      <c r="N971" s="6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spans="1:26" ht="14.25" customHeight="1">
      <c r="A972" s="138"/>
      <c r="B972" s="138"/>
      <c r="C972" s="138"/>
      <c r="D972" s="137"/>
      <c r="E972" s="137"/>
      <c r="F972" s="137"/>
      <c r="G972" s="137"/>
      <c r="H972" s="137"/>
      <c r="I972" s="137"/>
      <c r="J972" s="137"/>
      <c r="K972" s="6"/>
      <c r="L972" s="6"/>
      <c r="M972" s="6"/>
      <c r="N972" s="6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spans="1:26" ht="14.25" customHeight="1">
      <c r="A973" s="138"/>
      <c r="B973" s="138"/>
      <c r="C973" s="138"/>
      <c r="D973" s="137"/>
      <c r="E973" s="137"/>
      <c r="F973" s="137"/>
      <c r="G973" s="137"/>
      <c r="H973" s="137"/>
      <c r="I973" s="137"/>
      <c r="J973" s="137"/>
      <c r="K973" s="6"/>
      <c r="L973" s="6"/>
      <c r="M973" s="6"/>
      <c r="N973" s="6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spans="1:26" ht="14.25" customHeight="1">
      <c r="A974" s="138"/>
      <c r="B974" s="138"/>
      <c r="C974" s="138"/>
      <c r="D974" s="137"/>
      <c r="E974" s="137"/>
      <c r="F974" s="137"/>
      <c r="G974" s="137"/>
      <c r="H974" s="137"/>
      <c r="I974" s="137"/>
      <c r="J974" s="137"/>
      <c r="K974" s="6"/>
      <c r="L974" s="6"/>
      <c r="M974" s="6"/>
      <c r="N974" s="6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spans="1:26" ht="14.25" customHeight="1">
      <c r="A975" s="138"/>
      <c r="B975" s="138"/>
      <c r="C975" s="138"/>
      <c r="D975" s="137"/>
      <c r="E975" s="137"/>
      <c r="F975" s="137"/>
      <c r="G975" s="137"/>
      <c r="H975" s="137"/>
      <c r="I975" s="137"/>
      <c r="J975" s="137"/>
      <c r="K975" s="6"/>
      <c r="L975" s="6"/>
      <c r="M975" s="6"/>
      <c r="N975" s="6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spans="1:26" ht="14.25" customHeight="1">
      <c r="A976" s="138"/>
      <c r="B976" s="138"/>
      <c r="C976" s="138"/>
      <c r="D976" s="137"/>
      <c r="E976" s="137"/>
      <c r="F976" s="137"/>
      <c r="G976" s="137"/>
      <c r="H976" s="137"/>
      <c r="I976" s="137"/>
      <c r="J976" s="137"/>
      <c r="K976" s="6"/>
      <c r="L976" s="6"/>
      <c r="M976" s="6"/>
      <c r="N976" s="6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spans="1:26" ht="14.25" customHeight="1">
      <c r="A977" s="138"/>
      <c r="B977" s="138"/>
      <c r="C977" s="138"/>
      <c r="D977" s="137"/>
      <c r="E977" s="137"/>
      <c r="F977" s="137"/>
      <c r="G977" s="137"/>
      <c r="H977" s="137"/>
      <c r="I977" s="137"/>
      <c r="J977" s="137"/>
      <c r="K977" s="6"/>
      <c r="L977" s="6"/>
      <c r="M977" s="6"/>
      <c r="N977" s="6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spans="1:26" ht="14.25" customHeight="1">
      <c r="A978" s="138"/>
      <c r="B978" s="138"/>
      <c r="C978" s="138"/>
      <c r="D978" s="137"/>
      <c r="E978" s="137"/>
      <c r="F978" s="137"/>
      <c r="G978" s="137"/>
      <c r="H978" s="137"/>
      <c r="I978" s="137"/>
      <c r="J978" s="137"/>
      <c r="K978" s="6"/>
      <c r="L978" s="6"/>
      <c r="M978" s="6"/>
      <c r="N978" s="6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spans="1:26" ht="14.25" customHeight="1">
      <c r="A979" s="138"/>
      <c r="B979" s="138"/>
      <c r="C979" s="138"/>
      <c r="D979" s="137"/>
      <c r="E979" s="137"/>
      <c r="F979" s="137"/>
      <c r="G979" s="137"/>
      <c r="H979" s="137"/>
      <c r="I979" s="137"/>
      <c r="J979" s="137"/>
      <c r="K979" s="6"/>
      <c r="L979" s="6"/>
      <c r="M979" s="6"/>
      <c r="N979" s="6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spans="1:26" ht="14.25" customHeight="1">
      <c r="A980" s="138"/>
      <c r="B980" s="138"/>
      <c r="C980" s="138"/>
      <c r="D980" s="137"/>
      <c r="E980" s="137"/>
      <c r="F980" s="137"/>
      <c r="G980" s="137"/>
      <c r="H980" s="137"/>
      <c r="I980" s="137"/>
      <c r="J980" s="137"/>
      <c r="K980" s="6"/>
      <c r="L980" s="6"/>
      <c r="M980" s="6"/>
      <c r="N980" s="6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spans="1:26" ht="14.25" customHeight="1">
      <c r="A981" s="138"/>
      <c r="B981" s="138"/>
      <c r="C981" s="138"/>
      <c r="D981" s="137"/>
      <c r="E981" s="137"/>
      <c r="F981" s="137"/>
      <c r="G981" s="137"/>
      <c r="H981" s="137"/>
      <c r="I981" s="137"/>
      <c r="J981" s="137"/>
      <c r="K981" s="6"/>
      <c r="L981" s="6"/>
      <c r="M981" s="6"/>
      <c r="N981" s="6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spans="1:26" ht="14.25" customHeight="1">
      <c r="A982" s="138"/>
      <c r="B982" s="138"/>
      <c r="C982" s="138"/>
      <c r="D982" s="137"/>
      <c r="E982" s="137"/>
      <c r="F982" s="137"/>
      <c r="G982" s="137"/>
      <c r="H982" s="137"/>
      <c r="I982" s="137"/>
      <c r="J982" s="137"/>
      <c r="K982" s="6"/>
      <c r="L982" s="6"/>
      <c r="M982" s="6"/>
      <c r="N982" s="6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spans="1:26" ht="14.25" customHeight="1">
      <c r="A983" s="138"/>
      <c r="B983" s="138"/>
      <c r="C983" s="138"/>
      <c r="D983" s="137"/>
      <c r="E983" s="137"/>
      <c r="F983" s="137"/>
      <c r="G983" s="137"/>
      <c r="H983" s="137"/>
      <c r="I983" s="137"/>
      <c r="J983" s="137"/>
      <c r="K983" s="6"/>
      <c r="L983" s="6"/>
      <c r="M983" s="6"/>
      <c r="N983" s="6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spans="1:26" ht="14.25" customHeight="1">
      <c r="A984" s="138"/>
      <c r="B984" s="138"/>
      <c r="C984" s="138"/>
      <c r="D984" s="137"/>
      <c r="E984" s="137"/>
      <c r="F984" s="137"/>
      <c r="G984" s="137"/>
      <c r="H984" s="137"/>
      <c r="I984" s="137"/>
      <c r="J984" s="137"/>
      <c r="K984" s="6"/>
      <c r="L984" s="6"/>
      <c r="M984" s="6"/>
      <c r="N984" s="6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spans="1:26" ht="14.25" customHeight="1">
      <c r="A985" s="138"/>
      <c r="B985" s="138"/>
      <c r="C985" s="138"/>
      <c r="D985" s="137"/>
      <c r="E985" s="137"/>
      <c r="F985" s="137"/>
      <c r="G985" s="137"/>
      <c r="H985" s="137"/>
      <c r="I985" s="137"/>
      <c r="J985" s="137"/>
      <c r="K985" s="6"/>
      <c r="L985" s="6"/>
      <c r="M985" s="6"/>
      <c r="N985" s="6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spans="1:26" ht="14.25" customHeight="1">
      <c r="A986" s="138"/>
      <c r="B986" s="138"/>
      <c r="C986" s="138"/>
      <c r="D986" s="137"/>
      <c r="E986" s="137"/>
      <c r="F986" s="137"/>
      <c r="G986" s="137"/>
      <c r="H986" s="137"/>
      <c r="I986" s="137"/>
      <c r="J986" s="137"/>
      <c r="K986" s="6"/>
      <c r="L986" s="6"/>
      <c r="M986" s="6"/>
      <c r="N986" s="6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spans="1:26" ht="14.25" customHeight="1">
      <c r="A987" s="138"/>
      <c r="B987" s="138"/>
      <c r="C987" s="138"/>
      <c r="D987" s="137"/>
      <c r="E987" s="137"/>
      <c r="F987" s="137"/>
      <c r="G987" s="137"/>
      <c r="H987" s="137"/>
      <c r="I987" s="137"/>
      <c r="J987" s="137"/>
      <c r="K987" s="6"/>
      <c r="L987" s="6"/>
      <c r="M987" s="6"/>
      <c r="N987" s="6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spans="1:26" ht="14.25" customHeight="1">
      <c r="A988" s="138"/>
      <c r="B988" s="138"/>
      <c r="C988" s="138"/>
      <c r="D988" s="137"/>
      <c r="E988" s="137"/>
      <c r="F988" s="137"/>
      <c r="G988" s="137"/>
      <c r="H988" s="137"/>
      <c r="I988" s="137"/>
      <c r="J988" s="137"/>
      <c r="K988" s="6"/>
      <c r="L988" s="6"/>
      <c r="M988" s="6"/>
      <c r="N988" s="6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spans="1:26" ht="14.25" customHeight="1">
      <c r="A989" s="138"/>
      <c r="B989" s="138"/>
      <c r="C989" s="138"/>
      <c r="D989" s="137"/>
      <c r="E989" s="137"/>
      <c r="F989" s="137"/>
      <c r="G989" s="137"/>
      <c r="H989" s="137"/>
      <c r="I989" s="137"/>
      <c r="J989" s="137"/>
      <c r="K989" s="6"/>
      <c r="L989" s="6"/>
      <c r="M989" s="6"/>
      <c r="N989" s="6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 spans="1:26" ht="14.25" customHeight="1">
      <c r="A990" s="138"/>
      <c r="B990" s="138"/>
      <c r="C990" s="138"/>
      <c r="D990" s="137"/>
      <c r="E990" s="137"/>
      <c r="F990" s="137"/>
      <c r="G990" s="137"/>
      <c r="H990" s="137"/>
      <c r="I990" s="137"/>
      <c r="J990" s="137"/>
      <c r="K990" s="6"/>
      <c r="L990" s="6"/>
      <c r="M990" s="6"/>
      <c r="N990" s="6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 spans="1:26" ht="14.25" customHeight="1">
      <c r="A991" s="138"/>
      <c r="B991" s="138"/>
      <c r="C991" s="138"/>
      <c r="D991" s="137"/>
      <c r="E991" s="137"/>
      <c r="F991" s="137"/>
      <c r="G991" s="137"/>
      <c r="H991" s="137"/>
      <c r="I991" s="137"/>
      <c r="J991" s="137"/>
      <c r="K991" s="6"/>
      <c r="L991" s="6"/>
      <c r="M991" s="6"/>
      <c r="N991" s="6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 spans="1:26" ht="14.25" customHeight="1">
      <c r="A992" s="138"/>
      <c r="B992" s="138"/>
      <c r="C992" s="138"/>
      <c r="D992" s="137"/>
      <c r="E992" s="137"/>
      <c r="F992" s="137"/>
      <c r="G992" s="137"/>
      <c r="H992" s="137"/>
      <c r="I992" s="137"/>
      <c r="J992" s="137"/>
      <c r="K992" s="6"/>
      <c r="L992" s="6"/>
      <c r="M992" s="6"/>
      <c r="N992" s="6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 spans="1:26" ht="14.25" customHeight="1">
      <c r="A993" s="138"/>
      <c r="B993" s="138"/>
      <c r="C993" s="138"/>
      <c r="D993" s="137"/>
      <c r="E993" s="137"/>
      <c r="F993" s="137"/>
      <c r="G993" s="137"/>
      <c r="H993" s="137"/>
      <c r="I993" s="137"/>
      <c r="J993" s="137"/>
      <c r="K993" s="6"/>
      <c r="L993" s="6"/>
      <c r="M993" s="6"/>
      <c r="N993" s="6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 spans="1:26" ht="14.25" customHeight="1">
      <c r="A994" s="138"/>
      <c r="B994" s="138"/>
      <c r="C994" s="138"/>
      <c r="D994" s="137"/>
      <c r="E994" s="137"/>
      <c r="F994" s="137"/>
      <c r="G994" s="137"/>
      <c r="H994" s="137"/>
      <c r="I994" s="137"/>
      <c r="J994" s="137"/>
      <c r="K994" s="6"/>
      <c r="L994" s="6"/>
      <c r="M994" s="6"/>
      <c r="N994" s="6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 spans="1:26" ht="14.25" customHeight="1">
      <c r="A995" s="138"/>
      <c r="B995" s="138"/>
      <c r="C995" s="138"/>
      <c r="D995" s="137"/>
      <c r="E995" s="137"/>
      <c r="F995" s="137"/>
      <c r="G995" s="137"/>
      <c r="H995" s="137"/>
      <c r="I995" s="137"/>
      <c r="J995" s="137"/>
      <c r="K995" s="6"/>
      <c r="L995" s="6"/>
      <c r="M995" s="6"/>
      <c r="N995" s="6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 spans="1:26" ht="14.25" customHeight="1">
      <c r="A996" s="138"/>
      <c r="B996" s="138"/>
      <c r="C996" s="138"/>
      <c r="D996" s="137"/>
      <c r="E996" s="137"/>
      <c r="F996" s="137"/>
      <c r="G996" s="137"/>
      <c r="H996" s="137"/>
      <c r="I996" s="137"/>
      <c r="J996" s="137"/>
      <c r="K996" s="6"/>
      <c r="L996" s="6"/>
      <c r="M996" s="6"/>
      <c r="N996" s="6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 spans="1:26" ht="14.25" customHeight="1">
      <c r="A997" s="138"/>
      <c r="B997" s="138"/>
      <c r="C997" s="138"/>
      <c r="D997" s="137"/>
      <c r="E997" s="137"/>
      <c r="F997" s="137"/>
      <c r="G997" s="137"/>
      <c r="H997" s="137"/>
      <c r="I997" s="137"/>
      <c r="J997" s="137"/>
      <c r="K997" s="6"/>
      <c r="L997" s="6"/>
      <c r="M997" s="6"/>
      <c r="N997" s="6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 spans="1:26" ht="14.25" customHeight="1">
      <c r="A998" s="138"/>
      <c r="B998" s="138"/>
      <c r="C998" s="138"/>
      <c r="D998" s="137"/>
      <c r="E998" s="137"/>
      <c r="F998" s="137"/>
      <c r="G998" s="137"/>
      <c r="H998" s="137"/>
      <c r="I998" s="137"/>
      <c r="J998" s="137"/>
      <c r="K998" s="6"/>
      <c r="L998" s="6"/>
      <c r="M998" s="6"/>
      <c r="N998" s="6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 spans="1:26" ht="14.25" customHeight="1">
      <c r="A999" s="138"/>
      <c r="B999" s="138"/>
      <c r="C999" s="138"/>
      <c r="D999" s="137"/>
      <c r="E999" s="137"/>
      <c r="F999" s="137"/>
      <c r="G999" s="137"/>
      <c r="H999" s="137"/>
      <c r="I999" s="137"/>
      <c r="J999" s="137"/>
      <c r="K999" s="6"/>
      <c r="L999" s="6"/>
      <c r="M999" s="6"/>
      <c r="N999" s="6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 spans="1:26" ht="14.25" customHeight="1">
      <c r="A1000" s="138"/>
      <c r="B1000" s="138"/>
      <c r="C1000" s="138"/>
      <c r="D1000" s="137"/>
      <c r="E1000" s="137"/>
      <c r="F1000" s="137"/>
      <c r="G1000" s="137"/>
      <c r="H1000" s="137"/>
      <c r="I1000" s="137"/>
      <c r="J1000" s="137"/>
      <c r="K1000" s="6"/>
      <c r="L1000" s="6"/>
      <c r="M1000" s="6"/>
      <c r="N1000" s="6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76">
    <mergeCell ref="A46:C46"/>
    <mergeCell ref="A96:C96"/>
    <mergeCell ref="D99:L99"/>
    <mergeCell ref="A89:C90"/>
    <mergeCell ref="D89:L89"/>
    <mergeCell ref="A91:C91"/>
    <mergeCell ref="A92:C92"/>
    <mergeCell ref="A93:C93"/>
    <mergeCell ref="A94:C94"/>
    <mergeCell ref="A95:C95"/>
    <mergeCell ref="A41:C41"/>
    <mergeCell ref="A42:C42"/>
    <mergeCell ref="A43:C43"/>
    <mergeCell ref="A44:C44"/>
    <mergeCell ref="A45:C45"/>
    <mergeCell ref="A56:C56"/>
    <mergeCell ref="D59:L59"/>
    <mergeCell ref="A49:C50"/>
    <mergeCell ref="D49:L49"/>
    <mergeCell ref="A51:C51"/>
    <mergeCell ref="A52:C52"/>
    <mergeCell ref="A53:C53"/>
    <mergeCell ref="A54:C54"/>
    <mergeCell ref="A55:C55"/>
    <mergeCell ref="A33:C33"/>
    <mergeCell ref="A34:C34"/>
    <mergeCell ref="A35:C35"/>
    <mergeCell ref="A36:C36"/>
    <mergeCell ref="D39:L39"/>
    <mergeCell ref="A39:C40"/>
    <mergeCell ref="A26:C26"/>
    <mergeCell ref="A29:C30"/>
    <mergeCell ref="D29:L29"/>
    <mergeCell ref="A31:C31"/>
    <mergeCell ref="A32:C32"/>
    <mergeCell ref="A21:C21"/>
    <mergeCell ref="A22:C22"/>
    <mergeCell ref="A23:C23"/>
    <mergeCell ref="A24:C24"/>
    <mergeCell ref="A25:C25"/>
    <mergeCell ref="A1:H1"/>
    <mergeCell ref="A3:C4"/>
    <mergeCell ref="D3:L3"/>
    <mergeCell ref="A5:C5"/>
    <mergeCell ref="A19:C20"/>
    <mergeCell ref="D19:L19"/>
    <mergeCell ref="A103:C103"/>
    <mergeCell ref="A104:C104"/>
    <mergeCell ref="A105:C105"/>
    <mergeCell ref="A106:C106"/>
    <mergeCell ref="A79:C80"/>
    <mergeCell ref="A81:C81"/>
    <mergeCell ref="A82:C82"/>
    <mergeCell ref="A83:C83"/>
    <mergeCell ref="A84:C84"/>
    <mergeCell ref="A85:C85"/>
    <mergeCell ref="A86:C86"/>
    <mergeCell ref="A65:C65"/>
    <mergeCell ref="A66:C66"/>
    <mergeCell ref="A99:C100"/>
    <mergeCell ref="A101:C101"/>
    <mergeCell ref="A102:C102"/>
    <mergeCell ref="A59:C60"/>
    <mergeCell ref="A61:C61"/>
    <mergeCell ref="A62:C62"/>
    <mergeCell ref="A63:C63"/>
    <mergeCell ref="A64:C64"/>
    <mergeCell ref="A76:C76"/>
    <mergeCell ref="D79:L79"/>
    <mergeCell ref="A69:C70"/>
    <mergeCell ref="D69:L69"/>
    <mergeCell ref="A71:C71"/>
    <mergeCell ref="A72:C72"/>
    <mergeCell ref="A73:C73"/>
    <mergeCell ref="A74:C74"/>
    <mergeCell ref="A75:C75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P1000"/>
  <sheetViews>
    <sheetView workbookViewId="0">
      <pane xSplit="2" ySplit="6" topLeftCell="C66" activePane="bottomRight" state="frozen"/>
      <selection pane="topRight" activeCell="C1" sqref="C1"/>
      <selection pane="bottomLeft" activeCell="A7" sqref="A7"/>
      <selection pane="bottomRight" activeCell="C82" sqref="C82"/>
    </sheetView>
  </sheetViews>
  <sheetFormatPr defaultColWidth="14.42578125" defaultRowHeight="15" customHeight="1"/>
  <cols>
    <col min="1" max="1" width="3.42578125" customWidth="1"/>
    <col min="2" max="2" width="20.42578125" customWidth="1"/>
    <col min="3" max="3" width="15.28515625" customWidth="1"/>
    <col min="4" max="4" width="19.140625" customWidth="1"/>
    <col min="5" max="5" width="12.140625" customWidth="1"/>
    <col min="6" max="6" width="12.85546875" customWidth="1"/>
    <col min="7" max="7" width="15" customWidth="1"/>
    <col min="8" max="8" width="17.7109375" customWidth="1"/>
    <col min="9" max="9" width="15.28515625" customWidth="1"/>
    <col min="10" max="10" width="19.140625" customWidth="1"/>
    <col min="11" max="11" width="12.140625" customWidth="1"/>
    <col min="12" max="12" width="12.85546875" customWidth="1"/>
    <col min="13" max="13" width="15" customWidth="1"/>
    <col min="14" max="14" width="17.7109375" customWidth="1"/>
    <col min="15" max="15" width="14.28515625" customWidth="1"/>
    <col min="16" max="16" width="13.28515625" customWidth="1"/>
    <col min="17" max="17" width="14.42578125" customWidth="1"/>
    <col min="18" max="18" width="12.7109375" customWidth="1"/>
    <col min="19" max="19" width="12.5703125" customWidth="1"/>
    <col min="20" max="20" width="18.42578125" customWidth="1"/>
    <col min="21" max="21" width="14.28515625" customWidth="1"/>
    <col min="22" max="22" width="13.28515625" customWidth="1"/>
    <col min="23" max="23" width="14.42578125" customWidth="1"/>
    <col min="24" max="24" width="12.7109375" customWidth="1"/>
    <col min="25" max="25" width="12.5703125" customWidth="1"/>
    <col min="26" max="26" width="18.42578125" customWidth="1"/>
    <col min="27" max="27" width="14.28515625" customWidth="1"/>
    <col min="28" max="28" width="13.28515625" customWidth="1"/>
    <col min="29" max="29" width="14.42578125" customWidth="1"/>
    <col min="30" max="30" width="12.7109375" customWidth="1"/>
    <col min="31" max="31" width="12.5703125" customWidth="1"/>
    <col min="32" max="32" width="18.42578125" customWidth="1"/>
    <col min="33" max="33" width="14.28515625" customWidth="1"/>
    <col min="34" max="34" width="13.28515625" customWidth="1"/>
    <col min="35" max="35" width="14.42578125" customWidth="1"/>
    <col min="36" max="36" width="12.7109375" customWidth="1"/>
    <col min="37" max="37" width="12.5703125" customWidth="1"/>
    <col min="38" max="38" width="18.42578125" customWidth="1"/>
    <col min="39" max="39" width="14.28515625" customWidth="1"/>
    <col min="40" max="40" width="13.28515625" customWidth="1"/>
    <col min="41" max="41" width="14.42578125" customWidth="1"/>
    <col min="42" max="42" width="12.7109375" customWidth="1"/>
    <col min="43" max="43" width="12.5703125" customWidth="1"/>
    <col min="44" max="44" width="18.42578125" customWidth="1"/>
    <col min="45" max="45" width="14.28515625" customWidth="1"/>
    <col min="46" max="46" width="13.28515625" customWidth="1"/>
    <col min="47" max="47" width="14.42578125" customWidth="1"/>
    <col min="48" max="48" width="12.7109375" customWidth="1"/>
    <col min="49" max="49" width="12.5703125" customWidth="1"/>
    <col min="50" max="50" width="18.42578125" customWidth="1"/>
    <col min="51" max="51" width="14.28515625" customWidth="1"/>
    <col min="52" max="52" width="13.28515625" customWidth="1"/>
    <col min="53" max="53" width="14.42578125" customWidth="1"/>
    <col min="54" max="54" width="12.7109375" customWidth="1"/>
    <col min="55" max="55" width="12.5703125" customWidth="1"/>
    <col min="56" max="56" width="18.42578125" customWidth="1"/>
    <col min="57" max="57" width="14.28515625" customWidth="1"/>
    <col min="58" max="58" width="13.28515625" customWidth="1"/>
    <col min="59" max="59" width="14.42578125" customWidth="1"/>
    <col min="60" max="60" width="12.7109375" customWidth="1"/>
    <col min="61" max="61" width="12.5703125" customWidth="1"/>
    <col min="62" max="62" width="18.42578125" customWidth="1"/>
    <col min="63" max="63" width="14.28515625" customWidth="1"/>
    <col min="64" max="64" width="13.28515625" customWidth="1"/>
    <col min="65" max="65" width="14.42578125" customWidth="1"/>
    <col min="66" max="66" width="12.7109375" customWidth="1"/>
    <col min="67" max="67" width="12.5703125" customWidth="1"/>
    <col min="68" max="68" width="18.42578125" customWidth="1"/>
  </cols>
  <sheetData>
    <row r="1" spans="1:68" ht="14.25" customHeight="1"/>
    <row r="2" spans="1:68" ht="14.25" customHeight="1">
      <c r="A2" s="349" t="s">
        <v>177</v>
      </c>
      <c r="B2" s="346"/>
      <c r="C2" s="352">
        <f>I2-1</f>
        <v>2014</v>
      </c>
      <c r="D2" s="311"/>
      <c r="E2" s="311"/>
      <c r="F2" s="311"/>
      <c r="G2" s="311"/>
      <c r="H2" s="312"/>
      <c r="I2" s="352">
        <f>'PDB ADHB'!C1</f>
        <v>2015</v>
      </c>
      <c r="J2" s="311"/>
      <c r="K2" s="311"/>
      <c r="L2" s="311"/>
      <c r="M2" s="311"/>
      <c r="N2" s="312"/>
      <c r="O2" s="352">
        <f>'PDB ADHB'!D1</f>
        <v>2016</v>
      </c>
      <c r="P2" s="311"/>
      <c r="Q2" s="311"/>
      <c r="R2" s="311"/>
      <c r="S2" s="311"/>
      <c r="T2" s="312"/>
      <c r="U2" s="352">
        <f>'PDB ADHB'!E1</f>
        <v>2017</v>
      </c>
      <c r="V2" s="311"/>
      <c r="W2" s="311"/>
      <c r="X2" s="311"/>
      <c r="Y2" s="311"/>
      <c r="Z2" s="312"/>
      <c r="AA2" s="352">
        <f>'PDB ADHB'!F1</f>
        <v>2018</v>
      </c>
      <c r="AB2" s="311"/>
      <c r="AC2" s="311"/>
      <c r="AD2" s="311"/>
      <c r="AE2" s="311"/>
      <c r="AF2" s="312"/>
      <c r="AG2" s="352">
        <f>'PDB ADHB'!G1</f>
        <v>2019</v>
      </c>
      <c r="AH2" s="311"/>
      <c r="AI2" s="311"/>
      <c r="AJ2" s="311"/>
      <c r="AK2" s="311"/>
      <c r="AL2" s="312"/>
      <c r="AM2" s="352">
        <f>'PDB ADHB'!H1</f>
        <v>2020</v>
      </c>
      <c r="AN2" s="311"/>
      <c r="AO2" s="311"/>
      <c r="AP2" s="311"/>
      <c r="AQ2" s="311"/>
      <c r="AR2" s="312"/>
      <c r="AS2" s="352">
        <f>'PDB ADHB'!I1</f>
        <v>2021</v>
      </c>
      <c r="AT2" s="311"/>
      <c r="AU2" s="311"/>
      <c r="AV2" s="311"/>
      <c r="AW2" s="311"/>
      <c r="AX2" s="312"/>
      <c r="AY2" s="352">
        <f>'PDB ADHB'!J1</f>
        <v>2022</v>
      </c>
      <c r="AZ2" s="311"/>
      <c r="BA2" s="311"/>
      <c r="BB2" s="311"/>
      <c r="BC2" s="311"/>
      <c r="BD2" s="312"/>
      <c r="BE2" s="352" t="str">
        <f>'PDB ADHB'!K1</f>
        <v>2023*</v>
      </c>
      <c r="BF2" s="311"/>
      <c r="BG2" s="311"/>
      <c r="BH2" s="311"/>
      <c r="BI2" s="311"/>
      <c r="BJ2" s="312"/>
      <c r="BK2" s="352" t="str">
        <f>'PDB ADHB'!L1</f>
        <v>2024**</v>
      </c>
      <c r="BL2" s="311"/>
      <c r="BM2" s="311"/>
      <c r="BN2" s="311"/>
      <c r="BO2" s="311"/>
      <c r="BP2" s="312"/>
    </row>
    <row r="3" spans="1:68" ht="15" customHeight="1">
      <c r="A3" s="350"/>
      <c r="B3" s="343"/>
      <c r="C3" s="347" t="s">
        <v>183</v>
      </c>
      <c r="D3" s="294"/>
      <c r="E3" s="294"/>
      <c r="F3" s="294"/>
      <c r="G3" s="295"/>
      <c r="H3" s="354" t="s">
        <v>185</v>
      </c>
      <c r="I3" s="347" t="s">
        <v>183</v>
      </c>
      <c r="J3" s="294"/>
      <c r="K3" s="294"/>
      <c r="L3" s="294"/>
      <c r="M3" s="295"/>
      <c r="N3" s="354" t="s">
        <v>185</v>
      </c>
      <c r="O3" s="347" t="s">
        <v>183</v>
      </c>
      <c r="P3" s="294"/>
      <c r="Q3" s="294"/>
      <c r="R3" s="294"/>
      <c r="S3" s="295"/>
      <c r="T3" s="354" t="s">
        <v>185</v>
      </c>
      <c r="U3" s="347" t="s">
        <v>183</v>
      </c>
      <c r="V3" s="294"/>
      <c r="W3" s="294"/>
      <c r="X3" s="294"/>
      <c r="Y3" s="295"/>
      <c r="Z3" s="354" t="s">
        <v>185</v>
      </c>
      <c r="AA3" s="347" t="s">
        <v>183</v>
      </c>
      <c r="AB3" s="294"/>
      <c r="AC3" s="294"/>
      <c r="AD3" s="294"/>
      <c r="AE3" s="295"/>
      <c r="AF3" s="354" t="s">
        <v>185</v>
      </c>
      <c r="AG3" s="347" t="s">
        <v>183</v>
      </c>
      <c r="AH3" s="294"/>
      <c r="AI3" s="294"/>
      <c r="AJ3" s="294"/>
      <c r="AK3" s="295"/>
      <c r="AL3" s="354" t="s">
        <v>185</v>
      </c>
      <c r="AM3" s="347" t="s">
        <v>183</v>
      </c>
      <c r="AN3" s="294"/>
      <c r="AO3" s="294"/>
      <c r="AP3" s="294"/>
      <c r="AQ3" s="295"/>
      <c r="AR3" s="354" t="s">
        <v>185</v>
      </c>
      <c r="AS3" s="347" t="s">
        <v>183</v>
      </c>
      <c r="AT3" s="294"/>
      <c r="AU3" s="294"/>
      <c r="AV3" s="294"/>
      <c r="AW3" s="295"/>
      <c r="AX3" s="354" t="s">
        <v>185</v>
      </c>
      <c r="AY3" s="347" t="s">
        <v>183</v>
      </c>
      <c r="AZ3" s="294"/>
      <c r="BA3" s="294"/>
      <c r="BB3" s="294"/>
      <c r="BC3" s="295"/>
      <c r="BD3" s="354" t="s">
        <v>185</v>
      </c>
      <c r="BE3" s="347" t="s">
        <v>183</v>
      </c>
      <c r="BF3" s="294"/>
      <c r="BG3" s="294"/>
      <c r="BH3" s="294"/>
      <c r="BI3" s="295"/>
      <c r="BJ3" s="354" t="s">
        <v>185</v>
      </c>
      <c r="BK3" s="347" t="s">
        <v>183</v>
      </c>
      <c r="BL3" s="294"/>
      <c r="BM3" s="294"/>
      <c r="BN3" s="294"/>
      <c r="BO3" s="295"/>
      <c r="BP3" s="354" t="s">
        <v>185</v>
      </c>
    </row>
    <row r="4" spans="1:68" ht="14.25" customHeight="1">
      <c r="A4" s="350"/>
      <c r="B4" s="343"/>
      <c r="C4" s="348" t="s">
        <v>38</v>
      </c>
      <c r="D4" s="348" t="s">
        <v>192</v>
      </c>
      <c r="E4" s="347" t="s">
        <v>193</v>
      </c>
      <c r="F4" s="295"/>
      <c r="G4" s="348" t="s">
        <v>72</v>
      </c>
      <c r="H4" s="355"/>
      <c r="I4" s="348" t="s">
        <v>38</v>
      </c>
      <c r="J4" s="348" t="s">
        <v>192</v>
      </c>
      <c r="K4" s="347" t="s">
        <v>193</v>
      </c>
      <c r="L4" s="295"/>
      <c r="M4" s="348" t="s">
        <v>72</v>
      </c>
      <c r="N4" s="355"/>
      <c r="O4" s="348" t="s">
        <v>38</v>
      </c>
      <c r="P4" s="348" t="s">
        <v>192</v>
      </c>
      <c r="Q4" s="347" t="s">
        <v>193</v>
      </c>
      <c r="R4" s="295"/>
      <c r="S4" s="348" t="s">
        <v>72</v>
      </c>
      <c r="T4" s="355"/>
      <c r="U4" s="348" t="s">
        <v>38</v>
      </c>
      <c r="V4" s="348" t="s">
        <v>192</v>
      </c>
      <c r="W4" s="347" t="s">
        <v>193</v>
      </c>
      <c r="X4" s="295"/>
      <c r="Y4" s="348" t="s">
        <v>72</v>
      </c>
      <c r="Z4" s="355"/>
      <c r="AA4" s="348" t="s">
        <v>38</v>
      </c>
      <c r="AB4" s="348" t="s">
        <v>192</v>
      </c>
      <c r="AC4" s="347" t="s">
        <v>193</v>
      </c>
      <c r="AD4" s="295"/>
      <c r="AE4" s="348" t="s">
        <v>72</v>
      </c>
      <c r="AF4" s="355"/>
      <c r="AG4" s="348" t="s">
        <v>38</v>
      </c>
      <c r="AH4" s="348" t="s">
        <v>192</v>
      </c>
      <c r="AI4" s="347" t="s">
        <v>193</v>
      </c>
      <c r="AJ4" s="295"/>
      <c r="AK4" s="348" t="s">
        <v>72</v>
      </c>
      <c r="AL4" s="355"/>
      <c r="AM4" s="348" t="s">
        <v>38</v>
      </c>
      <c r="AN4" s="348" t="s">
        <v>192</v>
      </c>
      <c r="AO4" s="347" t="s">
        <v>193</v>
      </c>
      <c r="AP4" s="295"/>
      <c r="AQ4" s="348" t="s">
        <v>72</v>
      </c>
      <c r="AR4" s="355"/>
      <c r="AS4" s="348" t="s">
        <v>38</v>
      </c>
      <c r="AT4" s="348" t="s">
        <v>192</v>
      </c>
      <c r="AU4" s="347" t="s">
        <v>193</v>
      </c>
      <c r="AV4" s="295"/>
      <c r="AW4" s="348" t="s">
        <v>72</v>
      </c>
      <c r="AX4" s="355"/>
      <c r="AY4" s="348" t="s">
        <v>38</v>
      </c>
      <c r="AZ4" s="348" t="s">
        <v>192</v>
      </c>
      <c r="BA4" s="347" t="s">
        <v>193</v>
      </c>
      <c r="BB4" s="295"/>
      <c r="BC4" s="348" t="s">
        <v>72</v>
      </c>
      <c r="BD4" s="355"/>
      <c r="BE4" s="348" t="s">
        <v>38</v>
      </c>
      <c r="BF4" s="348" t="s">
        <v>192</v>
      </c>
      <c r="BG4" s="347" t="s">
        <v>193</v>
      </c>
      <c r="BH4" s="295"/>
      <c r="BI4" s="348" t="s">
        <v>72</v>
      </c>
      <c r="BJ4" s="355"/>
      <c r="BK4" s="348" t="s">
        <v>38</v>
      </c>
      <c r="BL4" s="348" t="s">
        <v>192</v>
      </c>
      <c r="BM4" s="347" t="s">
        <v>193</v>
      </c>
      <c r="BN4" s="295"/>
      <c r="BO4" s="348" t="s">
        <v>72</v>
      </c>
      <c r="BP4" s="355"/>
    </row>
    <row r="5" spans="1:68" ht="14.25" customHeight="1">
      <c r="A5" s="351"/>
      <c r="B5" s="338"/>
      <c r="C5" s="322"/>
      <c r="D5" s="322"/>
      <c r="E5" s="174" t="s">
        <v>202</v>
      </c>
      <c r="F5" s="174" t="s">
        <v>203</v>
      </c>
      <c r="G5" s="322"/>
      <c r="H5" s="356"/>
      <c r="I5" s="322"/>
      <c r="J5" s="322"/>
      <c r="K5" s="174" t="s">
        <v>202</v>
      </c>
      <c r="L5" s="174" t="s">
        <v>203</v>
      </c>
      <c r="M5" s="322"/>
      <c r="N5" s="356"/>
      <c r="O5" s="322"/>
      <c r="P5" s="322"/>
      <c r="Q5" s="174" t="s">
        <v>202</v>
      </c>
      <c r="R5" s="174" t="s">
        <v>203</v>
      </c>
      <c r="S5" s="322"/>
      <c r="T5" s="356"/>
      <c r="U5" s="322"/>
      <c r="V5" s="322"/>
      <c r="W5" s="174" t="s">
        <v>202</v>
      </c>
      <c r="X5" s="174" t="s">
        <v>203</v>
      </c>
      <c r="Y5" s="322"/>
      <c r="Z5" s="356"/>
      <c r="AA5" s="322"/>
      <c r="AB5" s="322"/>
      <c r="AC5" s="174" t="s">
        <v>202</v>
      </c>
      <c r="AD5" s="174" t="s">
        <v>203</v>
      </c>
      <c r="AE5" s="322"/>
      <c r="AF5" s="356"/>
      <c r="AG5" s="322"/>
      <c r="AH5" s="322"/>
      <c r="AI5" s="174" t="s">
        <v>202</v>
      </c>
      <c r="AJ5" s="174" t="s">
        <v>203</v>
      </c>
      <c r="AK5" s="322"/>
      <c r="AL5" s="356"/>
      <c r="AM5" s="322"/>
      <c r="AN5" s="322"/>
      <c r="AO5" s="174" t="s">
        <v>202</v>
      </c>
      <c r="AP5" s="174" t="s">
        <v>203</v>
      </c>
      <c r="AQ5" s="322"/>
      <c r="AR5" s="356"/>
      <c r="AS5" s="322"/>
      <c r="AT5" s="322"/>
      <c r="AU5" s="174" t="s">
        <v>202</v>
      </c>
      <c r="AV5" s="174" t="s">
        <v>203</v>
      </c>
      <c r="AW5" s="322"/>
      <c r="AX5" s="356"/>
      <c r="AY5" s="322"/>
      <c r="AZ5" s="322"/>
      <c r="BA5" s="174" t="s">
        <v>202</v>
      </c>
      <c r="BB5" s="174" t="s">
        <v>203</v>
      </c>
      <c r="BC5" s="322"/>
      <c r="BD5" s="356"/>
      <c r="BE5" s="322"/>
      <c r="BF5" s="322"/>
      <c r="BG5" s="174" t="s">
        <v>202</v>
      </c>
      <c r="BH5" s="174" t="s">
        <v>203</v>
      </c>
      <c r="BI5" s="322"/>
      <c r="BJ5" s="356"/>
      <c r="BK5" s="322"/>
      <c r="BL5" s="322"/>
      <c r="BM5" s="174" t="s">
        <v>202</v>
      </c>
      <c r="BN5" s="174" t="s">
        <v>203</v>
      </c>
      <c r="BO5" s="322"/>
      <c r="BP5" s="356"/>
    </row>
    <row r="6" spans="1:68" ht="14.25" customHeight="1">
      <c r="A6" s="353" t="s">
        <v>208</v>
      </c>
      <c r="B6" s="295"/>
      <c r="C6" s="176" t="s">
        <v>210</v>
      </c>
      <c r="D6" s="176" t="s">
        <v>212</v>
      </c>
      <c r="E6" s="176" t="s">
        <v>213</v>
      </c>
      <c r="F6" s="176" t="s">
        <v>214</v>
      </c>
      <c r="G6" s="176" t="s">
        <v>215</v>
      </c>
      <c r="H6" s="177" t="s">
        <v>216</v>
      </c>
      <c r="I6" s="176" t="s">
        <v>210</v>
      </c>
      <c r="J6" s="176" t="s">
        <v>212</v>
      </c>
      <c r="K6" s="176" t="s">
        <v>213</v>
      </c>
      <c r="L6" s="176" t="s">
        <v>214</v>
      </c>
      <c r="M6" s="176" t="s">
        <v>215</v>
      </c>
      <c r="N6" s="177" t="s">
        <v>216</v>
      </c>
      <c r="O6" s="176" t="s">
        <v>210</v>
      </c>
      <c r="P6" s="176" t="s">
        <v>212</v>
      </c>
      <c r="Q6" s="176" t="s">
        <v>213</v>
      </c>
      <c r="R6" s="176" t="s">
        <v>214</v>
      </c>
      <c r="S6" s="176" t="s">
        <v>215</v>
      </c>
      <c r="T6" s="177" t="s">
        <v>216</v>
      </c>
      <c r="U6" s="176" t="s">
        <v>210</v>
      </c>
      <c r="V6" s="176" t="s">
        <v>212</v>
      </c>
      <c r="W6" s="176" t="s">
        <v>213</v>
      </c>
      <c r="X6" s="176" t="s">
        <v>214</v>
      </c>
      <c r="Y6" s="176" t="s">
        <v>215</v>
      </c>
      <c r="Z6" s="177" t="s">
        <v>216</v>
      </c>
      <c r="AA6" s="176" t="s">
        <v>210</v>
      </c>
      <c r="AB6" s="176" t="s">
        <v>212</v>
      </c>
      <c r="AC6" s="176" t="s">
        <v>213</v>
      </c>
      <c r="AD6" s="176" t="s">
        <v>214</v>
      </c>
      <c r="AE6" s="176" t="s">
        <v>215</v>
      </c>
      <c r="AF6" s="177" t="s">
        <v>216</v>
      </c>
      <c r="AG6" s="176" t="s">
        <v>210</v>
      </c>
      <c r="AH6" s="176" t="s">
        <v>212</v>
      </c>
      <c r="AI6" s="176" t="s">
        <v>213</v>
      </c>
      <c r="AJ6" s="176" t="s">
        <v>214</v>
      </c>
      <c r="AK6" s="176" t="s">
        <v>215</v>
      </c>
      <c r="AL6" s="177" t="s">
        <v>216</v>
      </c>
      <c r="AM6" s="176" t="s">
        <v>210</v>
      </c>
      <c r="AN6" s="176" t="s">
        <v>212</v>
      </c>
      <c r="AO6" s="176" t="s">
        <v>213</v>
      </c>
      <c r="AP6" s="176" t="s">
        <v>214</v>
      </c>
      <c r="AQ6" s="176" t="s">
        <v>215</v>
      </c>
      <c r="AR6" s="177" t="s">
        <v>216</v>
      </c>
      <c r="AS6" s="176" t="s">
        <v>210</v>
      </c>
      <c r="AT6" s="176" t="s">
        <v>212</v>
      </c>
      <c r="AU6" s="176" t="s">
        <v>213</v>
      </c>
      <c r="AV6" s="176" t="s">
        <v>214</v>
      </c>
      <c r="AW6" s="176" t="s">
        <v>215</v>
      </c>
      <c r="AX6" s="177" t="s">
        <v>216</v>
      </c>
      <c r="AY6" s="176" t="s">
        <v>210</v>
      </c>
      <c r="AZ6" s="176" t="s">
        <v>212</v>
      </c>
      <c r="BA6" s="176" t="s">
        <v>213</v>
      </c>
      <c r="BB6" s="176" t="s">
        <v>214</v>
      </c>
      <c r="BC6" s="176" t="s">
        <v>215</v>
      </c>
      <c r="BD6" s="177" t="s">
        <v>216</v>
      </c>
      <c r="BE6" s="176" t="s">
        <v>210</v>
      </c>
      <c r="BF6" s="176" t="s">
        <v>212</v>
      </c>
      <c r="BG6" s="176" t="s">
        <v>213</v>
      </c>
      <c r="BH6" s="176" t="s">
        <v>214</v>
      </c>
      <c r="BI6" s="176" t="s">
        <v>215</v>
      </c>
      <c r="BJ6" s="177" t="s">
        <v>216</v>
      </c>
      <c r="BK6" s="176" t="s">
        <v>210</v>
      </c>
      <c r="BL6" s="176" t="s">
        <v>212</v>
      </c>
      <c r="BM6" s="176" t="s">
        <v>213</v>
      </c>
      <c r="BN6" s="176" t="s">
        <v>214</v>
      </c>
      <c r="BO6" s="176" t="s">
        <v>215</v>
      </c>
      <c r="BP6" s="177" t="s">
        <v>216</v>
      </c>
    </row>
    <row r="7" spans="1:68" ht="14.25" customHeight="1">
      <c r="A7" s="178"/>
      <c r="B7" s="179"/>
      <c r="C7" s="180"/>
      <c r="D7" s="180"/>
      <c r="E7" s="180"/>
      <c r="F7" s="180"/>
      <c r="G7" s="180"/>
      <c r="H7" s="182"/>
      <c r="I7" s="180"/>
      <c r="J7" s="180"/>
      <c r="K7" s="180"/>
      <c r="L7" s="180"/>
      <c r="M7" s="180"/>
      <c r="N7" s="182"/>
      <c r="O7" s="180"/>
      <c r="P7" s="180"/>
      <c r="Q7" s="180"/>
      <c r="R7" s="180"/>
      <c r="S7" s="180"/>
      <c r="T7" s="182"/>
      <c r="U7" s="180"/>
      <c r="V7" s="180"/>
      <c r="W7" s="180"/>
      <c r="X7" s="180"/>
      <c r="Y7" s="180"/>
      <c r="Z7" s="182"/>
      <c r="AA7" s="180"/>
      <c r="AB7" s="180"/>
      <c r="AC7" s="180"/>
      <c r="AD7" s="180"/>
      <c r="AE7" s="180"/>
      <c r="AF7" s="182"/>
      <c r="AG7" s="180"/>
      <c r="AH7" s="180"/>
      <c r="AI7" s="180"/>
      <c r="AJ7" s="180"/>
      <c r="AK7" s="180"/>
      <c r="AL7" s="182"/>
      <c r="AM7" s="180"/>
      <c r="AN7" s="180"/>
      <c r="AO7" s="180"/>
      <c r="AP7" s="180"/>
      <c r="AQ7" s="180"/>
      <c r="AR7" s="182"/>
      <c r="AS7" s="180"/>
      <c r="AT7" s="180"/>
      <c r="AU7" s="180"/>
      <c r="AV7" s="180"/>
      <c r="AW7" s="180"/>
      <c r="AX7" s="182"/>
      <c r="AY7" s="180"/>
      <c r="AZ7" s="180"/>
      <c r="BA7" s="180"/>
      <c r="BB7" s="180"/>
      <c r="BC7" s="180"/>
      <c r="BD7" s="182"/>
      <c r="BE7" s="180"/>
      <c r="BF7" s="180"/>
      <c r="BG7" s="180"/>
      <c r="BH7" s="180"/>
      <c r="BI7" s="180"/>
      <c r="BJ7" s="182"/>
      <c r="BK7" s="180"/>
      <c r="BL7" s="180"/>
      <c r="BM7" s="180"/>
      <c r="BN7" s="180"/>
      <c r="BO7" s="180"/>
      <c r="BP7" s="182"/>
    </row>
    <row r="8" spans="1:68" ht="14.25" customHeight="1">
      <c r="A8" s="183">
        <v>1</v>
      </c>
      <c r="B8" s="184" t="s">
        <v>223</v>
      </c>
      <c r="C8" s="185"/>
      <c r="D8" s="185"/>
      <c r="E8" s="185"/>
      <c r="F8" s="185"/>
      <c r="G8" s="185"/>
      <c r="H8" s="187"/>
      <c r="I8" s="185"/>
      <c r="J8" s="185"/>
      <c r="K8" s="185"/>
      <c r="L8" s="185"/>
      <c r="M8" s="185"/>
      <c r="N8" s="187"/>
      <c r="O8" s="185"/>
      <c r="P8" s="185"/>
      <c r="Q8" s="185"/>
      <c r="R8" s="185"/>
      <c r="S8" s="185"/>
      <c r="T8" s="187"/>
      <c r="U8" s="185"/>
      <c r="V8" s="185"/>
      <c r="W8" s="185"/>
      <c r="X8" s="185"/>
      <c r="Y8" s="185"/>
      <c r="Z8" s="187"/>
      <c r="AA8" s="185"/>
      <c r="AB8" s="185"/>
      <c r="AC8" s="185"/>
      <c r="AD8" s="185"/>
      <c r="AE8" s="185"/>
      <c r="AF8" s="187"/>
      <c r="AG8" s="185"/>
      <c r="AH8" s="185"/>
      <c r="AI8" s="185"/>
      <c r="AJ8" s="185"/>
      <c r="AK8" s="185"/>
      <c r="AL8" s="187"/>
      <c r="AM8" s="185"/>
      <c r="AN8" s="185"/>
      <c r="AO8" s="185"/>
      <c r="AP8" s="185"/>
      <c r="AQ8" s="185"/>
      <c r="AR8" s="187"/>
      <c r="AS8" s="185"/>
      <c r="AT8" s="185"/>
      <c r="AU8" s="185"/>
      <c r="AV8" s="185"/>
      <c r="AW8" s="185"/>
      <c r="AX8" s="187"/>
      <c r="AY8" s="185"/>
      <c r="AZ8" s="185"/>
      <c r="BA8" s="185"/>
      <c r="BB8" s="185"/>
      <c r="BC8" s="185"/>
      <c r="BD8" s="187"/>
      <c r="BE8" s="185"/>
      <c r="BF8" s="185"/>
      <c r="BG8" s="185"/>
      <c r="BH8" s="185"/>
      <c r="BI8" s="185"/>
      <c r="BJ8" s="187"/>
      <c r="BK8" s="185"/>
      <c r="BL8" s="185"/>
      <c r="BM8" s="185"/>
      <c r="BN8" s="185"/>
      <c r="BO8" s="185"/>
      <c r="BP8" s="187"/>
    </row>
    <row r="9" spans="1:68" ht="14.25" customHeight="1">
      <c r="A9" s="190"/>
      <c r="B9" s="191" t="s">
        <v>224</v>
      </c>
      <c r="C9" s="192"/>
      <c r="D9" s="192"/>
      <c r="E9" s="192">
        <f>'Stok Kapital'!B7</f>
        <v>33313960.605447683</v>
      </c>
      <c r="F9" s="192"/>
      <c r="G9" s="192"/>
      <c r="H9" s="193"/>
      <c r="I9" s="192"/>
      <c r="J9" s="192"/>
      <c r="K9" s="192">
        <f>'Stok Kapital'!J7</f>
        <v>38102452.670761548</v>
      </c>
      <c r="L9" s="192"/>
      <c r="M9" s="192"/>
      <c r="N9" s="193"/>
      <c r="O9" s="192"/>
      <c r="P9" s="192"/>
      <c r="Q9" s="192">
        <f>K60</f>
        <v>41623717.638465554</v>
      </c>
      <c r="R9" s="192"/>
      <c r="S9" s="192"/>
      <c r="T9" s="193"/>
      <c r="U9" s="192"/>
      <c r="V9" s="192"/>
      <c r="W9" s="192">
        <f>Q60</f>
        <v>44861123.019045532</v>
      </c>
      <c r="X9" s="192"/>
      <c r="Y9" s="192"/>
      <c r="Z9" s="193"/>
      <c r="AA9" s="192"/>
      <c r="AB9" s="192"/>
      <c r="AC9" s="192">
        <f>W60</f>
        <v>49172158.789865479</v>
      </c>
      <c r="AD9" s="192"/>
      <c r="AE9" s="192"/>
      <c r="AF9" s="193"/>
      <c r="AG9" s="192"/>
      <c r="AH9" s="192"/>
      <c r="AI9" s="192">
        <f>AC60</f>
        <v>54392256.500084057</v>
      </c>
      <c r="AJ9" s="192"/>
      <c r="AK9" s="192"/>
      <c r="AL9" s="193"/>
      <c r="AM9" s="192"/>
      <c r="AN9" s="192"/>
      <c r="AO9" s="192">
        <f>AI60</f>
        <v>58178120.618363939</v>
      </c>
      <c r="AP9" s="192"/>
      <c r="AQ9" s="192"/>
      <c r="AR9" s="193"/>
      <c r="AS9" s="192"/>
      <c r="AT9" s="192"/>
      <c r="AU9" s="192">
        <f>AO60</f>
        <v>61666805.006567188</v>
      </c>
      <c r="AV9" s="192"/>
      <c r="AW9" s="192"/>
      <c r="AX9" s="193"/>
      <c r="AY9" s="192"/>
      <c r="AZ9" s="192"/>
      <c r="BA9" s="192">
        <f>AU60</f>
        <v>67696559.291260689</v>
      </c>
      <c r="BB9" s="192"/>
      <c r="BC9" s="192"/>
      <c r="BD9" s="193"/>
      <c r="BE9" s="192"/>
      <c r="BF9" s="192"/>
      <c r="BG9" s="192">
        <f>BA60</f>
        <v>74342956.719145596</v>
      </c>
      <c r="BH9" s="192"/>
      <c r="BI9" s="192"/>
      <c r="BJ9" s="193"/>
      <c r="BK9" s="192"/>
      <c r="BL9" s="192"/>
      <c r="BM9" s="192">
        <f>BG60</f>
        <v>80433633.451482996</v>
      </c>
      <c r="BN9" s="192"/>
      <c r="BO9" s="192"/>
      <c r="BP9" s="193"/>
    </row>
    <row r="10" spans="1:68" ht="14.25" customHeight="1">
      <c r="A10" s="190"/>
      <c r="B10" s="191" t="s">
        <v>225</v>
      </c>
      <c r="C10" s="192"/>
      <c r="D10" s="192"/>
      <c r="E10" s="192"/>
      <c r="F10" s="194">
        <f>'Aset Moneter'!D6</f>
        <v>701661.76437430608</v>
      </c>
      <c r="G10" s="192"/>
      <c r="H10" s="193"/>
      <c r="I10" s="192"/>
      <c r="J10" s="192"/>
      <c r="K10" s="192"/>
      <c r="L10" s="194">
        <f>'Aset Moneter'!E6</f>
        <v>719985.08593615424</v>
      </c>
      <c r="M10" s="192"/>
      <c r="N10" s="193"/>
      <c r="O10" s="192"/>
      <c r="P10" s="192"/>
      <c r="Q10" s="192"/>
      <c r="R10" s="194">
        <f>'Aset Moneter'!F6</f>
        <v>628834.11034068733</v>
      </c>
      <c r="S10" s="192"/>
      <c r="T10" s="193"/>
      <c r="U10" s="192"/>
      <c r="V10" s="192"/>
      <c r="W10" s="192"/>
      <c r="X10" s="194">
        <f>'Aset Moneter'!G6</f>
        <v>681499.89064630575</v>
      </c>
      <c r="Y10" s="192"/>
      <c r="Z10" s="193"/>
      <c r="AA10" s="192"/>
      <c r="AB10" s="192"/>
      <c r="AC10" s="192"/>
      <c r="AD10" s="194">
        <f>'Aset Moneter'!H6</f>
        <v>749533.48946009087</v>
      </c>
      <c r="AE10" s="192"/>
      <c r="AF10" s="193"/>
      <c r="AG10" s="192"/>
      <c r="AH10" s="192"/>
      <c r="AI10" s="192"/>
      <c r="AJ10" s="194">
        <f>'Aset Moneter'!I6</f>
        <v>740284.00334144756</v>
      </c>
      <c r="AK10" s="192"/>
      <c r="AL10" s="193"/>
      <c r="AM10" s="192"/>
      <c r="AN10" s="192"/>
      <c r="AO10" s="192"/>
      <c r="AP10" s="194">
        <f>'Aset Moneter'!J6</f>
        <v>818198.37655188492</v>
      </c>
      <c r="AQ10" s="192"/>
      <c r="AR10" s="193"/>
      <c r="AS10" s="192"/>
      <c r="AT10" s="192"/>
      <c r="AU10" s="192"/>
      <c r="AV10" s="194">
        <f>'Aset Moneter'!K6</f>
        <v>952915.51878835238</v>
      </c>
      <c r="AW10" s="192"/>
      <c r="AX10" s="193"/>
      <c r="AY10" s="192"/>
      <c r="AZ10" s="192"/>
      <c r="BA10" s="192"/>
      <c r="BB10" s="194">
        <f>'Aset Moneter'!L6</f>
        <v>1100095.7065798338</v>
      </c>
      <c r="BC10" s="192"/>
      <c r="BD10" s="193"/>
      <c r="BE10" s="192"/>
      <c r="BF10" s="192"/>
      <c r="BG10" s="192"/>
      <c r="BH10" s="194">
        <f>'Aset Moneter'!M6</f>
        <v>1173971.8049369522</v>
      </c>
      <c r="BI10" s="192"/>
      <c r="BJ10" s="193"/>
      <c r="BK10" s="192"/>
      <c r="BL10" s="192"/>
      <c r="BM10" s="192"/>
      <c r="BN10" s="194">
        <f>'Aset Moneter'!N6</f>
        <v>1390349.5952327701</v>
      </c>
      <c r="BO10" s="192"/>
      <c r="BP10" s="193"/>
    </row>
    <row r="11" spans="1:68" ht="14.25" customHeight="1">
      <c r="A11" s="190"/>
      <c r="B11" s="191" t="s">
        <v>227</v>
      </c>
      <c r="C11" s="192"/>
      <c r="D11" s="192"/>
      <c r="E11" s="192"/>
      <c r="F11" s="198">
        <f>'Aset Moneter'!D22</f>
        <v>2131737.9705992085</v>
      </c>
      <c r="G11" s="192"/>
      <c r="H11" s="193"/>
      <c r="I11" s="192"/>
      <c r="J11" s="192"/>
      <c r="K11" s="192"/>
      <c r="L11" s="198">
        <f>'Aset Moneter'!E22</f>
        <v>1936673.9737175689</v>
      </c>
      <c r="M11" s="192"/>
      <c r="N11" s="193"/>
      <c r="O11" s="192"/>
      <c r="P11" s="192"/>
      <c r="Q11" s="192"/>
      <c r="R11" s="198">
        <f>'Aset Moneter'!F22</f>
        <v>1128616.8811983962</v>
      </c>
      <c r="S11" s="192"/>
      <c r="T11" s="193"/>
      <c r="U11" s="192"/>
      <c r="V11" s="192"/>
      <c r="W11" s="192"/>
      <c r="X11" s="198">
        <f>'Aset Moneter'!G22</f>
        <v>1038776.4033883412</v>
      </c>
      <c r="Y11" s="192"/>
      <c r="Z11" s="193"/>
      <c r="AA11" s="192"/>
      <c r="AB11" s="192"/>
      <c r="AC11" s="192"/>
      <c r="AD11" s="198">
        <f>'Aset Moneter'!H22</f>
        <v>1442786.7813271717</v>
      </c>
      <c r="AE11" s="192"/>
      <c r="AF11" s="193"/>
      <c r="AG11" s="192"/>
      <c r="AH11" s="192"/>
      <c r="AI11" s="192"/>
      <c r="AJ11" s="198">
        <f>'Aset Moneter'!I22</f>
        <v>1827895.3989000786</v>
      </c>
      <c r="AK11" s="192"/>
      <c r="AL11" s="193"/>
      <c r="AM11" s="192"/>
      <c r="AN11" s="192"/>
      <c r="AO11" s="192"/>
      <c r="AP11" s="198">
        <f>'Aset Moneter'!J22</f>
        <v>1650482.1487191245</v>
      </c>
      <c r="AQ11" s="192"/>
      <c r="AR11" s="193"/>
      <c r="AS11" s="192"/>
      <c r="AT11" s="192"/>
      <c r="AU11" s="192"/>
      <c r="AV11" s="198">
        <f>'Aset Moneter'!K22</f>
        <v>1232797.0968946044</v>
      </c>
      <c r="AW11" s="192"/>
      <c r="AX11" s="193"/>
      <c r="AY11" s="192"/>
      <c r="AZ11" s="192"/>
      <c r="BA11" s="192"/>
      <c r="BB11" s="198">
        <f>'Aset Moneter'!L22</f>
        <v>1759477.4533354028</v>
      </c>
      <c r="BC11" s="192"/>
      <c r="BD11" s="193"/>
      <c r="BE11" s="192"/>
      <c r="BF11" s="192"/>
      <c r="BG11" s="192"/>
      <c r="BH11" s="198">
        <f>'Aset Moneter'!M22</f>
        <v>2275538.6724397279</v>
      </c>
      <c r="BI11" s="192"/>
      <c r="BJ11" s="193"/>
      <c r="BK11" s="192"/>
      <c r="BL11" s="192"/>
      <c r="BM11" s="192"/>
      <c r="BN11" s="198">
        <f>'Aset Moneter'!N22</f>
        <v>1904383.557102096</v>
      </c>
      <c r="BO11" s="192"/>
      <c r="BP11" s="193"/>
    </row>
    <row r="12" spans="1:68" ht="14.25" customHeight="1">
      <c r="A12" s="190"/>
      <c r="B12" s="191" t="s">
        <v>229</v>
      </c>
      <c r="C12" s="192"/>
      <c r="D12" s="192"/>
      <c r="E12" s="192"/>
      <c r="F12" s="198">
        <f>'Aset Moneter'!D32</f>
        <v>2209651.1814644272</v>
      </c>
      <c r="G12" s="192"/>
      <c r="H12" s="193"/>
      <c r="I12" s="192"/>
      <c r="J12" s="192"/>
      <c r="K12" s="192"/>
      <c r="L12" s="198">
        <f>'Aset Moneter'!E32</f>
        <v>1929560.4055106894</v>
      </c>
      <c r="M12" s="192"/>
      <c r="N12" s="193"/>
      <c r="O12" s="192"/>
      <c r="P12" s="192"/>
      <c r="Q12" s="192"/>
      <c r="R12" s="198">
        <f>'Aset Moneter'!F32</f>
        <v>2092742.2082036678</v>
      </c>
      <c r="S12" s="192"/>
      <c r="T12" s="193"/>
      <c r="U12" s="192"/>
      <c r="V12" s="192"/>
      <c r="W12" s="192"/>
      <c r="X12" s="198">
        <f>'Aset Moneter'!G32</f>
        <v>2099174.0281491606</v>
      </c>
      <c r="Y12" s="192"/>
      <c r="Z12" s="193"/>
      <c r="AA12" s="192"/>
      <c r="AB12" s="192"/>
      <c r="AC12" s="192"/>
      <c r="AD12" s="198">
        <f>'Aset Moneter'!H32</f>
        <v>2081924.8547662157</v>
      </c>
      <c r="AE12" s="192"/>
      <c r="AF12" s="193"/>
      <c r="AG12" s="192"/>
      <c r="AH12" s="192"/>
      <c r="AI12" s="192"/>
      <c r="AJ12" s="198">
        <f>'Aset Moneter'!I32</f>
        <v>1985652.1056364621</v>
      </c>
      <c r="AK12" s="192"/>
      <c r="AL12" s="193"/>
      <c r="AM12" s="192"/>
      <c r="AN12" s="192"/>
      <c r="AO12" s="192"/>
      <c r="AP12" s="198">
        <f>'Aset Moneter'!J32</f>
        <v>2088004.0759012178</v>
      </c>
      <c r="AQ12" s="192"/>
      <c r="AR12" s="193"/>
      <c r="AS12" s="192"/>
      <c r="AT12" s="192"/>
      <c r="AU12" s="192"/>
      <c r="AV12" s="198">
        <f>'Aset Moneter'!K32</f>
        <v>2190729.8763846271</v>
      </c>
      <c r="AW12" s="192"/>
      <c r="AX12" s="193"/>
      <c r="AY12" s="192"/>
      <c r="AZ12" s="192"/>
      <c r="BA12" s="192"/>
      <c r="BB12" s="198">
        <f>'Aset Moneter'!L32</f>
        <v>2571830.69477779</v>
      </c>
      <c r="BC12" s="192"/>
      <c r="BD12" s="193"/>
      <c r="BE12" s="192"/>
      <c r="BF12" s="192"/>
      <c r="BG12" s="192"/>
      <c r="BH12" s="198">
        <f>'Aset Moneter'!M32</f>
        <v>3019059.9689860176</v>
      </c>
      <c r="BI12" s="192"/>
      <c r="BJ12" s="193"/>
      <c r="BK12" s="192"/>
      <c r="BL12" s="192"/>
      <c r="BM12" s="192"/>
      <c r="BN12" s="198">
        <f>'Aset Moneter'!N32</f>
        <v>2672571.8887185925</v>
      </c>
      <c r="BO12" s="192"/>
      <c r="BP12" s="193"/>
    </row>
    <row r="13" spans="1:68" ht="14.25" customHeight="1">
      <c r="A13" s="190"/>
      <c r="B13" s="191" t="s">
        <v>230</v>
      </c>
      <c r="C13" s="192"/>
      <c r="D13" s="192"/>
      <c r="E13" s="192"/>
      <c r="F13" s="198">
        <f>'Aset Moneter'!D42</f>
        <v>3124469.7080187271</v>
      </c>
      <c r="G13" s="192"/>
      <c r="H13" s="193"/>
      <c r="I13" s="192"/>
      <c r="J13" s="192"/>
      <c r="K13" s="192"/>
      <c r="L13" s="198">
        <f>'Aset Moneter'!E42</f>
        <v>2374378.2709375597</v>
      </c>
      <c r="M13" s="192"/>
      <c r="N13" s="193"/>
      <c r="O13" s="192"/>
      <c r="P13" s="192"/>
      <c r="Q13" s="192"/>
      <c r="R13" s="198">
        <f>'Aset Moneter'!F42</f>
        <v>2534793.3673582519</v>
      </c>
      <c r="S13" s="192"/>
      <c r="T13" s="193"/>
      <c r="U13" s="192"/>
      <c r="V13" s="192"/>
      <c r="W13" s="192"/>
      <c r="X13" s="198">
        <f>'Aset Moneter'!G42</f>
        <v>2860161.443087176</v>
      </c>
      <c r="Y13" s="192"/>
      <c r="Z13" s="193"/>
      <c r="AA13" s="192"/>
      <c r="AB13" s="192"/>
      <c r="AC13" s="192"/>
      <c r="AD13" s="198">
        <f>'Aset Moneter'!H42</f>
        <v>4126241.7819370092</v>
      </c>
      <c r="AE13" s="192"/>
      <c r="AF13" s="193"/>
      <c r="AG13" s="192"/>
      <c r="AH13" s="192"/>
      <c r="AI13" s="192"/>
      <c r="AJ13" s="198">
        <f>'Aset Moneter'!I42</f>
        <v>4338434.2909624977</v>
      </c>
      <c r="AK13" s="192"/>
      <c r="AL13" s="193"/>
      <c r="AM13" s="192"/>
      <c r="AN13" s="192"/>
      <c r="AO13" s="192"/>
      <c r="AP13" s="198">
        <f>'Aset Moneter'!J42</f>
        <v>4057943.8765498921</v>
      </c>
      <c r="AQ13" s="192"/>
      <c r="AR13" s="193"/>
      <c r="AS13" s="192"/>
      <c r="AT13" s="192"/>
      <c r="AU13" s="192"/>
      <c r="AV13" s="198">
        <f>'Aset Moneter'!K42</f>
        <v>3608155.3887086073</v>
      </c>
      <c r="AW13" s="192"/>
      <c r="AX13" s="193"/>
      <c r="AY13" s="192"/>
      <c r="AZ13" s="192"/>
      <c r="BA13" s="192"/>
      <c r="BB13" s="198">
        <f>'Aset Moneter'!L42</f>
        <v>7098820.2897188431</v>
      </c>
      <c r="BC13" s="192"/>
      <c r="BD13" s="193"/>
      <c r="BE13" s="192"/>
      <c r="BF13" s="192"/>
      <c r="BG13" s="192"/>
      <c r="BH13" s="198">
        <f>'Aset Moneter'!M42</f>
        <v>15178688.940176306</v>
      </c>
      <c r="BI13" s="192"/>
      <c r="BJ13" s="193"/>
      <c r="BK13" s="192"/>
      <c r="BL13" s="192"/>
      <c r="BM13" s="192"/>
      <c r="BN13" s="198">
        <f>'Aset Moneter'!N42</f>
        <v>13539561.974775651</v>
      </c>
      <c r="BO13" s="192"/>
      <c r="BP13" s="193"/>
    </row>
    <row r="14" spans="1:68" ht="14.25" customHeight="1">
      <c r="A14" s="190"/>
      <c r="B14" s="191" t="s">
        <v>231</v>
      </c>
      <c r="C14" s="192"/>
      <c r="D14" s="192"/>
      <c r="E14" s="192"/>
      <c r="F14" s="198">
        <f>'Aset Moneter'!D52</f>
        <v>193839.93912204154</v>
      </c>
      <c r="G14" s="192"/>
      <c r="H14" s="193"/>
      <c r="I14" s="192"/>
      <c r="J14" s="192"/>
      <c r="K14" s="192"/>
      <c r="L14" s="198">
        <f>'Aset Moneter'!E52</f>
        <v>200366.44797565616</v>
      </c>
      <c r="M14" s="192"/>
      <c r="N14" s="193"/>
      <c r="O14" s="192"/>
      <c r="P14" s="192"/>
      <c r="Q14" s="192"/>
      <c r="R14" s="198">
        <f>'Aset Moneter'!F52</f>
        <v>311024.64287169016</v>
      </c>
      <c r="S14" s="192"/>
      <c r="T14" s="193"/>
      <c r="U14" s="192"/>
      <c r="V14" s="192"/>
      <c r="W14" s="192"/>
      <c r="X14" s="198">
        <f>'Aset Moneter'!G52</f>
        <v>330729.38911953254</v>
      </c>
      <c r="Y14" s="192"/>
      <c r="Z14" s="193"/>
      <c r="AA14" s="192"/>
      <c r="AB14" s="192"/>
      <c r="AC14" s="192"/>
      <c r="AD14" s="198">
        <f>'Aset Moneter'!H52</f>
        <v>376606.06230149657</v>
      </c>
      <c r="AE14" s="192"/>
      <c r="AF14" s="193"/>
      <c r="AG14" s="192"/>
      <c r="AH14" s="192"/>
      <c r="AI14" s="192"/>
      <c r="AJ14" s="198">
        <f>'Aset Moneter'!I52</f>
        <v>177537.94600791659</v>
      </c>
      <c r="AK14" s="192"/>
      <c r="AL14" s="193"/>
      <c r="AM14" s="192"/>
      <c r="AN14" s="192"/>
      <c r="AO14" s="192"/>
      <c r="AP14" s="198">
        <f>'Aset Moneter'!J52</f>
        <v>111404.04160600067</v>
      </c>
      <c r="AQ14" s="192"/>
      <c r="AR14" s="193"/>
      <c r="AS14" s="192"/>
      <c r="AT14" s="192"/>
      <c r="AU14" s="192"/>
      <c r="AV14" s="198">
        <f>'Aset Moneter'!K52</f>
        <v>181971.96855984296</v>
      </c>
      <c r="AW14" s="192"/>
      <c r="AX14" s="193"/>
      <c r="AY14" s="192"/>
      <c r="AZ14" s="192"/>
      <c r="BA14" s="192"/>
      <c r="BB14" s="198">
        <f>'Aset Moneter'!L52</f>
        <v>236975.2042414587</v>
      </c>
      <c r="BC14" s="192"/>
      <c r="BD14" s="193"/>
      <c r="BE14" s="192"/>
      <c r="BF14" s="192"/>
      <c r="BG14" s="192"/>
      <c r="BH14" s="198">
        <f>'Aset Moneter'!M52</f>
        <v>313647.39947191282</v>
      </c>
      <c r="BI14" s="192"/>
      <c r="BJ14" s="193"/>
      <c r="BK14" s="192"/>
      <c r="BL14" s="192"/>
      <c r="BM14" s="192"/>
      <c r="BN14" s="198">
        <f>'Aset Moneter'!N52</f>
        <v>372761.01601355977</v>
      </c>
      <c r="BO14" s="192"/>
      <c r="BP14" s="193"/>
    </row>
    <row r="15" spans="1:68" ht="14.25" customHeight="1">
      <c r="A15" s="190"/>
      <c r="B15" s="191" t="s">
        <v>236</v>
      </c>
      <c r="C15" s="192"/>
      <c r="D15" s="192"/>
      <c r="E15" s="192"/>
      <c r="F15" s="198">
        <f>'Aset Moneter'!D62</f>
        <v>14354.019985451152</v>
      </c>
      <c r="G15" s="192"/>
      <c r="H15" s="193"/>
      <c r="I15" s="192"/>
      <c r="J15" s="192"/>
      <c r="K15" s="192"/>
      <c r="L15" s="198">
        <f>'Aset Moneter'!E62</f>
        <v>13473.768206839331</v>
      </c>
      <c r="M15" s="192"/>
      <c r="N15" s="193"/>
      <c r="O15" s="192"/>
      <c r="P15" s="192"/>
      <c r="Q15" s="192"/>
      <c r="R15" s="198">
        <f>'Aset Moneter'!F62</f>
        <v>14780.666140090469</v>
      </c>
      <c r="S15" s="192"/>
      <c r="T15" s="193"/>
      <c r="U15" s="192"/>
      <c r="V15" s="192"/>
      <c r="W15" s="192"/>
      <c r="X15" s="198">
        <f>'Aset Moneter'!G62</f>
        <v>17318.010842119704</v>
      </c>
      <c r="Y15" s="192"/>
      <c r="Z15" s="193"/>
      <c r="AA15" s="192"/>
      <c r="AB15" s="192"/>
      <c r="AC15" s="192"/>
      <c r="AD15" s="198">
        <f>'Aset Moneter'!H62</f>
        <v>12622.996983780795</v>
      </c>
      <c r="AE15" s="192"/>
      <c r="AF15" s="193"/>
      <c r="AG15" s="192"/>
      <c r="AH15" s="192"/>
      <c r="AI15" s="192"/>
      <c r="AJ15" s="198">
        <f>'Aset Moneter'!I62</f>
        <v>4957.2854899750519</v>
      </c>
      <c r="AK15" s="192"/>
      <c r="AL15" s="193"/>
      <c r="AM15" s="192"/>
      <c r="AN15" s="192"/>
      <c r="AO15" s="192"/>
      <c r="AP15" s="198">
        <f>'Aset Moneter'!J62</f>
        <v>5269.9370526771454</v>
      </c>
      <c r="AQ15" s="192"/>
      <c r="AR15" s="193"/>
      <c r="AS15" s="192"/>
      <c r="AT15" s="192"/>
      <c r="AU15" s="192"/>
      <c r="AV15" s="198">
        <f>'Aset Moneter'!K62</f>
        <v>5627.0929192770755</v>
      </c>
      <c r="AW15" s="192"/>
      <c r="AX15" s="193"/>
      <c r="AY15" s="192"/>
      <c r="AZ15" s="192"/>
      <c r="BA15" s="192"/>
      <c r="BB15" s="198">
        <f>'Aset Moneter'!L62</f>
        <v>5993.3339944050504</v>
      </c>
      <c r="BC15" s="192"/>
      <c r="BD15" s="193"/>
      <c r="BE15" s="192"/>
      <c r="BF15" s="192"/>
      <c r="BG15" s="192"/>
      <c r="BH15" s="198">
        <f>'Aset Moneter'!M62</f>
        <v>5023.8835773639576</v>
      </c>
      <c r="BI15" s="192"/>
      <c r="BJ15" s="193"/>
      <c r="BK15" s="192"/>
      <c r="BL15" s="192"/>
      <c r="BM15" s="192"/>
      <c r="BN15" s="198">
        <f>'Aset Moneter'!N62</f>
        <v>6092.431486606315</v>
      </c>
      <c r="BO15" s="192"/>
      <c r="BP15" s="193"/>
    </row>
    <row r="16" spans="1:68" ht="14.25" customHeight="1">
      <c r="A16" s="190"/>
      <c r="B16" s="191" t="s">
        <v>237</v>
      </c>
      <c r="C16" s="192"/>
      <c r="D16" s="192"/>
      <c r="E16" s="192"/>
      <c r="F16" s="198">
        <f>'Aset Moneter'!D72</f>
        <v>369717.06009355461</v>
      </c>
      <c r="G16" s="192"/>
      <c r="H16" s="193"/>
      <c r="I16" s="192"/>
      <c r="J16" s="192"/>
      <c r="K16" s="192"/>
      <c r="L16" s="198">
        <f>'Aset Moneter'!E72</f>
        <v>220254.27460107402</v>
      </c>
      <c r="M16" s="192"/>
      <c r="N16" s="193"/>
      <c r="O16" s="192"/>
      <c r="P16" s="192"/>
      <c r="Q16" s="192"/>
      <c r="R16" s="198">
        <f>'Aset Moneter'!F72</f>
        <v>172752.28834167775</v>
      </c>
      <c r="S16" s="192"/>
      <c r="T16" s="193"/>
      <c r="U16" s="192"/>
      <c r="V16" s="192"/>
      <c r="W16" s="192"/>
      <c r="X16" s="198">
        <f>'Aset Moneter'!G72</f>
        <v>195241.86600448284</v>
      </c>
      <c r="Y16" s="192"/>
      <c r="Z16" s="193"/>
      <c r="AA16" s="192"/>
      <c r="AB16" s="192"/>
      <c r="AC16" s="192"/>
      <c r="AD16" s="198">
        <f>'Aset Moneter'!H72</f>
        <v>228644.70307333412</v>
      </c>
      <c r="AE16" s="192"/>
      <c r="AF16" s="193"/>
      <c r="AG16" s="192"/>
      <c r="AH16" s="192"/>
      <c r="AI16" s="192"/>
      <c r="AJ16" s="198">
        <f>'Aset Moneter'!I72</f>
        <v>243466.58167333782</v>
      </c>
      <c r="AK16" s="192"/>
      <c r="AL16" s="193"/>
      <c r="AM16" s="192"/>
      <c r="AN16" s="192"/>
      <c r="AO16" s="192"/>
      <c r="AP16" s="198">
        <f>'Aset Moneter'!J72</f>
        <v>182470.53824771309</v>
      </c>
      <c r="AQ16" s="192"/>
      <c r="AR16" s="193"/>
      <c r="AS16" s="192"/>
      <c r="AT16" s="192"/>
      <c r="AU16" s="192"/>
      <c r="AV16" s="198">
        <f>'Aset Moneter'!K72</f>
        <v>603209.48662785674</v>
      </c>
      <c r="AW16" s="192"/>
      <c r="AX16" s="193"/>
      <c r="AY16" s="192"/>
      <c r="AZ16" s="192"/>
      <c r="BA16" s="192"/>
      <c r="BB16" s="198">
        <f>'Aset Moneter'!L72</f>
        <v>925405.53518102644</v>
      </c>
      <c r="BC16" s="192"/>
      <c r="BD16" s="193"/>
      <c r="BE16" s="192"/>
      <c r="BF16" s="192"/>
      <c r="BG16" s="192"/>
      <c r="BH16" s="198">
        <f>'Aset Moneter'!M72</f>
        <v>1018188.9336443528</v>
      </c>
      <c r="BI16" s="192"/>
      <c r="BJ16" s="193"/>
      <c r="BK16" s="192"/>
      <c r="BL16" s="192"/>
      <c r="BM16" s="192"/>
      <c r="BN16" s="198">
        <f>'Aset Moneter'!N72</f>
        <v>1137311.4432151858</v>
      </c>
      <c r="BO16" s="192"/>
      <c r="BP16" s="193"/>
    </row>
    <row r="17" spans="1:68" ht="14.25" customHeight="1">
      <c r="A17" s="190"/>
      <c r="B17" s="191" t="s">
        <v>238</v>
      </c>
      <c r="C17" s="192"/>
      <c r="D17" s="192"/>
      <c r="E17" s="192"/>
      <c r="F17" s="198">
        <f>'Aset Moneter'!D82</f>
        <v>73799.751714836937</v>
      </c>
      <c r="G17" s="192"/>
      <c r="H17" s="193"/>
      <c r="I17" s="192"/>
      <c r="J17" s="192"/>
      <c r="K17" s="192"/>
      <c r="L17" s="198">
        <f>'Aset Moneter'!E82</f>
        <v>33762.399729158569</v>
      </c>
      <c r="M17" s="192"/>
      <c r="N17" s="193"/>
      <c r="O17" s="192"/>
      <c r="P17" s="192"/>
      <c r="Q17" s="192"/>
      <c r="R17" s="198">
        <f>'Aset Moneter'!F82</f>
        <v>50123.665438190503</v>
      </c>
      <c r="S17" s="192"/>
      <c r="T17" s="193"/>
      <c r="U17" s="192"/>
      <c r="V17" s="192"/>
      <c r="W17" s="192"/>
      <c r="X17" s="198">
        <f>'Aset Moneter'!G82</f>
        <v>75206.157612457449</v>
      </c>
      <c r="Y17" s="192"/>
      <c r="Z17" s="193"/>
      <c r="AA17" s="192"/>
      <c r="AB17" s="192"/>
      <c r="AC17" s="192"/>
      <c r="AD17" s="198">
        <f>'Aset Moneter'!H82</f>
        <v>78627.703209916741</v>
      </c>
      <c r="AE17" s="192"/>
      <c r="AF17" s="193"/>
      <c r="AG17" s="192"/>
      <c r="AH17" s="192"/>
      <c r="AI17" s="192"/>
      <c r="AJ17" s="198">
        <f>'Aset Moneter'!I82</f>
        <v>115623.69823232824</v>
      </c>
      <c r="AK17" s="192"/>
      <c r="AL17" s="193"/>
      <c r="AM17" s="192"/>
      <c r="AN17" s="192"/>
      <c r="AO17" s="192"/>
      <c r="AP17" s="198">
        <f>'Aset Moneter'!J82</f>
        <v>128560.69610803055</v>
      </c>
      <c r="AQ17" s="192"/>
      <c r="AR17" s="193"/>
      <c r="AS17" s="192"/>
      <c r="AT17" s="192"/>
      <c r="AU17" s="192"/>
      <c r="AV17" s="198">
        <f>'Aset Moneter'!K82</f>
        <v>185956.96972217612</v>
      </c>
      <c r="AW17" s="192"/>
      <c r="AX17" s="193"/>
      <c r="AY17" s="192"/>
      <c r="AZ17" s="192"/>
      <c r="BA17" s="192"/>
      <c r="BB17" s="198">
        <f>'Aset Moneter'!L82</f>
        <v>300256.28932725167</v>
      </c>
      <c r="BC17" s="192"/>
      <c r="BD17" s="193"/>
      <c r="BE17" s="192"/>
      <c r="BF17" s="192"/>
      <c r="BG17" s="192"/>
      <c r="BH17" s="198">
        <f>'Aset Moneter'!M82</f>
        <v>378436.43561014492</v>
      </c>
      <c r="BI17" s="192"/>
      <c r="BJ17" s="193"/>
      <c r="BK17" s="192"/>
      <c r="BL17" s="192"/>
      <c r="BM17" s="192"/>
      <c r="BN17" s="198">
        <f>'Aset Moneter'!N82</f>
        <v>436324.53659975063</v>
      </c>
      <c r="BO17" s="192"/>
      <c r="BP17" s="193"/>
    </row>
    <row r="18" spans="1:68" ht="14.25" customHeight="1">
      <c r="A18" s="190"/>
      <c r="B18" s="191" t="s">
        <v>239</v>
      </c>
      <c r="C18" s="192"/>
      <c r="D18" s="192"/>
      <c r="E18" s="192"/>
      <c r="F18" s="198">
        <f>'Aset Moneter'!D92</f>
        <v>72154.564998690679</v>
      </c>
      <c r="G18" s="192"/>
      <c r="H18" s="193"/>
      <c r="I18" s="192"/>
      <c r="J18" s="192"/>
      <c r="K18" s="192"/>
      <c r="L18" s="198">
        <f>'Aset Moneter'!E92</f>
        <v>97741.008539998918</v>
      </c>
      <c r="M18" s="192"/>
      <c r="N18" s="193"/>
      <c r="O18" s="192"/>
      <c r="P18" s="192"/>
      <c r="Q18" s="192"/>
      <c r="R18" s="198">
        <f>'Aset Moneter'!F92</f>
        <v>151551.60812324021</v>
      </c>
      <c r="S18" s="192"/>
      <c r="T18" s="193"/>
      <c r="U18" s="192"/>
      <c r="V18" s="192"/>
      <c r="W18" s="192"/>
      <c r="X18" s="198">
        <f>'Aset Moneter'!G92</f>
        <v>307466.41093133908</v>
      </c>
      <c r="Y18" s="192"/>
      <c r="Z18" s="193"/>
      <c r="AA18" s="192"/>
      <c r="AB18" s="192"/>
      <c r="AC18" s="192"/>
      <c r="AD18" s="198">
        <f>'Aset Moneter'!H92</f>
        <v>282952.63199922501</v>
      </c>
      <c r="AE18" s="192"/>
      <c r="AF18" s="193"/>
      <c r="AG18" s="192"/>
      <c r="AH18" s="192"/>
      <c r="AI18" s="192"/>
      <c r="AJ18" s="198">
        <f>'Aset Moneter'!I92</f>
        <v>42142.188439038968</v>
      </c>
      <c r="AK18" s="192"/>
      <c r="AL18" s="193"/>
      <c r="AM18" s="192"/>
      <c r="AN18" s="192"/>
      <c r="AO18" s="192"/>
      <c r="AP18" s="198">
        <f>'Aset Moneter'!J92</f>
        <v>42808.066452145322</v>
      </c>
      <c r="AQ18" s="192"/>
      <c r="AR18" s="193"/>
      <c r="AS18" s="192"/>
      <c r="AT18" s="192"/>
      <c r="AU18" s="192"/>
      <c r="AV18" s="198">
        <f>'Aset Moneter'!K92</f>
        <v>113056.09025386334</v>
      </c>
      <c r="AW18" s="192"/>
      <c r="AX18" s="193"/>
      <c r="AY18" s="192"/>
      <c r="AZ18" s="192"/>
      <c r="BA18" s="192"/>
      <c r="BB18" s="198">
        <f>'Aset Moneter'!L92</f>
        <v>169831.80657200314</v>
      </c>
      <c r="BC18" s="192"/>
      <c r="BD18" s="193"/>
      <c r="BE18" s="192"/>
      <c r="BF18" s="192"/>
      <c r="BG18" s="192"/>
      <c r="BH18" s="198">
        <f>'Aset Moneter'!M92</f>
        <v>172030.87219682394</v>
      </c>
      <c r="BI18" s="192"/>
      <c r="BJ18" s="193"/>
      <c r="BK18" s="192"/>
      <c r="BL18" s="192"/>
      <c r="BM18" s="192"/>
      <c r="BN18" s="198">
        <f>'Aset Moneter'!N92</f>
        <v>181377.42963707951</v>
      </c>
      <c r="BO18" s="192"/>
      <c r="BP18" s="193"/>
    </row>
    <row r="19" spans="1:68" ht="14.25" customHeight="1">
      <c r="A19" s="220"/>
      <c r="B19" s="221" t="s">
        <v>240</v>
      </c>
      <c r="C19" s="222"/>
      <c r="D19" s="222"/>
      <c r="E19" s="222"/>
      <c r="F19" s="223">
        <f>'Aset Moneter'!D102</f>
        <v>48504.103229566499</v>
      </c>
      <c r="G19" s="222"/>
      <c r="H19" s="224"/>
      <c r="I19" s="222"/>
      <c r="J19" s="222"/>
      <c r="K19" s="222"/>
      <c r="L19" s="223">
        <f>'Aset Moneter'!E102</f>
        <v>7070.8202256160166</v>
      </c>
      <c r="M19" s="222"/>
      <c r="N19" s="224"/>
      <c r="O19" s="222"/>
      <c r="P19" s="222"/>
      <c r="Q19" s="222"/>
      <c r="R19" s="223">
        <f>'Aset Moneter'!F102</f>
        <v>2508.8633804961082</v>
      </c>
      <c r="S19" s="222"/>
      <c r="T19" s="224"/>
      <c r="U19" s="222"/>
      <c r="V19" s="222"/>
      <c r="W19" s="222"/>
      <c r="X19" s="223">
        <f>'Aset Moneter'!G102</f>
        <v>16142.363427068534</v>
      </c>
      <c r="Y19" s="222"/>
      <c r="Z19" s="224"/>
      <c r="AA19" s="222"/>
      <c r="AB19" s="222"/>
      <c r="AC19" s="222"/>
      <c r="AD19" s="223">
        <f>'Aset Moneter'!H102</f>
        <v>51927.399762739718</v>
      </c>
      <c r="AE19" s="222"/>
      <c r="AF19" s="224"/>
      <c r="AG19" s="222"/>
      <c r="AH19" s="222"/>
      <c r="AI19" s="222"/>
      <c r="AJ19" s="223">
        <f>'Aset Moneter'!I102</f>
        <v>81961.192456577817</v>
      </c>
      <c r="AK19" s="222"/>
      <c r="AL19" s="224"/>
      <c r="AM19" s="222"/>
      <c r="AN19" s="222"/>
      <c r="AO19" s="222"/>
      <c r="AP19" s="223">
        <f>'Aset Moneter'!J102</f>
        <v>119374.59684863981</v>
      </c>
      <c r="AQ19" s="222"/>
      <c r="AR19" s="224"/>
      <c r="AS19" s="222"/>
      <c r="AT19" s="222"/>
      <c r="AU19" s="222"/>
      <c r="AV19" s="223">
        <f>'Aset Moneter'!K102</f>
        <v>92499.539333019711</v>
      </c>
      <c r="AW19" s="222"/>
      <c r="AX19" s="224"/>
      <c r="AY19" s="222"/>
      <c r="AZ19" s="222"/>
      <c r="BA19" s="222"/>
      <c r="BB19" s="223">
        <f>'Aset Moneter'!L102</f>
        <v>132212.82876640657</v>
      </c>
      <c r="BC19" s="222"/>
      <c r="BD19" s="224"/>
      <c r="BE19" s="222"/>
      <c r="BF19" s="222"/>
      <c r="BG19" s="222"/>
      <c r="BH19" s="223">
        <f>'Aset Moneter'!M102</f>
        <v>161189.47175353253</v>
      </c>
      <c r="BI19" s="222"/>
      <c r="BJ19" s="224"/>
      <c r="BK19" s="222"/>
      <c r="BL19" s="222"/>
      <c r="BM19" s="222"/>
      <c r="BN19" s="223">
        <f>'Aset Moneter'!N102</f>
        <v>189178.5261961603</v>
      </c>
      <c r="BO19" s="222"/>
      <c r="BP19" s="224"/>
    </row>
    <row r="20" spans="1:68" ht="14.25" customHeight="1">
      <c r="A20" s="225">
        <v>2</v>
      </c>
      <c r="B20" s="226" t="s">
        <v>241</v>
      </c>
      <c r="C20" s="227">
        <f>'Stok Kapital'!C5</f>
        <v>20186021.966627613</v>
      </c>
      <c r="D20" s="227"/>
      <c r="E20" s="227"/>
      <c r="F20" s="227"/>
      <c r="G20" s="227">
        <f>'Stok Kapital'!C8</f>
        <v>2580508.0388726876</v>
      </c>
      <c r="H20" s="228"/>
      <c r="I20" s="227">
        <f>'Stok Kapital'!K5</f>
        <v>22012989.056133885</v>
      </c>
      <c r="J20" s="227"/>
      <c r="K20" s="227"/>
      <c r="L20" s="227"/>
      <c r="M20" s="227">
        <f>'Stok Kapital'!K8</f>
        <v>2394879.300143606</v>
      </c>
      <c r="N20" s="228"/>
      <c r="O20" s="227">
        <f>'Stok Kapital'!S5</f>
        <v>22781946.74665726</v>
      </c>
      <c r="P20" s="227"/>
      <c r="Q20" s="227"/>
      <c r="R20" s="227"/>
      <c r="S20" s="227">
        <f>'Stok Kapital'!S8</f>
        <v>2273528.0202688258</v>
      </c>
      <c r="T20" s="228"/>
      <c r="U20" s="227">
        <f>'Stok Kapital'!AA5</f>
        <v>24964478.571979243</v>
      </c>
      <c r="V20" s="227"/>
      <c r="W20" s="227"/>
      <c r="X20" s="227"/>
      <c r="Y20" s="227">
        <f>'Stok Kapital'!AA8</f>
        <v>2606282.95155431</v>
      </c>
      <c r="Z20" s="228"/>
      <c r="AA20" s="227">
        <f>'Stok Kapital'!AI5</f>
        <v>27258760.662164222</v>
      </c>
      <c r="AB20" s="227"/>
      <c r="AC20" s="227"/>
      <c r="AD20" s="227"/>
      <c r="AE20" s="227">
        <f>'Stok Kapital'!AI8</f>
        <v>3275145.2985235001</v>
      </c>
      <c r="AF20" s="228"/>
      <c r="AG20" s="227">
        <f>'Stok Kapital'!AQ5</f>
        <v>29304284.745840151</v>
      </c>
      <c r="AH20" s="227"/>
      <c r="AI20" s="227"/>
      <c r="AJ20" s="227"/>
      <c r="AK20" s="227">
        <f>'Stok Kapital'!AQ8</f>
        <v>3013944.1648519998</v>
      </c>
      <c r="AL20" s="228"/>
      <c r="AM20" s="227">
        <f>'Stok Kapital'!AY5</f>
        <v>28374740.317523122</v>
      </c>
      <c r="AN20" s="227"/>
      <c r="AO20" s="227"/>
      <c r="AP20" s="227"/>
      <c r="AQ20" s="227">
        <f>'Stok Kapital'!AY8</f>
        <v>2415495.9728607</v>
      </c>
      <c r="AR20" s="228"/>
      <c r="AS20" s="227">
        <f>'Stok Kapital'!BG5</f>
        <v>31179368.393237807</v>
      </c>
      <c r="AT20" s="227"/>
      <c r="AU20" s="227"/>
      <c r="AV20" s="227"/>
      <c r="AW20" s="227">
        <f>'Stok Kapital'!BG8</f>
        <v>3189626.4540253198</v>
      </c>
      <c r="AX20" s="228"/>
      <c r="AY20" s="227">
        <f>'Stok Kapital'!BO5</f>
        <v>35976011.728502207</v>
      </c>
      <c r="AZ20" s="227"/>
      <c r="BA20" s="227"/>
      <c r="BB20" s="227"/>
      <c r="BC20" s="227">
        <f>'Stok Kapital'!BO8</f>
        <v>4106085.6647048593</v>
      </c>
      <c r="BD20" s="228"/>
      <c r="BE20" s="227">
        <f>'Stok Kapital'!BW5</f>
        <v>38370723.298770189</v>
      </c>
      <c r="BF20" s="227"/>
      <c r="BG20" s="227"/>
      <c r="BH20" s="227"/>
      <c r="BI20" s="227">
        <f>'Stok Kapital'!BW8</f>
        <v>4091231.5372796999</v>
      </c>
      <c r="BJ20" s="228"/>
      <c r="BK20" s="227">
        <f>'Stok Kapital'!CE5</f>
        <v>40660247.543038756</v>
      </c>
      <c r="BL20" s="227"/>
      <c r="BM20" s="227"/>
      <c r="BN20" s="227"/>
      <c r="BO20" s="227">
        <f>'Stok Kapital'!CE8</f>
        <v>4513987.4117319006</v>
      </c>
      <c r="BP20" s="228"/>
    </row>
    <row r="21" spans="1:68" ht="14.25" customHeight="1">
      <c r="A21" s="225">
        <v>3</v>
      </c>
      <c r="B21" s="226" t="s">
        <v>242</v>
      </c>
      <c r="C21" s="227">
        <f>'Stok Kapital'!D5</f>
        <v>9616316.666627612</v>
      </c>
      <c r="D21" s="227">
        <f>'Stok Kapital'!D6</f>
        <v>7035633.6770690875</v>
      </c>
      <c r="E21" s="227">
        <f>'Stok Kapital'!D7</f>
        <v>3613154.8335640235</v>
      </c>
      <c r="F21" s="227"/>
      <c r="G21" s="227">
        <f>'Stok Kapital'!D8</f>
        <v>2501424.8282395774</v>
      </c>
      <c r="H21" s="228"/>
      <c r="I21" s="227">
        <f>'Stok Kapital'!L5</f>
        <v>10486656.256133884</v>
      </c>
      <c r="J21" s="227">
        <f>'Stok Kapital'!L6</f>
        <v>7745630.1336852107</v>
      </c>
      <c r="K21" s="227">
        <f>'Stok Kapital'!L7</f>
        <v>3736589.2838965547</v>
      </c>
      <c r="L21" s="227"/>
      <c r="M21" s="227">
        <f>'Stok Kapital'!L8</f>
        <v>2438992.6825618404</v>
      </c>
      <c r="N21" s="228"/>
      <c r="O21" s="227">
        <f>'Stok Kapital'!T5</f>
        <v>10380218.24665726</v>
      </c>
      <c r="P21" s="227">
        <f>'Stok Kapital'!T6</f>
        <v>8353135.9765716353</v>
      </c>
      <c r="Q21" s="227">
        <f>'Stok Kapital'!T7</f>
        <v>3954755.352583807</v>
      </c>
      <c r="R21" s="227"/>
      <c r="S21" s="227">
        <f>'Stok Kapital'!T8</f>
        <v>2367365.1911133844</v>
      </c>
      <c r="T21" s="228"/>
      <c r="U21" s="227">
        <f>'Stok Kapital'!AB5</f>
        <v>11374652.871979242</v>
      </c>
      <c r="V21" s="227">
        <f>'Stok Kapital'!AB6</f>
        <v>9023120.2582747675</v>
      </c>
      <c r="W21" s="227">
        <f>'Stok Kapital'!AB7</f>
        <v>4430927.8895896422</v>
      </c>
      <c r="X21" s="227"/>
      <c r="Y21" s="227">
        <f>'Stok Kapital'!AB8</f>
        <v>2742060.5036899005</v>
      </c>
      <c r="Z21" s="228"/>
      <c r="AA21" s="227">
        <f>'Stok Kapital'!AJ5</f>
        <v>12420004.662164222</v>
      </c>
      <c r="AB21" s="227">
        <f>'Stok Kapital'!AJ6</f>
        <v>9793746.2575405799</v>
      </c>
      <c r="AC21" s="227">
        <f>'Stok Kapital'!AJ7</f>
        <v>5203608.734958115</v>
      </c>
      <c r="AD21" s="227"/>
      <c r="AE21" s="227">
        <f>'Stok Kapital'!AJ8</f>
        <v>3116546.3060248001</v>
      </c>
      <c r="AF21" s="228"/>
      <c r="AG21" s="227">
        <f>'Stok Kapital'!AR5</f>
        <v>13471627.545840152</v>
      </c>
      <c r="AH21" s="227">
        <f>'Stok Kapital'!AR6</f>
        <v>10566546.93471471</v>
      </c>
      <c r="AI21" s="227">
        <f>'Stok Kapital'!AR7</f>
        <v>5336521.5657815533</v>
      </c>
      <c r="AJ21" s="227"/>
      <c r="AK21" s="227">
        <f>'Stok Kapital'!AR8</f>
        <v>2943532.8643557001</v>
      </c>
      <c r="AL21" s="228"/>
      <c r="AM21" s="227">
        <f>'Stok Kapital'!AZ5</f>
        <v>12931387.117523123</v>
      </c>
      <c r="AN21" s="227">
        <f>'Stok Kapital'!AZ6</f>
        <v>10592540.79849246</v>
      </c>
      <c r="AO21" s="227">
        <f>'Stok Kapital'!AZ7</f>
        <v>4589794.8424460199</v>
      </c>
      <c r="AP21" s="227"/>
      <c r="AQ21" s="227">
        <f>'Stok Kapital'!AZ8</f>
        <v>2676513.5319222999</v>
      </c>
      <c r="AR21" s="228"/>
      <c r="AS21" s="227">
        <f>'Stok Kapital'!BH5</f>
        <v>14202616.993237808</v>
      </c>
      <c r="AT21" s="227">
        <f>'Stok Kapital'!BH6</f>
        <v>11013795.611320138</v>
      </c>
      <c r="AU21" s="227">
        <f>'Stok Kapital'!BH7</f>
        <v>5516746.833418401</v>
      </c>
      <c r="AV21" s="227"/>
      <c r="AW21" s="227">
        <f>'Stok Kapital'!BH8</f>
        <v>3635835.4092867798</v>
      </c>
      <c r="AX21" s="228"/>
      <c r="AY21" s="227">
        <f>'Stok Kapital'!BP5</f>
        <v>16387551.828502208</v>
      </c>
      <c r="AZ21" s="227">
        <f>'Stok Kapital'!BP6</f>
        <v>11896997.2442964</v>
      </c>
      <c r="BA21" s="227">
        <f>'Stok Kapital'!BP7</f>
        <v>6997805.2903226595</v>
      </c>
      <c r="BB21" s="227"/>
      <c r="BC21" s="227">
        <f>'Stok Kapital'!BP8</f>
        <v>4799743.0300858002</v>
      </c>
      <c r="BD21" s="228"/>
      <c r="BE21" s="227">
        <f>'Stok Kapital'!BX5</f>
        <v>17478374.798770189</v>
      </c>
      <c r="BF21" s="227">
        <f>'Stok Kapital'!BX6</f>
        <v>12928271.737489318</v>
      </c>
      <c r="BG21" s="227">
        <f>'Stok Kapital'!BX7</f>
        <v>7510418.7321638819</v>
      </c>
      <c r="BH21" s="227"/>
      <c r="BI21" s="227">
        <f>'Stok Kapital'!BX8</f>
        <v>4544889.5676264996</v>
      </c>
      <c r="BJ21" s="228"/>
      <c r="BK21" s="227">
        <f>'Stok Kapital'!CF5</f>
        <v>18521283.543038756</v>
      </c>
      <c r="BL21" s="227">
        <f>'Stok Kapital'!CF6</f>
        <v>13976577.865418604</v>
      </c>
      <c r="BM21" s="227">
        <f>'Stok Kapital'!CF7</f>
        <v>7765217.8917927938</v>
      </c>
      <c r="BN21" s="227"/>
      <c r="BO21" s="227">
        <f>'Stok Kapital'!CF8</f>
        <v>4911155.6545205005</v>
      </c>
      <c r="BP21" s="228"/>
    </row>
    <row r="22" spans="1:68" ht="14.25" customHeight="1">
      <c r="A22" s="225">
        <v>4</v>
      </c>
      <c r="B22" s="226" t="s">
        <v>243</v>
      </c>
      <c r="C22" s="227">
        <f>'Stok Kapital'!F5</f>
        <v>1970519.4189492697</v>
      </c>
      <c r="D22" s="227"/>
      <c r="E22" s="227">
        <f>0-C22</f>
        <v>-1970519.4189492697</v>
      </c>
      <c r="F22" s="227"/>
      <c r="G22" s="227"/>
      <c r="H22" s="228"/>
      <c r="I22" s="227">
        <f>'Stok Kapital'!N5</f>
        <v>2129438.2105772081</v>
      </c>
      <c r="J22" s="227"/>
      <c r="K22" s="227">
        <f>0-I22</f>
        <v>-2129438.2105772081</v>
      </c>
      <c r="L22" s="227"/>
      <c r="M22" s="227"/>
      <c r="N22" s="228"/>
      <c r="O22" s="227">
        <f>'Stok Kapital'!V5</f>
        <v>2035689.39</v>
      </c>
      <c r="P22" s="227"/>
      <c r="Q22" s="227">
        <f>0-O22</f>
        <v>-2035689.39</v>
      </c>
      <c r="R22" s="227"/>
      <c r="S22" s="227"/>
      <c r="T22" s="228"/>
      <c r="U22" s="227">
        <f>'Stok Kapital'!AD5</f>
        <v>2430937.4323177324</v>
      </c>
      <c r="V22" s="227"/>
      <c r="W22" s="227">
        <f>0-U22</f>
        <v>-2430937.4323177324</v>
      </c>
      <c r="X22" s="227"/>
      <c r="Y22" s="227"/>
      <c r="Z22" s="228"/>
      <c r="AA22" s="227">
        <f>'Stok Kapital'!AL5</f>
        <v>2800030.2108053002</v>
      </c>
      <c r="AB22" s="227"/>
      <c r="AC22" s="227">
        <f>0-AA22</f>
        <v>-2800030.2108053002</v>
      </c>
      <c r="AD22" s="227"/>
      <c r="AE22" s="227"/>
      <c r="AF22" s="228"/>
      <c r="AG22" s="227">
        <f>'Stok Kapital'!AT5</f>
        <v>3168101.1302457</v>
      </c>
      <c r="AH22" s="227"/>
      <c r="AI22" s="227">
        <f>0-AG22</f>
        <v>-3168101.1302457</v>
      </c>
      <c r="AJ22" s="227"/>
      <c r="AK22" s="227"/>
      <c r="AL22" s="228"/>
      <c r="AM22" s="227">
        <f>'Stok Kapital'!BB5</f>
        <v>2943805.006662</v>
      </c>
      <c r="AN22" s="227"/>
      <c r="AO22" s="227">
        <f>0-AM22</f>
        <v>-2943805.006662</v>
      </c>
      <c r="AP22" s="227"/>
      <c r="AQ22" s="227"/>
      <c r="AR22" s="228"/>
      <c r="AS22" s="227">
        <f>'Stok Kapital'!BJ5</f>
        <v>3146409.0977163101</v>
      </c>
      <c r="AT22" s="227"/>
      <c r="AU22" s="227">
        <f>0-AS22</f>
        <v>-3146409.0977163101</v>
      </c>
      <c r="AV22" s="227"/>
      <c r="AW22" s="227"/>
      <c r="AX22" s="228"/>
      <c r="AY22" s="227">
        <f>'Stok Kapital'!BR5</f>
        <v>3686044.3738571904</v>
      </c>
      <c r="AZ22" s="227"/>
      <c r="BA22" s="227">
        <f>0-AY22</f>
        <v>-3686044.3738571904</v>
      </c>
      <c r="BB22" s="227"/>
      <c r="BC22" s="227"/>
      <c r="BD22" s="228"/>
      <c r="BE22" s="227">
        <f>'Stok Kapital'!BZ5</f>
        <v>4138304.5488988999</v>
      </c>
      <c r="BF22" s="227"/>
      <c r="BG22" s="227">
        <f>0-BE22</f>
        <v>-4138304.5488988999</v>
      </c>
      <c r="BH22" s="227"/>
      <c r="BI22" s="227"/>
      <c r="BJ22" s="228"/>
      <c r="BK22" s="227">
        <f>'Stok Kapital'!CH5</f>
        <v>4426259.1649909001</v>
      </c>
      <c r="BL22" s="227"/>
      <c r="BM22" s="227">
        <f>0-BK22</f>
        <v>-4426259.1649909001</v>
      </c>
      <c r="BN22" s="227"/>
      <c r="BO22" s="227"/>
      <c r="BP22" s="228"/>
    </row>
    <row r="23" spans="1:68" ht="14.25" customHeight="1">
      <c r="A23" s="225">
        <v>5</v>
      </c>
      <c r="B23" s="226" t="s">
        <v>221</v>
      </c>
      <c r="C23" s="227">
        <f>C20-C21-C22</f>
        <v>8599185.881050732</v>
      </c>
      <c r="D23" s="227">
        <f>D21</f>
        <v>7035633.6770690875</v>
      </c>
      <c r="E23" s="227">
        <f>E21+E22</f>
        <v>1642635.4146147538</v>
      </c>
      <c r="F23" s="227"/>
      <c r="G23" s="227">
        <f>G21-G20</f>
        <v>-79083.210633110255</v>
      </c>
      <c r="H23" s="228"/>
      <c r="I23" s="227">
        <f>I20-I21-I22</f>
        <v>9396894.5894227922</v>
      </c>
      <c r="J23" s="227">
        <f>J21</f>
        <v>7745630.1336852107</v>
      </c>
      <c r="K23" s="227">
        <f>K21+K22</f>
        <v>1607151.0733193466</v>
      </c>
      <c r="L23" s="227"/>
      <c r="M23" s="227">
        <f>M21-M20</f>
        <v>44113.382418234367</v>
      </c>
      <c r="N23" s="228"/>
      <c r="O23" s="227">
        <f>O20-O21-O22</f>
        <v>10366039.109999999</v>
      </c>
      <c r="P23" s="227">
        <f>P21</f>
        <v>8353135.9765716353</v>
      </c>
      <c r="Q23" s="227">
        <f>Q21+Q22</f>
        <v>1919065.9625838071</v>
      </c>
      <c r="R23" s="227"/>
      <c r="S23" s="227">
        <f>S21-S20</f>
        <v>93837.170844558626</v>
      </c>
      <c r="T23" s="228"/>
      <c r="U23" s="227">
        <f>U20-U21-U22</f>
        <v>11158888.267682269</v>
      </c>
      <c r="V23" s="227">
        <f>V21</f>
        <v>9023120.2582747675</v>
      </c>
      <c r="W23" s="227">
        <f>W21+W22</f>
        <v>1999990.4572719098</v>
      </c>
      <c r="X23" s="227"/>
      <c r="Y23" s="227">
        <f>Y21-Y20</f>
        <v>135777.55213559046</v>
      </c>
      <c r="Z23" s="228"/>
      <c r="AA23" s="227">
        <f>AA20-AA21-AA22</f>
        <v>12038725.789194699</v>
      </c>
      <c r="AB23" s="227">
        <f>AB21</f>
        <v>9793746.2575405799</v>
      </c>
      <c r="AC23" s="227">
        <f>AC21+AC22</f>
        <v>2403578.5241528149</v>
      </c>
      <c r="AD23" s="227"/>
      <c r="AE23" s="227">
        <f>AE21-AE20</f>
        <v>-158598.99249870004</v>
      </c>
      <c r="AF23" s="228"/>
      <c r="AG23" s="227">
        <f>AG20-AG21-AG22</f>
        <v>12664556.069754299</v>
      </c>
      <c r="AH23" s="227">
        <f>AH21</f>
        <v>10566546.93471471</v>
      </c>
      <c r="AI23" s="227">
        <f>AI21+AI22</f>
        <v>2168420.4355358533</v>
      </c>
      <c r="AJ23" s="227"/>
      <c r="AK23" s="227">
        <f>AK21-AK20</f>
        <v>-70411.300496299751</v>
      </c>
      <c r="AL23" s="228"/>
      <c r="AM23" s="227">
        <f>AM20-AM21-AM22</f>
        <v>12499548.193337999</v>
      </c>
      <c r="AN23" s="227">
        <f>AN21</f>
        <v>10592540.79849246</v>
      </c>
      <c r="AO23" s="227">
        <f>AO21+AO22</f>
        <v>1645989.8357840199</v>
      </c>
      <c r="AP23" s="227"/>
      <c r="AQ23" s="227">
        <f>AQ21-AQ20</f>
        <v>261017.5590615999</v>
      </c>
      <c r="AR23" s="228"/>
      <c r="AS23" s="227">
        <f>AS20-AS21-AS22</f>
        <v>13830342.302283689</v>
      </c>
      <c r="AT23" s="227">
        <f>AT21</f>
        <v>11013795.611320138</v>
      </c>
      <c r="AU23" s="227">
        <f>AU21+AU22</f>
        <v>2370337.7357020909</v>
      </c>
      <c r="AV23" s="227"/>
      <c r="AW23" s="227">
        <f>AW21-AW20</f>
        <v>446208.95526146004</v>
      </c>
      <c r="AX23" s="228"/>
      <c r="AY23" s="227">
        <f>AY20-AY21-AY22</f>
        <v>15902415.526142808</v>
      </c>
      <c r="AZ23" s="227">
        <f>AZ21</f>
        <v>11896997.2442964</v>
      </c>
      <c r="BA23" s="227">
        <f>BA21+BA22</f>
        <v>3311760.9164654692</v>
      </c>
      <c r="BB23" s="227"/>
      <c r="BC23" s="227">
        <f>BC21-BC20</f>
        <v>693657.36538094096</v>
      </c>
      <c r="BD23" s="228"/>
      <c r="BE23" s="227">
        <f>BE20-BE21-BE22</f>
        <v>16754043.9511011</v>
      </c>
      <c r="BF23" s="227">
        <f>BF21</f>
        <v>12928271.737489318</v>
      </c>
      <c r="BG23" s="227">
        <f>BG21+BG22</f>
        <v>3372114.183264982</v>
      </c>
      <c r="BH23" s="227"/>
      <c r="BI23" s="227">
        <f>BI21-BI20</f>
        <v>453658.03034679964</v>
      </c>
      <c r="BJ23" s="228"/>
      <c r="BK23" s="227">
        <f>BK20-BK21-BK22</f>
        <v>17712704.835009098</v>
      </c>
      <c r="BL23" s="227">
        <f>BL21</f>
        <v>13976577.865418604</v>
      </c>
      <c r="BM23" s="227">
        <f>BM21+BM22</f>
        <v>3338958.7268018937</v>
      </c>
      <c r="BN23" s="227"/>
      <c r="BO23" s="227">
        <f>BO21-BO20</f>
        <v>397168.2427885998</v>
      </c>
      <c r="BP23" s="228"/>
    </row>
    <row r="24" spans="1:68" ht="14.25" customHeight="1">
      <c r="A24" s="183">
        <v>6</v>
      </c>
      <c r="B24" s="184" t="s">
        <v>246</v>
      </c>
      <c r="C24" s="185">
        <f>SUM(C25:C34)</f>
        <v>225532.93382544519</v>
      </c>
      <c r="D24" s="185"/>
      <c r="E24" s="185"/>
      <c r="F24" s="185">
        <f t="shared" ref="F24:F34" si="0">0-C24</f>
        <v>-225532.93382544519</v>
      </c>
      <c r="G24" s="185"/>
      <c r="H24" s="187"/>
      <c r="I24" s="185">
        <f>SUM(I25:I34)</f>
        <v>256352.1485151668</v>
      </c>
      <c r="J24" s="185"/>
      <c r="K24" s="185"/>
      <c r="L24" s="185">
        <f t="shared" ref="L24:L34" si="1">0-I24</f>
        <v>-256352.1485151668</v>
      </c>
      <c r="M24" s="185"/>
      <c r="N24" s="187"/>
      <c r="O24" s="185">
        <f>SUM(O25:O34)</f>
        <v>193579.76766096463</v>
      </c>
      <c r="P24" s="185"/>
      <c r="Q24" s="185"/>
      <c r="R24" s="185">
        <f t="shared" ref="R24:R34" si="2">0-O24</f>
        <v>-193579.76766096463</v>
      </c>
      <c r="S24" s="185"/>
      <c r="T24" s="187"/>
      <c r="U24" s="185">
        <f>SUM(U25:U34)</f>
        <v>218010.00937633813</v>
      </c>
      <c r="V24" s="185"/>
      <c r="W24" s="185"/>
      <c r="X24" s="185">
        <f t="shared" ref="X24:X34" si="3">0-U24</f>
        <v>-218010.00937633813</v>
      </c>
      <c r="Y24" s="185"/>
      <c r="Z24" s="187"/>
      <c r="AA24" s="185">
        <f>SUM(AA25:AA34)</f>
        <v>245697.32753539752</v>
      </c>
      <c r="AB24" s="185"/>
      <c r="AC24" s="185"/>
      <c r="AD24" s="185">
        <f t="shared" ref="AD24:AD34" si="4">0-AA24</f>
        <v>-245697.32753539752</v>
      </c>
      <c r="AE24" s="185"/>
      <c r="AF24" s="187"/>
      <c r="AG24" s="185">
        <f>SUM(AG25:AG34)</f>
        <v>323473.01000612171</v>
      </c>
      <c r="AH24" s="185"/>
      <c r="AI24" s="185"/>
      <c r="AJ24" s="185">
        <f t="shared" ref="AJ24:AJ34" si="5">0-AG24</f>
        <v>-323473.01000612171</v>
      </c>
      <c r="AK24" s="185"/>
      <c r="AL24" s="187"/>
      <c r="AM24" s="185">
        <f>SUM(AM25:AM34)</f>
        <v>281808.55349807191</v>
      </c>
      <c r="AN24" s="185"/>
      <c r="AO24" s="185"/>
      <c r="AP24" s="185">
        <f t="shared" ref="AP24:AP34" si="6">0-AM24</f>
        <v>-281808.55349807191</v>
      </c>
      <c r="AQ24" s="185"/>
      <c r="AR24" s="187"/>
      <c r="AS24" s="185">
        <f>SUM(AS25:AS34)</f>
        <v>355425.877088468</v>
      </c>
      <c r="AT24" s="185"/>
      <c r="AU24" s="185"/>
      <c r="AV24" s="185">
        <f t="shared" ref="AV24:AV34" si="7">0-AS24</f>
        <v>-355425.877088468</v>
      </c>
      <c r="AW24" s="185"/>
      <c r="AX24" s="187"/>
      <c r="AY24" s="185">
        <f>SUM(AY25:AY34)</f>
        <v>577815.02150838287</v>
      </c>
      <c r="AZ24" s="185"/>
      <c r="BA24" s="185"/>
      <c r="BB24" s="185">
        <f t="shared" ref="BB24:BB34" si="8">0-AY24</f>
        <v>-577815.02150838287</v>
      </c>
      <c r="BC24" s="185"/>
      <c r="BD24" s="187"/>
      <c r="BE24" s="185">
        <f>SUM(BE25:BE34)</f>
        <v>816417.98626782268</v>
      </c>
      <c r="BF24" s="185"/>
      <c r="BG24" s="185"/>
      <c r="BH24" s="185">
        <f t="shared" ref="BH24:BH34" si="9">0-BE24</f>
        <v>-816417.98626782268</v>
      </c>
      <c r="BI24" s="185"/>
      <c r="BJ24" s="187"/>
      <c r="BK24" s="185">
        <f>SUM(BK25:BK34)</f>
        <v>707021.44725518906</v>
      </c>
      <c r="BL24" s="185"/>
      <c r="BM24" s="185"/>
      <c r="BN24" s="185">
        <f t="shared" ref="BN24:BN34" si="10">0-BK24</f>
        <v>-707021.44725518906</v>
      </c>
      <c r="BO24" s="185"/>
      <c r="BP24" s="187"/>
    </row>
    <row r="25" spans="1:68" ht="14.25" customHeight="1">
      <c r="A25" s="190"/>
      <c r="B25" s="191" t="s">
        <v>225</v>
      </c>
      <c r="C25" s="244">
        <f>'Aset Moneter'!D14</f>
        <v>34762.947338435777</v>
      </c>
      <c r="D25" s="192"/>
      <c r="E25" s="192"/>
      <c r="F25" s="192">
        <f t="shared" si="0"/>
        <v>-34762.947338435777</v>
      </c>
      <c r="G25" s="192"/>
      <c r="H25" s="193"/>
      <c r="I25" s="244">
        <f>'Aset Moneter'!E14</f>
        <v>95890.195660294819</v>
      </c>
      <c r="J25" s="192"/>
      <c r="K25" s="192"/>
      <c r="L25" s="192">
        <f t="shared" si="1"/>
        <v>-95890.195660294819</v>
      </c>
      <c r="M25" s="192"/>
      <c r="N25" s="193"/>
      <c r="O25" s="244">
        <f>'Aset Moneter'!F14</f>
        <v>39606.993764325642</v>
      </c>
      <c r="P25" s="192"/>
      <c r="Q25" s="192"/>
      <c r="R25" s="192">
        <f t="shared" si="2"/>
        <v>-39606.993764325642</v>
      </c>
      <c r="S25" s="192"/>
      <c r="T25" s="193"/>
      <c r="U25" s="244">
        <f>'Aset Moneter'!G14</f>
        <v>37376.053997222327</v>
      </c>
      <c r="V25" s="192"/>
      <c r="W25" s="192"/>
      <c r="X25" s="192">
        <f t="shared" si="3"/>
        <v>-37376.053997222327</v>
      </c>
      <c r="Y25" s="192"/>
      <c r="Z25" s="193"/>
      <c r="AA25" s="244">
        <f>'Aset Moneter'!H14</f>
        <v>33923.747922993083</v>
      </c>
      <c r="AB25" s="192"/>
      <c r="AC25" s="192"/>
      <c r="AD25" s="192">
        <f t="shared" si="4"/>
        <v>-33923.747922993083</v>
      </c>
      <c r="AE25" s="192"/>
      <c r="AF25" s="193"/>
      <c r="AG25" s="244">
        <f>'Aset Moneter'!I14</f>
        <v>88487.393986394207</v>
      </c>
      <c r="AH25" s="192"/>
      <c r="AI25" s="192"/>
      <c r="AJ25" s="192">
        <f t="shared" si="5"/>
        <v>-88487.393986394207</v>
      </c>
      <c r="AK25" s="192"/>
      <c r="AL25" s="193"/>
      <c r="AM25" s="244">
        <f>'Aset Moneter'!J14</f>
        <v>33526.872705021204</v>
      </c>
      <c r="AN25" s="192"/>
      <c r="AO25" s="192"/>
      <c r="AP25" s="192">
        <f t="shared" si="6"/>
        <v>-33526.872705021204</v>
      </c>
      <c r="AQ25" s="192"/>
      <c r="AR25" s="193"/>
      <c r="AS25" s="244">
        <f>'Aset Moneter'!K14</f>
        <v>38087.928418701849</v>
      </c>
      <c r="AT25" s="192"/>
      <c r="AU25" s="192"/>
      <c r="AV25" s="192">
        <f t="shared" si="7"/>
        <v>-38087.928418701849</v>
      </c>
      <c r="AW25" s="192"/>
      <c r="AX25" s="193"/>
      <c r="AY25" s="244">
        <f>'Aset Moneter'!L14</f>
        <v>40555.168536654855</v>
      </c>
      <c r="AZ25" s="192"/>
      <c r="BA25" s="192"/>
      <c r="BB25" s="192">
        <f t="shared" si="8"/>
        <v>-40555.168536654855</v>
      </c>
      <c r="BC25" s="192"/>
      <c r="BD25" s="193"/>
      <c r="BE25" s="244">
        <f>'Aset Moneter'!M14</f>
        <v>142512.99924655029</v>
      </c>
      <c r="BF25" s="192"/>
      <c r="BG25" s="192"/>
      <c r="BH25" s="192">
        <f t="shared" si="9"/>
        <v>-142512.99924655029</v>
      </c>
      <c r="BI25" s="192"/>
      <c r="BJ25" s="193"/>
      <c r="BK25" s="244">
        <f>'Aset Moneter'!N14</f>
        <v>72168.931759718311</v>
      </c>
      <c r="BL25" s="192"/>
      <c r="BM25" s="192"/>
      <c r="BN25" s="192">
        <f t="shared" si="10"/>
        <v>-72168.931759718311</v>
      </c>
      <c r="BO25" s="192"/>
      <c r="BP25" s="193"/>
    </row>
    <row r="26" spans="1:68" ht="14.25" customHeight="1">
      <c r="A26" s="190"/>
      <c r="B26" s="191" t="s">
        <v>227</v>
      </c>
      <c r="C26" s="260">
        <f>-'Aset Moneter'!D23</f>
        <v>78448.957766449501</v>
      </c>
      <c r="D26" s="192"/>
      <c r="E26" s="192"/>
      <c r="F26" s="192">
        <f t="shared" si="0"/>
        <v>-78448.957766449501</v>
      </c>
      <c r="G26" s="192"/>
      <c r="H26" s="193"/>
      <c r="I26" s="260">
        <f>-'Aset Moneter'!E23</f>
        <v>59816.75186079774</v>
      </c>
      <c r="J26" s="192"/>
      <c r="K26" s="192"/>
      <c r="L26" s="192">
        <f t="shared" si="1"/>
        <v>-59816.75186079774</v>
      </c>
      <c r="M26" s="192"/>
      <c r="N26" s="193"/>
      <c r="O26" s="260">
        <f>-'Aset Moneter'!F23</f>
        <v>45283.889957515727</v>
      </c>
      <c r="P26" s="192"/>
      <c r="Q26" s="192"/>
      <c r="R26" s="192">
        <f t="shared" si="2"/>
        <v>-45283.889957515727</v>
      </c>
      <c r="S26" s="192"/>
      <c r="T26" s="193"/>
      <c r="U26" s="260">
        <f>-'Aset Moneter'!G23</f>
        <v>48952.526690080893</v>
      </c>
      <c r="V26" s="192"/>
      <c r="W26" s="192"/>
      <c r="X26" s="192">
        <f t="shared" si="3"/>
        <v>-48952.526690080893</v>
      </c>
      <c r="Y26" s="192"/>
      <c r="Z26" s="193"/>
      <c r="AA26" s="260">
        <f>-'Aset Moneter'!H23</f>
        <v>61277.108826844655</v>
      </c>
      <c r="AB26" s="192"/>
      <c r="AC26" s="192"/>
      <c r="AD26" s="192">
        <f t="shared" si="4"/>
        <v>-61277.108826844655</v>
      </c>
      <c r="AE26" s="192"/>
      <c r="AF26" s="193"/>
      <c r="AG26" s="260">
        <f>-'Aset Moneter'!I23</f>
        <v>92568.190854066837</v>
      </c>
      <c r="AH26" s="192"/>
      <c r="AI26" s="192"/>
      <c r="AJ26" s="192">
        <f t="shared" si="5"/>
        <v>-92568.190854066837</v>
      </c>
      <c r="AK26" s="192"/>
      <c r="AL26" s="193"/>
      <c r="AM26" s="260">
        <f>-'Aset Moneter'!J23</f>
        <v>95012.344530088129</v>
      </c>
      <c r="AN26" s="192"/>
      <c r="AO26" s="192"/>
      <c r="AP26" s="192">
        <f t="shared" si="6"/>
        <v>-95012.344530088129</v>
      </c>
      <c r="AQ26" s="192"/>
      <c r="AR26" s="193"/>
      <c r="AS26" s="260">
        <f>-'Aset Moneter'!K23</f>
        <v>89111.472261490257</v>
      </c>
      <c r="AT26" s="192"/>
      <c r="AU26" s="192"/>
      <c r="AV26" s="192">
        <f t="shared" si="7"/>
        <v>-89111.472261490257</v>
      </c>
      <c r="AW26" s="192"/>
      <c r="AX26" s="193"/>
      <c r="AY26" s="260">
        <f>-'Aset Moneter'!L23</f>
        <v>110761.6900765629</v>
      </c>
      <c r="AZ26" s="192"/>
      <c r="BA26" s="192"/>
      <c r="BB26" s="192">
        <f t="shared" si="8"/>
        <v>-110761.6900765629</v>
      </c>
      <c r="BC26" s="192"/>
      <c r="BD26" s="193"/>
      <c r="BE26" s="260">
        <f>-'Aset Moneter'!M23</f>
        <v>105018.0413523185</v>
      </c>
      <c r="BF26" s="192"/>
      <c r="BG26" s="192"/>
      <c r="BH26" s="192">
        <f t="shared" si="9"/>
        <v>-105018.0413523185</v>
      </c>
      <c r="BI26" s="192"/>
      <c r="BJ26" s="193"/>
      <c r="BK26" s="260">
        <f>-'Aset Moneter'!N23</f>
        <v>89462.610503339005</v>
      </c>
      <c r="BL26" s="192"/>
      <c r="BM26" s="192"/>
      <c r="BN26" s="192">
        <f t="shared" si="10"/>
        <v>-89462.610503339005</v>
      </c>
      <c r="BO26" s="192"/>
      <c r="BP26" s="193"/>
    </row>
    <row r="27" spans="1:68" ht="14.25" customHeight="1">
      <c r="A27" s="190"/>
      <c r="B27" s="191" t="s">
        <v>229</v>
      </c>
      <c r="C27" s="260">
        <f>-'Aset Moneter'!D33</f>
        <v>43852.885172733964</v>
      </c>
      <c r="D27" s="192"/>
      <c r="E27" s="192"/>
      <c r="F27" s="192">
        <f t="shared" si="0"/>
        <v>-43852.885172733964</v>
      </c>
      <c r="G27" s="192"/>
      <c r="H27" s="193"/>
      <c r="I27" s="260">
        <f>-'Aset Moneter'!E33</f>
        <v>41683.345386208144</v>
      </c>
      <c r="J27" s="192"/>
      <c r="K27" s="192"/>
      <c r="L27" s="192">
        <f t="shared" si="1"/>
        <v>-41683.345386208144</v>
      </c>
      <c r="M27" s="192"/>
      <c r="N27" s="193"/>
      <c r="O27" s="260">
        <f>-'Aset Moneter'!F33</f>
        <v>43598.191886253444</v>
      </c>
      <c r="P27" s="192"/>
      <c r="Q27" s="192"/>
      <c r="R27" s="192">
        <f t="shared" si="2"/>
        <v>-43598.191886253444</v>
      </c>
      <c r="S27" s="192"/>
      <c r="T27" s="193"/>
      <c r="U27" s="260">
        <f>-'Aset Moneter'!G33</f>
        <v>40547.828517617607</v>
      </c>
      <c r="V27" s="192"/>
      <c r="W27" s="192"/>
      <c r="X27" s="192">
        <f t="shared" si="3"/>
        <v>-40547.828517617607</v>
      </c>
      <c r="Y27" s="192"/>
      <c r="Z27" s="193"/>
      <c r="AA27" s="260">
        <f>-'Aset Moneter'!H33</f>
        <v>43807.74533720313</v>
      </c>
      <c r="AB27" s="192"/>
      <c r="AC27" s="192"/>
      <c r="AD27" s="192">
        <f t="shared" si="4"/>
        <v>-43807.74533720313</v>
      </c>
      <c r="AE27" s="192"/>
      <c r="AF27" s="193"/>
      <c r="AG27" s="260">
        <f>-'Aset Moneter'!I33</f>
        <v>58529.829186885567</v>
      </c>
      <c r="AH27" s="192"/>
      <c r="AI27" s="192"/>
      <c r="AJ27" s="192">
        <f t="shared" si="5"/>
        <v>-58529.829186885567</v>
      </c>
      <c r="AK27" s="192"/>
      <c r="AL27" s="193"/>
      <c r="AM27" s="260">
        <f>-'Aset Moneter'!J33</f>
        <v>75883.739461643228</v>
      </c>
      <c r="AN27" s="192"/>
      <c r="AO27" s="192"/>
      <c r="AP27" s="192">
        <f t="shared" si="6"/>
        <v>-75883.739461643228</v>
      </c>
      <c r="AQ27" s="192"/>
      <c r="AR27" s="193"/>
      <c r="AS27" s="260">
        <f>-'Aset Moneter'!K33</f>
        <v>94344.790011772115</v>
      </c>
      <c r="AT27" s="192"/>
      <c r="AU27" s="192"/>
      <c r="AV27" s="192">
        <f t="shared" si="7"/>
        <v>-94344.790011772115</v>
      </c>
      <c r="AW27" s="192"/>
      <c r="AX27" s="193"/>
      <c r="AY27" s="260">
        <f>-'Aset Moneter'!L33</f>
        <v>115553.85680445282</v>
      </c>
      <c r="AZ27" s="192"/>
      <c r="BA27" s="192"/>
      <c r="BB27" s="192">
        <f t="shared" si="8"/>
        <v>-115553.85680445282</v>
      </c>
      <c r="BC27" s="192"/>
      <c r="BD27" s="193"/>
      <c r="BE27" s="260">
        <f>-'Aset Moneter'!M33</f>
        <v>125788.21787649412</v>
      </c>
      <c r="BF27" s="192"/>
      <c r="BG27" s="192"/>
      <c r="BH27" s="192">
        <f t="shared" si="9"/>
        <v>-125788.21787649412</v>
      </c>
      <c r="BI27" s="192"/>
      <c r="BJ27" s="193"/>
      <c r="BK27" s="260">
        <f>-'Aset Moneter'!N33</f>
        <v>123062.4226360102</v>
      </c>
      <c r="BL27" s="192"/>
      <c r="BM27" s="192"/>
      <c r="BN27" s="192">
        <f t="shared" si="10"/>
        <v>-123062.4226360102</v>
      </c>
      <c r="BO27" s="192"/>
      <c r="BP27" s="193"/>
    </row>
    <row r="28" spans="1:68" ht="14.25" customHeight="1">
      <c r="A28" s="190"/>
      <c r="B28" s="191" t="s">
        <v>230</v>
      </c>
      <c r="C28" s="260">
        <f>-'Aset Moneter'!D43</f>
        <v>39616.019625638895</v>
      </c>
      <c r="D28" s="192"/>
      <c r="E28" s="192"/>
      <c r="F28" s="192">
        <f t="shared" si="0"/>
        <v>-39616.019625638895</v>
      </c>
      <c r="G28" s="192"/>
      <c r="H28" s="193"/>
      <c r="I28" s="260">
        <f>-'Aset Moneter'!E43</f>
        <v>35051.958005310116</v>
      </c>
      <c r="J28" s="192"/>
      <c r="K28" s="192"/>
      <c r="L28" s="192">
        <f t="shared" si="1"/>
        <v>-35051.958005310116</v>
      </c>
      <c r="M28" s="192"/>
      <c r="N28" s="193"/>
      <c r="O28" s="260">
        <f>-'Aset Moneter'!F43</f>
        <v>40846.113383250333</v>
      </c>
      <c r="P28" s="192"/>
      <c r="Q28" s="192"/>
      <c r="R28" s="192">
        <f t="shared" si="2"/>
        <v>-40846.113383250333</v>
      </c>
      <c r="S28" s="192"/>
      <c r="T28" s="193"/>
      <c r="U28" s="260">
        <f>-'Aset Moneter'!G43</f>
        <v>62437.307532726067</v>
      </c>
      <c r="V28" s="192"/>
      <c r="W28" s="192"/>
      <c r="X28" s="192">
        <f t="shared" si="3"/>
        <v>-62437.307532726067</v>
      </c>
      <c r="Y28" s="192"/>
      <c r="Z28" s="193"/>
      <c r="AA28" s="260">
        <f>-'Aset Moneter'!H43</f>
        <v>79361.017506461663</v>
      </c>
      <c r="AB28" s="192"/>
      <c r="AC28" s="192"/>
      <c r="AD28" s="192">
        <f t="shared" si="4"/>
        <v>-79361.017506461663</v>
      </c>
      <c r="AE28" s="192"/>
      <c r="AF28" s="193"/>
      <c r="AG28" s="260">
        <f>-'Aset Moneter'!I43</f>
        <v>68470.662960360336</v>
      </c>
      <c r="AH28" s="192"/>
      <c r="AI28" s="192"/>
      <c r="AJ28" s="192">
        <f t="shared" si="5"/>
        <v>-68470.662960360336</v>
      </c>
      <c r="AK28" s="192"/>
      <c r="AL28" s="193"/>
      <c r="AM28" s="260">
        <f>-'Aset Moneter'!J43</f>
        <v>56624.030676686722</v>
      </c>
      <c r="AN28" s="192"/>
      <c r="AO28" s="192"/>
      <c r="AP28" s="192">
        <f t="shared" si="6"/>
        <v>-56624.030676686722</v>
      </c>
      <c r="AQ28" s="192"/>
      <c r="AR28" s="193"/>
      <c r="AS28" s="260">
        <f>-'Aset Moneter'!K43</f>
        <v>88615.492194324877</v>
      </c>
      <c r="AT28" s="192"/>
      <c r="AU28" s="192"/>
      <c r="AV28" s="192">
        <f t="shared" si="7"/>
        <v>-88615.492194324877</v>
      </c>
      <c r="AW28" s="192"/>
      <c r="AX28" s="193"/>
      <c r="AY28" s="260">
        <f>-'Aset Moneter'!L43</f>
        <v>216088.03465130983</v>
      </c>
      <c r="AZ28" s="192"/>
      <c r="BA28" s="192"/>
      <c r="BB28" s="192">
        <f t="shared" si="8"/>
        <v>-216088.03465130983</v>
      </c>
      <c r="BC28" s="192"/>
      <c r="BD28" s="193"/>
      <c r="BE28" s="260">
        <f>-'Aset Moneter'!M43</f>
        <v>333305.2212729649</v>
      </c>
      <c r="BF28" s="192"/>
      <c r="BG28" s="192"/>
      <c r="BH28" s="192">
        <f t="shared" si="9"/>
        <v>-333305.2212729649</v>
      </c>
      <c r="BI28" s="192"/>
      <c r="BJ28" s="193"/>
      <c r="BK28" s="260">
        <f>-'Aset Moneter'!N43</f>
        <v>306796.87966706848</v>
      </c>
      <c r="BL28" s="192"/>
      <c r="BM28" s="192"/>
      <c r="BN28" s="192">
        <f t="shared" si="10"/>
        <v>-306796.87966706848</v>
      </c>
      <c r="BO28" s="192"/>
      <c r="BP28" s="193"/>
    </row>
    <row r="29" spans="1:68" ht="14.25" customHeight="1">
      <c r="A29" s="190"/>
      <c r="B29" s="191" t="s">
        <v>231</v>
      </c>
      <c r="C29" s="260">
        <f>-'Aset Moneter'!D53</f>
        <v>5059.7905394275776</v>
      </c>
      <c r="D29" s="192"/>
      <c r="E29" s="192"/>
      <c r="F29" s="192">
        <f t="shared" si="0"/>
        <v>-5059.7905394275776</v>
      </c>
      <c r="G29" s="192"/>
      <c r="H29" s="193"/>
      <c r="I29" s="260">
        <f>-'Aset Moneter'!E53</f>
        <v>9273.2680850752495</v>
      </c>
      <c r="J29" s="192"/>
      <c r="K29" s="192"/>
      <c r="L29" s="192">
        <f t="shared" si="1"/>
        <v>-9273.2680850752495</v>
      </c>
      <c r="M29" s="192"/>
      <c r="N29" s="193"/>
      <c r="O29" s="260">
        <f>-'Aset Moneter'!F53</f>
        <v>10760.667575567175</v>
      </c>
      <c r="P29" s="192"/>
      <c r="Q29" s="192"/>
      <c r="R29" s="192">
        <f t="shared" si="2"/>
        <v>-10760.667575567175</v>
      </c>
      <c r="S29" s="192"/>
      <c r="T29" s="193"/>
      <c r="U29" s="260">
        <f>-'Aset Moneter'!G53</f>
        <v>11196.820248039838</v>
      </c>
      <c r="V29" s="192"/>
      <c r="W29" s="192"/>
      <c r="X29" s="192">
        <f t="shared" si="3"/>
        <v>-11196.820248039838</v>
      </c>
      <c r="Y29" s="192"/>
      <c r="Z29" s="193"/>
      <c r="AA29" s="260">
        <f>-'Aset Moneter'!H53</f>
        <v>11043.245930115187</v>
      </c>
      <c r="AB29" s="192"/>
      <c r="AC29" s="192"/>
      <c r="AD29" s="192">
        <f t="shared" si="4"/>
        <v>-11043.245930115187</v>
      </c>
      <c r="AE29" s="192"/>
      <c r="AF29" s="193"/>
      <c r="AG29" s="260">
        <f>-'Aset Moneter'!I53</f>
        <v>4937.9046607219925</v>
      </c>
      <c r="AH29" s="192"/>
      <c r="AI29" s="192"/>
      <c r="AJ29" s="192">
        <f t="shared" si="5"/>
        <v>-4937.9046607219925</v>
      </c>
      <c r="AK29" s="192"/>
      <c r="AL29" s="193"/>
      <c r="AM29" s="260">
        <f>-'Aset Moneter'!J53</f>
        <v>3478.3450233766193</v>
      </c>
      <c r="AN29" s="192"/>
      <c r="AO29" s="192"/>
      <c r="AP29" s="192">
        <f t="shared" si="6"/>
        <v>-3478.3450233766193</v>
      </c>
      <c r="AQ29" s="192"/>
      <c r="AR29" s="193"/>
      <c r="AS29" s="260">
        <f>-'Aset Moneter'!K53</f>
        <v>7950.6585540756241</v>
      </c>
      <c r="AT29" s="192"/>
      <c r="AU29" s="192"/>
      <c r="AV29" s="192">
        <f t="shared" si="7"/>
        <v>-7950.6585540756241</v>
      </c>
      <c r="AW29" s="192"/>
      <c r="AX29" s="193"/>
      <c r="AY29" s="260">
        <f>-'Aset Moneter'!L53</f>
        <v>11260.467729620654</v>
      </c>
      <c r="AZ29" s="192"/>
      <c r="BA29" s="192"/>
      <c r="BB29" s="192">
        <f t="shared" si="8"/>
        <v>-11260.467729620654</v>
      </c>
      <c r="BC29" s="192"/>
      <c r="BD29" s="193"/>
      <c r="BE29" s="260">
        <f>-'Aset Moneter'!M53</f>
        <v>10682.966184214354</v>
      </c>
      <c r="BF29" s="192"/>
      <c r="BG29" s="192"/>
      <c r="BH29" s="192">
        <f t="shared" si="9"/>
        <v>-10682.966184214354</v>
      </c>
      <c r="BI29" s="192"/>
      <c r="BJ29" s="193"/>
      <c r="BK29" s="260">
        <f>-'Aset Moneter'!N53</f>
        <v>7392.9115699664999</v>
      </c>
      <c r="BL29" s="192"/>
      <c r="BM29" s="192"/>
      <c r="BN29" s="192">
        <f t="shared" si="10"/>
        <v>-7392.9115699664999</v>
      </c>
      <c r="BO29" s="192"/>
      <c r="BP29" s="193"/>
    </row>
    <row r="30" spans="1:68" ht="14.25" customHeight="1">
      <c r="A30" s="190"/>
      <c r="B30" s="191" t="s">
        <v>236</v>
      </c>
      <c r="C30" s="260">
        <f>-'Aset Moneter'!D63</f>
        <v>250.22464591244091</v>
      </c>
      <c r="D30" s="192"/>
      <c r="E30" s="192"/>
      <c r="F30" s="192">
        <f t="shared" si="0"/>
        <v>-250.22464591244091</v>
      </c>
      <c r="G30" s="192"/>
      <c r="H30" s="193"/>
      <c r="I30" s="260">
        <f>-'Aset Moneter'!E63</f>
        <v>334.54615263720478</v>
      </c>
      <c r="J30" s="192"/>
      <c r="K30" s="192"/>
      <c r="L30" s="192">
        <f t="shared" si="1"/>
        <v>-334.54615263720478</v>
      </c>
      <c r="M30" s="192"/>
      <c r="N30" s="193"/>
      <c r="O30" s="260">
        <f>-'Aset Moneter'!F63</f>
        <v>385.03320879747162</v>
      </c>
      <c r="P30" s="192"/>
      <c r="Q30" s="192"/>
      <c r="R30" s="192">
        <f t="shared" si="2"/>
        <v>-385.03320879747162</v>
      </c>
      <c r="S30" s="192"/>
      <c r="T30" s="193"/>
      <c r="U30" s="260">
        <f>-'Aset Moneter'!G63</f>
        <v>571.09266064781525</v>
      </c>
      <c r="V30" s="192"/>
      <c r="W30" s="192"/>
      <c r="X30" s="192">
        <f t="shared" si="3"/>
        <v>-571.09266064781525</v>
      </c>
      <c r="Y30" s="192"/>
      <c r="Z30" s="193"/>
      <c r="AA30" s="260">
        <f>-'Aset Moneter'!H63</f>
        <v>400.9029966409741</v>
      </c>
      <c r="AB30" s="192"/>
      <c r="AC30" s="192"/>
      <c r="AD30" s="192">
        <f t="shared" si="4"/>
        <v>-400.9029966409741</v>
      </c>
      <c r="AE30" s="192"/>
      <c r="AF30" s="193"/>
      <c r="AG30" s="260">
        <f>-'Aset Moneter'!I63</f>
        <v>189.63673821045614</v>
      </c>
      <c r="AH30" s="192"/>
      <c r="AI30" s="192"/>
      <c r="AJ30" s="192">
        <f t="shared" si="5"/>
        <v>-189.63673821045614</v>
      </c>
      <c r="AK30" s="192"/>
      <c r="AL30" s="193"/>
      <c r="AM30" s="260">
        <f>-'Aset Moneter'!J63</f>
        <v>154.80963295301552</v>
      </c>
      <c r="AN30" s="192"/>
      <c r="AO30" s="192"/>
      <c r="AP30" s="192">
        <f t="shared" si="6"/>
        <v>-154.80963295301552</v>
      </c>
      <c r="AQ30" s="192"/>
      <c r="AR30" s="193"/>
      <c r="AS30" s="260">
        <f>-'Aset Moneter'!K63</f>
        <v>194.87778984235069</v>
      </c>
      <c r="AT30" s="192"/>
      <c r="AU30" s="192"/>
      <c r="AV30" s="192">
        <f t="shared" si="7"/>
        <v>-194.87778984235069</v>
      </c>
      <c r="AW30" s="192"/>
      <c r="AX30" s="193"/>
      <c r="AY30" s="260">
        <f>-'Aset Moneter'!L63</f>
        <v>144.3451945166118</v>
      </c>
      <c r="AZ30" s="192"/>
      <c r="BA30" s="192"/>
      <c r="BB30" s="192">
        <f t="shared" si="8"/>
        <v>-144.3451945166118</v>
      </c>
      <c r="BC30" s="192"/>
      <c r="BD30" s="193"/>
      <c r="BE30" s="260">
        <f>-'Aset Moneter'!M63</f>
        <v>38.460001531478333</v>
      </c>
      <c r="BF30" s="192"/>
      <c r="BG30" s="192"/>
      <c r="BH30" s="192">
        <f t="shared" si="9"/>
        <v>-38.460001531478333</v>
      </c>
      <c r="BI30" s="192"/>
      <c r="BJ30" s="193"/>
      <c r="BK30" s="260">
        <f>-'Aset Moneter'!N63</f>
        <v>97.735408905783629</v>
      </c>
      <c r="BL30" s="192"/>
      <c r="BM30" s="192"/>
      <c r="BN30" s="192">
        <f t="shared" si="10"/>
        <v>-97.735408905783629</v>
      </c>
      <c r="BO30" s="192"/>
      <c r="BP30" s="193"/>
    </row>
    <row r="31" spans="1:68" ht="14.25" customHeight="1">
      <c r="A31" s="190"/>
      <c r="B31" s="191" t="s">
        <v>237</v>
      </c>
      <c r="C31" s="260">
        <f>-'Aset Moneter'!D73</f>
        <v>11086.794655612914</v>
      </c>
      <c r="D31" s="192"/>
      <c r="E31" s="192"/>
      <c r="F31" s="192">
        <f t="shared" si="0"/>
        <v>-11086.794655612914</v>
      </c>
      <c r="G31" s="192"/>
      <c r="H31" s="193"/>
      <c r="I31" s="260">
        <f>-'Aset Moneter'!E73</f>
        <v>6631.2044376120784</v>
      </c>
      <c r="J31" s="192"/>
      <c r="K31" s="192"/>
      <c r="L31" s="192">
        <f t="shared" si="1"/>
        <v>-6631.2044376120784</v>
      </c>
      <c r="M31" s="192"/>
      <c r="N31" s="193"/>
      <c r="O31" s="260">
        <f>-'Aset Moneter'!F73</f>
        <v>6970.8952809054172</v>
      </c>
      <c r="P31" s="192"/>
      <c r="Q31" s="192"/>
      <c r="R31" s="192">
        <f t="shared" si="2"/>
        <v>-6970.8952809054172</v>
      </c>
      <c r="S31" s="192"/>
      <c r="T31" s="193"/>
      <c r="U31" s="260">
        <f>-'Aset Moneter'!G73</f>
        <v>7788.118583494309</v>
      </c>
      <c r="V31" s="192"/>
      <c r="W31" s="192"/>
      <c r="X31" s="192">
        <f t="shared" si="3"/>
        <v>-7788.118583494309</v>
      </c>
      <c r="Y31" s="192"/>
      <c r="Z31" s="193"/>
      <c r="AA31" s="260">
        <f>-'Aset Moneter'!H73</f>
        <v>7258.6491226212738</v>
      </c>
      <c r="AB31" s="192"/>
      <c r="AC31" s="192"/>
      <c r="AD31" s="192">
        <f t="shared" si="4"/>
        <v>-7258.6491226212738</v>
      </c>
      <c r="AE31" s="192"/>
      <c r="AF31" s="193"/>
      <c r="AG31" s="260">
        <f>-'Aset Moneter'!I73</f>
        <v>4866.365858932124</v>
      </c>
      <c r="AH31" s="192"/>
      <c r="AI31" s="192"/>
      <c r="AJ31" s="192">
        <f t="shared" si="5"/>
        <v>-4866.365858932124</v>
      </c>
      <c r="AK31" s="192"/>
      <c r="AL31" s="193"/>
      <c r="AM31" s="260">
        <f>-'Aset Moneter'!J73</f>
        <v>10871.394230043366</v>
      </c>
      <c r="AN31" s="192"/>
      <c r="AO31" s="192"/>
      <c r="AP31" s="192">
        <f t="shared" si="6"/>
        <v>-10871.394230043366</v>
      </c>
      <c r="AQ31" s="192"/>
      <c r="AR31" s="193"/>
      <c r="AS31" s="260">
        <f>-'Aset Moneter'!K73</f>
        <v>28116.166259930029</v>
      </c>
      <c r="AT31" s="192"/>
      <c r="AU31" s="192"/>
      <c r="AV31" s="192">
        <f t="shared" si="7"/>
        <v>-28116.166259930029</v>
      </c>
      <c r="AW31" s="192"/>
      <c r="AX31" s="193"/>
      <c r="AY31" s="260">
        <f>-'Aset Moneter'!L73</f>
        <v>66743.604492134938</v>
      </c>
      <c r="AZ31" s="192"/>
      <c r="BA31" s="192"/>
      <c r="BB31" s="192">
        <f t="shared" si="8"/>
        <v>-66743.604492134938</v>
      </c>
      <c r="BC31" s="192"/>
      <c r="BD31" s="193"/>
      <c r="BE31" s="260">
        <f>-'Aset Moneter'!M73</f>
        <v>68937.059133665243</v>
      </c>
      <c r="BF31" s="192"/>
      <c r="BG31" s="192"/>
      <c r="BH31" s="192">
        <f t="shared" si="9"/>
        <v>-68937.059133665243</v>
      </c>
      <c r="BI31" s="192"/>
      <c r="BJ31" s="193"/>
      <c r="BK31" s="260">
        <f>-'Aset Moneter'!N73</f>
        <v>81347.170889032088</v>
      </c>
      <c r="BL31" s="192"/>
      <c r="BM31" s="192"/>
      <c r="BN31" s="192">
        <f t="shared" si="10"/>
        <v>-81347.170889032088</v>
      </c>
      <c r="BO31" s="192"/>
      <c r="BP31" s="193"/>
    </row>
    <row r="32" spans="1:68" ht="14.25" customHeight="1">
      <c r="A32" s="190"/>
      <c r="B32" s="191" t="s">
        <v>238</v>
      </c>
      <c r="C32" s="260">
        <f>-'Aset Moneter'!D83</f>
        <v>11714.077188993706</v>
      </c>
      <c r="D32" s="192"/>
      <c r="E32" s="192"/>
      <c r="F32" s="192">
        <f t="shared" si="0"/>
        <v>-11714.077188993706</v>
      </c>
      <c r="G32" s="192"/>
      <c r="H32" s="193"/>
      <c r="I32" s="260">
        <f>-'Aset Moneter'!E83</f>
        <v>7263.6783108524887</v>
      </c>
      <c r="J32" s="192"/>
      <c r="K32" s="192"/>
      <c r="L32" s="192">
        <f t="shared" si="1"/>
        <v>-7263.6783108524887</v>
      </c>
      <c r="M32" s="192"/>
      <c r="N32" s="193"/>
      <c r="O32" s="260">
        <f>-'Aset Moneter'!F83</f>
        <v>5407.5494871197752</v>
      </c>
      <c r="P32" s="192"/>
      <c r="Q32" s="192"/>
      <c r="R32" s="192">
        <f t="shared" si="2"/>
        <v>-5407.5494871197752</v>
      </c>
      <c r="S32" s="192"/>
      <c r="T32" s="193"/>
      <c r="U32" s="260">
        <f>-'Aset Moneter'!G83</f>
        <v>7830.3710833321138</v>
      </c>
      <c r="V32" s="192"/>
      <c r="W32" s="192"/>
      <c r="X32" s="192">
        <f t="shared" si="3"/>
        <v>-7830.3710833321138</v>
      </c>
      <c r="Y32" s="192"/>
      <c r="Z32" s="193"/>
      <c r="AA32" s="260">
        <f>-'Aset Moneter'!H83</f>
        <v>6773.7645654589433</v>
      </c>
      <c r="AB32" s="192"/>
      <c r="AC32" s="192"/>
      <c r="AD32" s="192">
        <f t="shared" si="4"/>
        <v>-6773.7645654589433</v>
      </c>
      <c r="AE32" s="192"/>
      <c r="AF32" s="193"/>
      <c r="AG32" s="260">
        <f>-'Aset Moneter'!I83</f>
        <v>3994.788092628447</v>
      </c>
      <c r="AH32" s="192"/>
      <c r="AI32" s="192"/>
      <c r="AJ32" s="192">
        <f t="shared" si="5"/>
        <v>-3994.788092628447</v>
      </c>
      <c r="AK32" s="192"/>
      <c r="AL32" s="193"/>
      <c r="AM32" s="260">
        <f>-'Aset Moneter'!J83</f>
        <v>3417.0025141210394</v>
      </c>
      <c r="AN32" s="192"/>
      <c r="AO32" s="192"/>
      <c r="AP32" s="192">
        <f t="shared" si="6"/>
        <v>-3417.0025141210394</v>
      </c>
      <c r="AQ32" s="192"/>
      <c r="AR32" s="193"/>
      <c r="AS32" s="260">
        <f>-'Aset Moneter'!K83</f>
        <v>3599.1709199380489</v>
      </c>
      <c r="AT32" s="192"/>
      <c r="AU32" s="192"/>
      <c r="AV32" s="192">
        <f t="shared" si="7"/>
        <v>-3599.1709199380489</v>
      </c>
      <c r="AW32" s="192"/>
      <c r="AX32" s="193"/>
      <c r="AY32" s="260">
        <f>-'Aset Moneter'!L83</f>
        <v>8616.7528669690582</v>
      </c>
      <c r="AZ32" s="192"/>
      <c r="BA32" s="192"/>
      <c r="BB32" s="192">
        <f t="shared" si="8"/>
        <v>-8616.7528669690582</v>
      </c>
      <c r="BC32" s="192"/>
      <c r="BD32" s="193"/>
      <c r="BE32" s="260">
        <f>-'Aset Moneter'!M83</f>
        <v>17415.350501055815</v>
      </c>
      <c r="BF32" s="192"/>
      <c r="BG32" s="192"/>
      <c r="BH32" s="192">
        <f t="shared" si="9"/>
        <v>-17415.350501055815</v>
      </c>
      <c r="BI32" s="192"/>
      <c r="BJ32" s="193"/>
      <c r="BK32" s="260">
        <f>-'Aset Moneter'!N83</f>
        <v>13740.702421763084</v>
      </c>
      <c r="BL32" s="192"/>
      <c r="BM32" s="192"/>
      <c r="BN32" s="192">
        <f t="shared" si="10"/>
        <v>-13740.702421763084</v>
      </c>
      <c r="BO32" s="192"/>
      <c r="BP32" s="193"/>
    </row>
    <row r="33" spans="1:68" ht="14.25" customHeight="1">
      <c r="A33" s="190"/>
      <c r="B33" s="191" t="s">
        <v>239</v>
      </c>
      <c r="C33" s="260">
        <f>-'Aset Moneter'!D93</f>
        <v>672.84247465166152</v>
      </c>
      <c r="D33" s="192"/>
      <c r="E33" s="192"/>
      <c r="F33" s="192">
        <f t="shared" si="0"/>
        <v>-672.84247465166152</v>
      </c>
      <c r="G33" s="192"/>
      <c r="H33" s="193"/>
      <c r="I33" s="260">
        <f>-'Aset Moneter'!E93</f>
        <v>405.97463833087869</v>
      </c>
      <c r="J33" s="192"/>
      <c r="K33" s="192"/>
      <c r="L33" s="192">
        <f t="shared" si="1"/>
        <v>-405.97463833087869</v>
      </c>
      <c r="M33" s="192"/>
      <c r="N33" s="193"/>
      <c r="O33" s="260">
        <f>-'Aset Moneter'!F93</f>
        <v>713.28494816884904</v>
      </c>
      <c r="P33" s="192"/>
      <c r="Q33" s="192"/>
      <c r="R33" s="192">
        <f t="shared" si="2"/>
        <v>-713.28494816884904</v>
      </c>
      <c r="S33" s="192"/>
      <c r="T33" s="193"/>
      <c r="U33" s="260">
        <f>-'Aset Moneter'!G93</f>
        <v>1253.093696509331</v>
      </c>
      <c r="V33" s="192"/>
      <c r="W33" s="192"/>
      <c r="X33" s="192">
        <f t="shared" si="3"/>
        <v>-1253.093696509331</v>
      </c>
      <c r="Y33" s="192"/>
      <c r="Z33" s="193"/>
      <c r="AA33" s="260">
        <f>-'Aset Moneter'!H93</f>
        <v>1547.1992398230664</v>
      </c>
      <c r="AB33" s="192"/>
      <c r="AC33" s="192"/>
      <c r="AD33" s="192">
        <f t="shared" si="4"/>
        <v>-1547.1992398230664</v>
      </c>
      <c r="AE33" s="192"/>
      <c r="AF33" s="193"/>
      <c r="AG33" s="260">
        <f>-'Aset Moneter'!I93</f>
        <v>844.89467293718963</v>
      </c>
      <c r="AH33" s="192"/>
      <c r="AI33" s="192"/>
      <c r="AJ33" s="192">
        <f t="shared" si="5"/>
        <v>-844.89467293718963</v>
      </c>
      <c r="AK33" s="192"/>
      <c r="AL33" s="193"/>
      <c r="AM33" s="260">
        <f>-'Aset Moneter'!J93</f>
        <v>2044.0282638913484</v>
      </c>
      <c r="AN33" s="192"/>
      <c r="AO33" s="192"/>
      <c r="AP33" s="192">
        <f t="shared" si="6"/>
        <v>-2044.0282638913484</v>
      </c>
      <c r="AQ33" s="192"/>
      <c r="AR33" s="193"/>
      <c r="AS33" s="260">
        <f>-'Aset Moneter'!K93</f>
        <v>4341.6139066720662</v>
      </c>
      <c r="AT33" s="192"/>
      <c r="AU33" s="192"/>
      <c r="AV33" s="192">
        <f t="shared" si="7"/>
        <v>-4341.6139066720662</v>
      </c>
      <c r="AW33" s="192"/>
      <c r="AX33" s="193"/>
      <c r="AY33" s="260">
        <f>-'Aset Moneter'!L93</f>
        <v>6415.4282882992748</v>
      </c>
      <c r="AZ33" s="192"/>
      <c r="BA33" s="192"/>
      <c r="BB33" s="192">
        <f t="shared" si="8"/>
        <v>-6415.4282882992748</v>
      </c>
      <c r="BC33" s="192"/>
      <c r="BD33" s="193"/>
      <c r="BE33" s="260">
        <f>-'Aset Moneter'!M93</f>
        <v>11822.488765251193</v>
      </c>
      <c r="BF33" s="192"/>
      <c r="BG33" s="192"/>
      <c r="BH33" s="192">
        <f t="shared" si="9"/>
        <v>-11822.488765251193</v>
      </c>
      <c r="BI33" s="192"/>
      <c r="BJ33" s="193"/>
      <c r="BK33" s="260">
        <f>-'Aset Moneter'!N93</f>
        <v>12341.885865275493</v>
      </c>
      <c r="BL33" s="192"/>
      <c r="BM33" s="192"/>
      <c r="BN33" s="192">
        <f t="shared" si="10"/>
        <v>-12341.885865275493</v>
      </c>
      <c r="BO33" s="192"/>
      <c r="BP33" s="193"/>
    </row>
    <row r="34" spans="1:68" ht="14.25" customHeight="1">
      <c r="A34" s="220"/>
      <c r="B34" s="221" t="s">
        <v>240</v>
      </c>
      <c r="C34" s="284">
        <f>-'Aset Moneter'!D103</f>
        <v>68.394417588726739</v>
      </c>
      <c r="D34" s="222"/>
      <c r="E34" s="222"/>
      <c r="F34" s="222">
        <f t="shared" si="0"/>
        <v>-68.394417588726739</v>
      </c>
      <c r="G34" s="222"/>
      <c r="H34" s="224"/>
      <c r="I34" s="284">
        <f>-'Aset Moneter'!E103</f>
        <v>1.2259780480814511</v>
      </c>
      <c r="J34" s="222"/>
      <c r="K34" s="222"/>
      <c r="L34" s="222">
        <f t="shared" si="1"/>
        <v>-1.2259780480814511</v>
      </c>
      <c r="M34" s="222"/>
      <c r="N34" s="224"/>
      <c r="O34" s="284">
        <f>-'Aset Moneter'!F103</f>
        <v>7.1481690607919761</v>
      </c>
      <c r="P34" s="222"/>
      <c r="Q34" s="222"/>
      <c r="R34" s="222">
        <f t="shared" si="2"/>
        <v>-7.1481690607919761</v>
      </c>
      <c r="S34" s="222"/>
      <c r="T34" s="224"/>
      <c r="U34" s="284">
        <f>-'Aset Moneter'!G103</f>
        <v>56.796366667827499</v>
      </c>
      <c r="V34" s="222"/>
      <c r="W34" s="222"/>
      <c r="X34" s="222">
        <f t="shared" si="3"/>
        <v>-56.796366667827499</v>
      </c>
      <c r="Y34" s="222"/>
      <c r="Z34" s="224"/>
      <c r="AA34" s="284">
        <f>-'Aset Moneter'!H103</f>
        <v>303.94608723553171</v>
      </c>
      <c r="AB34" s="222"/>
      <c r="AC34" s="222"/>
      <c r="AD34" s="222">
        <f t="shared" si="4"/>
        <v>-303.94608723553171</v>
      </c>
      <c r="AE34" s="222"/>
      <c r="AF34" s="224"/>
      <c r="AG34" s="284">
        <f>-'Aset Moneter'!I103</f>
        <v>583.34299498453515</v>
      </c>
      <c r="AH34" s="222"/>
      <c r="AI34" s="222"/>
      <c r="AJ34" s="222">
        <f t="shared" si="5"/>
        <v>-583.34299498453515</v>
      </c>
      <c r="AK34" s="222"/>
      <c r="AL34" s="224"/>
      <c r="AM34" s="284">
        <f>-'Aset Moneter'!J103</f>
        <v>795.98646024719278</v>
      </c>
      <c r="AN34" s="222"/>
      <c r="AO34" s="222"/>
      <c r="AP34" s="222">
        <f t="shared" si="6"/>
        <v>-795.98646024719278</v>
      </c>
      <c r="AQ34" s="222"/>
      <c r="AR34" s="224"/>
      <c r="AS34" s="284">
        <f>-'Aset Moneter'!K103</f>
        <v>1063.7067717207697</v>
      </c>
      <c r="AT34" s="222"/>
      <c r="AU34" s="222"/>
      <c r="AV34" s="222">
        <f t="shared" si="7"/>
        <v>-1063.7067717207697</v>
      </c>
      <c r="AW34" s="222"/>
      <c r="AX34" s="224"/>
      <c r="AY34" s="284">
        <f>-'Aset Moneter'!L103</f>
        <v>1675.6728678619916</v>
      </c>
      <c r="AZ34" s="222"/>
      <c r="BA34" s="222"/>
      <c r="BB34" s="222">
        <f t="shared" si="8"/>
        <v>-1675.6728678619916</v>
      </c>
      <c r="BC34" s="222"/>
      <c r="BD34" s="224"/>
      <c r="BE34" s="284">
        <f>-'Aset Moneter'!M103</f>
        <v>897.18193377671889</v>
      </c>
      <c r="BF34" s="222"/>
      <c r="BG34" s="222"/>
      <c r="BH34" s="222">
        <f t="shared" si="9"/>
        <v>-897.18193377671889</v>
      </c>
      <c r="BI34" s="222"/>
      <c r="BJ34" s="224"/>
      <c r="BK34" s="284">
        <f>-'Aset Moneter'!N103</f>
        <v>610.19653411012928</v>
      </c>
      <c r="BL34" s="222"/>
      <c r="BM34" s="222"/>
      <c r="BN34" s="222">
        <f t="shared" si="10"/>
        <v>-610.19653411012928</v>
      </c>
      <c r="BO34" s="222"/>
      <c r="BP34" s="224"/>
    </row>
    <row r="35" spans="1:68" ht="14.25" customHeight="1">
      <c r="A35" s="183">
        <v>7</v>
      </c>
      <c r="B35" s="184" t="s">
        <v>273</v>
      </c>
      <c r="C35" s="185"/>
      <c r="D35" s="185"/>
      <c r="E35" s="185"/>
      <c r="F35" s="185">
        <f>SUM(F36:F45)</f>
        <v>195990.05367287213</v>
      </c>
      <c r="G35" s="185"/>
      <c r="H35" s="187">
        <f t="shared" ref="H35:H45" si="11">0-F35</f>
        <v>-195990.05367287213</v>
      </c>
      <c r="I35" s="185"/>
      <c r="J35" s="185"/>
      <c r="K35" s="185"/>
      <c r="L35" s="185">
        <f>SUM(L36:L45)</f>
        <v>327544.48280589032</v>
      </c>
      <c r="M35" s="185"/>
      <c r="N35" s="187">
        <f t="shared" ref="N35:N45" si="12">0-L35</f>
        <v>-327544.48280589032</v>
      </c>
      <c r="O35" s="185"/>
      <c r="P35" s="185"/>
      <c r="Q35" s="185"/>
      <c r="R35" s="185">
        <f>SUM(R36:R45)</f>
        <v>-274408.02934525936</v>
      </c>
      <c r="S35" s="185"/>
      <c r="T35" s="187">
        <f t="shared" ref="T35:T45" si="13">0-R35</f>
        <v>274408.02934525936</v>
      </c>
      <c r="U35" s="185"/>
      <c r="V35" s="185"/>
      <c r="W35" s="185"/>
      <c r="X35" s="185">
        <f>SUM(X36:X45)</f>
        <v>-217008.34884930315</v>
      </c>
      <c r="Y35" s="185"/>
      <c r="Z35" s="187">
        <f t="shared" ref="Z35:Z45" si="14">0-X35</f>
        <v>217008.34884930315</v>
      </c>
      <c r="AA35" s="185"/>
      <c r="AB35" s="185"/>
      <c r="AC35" s="185"/>
      <c r="AD35" s="185">
        <f>SUM(AD36:AD45)</f>
        <v>2137317.0513089728</v>
      </c>
      <c r="AE35" s="185"/>
      <c r="AF35" s="187">
        <f t="shared" ref="AF35:AF45" si="15">0-AD35</f>
        <v>-2137317.0513089728</v>
      </c>
      <c r="AG35" s="185"/>
      <c r="AH35" s="185"/>
      <c r="AI35" s="185"/>
      <c r="AJ35" s="185">
        <f>SUM(AJ36:AJ45)</f>
        <v>-2192850.9860156202</v>
      </c>
      <c r="AK35" s="185"/>
      <c r="AL35" s="187">
        <f t="shared" ref="AL35:AL45" si="16">0-AJ35</f>
        <v>2192850.9860156202</v>
      </c>
      <c r="AM35" s="185"/>
      <c r="AN35" s="185"/>
      <c r="AO35" s="185"/>
      <c r="AP35" s="185">
        <f>SUM(AP36:AP45)</f>
        <v>-37387.736491961361</v>
      </c>
      <c r="AQ35" s="185"/>
      <c r="AR35" s="187">
        <f t="shared" ref="AR35:AR45" si="17">0-AP35</f>
        <v>37387.736491961361</v>
      </c>
      <c r="AS35" s="185"/>
      <c r="AT35" s="185"/>
      <c r="AU35" s="185"/>
      <c r="AV35" s="185">
        <f>SUM(AV36:AV45)</f>
        <v>-478580.40712886845</v>
      </c>
      <c r="AW35" s="185"/>
      <c r="AX35" s="187">
        <f t="shared" ref="AX35:AX45" si="18">0-AV35</f>
        <v>478580.40712886845</v>
      </c>
      <c r="AY35" s="185"/>
      <c r="AZ35" s="185"/>
      <c r="BA35" s="185"/>
      <c r="BB35" s="185">
        <f>SUM(BB36:BB45)</f>
        <v>175025.6228438745</v>
      </c>
      <c r="BC35" s="185"/>
      <c r="BD35" s="187">
        <f t="shared" ref="BD35:BD45" si="19">0-BB35</f>
        <v>-175025.6228438745</v>
      </c>
      <c r="BE35" s="185"/>
      <c r="BF35" s="185"/>
      <c r="BG35" s="185"/>
      <c r="BH35" s="185">
        <f>SUM(BH36:BH45)</f>
        <v>-646580.77488878334</v>
      </c>
      <c r="BI35" s="185"/>
      <c r="BJ35" s="187">
        <f t="shared" ref="BJ35:BJ45" si="20">0-BH35</f>
        <v>646580.77488878334</v>
      </c>
      <c r="BK35" s="185"/>
      <c r="BL35" s="185"/>
      <c r="BM35" s="185"/>
      <c r="BN35" s="185">
        <f>SUM(BN36:BN45)</f>
        <v>488451.76826706942</v>
      </c>
      <c r="BO35" s="185"/>
      <c r="BP35" s="187">
        <f t="shared" ref="BP35:BP45" si="21">0-BN35</f>
        <v>-488451.76826706942</v>
      </c>
    </row>
    <row r="36" spans="1:68" ht="14.25" customHeight="1">
      <c r="A36" s="190"/>
      <c r="B36" s="191" t="s">
        <v>225</v>
      </c>
      <c r="C36" s="192"/>
      <c r="D36" s="192"/>
      <c r="E36" s="192"/>
      <c r="F36" s="244">
        <f>'Aset Moneter'!D10</f>
        <v>5639.7679600634838</v>
      </c>
      <c r="G36" s="192"/>
      <c r="H36" s="287">
        <f t="shared" si="11"/>
        <v>-5639.7679600634838</v>
      </c>
      <c r="I36" s="192"/>
      <c r="J36" s="192"/>
      <c r="K36" s="192"/>
      <c r="L36" s="244">
        <f>'Aset Moneter'!E10</f>
        <v>6211.529038849465</v>
      </c>
      <c r="M36" s="192"/>
      <c r="N36" s="287">
        <f t="shared" si="12"/>
        <v>-6211.529038849465</v>
      </c>
      <c r="O36" s="192"/>
      <c r="P36" s="192"/>
      <c r="Q36" s="192"/>
      <c r="R36" s="244">
        <f>'Aset Moneter'!F10</f>
        <v>7110.7939190519683</v>
      </c>
      <c r="S36" s="192"/>
      <c r="T36" s="287">
        <f t="shared" si="13"/>
        <v>-7110.7939190519683</v>
      </c>
      <c r="U36" s="192"/>
      <c r="V36" s="192"/>
      <c r="W36" s="192"/>
      <c r="X36" s="244">
        <f>'Aset Moneter'!G10</f>
        <v>6302.8926409434725</v>
      </c>
      <c r="Y36" s="192"/>
      <c r="Z36" s="287">
        <f t="shared" si="14"/>
        <v>-6302.8926409434725</v>
      </c>
      <c r="AA36" s="192"/>
      <c r="AB36" s="192"/>
      <c r="AC36" s="192"/>
      <c r="AD36" s="244">
        <f>'Aset Moneter'!H10</f>
        <v>6860.0527182731748</v>
      </c>
      <c r="AE36" s="192"/>
      <c r="AF36" s="287">
        <f t="shared" si="15"/>
        <v>-6860.0527182731748</v>
      </c>
      <c r="AG36" s="192"/>
      <c r="AH36" s="192"/>
      <c r="AI36" s="192"/>
      <c r="AJ36" s="244">
        <f>'Aset Moneter'!I10</f>
        <v>9184.7581752330443</v>
      </c>
      <c r="AK36" s="192"/>
      <c r="AL36" s="287">
        <f t="shared" si="16"/>
        <v>-9184.7581752330443</v>
      </c>
      <c r="AM36" s="192"/>
      <c r="AN36" s="192"/>
      <c r="AO36" s="192"/>
      <c r="AP36" s="244">
        <f>'Aset Moneter'!J10</f>
        <v>10313.997296728568</v>
      </c>
      <c r="AQ36" s="192"/>
      <c r="AR36" s="287">
        <f t="shared" si="17"/>
        <v>-10313.997296728568</v>
      </c>
      <c r="AS36" s="192"/>
      <c r="AT36" s="192"/>
      <c r="AU36" s="192"/>
      <c r="AV36" s="244">
        <f>'Aset Moneter'!K10</f>
        <v>8709.305763021488</v>
      </c>
      <c r="AW36" s="192"/>
      <c r="AX36" s="287">
        <f t="shared" si="18"/>
        <v>-8709.305763021488</v>
      </c>
      <c r="AY36" s="192"/>
      <c r="AZ36" s="192"/>
      <c r="BA36" s="192"/>
      <c r="BB36" s="244">
        <f>'Aset Moneter'!L10</f>
        <v>11850.156221307299</v>
      </c>
      <c r="BC36" s="192"/>
      <c r="BD36" s="287">
        <f t="shared" si="19"/>
        <v>-11850.156221307299</v>
      </c>
      <c r="BE36" s="192"/>
      <c r="BF36" s="192"/>
      <c r="BG36" s="192"/>
      <c r="BH36" s="244">
        <f>'Aset Moneter'!M10</f>
        <v>14206.572946298433</v>
      </c>
      <c r="BI36" s="192"/>
      <c r="BJ36" s="287">
        <f t="shared" si="20"/>
        <v>-14206.572946298433</v>
      </c>
      <c r="BK36" s="192"/>
      <c r="BL36" s="192"/>
      <c r="BM36" s="192"/>
      <c r="BN36" s="244">
        <f>'Aset Moneter'!N10</f>
        <v>15698.160096055864</v>
      </c>
      <c r="BO36" s="192"/>
      <c r="BP36" s="287">
        <f t="shared" si="21"/>
        <v>-15698.160096055864</v>
      </c>
    </row>
    <row r="37" spans="1:68" ht="14.25" customHeight="1">
      <c r="A37" s="190"/>
      <c r="B37" s="191" t="s">
        <v>227</v>
      </c>
      <c r="C37" s="192"/>
      <c r="D37" s="192"/>
      <c r="E37" s="192"/>
      <c r="F37" s="260">
        <f>'Aset Moneter'!D24</f>
        <v>30720.523733660219</v>
      </c>
      <c r="G37" s="192"/>
      <c r="H37" s="287">
        <f t="shared" si="11"/>
        <v>-30720.523733660219</v>
      </c>
      <c r="I37" s="192"/>
      <c r="J37" s="192"/>
      <c r="K37" s="192"/>
      <c r="L37" s="260">
        <f>'Aset Moneter'!E24</f>
        <v>45297.101047712757</v>
      </c>
      <c r="M37" s="192"/>
      <c r="N37" s="287">
        <f t="shared" si="12"/>
        <v>-45297.101047712757</v>
      </c>
      <c r="O37" s="192"/>
      <c r="P37" s="192"/>
      <c r="Q37" s="192"/>
      <c r="R37" s="260">
        <f>'Aset Moneter'!F24</f>
        <v>37257.866774485643</v>
      </c>
      <c r="S37" s="192"/>
      <c r="T37" s="287">
        <f t="shared" si="13"/>
        <v>-37257.866774485643</v>
      </c>
      <c r="U37" s="192"/>
      <c r="V37" s="192"/>
      <c r="W37" s="192"/>
      <c r="X37" s="260">
        <f>'Aset Moneter'!G24</f>
        <v>95647.45881019572</v>
      </c>
      <c r="Y37" s="192"/>
      <c r="Z37" s="287">
        <f t="shared" si="14"/>
        <v>-95647.45881019572</v>
      </c>
      <c r="AA37" s="192"/>
      <c r="AB37" s="192"/>
      <c r="AC37" s="192"/>
      <c r="AD37" s="260">
        <f>'Aset Moneter'!H24</f>
        <v>57406.243126234796</v>
      </c>
      <c r="AE37" s="192"/>
      <c r="AF37" s="287">
        <f t="shared" si="15"/>
        <v>-57406.243126234796</v>
      </c>
      <c r="AG37" s="192"/>
      <c r="AH37" s="192"/>
      <c r="AI37" s="192"/>
      <c r="AJ37" s="260">
        <f>'Aset Moneter'!I24</f>
        <v>-1179312.2452050098</v>
      </c>
      <c r="AK37" s="192"/>
      <c r="AL37" s="287">
        <f t="shared" si="16"/>
        <v>1179312.2452050098</v>
      </c>
      <c r="AM37" s="192"/>
      <c r="AN37" s="192"/>
      <c r="AO37" s="192"/>
      <c r="AP37" s="260">
        <f>'Aset Moneter'!J24</f>
        <v>239454.87782316859</v>
      </c>
      <c r="AQ37" s="192"/>
      <c r="AR37" s="287">
        <f t="shared" si="17"/>
        <v>-239454.87782316859</v>
      </c>
      <c r="AS37" s="192"/>
      <c r="AT37" s="192"/>
      <c r="AU37" s="192"/>
      <c r="AV37" s="260">
        <f>'Aset Moneter'!K24</f>
        <v>6989.5506930730508</v>
      </c>
      <c r="AW37" s="192"/>
      <c r="AX37" s="287">
        <f t="shared" si="18"/>
        <v>-6989.5506930730508</v>
      </c>
      <c r="AY37" s="192"/>
      <c r="AZ37" s="192"/>
      <c r="BA37" s="192"/>
      <c r="BB37" s="260">
        <f>'Aset Moneter'!L24</f>
        <v>223266.08364906505</v>
      </c>
      <c r="BC37" s="192"/>
      <c r="BD37" s="287">
        <f t="shared" si="19"/>
        <v>-223266.08364906505</v>
      </c>
      <c r="BE37" s="192"/>
      <c r="BF37" s="192"/>
      <c r="BG37" s="192"/>
      <c r="BH37" s="260">
        <f>'Aset Moneter'!M24</f>
        <v>354946.17008606333</v>
      </c>
      <c r="BI37" s="192"/>
      <c r="BJ37" s="287">
        <f t="shared" si="20"/>
        <v>-354946.17008606333</v>
      </c>
      <c r="BK37" s="192"/>
      <c r="BL37" s="192"/>
      <c r="BM37" s="192"/>
      <c r="BN37" s="260">
        <f>'Aset Moneter'!N24</f>
        <v>-74368.11160526723</v>
      </c>
      <c r="BO37" s="192"/>
      <c r="BP37" s="287">
        <f t="shared" si="21"/>
        <v>74368.11160526723</v>
      </c>
    </row>
    <row r="38" spans="1:68" ht="14.25" customHeight="1">
      <c r="A38" s="190"/>
      <c r="B38" s="191" t="s">
        <v>229</v>
      </c>
      <c r="C38" s="192"/>
      <c r="D38" s="192"/>
      <c r="E38" s="192"/>
      <c r="F38" s="260">
        <f>'Aset Moneter'!D34</f>
        <v>28780.915778700819</v>
      </c>
      <c r="G38" s="192"/>
      <c r="H38" s="287">
        <f t="shared" si="11"/>
        <v>-28780.915778700819</v>
      </c>
      <c r="I38" s="192"/>
      <c r="J38" s="192"/>
      <c r="K38" s="192"/>
      <c r="L38" s="260">
        <f>'Aset Moneter'!E34</f>
        <v>68857.88362270144</v>
      </c>
      <c r="M38" s="192"/>
      <c r="N38" s="287">
        <f t="shared" si="12"/>
        <v>-68857.88362270144</v>
      </c>
      <c r="O38" s="192"/>
      <c r="P38" s="192"/>
      <c r="Q38" s="192"/>
      <c r="R38" s="260">
        <f>'Aset Moneter'!F34</f>
        <v>-59637.71124627666</v>
      </c>
      <c r="S38" s="192"/>
      <c r="T38" s="287">
        <f t="shared" si="13"/>
        <v>59637.71124627666</v>
      </c>
      <c r="U38" s="192"/>
      <c r="V38" s="192"/>
      <c r="W38" s="192"/>
      <c r="X38" s="260">
        <f>'Aset Moneter'!G34</f>
        <v>21011.295897405391</v>
      </c>
      <c r="Y38" s="192"/>
      <c r="Z38" s="287">
        <f t="shared" si="14"/>
        <v>-21011.295897405391</v>
      </c>
      <c r="AA38" s="192"/>
      <c r="AB38" s="192"/>
      <c r="AC38" s="192"/>
      <c r="AD38" s="260">
        <f>'Aset Moneter'!H34</f>
        <v>-61004.503317447867</v>
      </c>
      <c r="AE38" s="192"/>
      <c r="AF38" s="287">
        <f t="shared" si="15"/>
        <v>61004.503317447867</v>
      </c>
      <c r="AG38" s="192"/>
      <c r="AH38" s="192"/>
      <c r="AI38" s="192"/>
      <c r="AJ38" s="260">
        <f>'Aset Moneter'!I34</f>
        <v>-1155065.3132458273</v>
      </c>
      <c r="AK38" s="192"/>
      <c r="AL38" s="287">
        <f t="shared" si="16"/>
        <v>1155065.3132458273</v>
      </c>
      <c r="AM38" s="192"/>
      <c r="AN38" s="192"/>
      <c r="AO38" s="192"/>
      <c r="AP38" s="260">
        <f>'Aset Moneter'!J34</f>
        <v>-387042.25942808361</v>
      </c>
      <c r="AQ38" s="192"/>
      <c r="AR38" s="287">
        <f t="shared" si="17"/>
        <v>387042.25942808361</v>
      </c>
      <c r="AS38" s="192"/>
      <c r="AT38" s="192"/>
      <c r="AU38" s="192"/>
      <c r="AV38" s="260">
        <f>'Aset Moneter'!K34</f>
        <v>25415.893770706862</v>
      </c>
      <c r="AW38" s="192"/>
      <c r="AX38" s="287">
        <f t="shared" si="18"/>
        <v>-25415.893770706862</v>
      </c>
      <c r="AY38" s="192"/>
      <c r="AZ38" s="192"/>
      <c r="BA38" s="192"/>
      <c r="BB38" s="260">
        <f>'Aset Moneter'!L34</f>
        <v>-166293.53455637034</v>
      </c>
      <c r="BC38" s="192"/>
      <c r="BD38" s="287">
        <f t="shared" si="19"/>
        <v>166293.53455637034</v>
      </c>
      <c r="BE38" s="192"/>
      <c r="BF38" s="192"/>
      <c r="BG38" s="192"/>
      <c r="BH38" s="260">
        <f>'Aset Moneter'!M34</f>
        <v>122131.58140299925</v>
      </c>
      <c r="BI38" s="192"/>
      <c r="BJ38" s="287">
        <f t="shared" si="20"/>
        <v>-122131.58140299925</v>
      </c>
      <c r="BK38" s="192"/>
      <c r="BL38" s="192"/>
      <c r="BM38" s="192"/>
      <c r="BN38" s="260">
        <f>'Aset Moneter'!N34</f>
        <v>-14280.854878423046</v>
      </c>
      <c r="BO38" s="192"/>
      <c r="BP38" s="287">
        <f t="shared" si="21"/>
        <v>14280.854878423046</v>
      </c>
    </row>
    <row r="39" spans="1:68" ht="14.25" customHeight="1">
      <c r="A39" s="190"/>
      <c r="B39" s="191" t="s">
        <v>230</v>
      </c>
      <c r="C39" s="192"/>
      <c r="D39" s="192"/>
      <c r="E39" s="192"/>
      <c r="F39" s="260">
        <f>'Aset Moneter'!D44</f>
        <v>128481.76498333992</v>
      </c>
      <c r="G39" s="192"/>
      <c r="H39" s="287">
        <f t="shared" si="11"/>
        <v>-128481.76498333992</v>
      </c>
      <c r="I39" s="192"/>
      <c r="J39" s="192"/>
      <c r="K39" s="192"/>
      <c r="L39" s="260">
        <f>'Aset Moneter'!E44</f>
        <v>25858.496385128277</v>
      </c>
      <c r="M39" s="192"/>
      <c r="N39" s="287">
        <f t="shared" si="12"/>
        <v>-25858.496385128277</v>
      </c>
      <c r="O39" s="192"/>
      <c r="P39" s="192"/>
      <c r="Q39" s="192"/>
      <c r="R39" s="260">
        <f>'Aset Moneter'!F44</f>
        <v>-299962.97267442121</v>
      </c>
      <c r="S39" s="192"/>
      <c r="T39" s="287">
        <f t="shared" si="13"/>
        <v>299962.97267442121</v>
      </c>
      <c r="U39" s="192"/>
      <c r="V39" s="192"/>
      <c r="W39" s="192"/>
      <c r="X39" s="260">
        <f>'Aset Moneter'!G44</f>
        <v>-508445.65534466924</v>
      </c>
      <c r="Y39" s="192"/>
      <c r="Z39" s="287">
        <f t="shared" si="14"/>
        <v>508445.65534466924</v>
      </c>
      <c r="AA39" s="192"/>
      <c r="AB39" s="192"/>
      <c r="AC39" s="192"/>
      <c r="AD39" s="260">
        <f>'Aset Moneter'!H44</f>
        <v>2029137.673517176</v>
      </c>
      <c r="AE39" s="192"/>
      <c r="AF39" s="287">
        <f t="shared" si="15"/>
        <v>-2029137.673517176</v>
      </c>
      <c r="AG39" s="192"/>
      <c r="AH39" s="192"/>
      <c r="AI39" s="192"/>
      <c r="AJ39" s="260">
        <f>'Aset Moneter'!I44</f>
        <v>30809.290221038329</v>
      </c>
      <c r="AK39" s="192"/>
      <c r="AL39" s="287">
        <f t="shared" si="16"/>
        <v>-30809.290221038329</v>
      </c>
      <c r="AM39" s="192"/>
      <c r="AN39" s="192"/>
      <c r="AO39" s="192"/>
      <c r="AP39" s="260">
        <f>'Aset Moneter'!J44</f>
        <v>177240.60272956439</v>
      </c>
      <c r="AQ39" s="192"/>
      <c r="AR39" s="287">
        <f t="shared" si="17"/>
        <v>-177240.60272956439</v>
      </c>
      <c r="AS39" s="192"/>
      <c r="AT39" s="192"/>
      <c r="AU39" s="192"/>
      <c r="AV39" s="260">
        <f>'Aset Moneter'!K44</f>
        <v>-276046.24027416651</v>
      </c>
      <c r="AW39" s="192"/>
      <c r="AX39" s="287">
        <f t="shared" si="18"/>
        <v>276046.24027416651</v>
      </c>
      <c r="AY39" s="192"/>
      <c r="AZ39" s="192"/>
      <c r="BA39" s="192"/>
      <c r="BB39" s="260">
        <f>'Aset Moneter'!L44</f>
        <v>-168905.02408799229</v>
      </c>
      <c r="BC39" s="192"/>
      <c r="BD39" s="287">
        <f t="shared" si="19"/>
        <v>168905.02408799229</v>
      </c>
      <c r="BE39" s="192"/>
      <c r="BF39" s="192"/>
      <c r="BG39" s="192"/>
      <c r="BH39" s="260">
        <f>'Aset Moneter'!M44</f>
        <v>-1103022.6456488927</v>
      </c>
      <c r="BI39" s="192"/>
      <c r="BJ39" s="287">
        <f t="shared" si="20"/>
        <v>1103022.6456488927</v>
      </c>
      <c r="BK39" s="192"/>
      <c r="BL39" s="192"/>
      <c r="BM39" s="192"/>
      <c r="BN39" s="260">
        <f>'Aset Moneter'!N44</f>
        <v>395572.40607523837</v>
      </c>
      <c r="BO39" s="192"/>
      <c r="BP39" s="287">
        <f t="shared" si="21"/>
        <v>-395572.40607523837</v>
      </c>
    </row>
    <row r="40" spans="1:68" ht="14.25" customHeight="1">
      <c r="A40" s="190"/>
      <c r="B40" s="191" t="s">
        <v>231</v>
      </c>
      <c r="C40" s="192"/>
      <c r="D40" s="192"/>
      <c r="E40" s="192"/>
      <c r="F40" s="260">
        <f>'Aset Moneter'!D54</f>
        <v>-16505.264240595869</v>
      </c>
      <c r="G40" s="192"/>
      <c r="H40" s="287">
        <f t="shared" si="11"/>
        <v>16505.264240595869</v>
      </c>
      <c r="I40" s="192"/>
      <c r="J40" s="192"/>
      <c r="K40" s="192"/>
      <c r="L40" s="260">
        <f>'Aset Moneter'!E54</f>
        <v>27233.919130466504</v>
      </c>
      <c r="M40" s="192"/>
      <c r="N40" s="287">
        <f t="shared" si="12"/>
        <v>-27233.919130466504</v>
      </c>
      <c r="O40" s="192"/>
      <c r="P40" s="192"/>
      <c r="Q40" s="192"/>
      <c r="R40" s="260">
        <f>'Aset Moneter'!F54</f>
        <v>-22.838219597992818</v>
      </c>
      <c r="S40" s="192"/>
      <c r="T40" s="287">
        <f t="shared" si="13"/>
        <v>22.838219597992818</v>
      </c>
      <c r="U40" s="192"/>
      <c r="V40" s="192"/>
      <c r="W40" s="192"/>
      <c r="X40" s="260">
        <f>'Aset Moneter'!G54</f>
        <v>145291.43949713738</v>
      </c>
      <c r="Y40" s="192"/>
      <c r="Z40" s="287">
        <f t="shared" si="14"/>
        <v>-145291.43949713738</v>
      </c>
      <c r="AA40" s="192"/>
      <c r="AB40" s="192"/>
      <c r="AC40" s="192"/>
      <c r="AD40" s="260">
        <f>'Aset Moneter'!H54</f>
        <v>-89672.46190627286</v>
      </c>
      <c r="AE40" s="192"/>
      <c r="AF40" s="287">
        <f t="shared" si="15"/>
        <v>89672.46190627286</v>
      </c>
      <c r="AG40" s="192"/>
      <c r="AH40" s="192"/>
      <c r="AI40" s="192"/>
      <c r="AJ40" s="260">
        <f>'Aset Moneter'!I54</f>
        <v>96748.803842233829</v>
      </c>
      <c r="AK40" s="192"/>
      <c r="AL40" s="287">
        <f t="shared" si="16"/>
        <v>-96748.803842233829</v>
      </c>
      <c r="AM40" s="192"/>
      <c r="AN40" s="192"/>
      <c r="AO40" s="192"/>
      <c r="AP40" s="260">
        <f>'Aset Moneter'!J54</f>
        <v>-125099.91054334727</v>
      </c>
      <c r="AQ40" s="192"/>
      <c r="AR40" s="287">
        <f t="shared" si="17"/>
        <v>125099.91054334727</v>
      </c>
      <c r="AS40" s="192"/>
      <c r="AT40" s="192"/>
      <c r="AU40" s="192"/>
      <c r="AV40" s="260">
        <f>'Aset Moneter'!K54</f>
        <v>-17200.765071228045</v>
      </c>
      <c r="AW40" s="192"/>
      <c r="AX40" s="287">
        <f t="shared" si="18"/>
        <v>17200.765071228045</v>
      </c>
      <c r="AY40" s="192"/>
      <c r="AZ40" s="192"/>
      <c r="BA40" s="192"/>
      <c r="BB40" s="260">
        <f>'Aset Moneter'!L54</f>
        <v>154066.26253523087</v>
      </c>
      <c r="BC40" s="192"/>
      <c r="BD40" s="287">
        <f t="shared" si="19"/>
        <v>-154066.26253523087</v>
      </c>
      <c r="BE40" s="192"/>
      <c r="BF40" s="192"/>
      <c r="BG40" s="192"/>
      <c r="BH40" s="260">
        <f>'Aset Moneter'!M54</f>
        <v>20270.474362512512</v>
      </c>
      <c r="BI40" s="192"/>
      <c r="BJ40" s="287">
        <f t="shared" si="20"/>
        <v>-20270.474362512512</v>
      </c>
      <c r="BK40" s="192"/>
      <c r="BL40" s="192"/>
      <c r="BM40" s="192"/>
      <c r="BN40" s="260">
        <f>'Aset Moneter'!N54</f>
        <v>10521.526497445979</v>
      </c>
      <c r="BO40" s="192"/>
      <c r="BP40" s="287">
        <f t="shared" si="21"/>
        <v>-10521.526497445979</v>
      </c>
    </row>
    <row r="41" spans="1:68" ht="14.25" customHeight="1">
      <c r="A41" s="190"/>
      <c r="B41" s="191" t="s">
        <v>236</v>
      </c>
      <c r="C41" s="192"/>
      <c r="D41" s="192"/>
      <c r="E41" s="192"/>
      <c r="F41" s="260">
        <f>'Aset Moneter'!D64</f>
        <v>241.21711563029314</v>
      </c>
      <c r="G41" s="192"/>
      <c r="H41" s="287">
        <f t="shared" si="11"/>
        <v>-241.21711563029314</v>
      </c>
      <c r="I41" s="192"/>
      <c r="J41" s="192"/>
      <c r="K41" s="192"/>
      <c r="L41" s="260">
        <f>'Aset Moneter'!E64</f>
        <v>-731.03786942615704</v>
      </c>
      <c r="M41" s="192"/>
      <c r="N41" s="287">
        <f t="shared" si="12"/>
        <v>731.03786942615704</v>
      </c>
      <c r="O41" s="192"/>
      <c r="P41" s="192"/>
      <c r="Q41" s="192"/>
      <c r="R41" s="260">
        <f>'Aset Moneter'!F64</f>
        <v>1337.6062609164298</v>
      </c>
      <c r="S41" s="192"/>
      <c r="T41" s="287">
        <f t="shared" si="13"/>
        <v>-1337.6062609164298</v>
      </c>
      <c r="U41" s="192"/>
      <c r="V41" s="192"/>
      <c r="W41" s="192"/>
      <c r="X41" s="260">
        <f>'Aset Moneter'!G64</f>
        <v>-13578.288683412058</v>
      </c>
      <c r="Y41" s="192"/>
      <c r="Z41" s="287">
        <f t="shared" si="14"/>
        <v>13578.288683412058</v>
      </c>
      <c r="AA41" s="192"/>
      <c r="AB41" s="192"/>
      <c r="AC41" s="192"/>
      <c r="AD41" s="260">
        <f>'Aset Moneter'!H64</f>
        <v>10139.074723451338</v>
      </c>
      <c r="AE41" s="192"/>
      <c r="AF41" s="287">
        <f t="shared" si="15"/>
        <v>-10139.074723451338</v>
      </c>
      <c r="AG41" s="192"/>
      <c r="AH41" s="192"/>
      <c r="AI41" s="192"/>
      <c r="AJ41" s="260">
        <f>'Aset Moneter'!I64</f>
        <v>170.35247648128453</v>
      </c>
      <c r="AK41" s="192"/>
      <c r="AL41" s="287">
        <f t="shared" si="16"/>
        <v>-170.35247648128453</v>
      </c>
      <c r="AM41" s="192"/>
      <c r="AN41" s="192"/>
      <c r="AO41" s="192"/>
      <c r="AP41" s="260">
        <f>'Aset Moneter'!J64</f>
        <v>-591.78400841958523</v>
      </c>
      <c r="AQ41" s="192"/>
      <c r="AR41" s="287">
        <f t="shared" si="17"/>
        <v>591.78400841958523</v>
      </c>
      <c r="AS41" s="192"/>
      <c r="AT41" s="192"/>
      <c r="AU41" s="192"/>
      <c r="AV41" s="260">
        <f>'Aset Moneter'!K64</f>
        <v>236.99735147466561</v>
      </c>
      <c r="AW41" s="192"/>
      <c r="AX41" s="287">
        <f t="shared" si="18"/>
        <v>-236.99735147466561</v>
      </c>
      <c r="AY41" s="192"/>
      <c r="AZ41" s="192"/>
      <c r="BA41" s="192"/>
      <c r="BB41" s="260">
        <f>'Aset Moneter'!L64</f>
        <v>10505.259668419829</v>
      </c>
      <c r="BC41" s="192"/>
      <c r="BD41" s="287">
        <f t="shared" si="19"/>
        <v>-10505.259668419829</v>
      </c>
      <c r="BE41" s="192"/>
      <c r="BF41" s="192"/>
      <c r="BG41" s="192"/>
      <c r="BH41" s="260">
        <f>'Aset Moneter'!M64</f>
        <v>-170.29361458514239</v>
      </c>
      <c r="BI41" s="192"/>
      <c r="BJ41" s="287">
        <f t="shared" si="20"/>
        <v>170.29361458514239</v>
      </c>
      <c r="BK41" s="192"/>
      <c r="BL41" s="192"/>
      <c r="BM41" s="192"/>
      <c r="BN41" s="260">
        <f>'Aset Moneter'!N64</f>
        <v>86.150159648457006</v>
      </c>
      <c r="BO41" s="192"/>
      <c r="BP41" s="287">
        <f t="shared" si="21"/>
        <v>-86.150159648457006</v>
      </c>
    </row>
    <row r="42" spans="1:68" ht="14.25" customHeight="1">
      <c r="A42" s="190"/>
      <c r="B42" s="191" t="s">
        <v>237</v>
      </c>
      <c r="C42" s="192"/>
      <c r="D42" s="192"/>
      <c r="E42" s="192"/>
      <c r="F42" s="260">
        <f>'Aset Moneter'!D74</f>
        <v>5068.6222247249825</v>
      </c>
      <c r="G42" s="192"/>
      <c r="H42" s="287">
        <f t="shared" si="11"/>
        <v>-5068.6222247249825</v>
      </c>
      <c r="I42" s="192"/>
      <c r="J42" s="192"/>
      <c r="K42" s="192"/>
      <c r="L42" s="260">
        <f>'Aset Moneter'!E74</f>
        <v>66.508587887126794</v>
      </c>
      <c r="M42" s="192"/>
      <c r="N42" s="287">
        <f t="shared" si="12"/>
        <v>-66.508587887126794</v>
      </c>
      <c r="O42" s="192"/>
      <c r="P42" s="192"/>
      <c r="Q42" s="192"/>
      <c r="R42" s="260">
        <f>'Aset Moneter'!F74</f>
        <v>16245.21172170705</v>
      </c>
      <c r="S42" s="192"/>
      <c r="T42" s="287">
        <f t="shared" si="13"/>
        <v>-16245.21172170705</v>
      </c>
      <c r="U42" s="192"/>
      <c r="V42" s="192"/>
      <c r="W42" s="192"/>
      <c r="X42" s="260">
        <f>'Aset Moneter'!G74</f>
        <v>-32152.036320753108</v>
      </c>
      <c r="Y42" s="192"/>
      <c r="Z42" s="287">
        <f t="shared" si="14"/>
        <v>32152.036320753108</v>
      </c>
      <c r="AA42" s="192"/>
      <c r="AB42" s="192"/>
      <c r="AC42" s="192"/>
      <c r="AD42" s="260">
        <f>'Aset Moneter'!H74</f>
        <v>-7186.1076580261106</v>
      </c>
      <c r="AE42" s="192"/>
      <c r="AF42" s="287">
        <f t="shared" si="15"/>
        <v>7186.1076580261106</v>
      </c>
      <c r="AG42" s="192"/>
      <c r="AH42" s="192"/>
      <c r="AI42" s="192"/>
      <c r="AJ42" s="260">
        <f>'Aset Moneter'!I74</f>
        <v>14163.968114537656</v>
      </c>
      <c r="AK42" s="192"/>
      <c r="AL42" s="287">
        <f t="shared" si="16"/>
        <v>-14163.968114537656</v>
      </c>
      <c r="AM42" s="192"/>
      <c r="AN42" s="192"/>
      <c r="AO42" s="192"/>
      <c r="AP42" s="260">
        <f>'Aset Moneter'!J74</f>
        <v>17497.746562564651</v>
      </c>
      <c r="AQ42" s="192"/>
      <c r="AR42" s="287">
        <f t="shared" si="17"/>
        <v>-17497.746562564651</v>
      </c>
      <c r="AS42" s="192"/>
      <c r="AT42" s="192"/>
      <c r="AU42" s="192"/>
      <c r="AV42" s="260">
        <f>'Aset Moneter'!K74</f>
        <v>-124011.66687780808</v>
      </c>
      <c r="AW42" s="192"/>
      <c r="AX42" s="287">
        <f t="shared" si="18"/>
        <v>124011.66687780808</v>
      </c>
      <c r="AY42" s="192"/>
      <c r="AZ42" s="192"/>
      <c r="BA42" s="192"/>
      <c r="BB42" s="260">
        <f>'Aset Moneter'!L74</f>
        <v>83889.044490295506</v>
      </c>
      <c r="BC42" s="192"/>
      <c r="BD42" s="287">
        <f t="shared" si="19"/>
        <v>-83889.044490295506</v>
      </c>
      <c r="BE42" s="192"/>
      <c r="BF42" s="192"/>
      <c r="BG42" s="192"/>
      <c r="BH42" s="260">
        <f>'Aset Moneter'!M74</f>
        <v>126764.03948263239</v>
      </c>
      <c r="BI42" s="192"/>
      <c r="BJ42" s="287">
        <f t="shared" si="20"/>
        <v>-126764.03948263239</v>
      </c>
      <c r="BK42" s="192"/>
      <c r="BL42" s="192"/>
      <c r="BM42" s="192"/>
      <c r="BN42" s="260">
        <f>'Aset Moneter'!N74</f>
        <v>76571.361254304851</v>
      </c>
      <c r="BO42" s="192"/>
      <c r="BP42" s="287">
        <f t="shared" si="21"/>
        <v>-76571.361254304851</v>
      </c>
    </row>
    <row r="43" spans="1:68" ht="14.25" customHeight="1">
      <c r="A43" s="190"/>
      <c r="B43" s="191" t="s">
        <v>238</v>
      </c>
      <c r="C43" s="192"/>
      <c r="D43" s="192"/>
      <c r="E43" s="192"/>
      <c r="F43" s="260">
        <f>'Aset Moneter'!D84</f>
        <v>13491.351731428002</v>
      </c>
      <c r="G43" s="192"/>
      <c r="H43" s="287">
        <f t="shared" si="11"/>
        <v>-13491.351731428002</v>
      </c>
      <c r="I43" s="192"/>
      <c r="J43" s="192"/>
      <c r="K43" s="192"/>
      <c r="L43" s="260">
        <f>'Aset Moneter'!E84</f>
        <v>37365.684215182991</v>
      </c>
      <c r="M43" s="192"/>
      <c r="N43" s="287">
        <f t="shared" si="12"/>
        <v>-37365.684215182991</v>
      </c>
      <c r="O43" s="192"/>
      <c r="P43" s="192"/>
      <c r="Q43" s="192"/>
      <c r="R43" s="260">
        <f>'Aset Moneter'!F84</f>
        <v>32792.60548777986</v>
      </c>
      <c r="S43" s="192"/>
      <c r="T43" s="287">
        <f t="shared" si="13"/>
        <v>-32792.60548777986</v>
      </c>
      <c r="U43" s="192"/>
      <c r="V43" s="192"/>
      <c r="W43" s="192"/>
      <c r="X43" s="260">
        <f>'Aset Moneter'!G84</f>
        <v>-13629.008439330151</v>
      </c>
      <c r="Y43" s="192"/>
      <c r="Z43" s="287">
        <f t="shared" si="14"/>
        <v>13629.008439330151</v>
      </c>
      <c r="AA43" s="192"/>
      <c r="AB43" s="192"/>
      <c r="AC43" s="192"/>
      <c r="AD43" s="260">
        <f>'Aset Moneter'!H84</f>
        <v>152190.16592175938</v>
      </c>
      <c r="AE43" s="192"/>
      <c r="AF43" s="287">
        <f t="shared" si="15"/>
        <v>-152190.16592175938</v>
      </c>
      <c r="AG43" s="192"/>
      <c r="AH43" s="192"/>
      <c r="AI43" s="192"/>
      <c r="AJ43" s="260">
        <f>'Aset Moneter'!I84</f>
        <v>-7813.5354552073159</v>
      </c>
      <c r="AK43" s="192"/>
      <c r="AL43" s="287">
        <f t="shared" si="16"/>
        <v>7813.5354552073159</v>
      </c>
      <c r="AM43" s="192"/>
      <c r="AN43" s="192"/>
      <c r="AO43" s="192"/>
      <c r="AP43" s="260">
        <f>'Aset Moneter'!J84</f>
        <v>34080.104468232639</v>
      </c>
      <c r="AQ43" s="192"/>
      <c r="AR43" s="287">
        <f t="shared" si="17"/>
        <v>-34080.104468232639</v>
      </c>
      <c r="AS43" s="192"/>
      <c r="AT43" s="192"/>
      <c r="AU43" s="192"/>
      <c r="AV43" s="260">
        <f>'Aset Moneter'!K84</f>
        <v>-53761.498027976282</v>
      </c>
      <c r="AW43" s="192"/>
      <c r="AX43" s="287">
        <f t="shared" si="18"/>
        <v>53761.498027976282</v>
      </c>
      <c r="AY43" s="192"/>
      <c r="AZ43" s="192"/>
      <c r="BA43" s="192"/>
      <c r="BB43" s="260">
        <f>'Aset Moneter'!L84</f>
        <v>21071.259188932912</v>
      </c>
      <c r="BC43" s="192"/>
      <c r="BD43" s="287">
        <f t="shared" si="19"/>
        <v>-21071.259188932912</v>
      </c>
      <c r="BE43" s="192"/>
      <c r="BF43" s="192"/>
      <c r="BG43" s="192"/>
      <c r="BH43" s="260">
        <f>'Aset Moneter'!M84</f>
        <v>-196962.03558978927</v>
      </c>
      <c r="BI43" s="192"/>
      <c r="BJ43" s="287">
        <f t="shared" si="20"/>
        <v>196962.03558978927</v>
      </c>
      <c r="BK43" s="192"/>
      <c r="BL43" s="192"/>
      <c r="BM43" s="192"/>
      <c r="BN43" s="260">
        <f>'Aset Moneter'!N84</f>
        <v>38299.817176630742</v>
      </c>
      <c r="BO43" s="192"/>
      <c r="BP43" s="287">
        <f t="shared" si="21"/>
        <v>-38299.817176630742</v>
      </c>
    </row>
    <row r="44" spans="1:68" ht="14.25" customHeight="1">
      <c r="A44" s="190"/>
      <c r="B44" s="191" t="s">
        <v>239</v>
      </c>
      <c r="C44" s="192"/>
      <c r="D44" s="192"/>
      <c r="E44" s="192"/>
      <c r="F44" s="260">
        <f>'Aset Moneter'!D94</f>
        <v>2.7599683316208439</v>
      </c>
      <c r="G44" s="192"/>
      <c r="H44" s="287">
        <f t="shared" si="11"/>
        <v>-2.7599683316208439</v>
      </c>
      <c r="I44" s="192"/>
      <c r="J44" s="192"/>
      <c r="K44" s="192"/>
      <c r="L44" s="260">
        <f>'Aset Moneter'!E94</f>
        <v>111761.08884468465</v>
      </c>
      <c r="M44" s="192"/>
      <c r="N44" s="287">
        <f t="shared" si="12"/>
        <v>-111761.08884468465</v>
      </c>
      <c r="O44" s="192"/>
      <c r="P44" s="192"/>
      <c r="Q44" s="192"/>
      <c r="R44" s="260">
        <f>'Aset Moneter'!F94</f>
        <v>-10028.795638550735</v>
      </c>
      <c r="S44" s="192"/>
      <c r="T44" s="287">
        <f t="shared" si="13"/>
        <v>10028.795638550735</v>
      </c>
      <c r="U44" s="192"/>
      <c r="V44" s="192"/>
      <c r="W44" s="192"/>
      <c r="X44" s="260">
        <f>'Aset Moneter'!G94</f>
        <v>76170.172633598006</v>
      </c>
      <c r="Y44" s="192"/>
      <c r="Z44" s="287">
        <f t="shared" si="14"/>
        <v>-76170.172633598006</v>
      </c>
      <c r="AA44" s="192"/>
      <c r="AB44" s="192"/>
      <c r="AC44" s="192"/>
      <c r="AD44" s="260">
        <f>'Aset Moneter'!H94</f>
        <v>38105.137565557183</v>
      </c>
      <c r="AE44" s="192"/>
      <c r="AF44" s="287">
        <f t="shared" si="15"/>
        <v>-38105.137565557183</v>
      </c>
      <c r="AG44" s="192"/>
      <c r="AH44" s="192"/>
      <c r="AI44" s="192"/>
      <c r="AJ44" s="260">
        <f>'Aset Moneter'!I94</f>
        <v>-1861.7149668930226</v>
      </c>
      <c r="AK44" s="192"/>
      <c r="AL44" s="287">
        <f t="shared" si="16"/>
        <v>1861.7149668930226</v>
      </c>
      <c r="AM44" s="192"/>
      <c r="AN44" s="192"/>
      <c r="AO44" s="192"/>
      <c r="AP44" s="260">
        <f>'Aset Moneter'!J94</f>
        <v>-30795.56454140765</v>
      </c>
      <c r="AQ44" s="192"/>
      <c r="AR44" s="287">
        <f t="shared" si="17"/>
        <v>30795.56454140765</v>
      </c>
      <c r="AS44" s="192"/>
      <c r="AT44" s="192"/>
      <c r="AU44" s="192"/>
      <c r="AV44" s="260">
        <f>'Aset Moneter'!K94</f>
        <v>25024.271804360516</v>
      </c>
      <c r="AW44" s="192"/>
      <c r="AX44" s="287">
        <f t="shared" si="18"/>
        <v>-25024.271804360516</v>
      </c>
      <c r="AY44" s="192"/>
      <c r="AZ44" s="192"/>
      <c r="BA44" s="192"/>
      <c r="BB44" s="260">
        <f>'Aset Moneter'!L94</f>
        <v>170.97836573455723</v>
      </c>
      <c r="BC44" s="192"/>
      <c r="BD44" s="287">
        <f t="shared" si="19"/>
        <v>-170.97836573455723</v>
      </c>
      <c r="BE44" s="192"/>
      <c r="BF44" s="192"/>
      <c r="BG44" s="192"/>
      <c r="BH44" s="260">
        <f>'Aset Moneter'!M94</f>
        <v>15170.047987381131</v>
      </c>
      <c r="BI44" s="192"/>
      <c r="BJ44" s="287">
        <f t="shared" si="20"/>
        <v>-15170.047987381131</v>
      </c>
      <c r="BK44" s="192"/>
      <c r="BL44" s="192"/>
      <c r="BM44" s="192"/>
      <c r="BN44" s="260">
        <f>'Aset Moneter'!N94</f>
        <v>31710.237303884991</v>
      </c>
      <c r="BO44" s="192"/>
      <c r="BP44" s="287">
        <f t="shared" si="21"/>
        <v>-31710.237303884991</v>
      </c>
    </row>
    <row r="45" spans="1:68" ht="14.25" customHeight="1">
      <c r="A45" s="220"/>
      <c r="B45" s="221" t="s">
        <v>240</v>
      </c>
      <c r="C45" s="222"/>
      <c r="D45" s="222"/>
      <c r="E45" s="222"/>
      <c r="F45" s="284">
        <f>'Aset Moneter'!D104</f>
        <v>68.394417588726739</v>
      </c>
      <c r="G45" s="222"/>
      <c r="H45" s="290">
        <f t="shared" si="11"/>
        <v>-68.394417588726739</v>
      </c>
      <c r="I45" s="222"/>
      <c r="J45" s="222"/>
      <c r="K45" s="222"/>
      <c r="L45" s="284">
        <f>'Aset Moneter'!E104</f>
        <v>5623.3098027032584</v>
      </c>
      <c r="M45" s="222"/>
      <c r="N45" s="290">
        <f t="shared" si="12"/>
        <v>-5623.3098027032584</v>
      </c>
      <c r="O45" s="222"/>
      <c r="P45" s="222"/>
      <c r="Q45" s="222"/>
      <c r="R45" s="284">
        <f>'Aset Moneter'!F104</f>
        <v>500.20426964620248</v>
      </c>
      <c r="S45" s="222"/>
      <c r="T45" s="290">
        <f t="shared" si="13"/>
        <v>-500.20426964620248</v>
      </c>
      <c r="U45" s="222"/>
      <c r="V45" s="222"/>
      <c r="W45" s="222"/>
      <c r="X45" s="284">
        <f>'Aset Moneter'!G104</f>
        <v>6373.3804595814809</v>
      </c>
      <c r="Y45" s="222"/>
      <c r="Z45" s="290">
        <f t="shared" si="14"/>
        <v>-6373.3804595814809</v>
      </c>
      <c r="AA45" s="222"/>
      <c r="AB45" s="222"/>
      <c r="AC45" s="222"/>
      <c r="AD45" s="284">
        <f>'Aset Moneter'!H104</f>
        <v>1341.7766182673663</v>
      </c>
      <c r="AE45" s="222"/>
      <c r="AF45" s="290">
        <f t="shared" si="15"/>
        <v>-1341.7766182673663</v>
      </c>
      <c r="AG45" s="222"/>
      <c r="AH45" s="222"/>
      <c r="AI45" s="222"/>
      <c r="AJ45" s="284">
        <f>'Aset Moneter'!I104</f>
        <v>124.65002779339567</v>
      </c>
      <c r="AK45" s="222"/>
      <c r="AL45" s="290">
        <f t="shared" si="16"/>
        <v>-124.65002779339567</v>
      </c>
      <c r="AM45" s="222"/>
      <c r="AN45" s="222"/>
      <c r="AO45" s="222"/>
      <c r="AP45" s="284">
        <f>'Aset Moneter'!J104</f>
        <v>27554.453149037927</v>
      </c>
      <c r="AQ45" s="222"/>
      <c r="AR45" s="290">
        <f t="shared" si="17"/>
        <v>-27554.453149037927</v>
      </c>
      <c r="AS45" s="222"/>
      <c r="AT45" s="222"/>
      <c r="AU45" s="222"/>
      <c r="AV45" s="284">
        <f>'Aset Moneter'!K104</f>
        <v>-73936.256260326132</v>
      </c>
      <c r="AW45" s="222"/>
      <c r="AX45" s="290">
        <f t="shared" si="18"/>
        <v>73936.256260326132</v>
      </c>
      <c r="AY45" s="222"/>
      <c r="AZ45" s="222"/>
      <c r="BA45" s="222"/>
      <c r="BB45" s="284">
        <f>'Aset Moneter'!L104</f>
        <v>5405.1373692511006</v>
      </c>
      <c r="BC45" s="222"/>
      <c r="BD45" s="290">
        <f t="shared" si="19"/>
        <v>-5405.1373692511006</v>
      </c>
      <c r="BE45" s="222"/>
      <c r="BF45" s="222"/>
      <c r="BG45" s="222"/>
      <c r="BH45" s="284">
        <f>'Aset Moneter'!M104</f>
        <v>85.313696596835925</v>
      </c>
      <c r="BI45" s="222"/>
      <c r="BJ45" s="290">
        <f t="shared" si="20"/>
        <v>-85.313696596835925</v>
      </c>
      <c r="BK45" s="222"/>
      <c r="BL45" s="222"/>
      <c r="BM45" s="222"/>
      <c r="BN45" s="284">
        <f>'Aset Moneter'!N104</f>
        <v>8641.0761875504504</v>
      </c>
      <c r="BO45" s="222"/>
      <c r="BP45" s="290">
        <f t="shared" si="21"/>
        <v>-8641.0761875504504</v>
      </c>
    </row>
    <row r="46" spans="1:68" ht="14.25" customHeight="1">
      <c r="A46" s="225">
        <v>8</v>
      </c>
      <c r="B46" s="226" t="s">
        <v>277</v>
      </c>
      <c r="C46" s="227">
        <f>C23-C24</f>
        <v>8373652.9472252866</v>
      </c>
      <c r="D46" s="227">
        <f t="shared" ref="D46:E46" si="22">D23</f>
        <v>7035633.6770690875</v>
      </c>
      <c r="E46" s="227">
        <f t="shared" si="22"/>
        <v>1642635.4146147538</v>
      </c>
      <c r="F46" s="227">
        <f>F35+F24-F36</f>
        <v>-35182.64811263654</v>
      </c>
      <c r="G46" s="227">
        <f>G23</f>
        <v>-79083.210633110255</v>
      </c>
      <c r="H46" s="228">
        <f>H35</f>
        <v>-195990.05367287213</v>
      </c>
      <c r="I46" s="227">
        <f>I23-I24</f>
        <v>9140542.4409076255</v>
      </c>
      <c r="J46" s="227">
        <f t="shared" ref="J46:K46" si="23">J23</f>
        <v>7745630.1336852107</v>
      </c>
      <c r="K46" s="227">
        <f t="shared" si="23"/>
        <v>1607151.0733193466</v>
      </c>
      <c r="L46" s="227">
        <f>L35+L24-L36</f>
        <v>64980.805251874059</v>
      </c>
      <c r="M46" s="227">
        <f>M23</f>
        <v>44113.382418234367</v>
      </c>
      <c r="N46" s="228">
        <f>N35</f>
        <v>-327544.48280589032</v>
      </c>
      <c r="O46" s="227">
        <f>O23-O24</f>
        <v>10172459.342339035</v>
      </c>
      <c r="P46" s="227">
        <f t="shared" ref="P46:Q46" si="24">P23</f>
        <v>8353135.9765716353</v>
      </c>
      <c r="Q46" s="227">
        <f t="shared" si="24"/>
        <v>1919065.9625838071</v>
      </c>
      <c r="R46" s="227">
        <f>R35+R24-R36</f>
        <v>-475098.59092527593</v>
      </c>
      <c r="S46" s="227">
        <f>S23</f>
        <v>93837.170844558626</v>
      </c>
      <c r="T46" s="228">
        <f>T35</f>
        <v>274408.02934525936</v>
      </c>
      <c r="U46" s="227">
        <f>U23-U24</f>
        <v>10940878.258305931</v>
      </c>
      <c r="V46" s="227">
        <f t="shared" ref="V46:W46" si="25">V23</f>
        <v>9023120.2582747675</v>
      </c>
      <c r="W46" s="227">
        <f t="shared" si="25"/>
        <v>1999990.4572719098</v>
      </c>
      <c r="X46" s="227">
        <f>X35+X24-X36</f>
        <v>-441321.25086658477</v>
      </c>
      <c r="Y46" s="227">
        <f>Y23</f>
        <v>135777.55213559046</v>
      </c>
      <c r="Z46" s="228">
        <f>Z35</f>
        <v>217008.34884930315</v>
      </c>
      <c r="AA46" s="227">
        <f>AA23-AA24</f>
        <v>11793028.461659301</v>
      </c>
      <c r="AB46" s="227">
        <f t="shared" ref="AB46:AC46" si="26">AB23</f>
        <v>9793746.2575405799</v>
      </c>
      <c r="AC46" s="227">
        <f t="shared" si="26"/>
        <v>2403578.5241528149</v>
      </c>
      <c r="AD46" s="227">
        <f>AD35+AD24-AD36</f>
        <v>1884759.671055302</v>
      </c>
      <c r="AE46" s="227">
        <f>AE23</f>
        <v>-158598.99249870004</v>
      </c>
      <c r="AF46" s="228">
        <f>AF35</f>
        <v>-2137317.0513089728</v>
      </c>
      <c r="AG46" s="227">
        <f>AG23-AG24</f>
        <v>12341083.059748176</v>
      </c>
      <c r="AH46" s="227">
        <f t="shared" ref="AH46:AI46" si="27">AH23</f>
        <v>10566546.93471471</v>
      </c>
      <c r="AI46" s="227">
        <f t="shared" si="27"/>
        <v>2168420.4355358533</v>
      </c>
      <c r="AJ46" s="227">
        <f>AJ35+AJ24-AJ36</f>
        <v>-2525508.7541969749</v>
      </c>
      <c r="AK46" s="227">
        <f>AK23</f>
        <v>-70411.300496299751</v>
      </c>
      <c r="AL46" s="228">
        <f>AL35</f>
        <v>2192850.9860156202</v>
      </c>
      <c r="AM46" s="227">
        <f>AM23-AM24</f>
        <v>12217739.639839927</v>
      </c>
      <c r="AN46" s="227">
        <f t="shared" ref="AN46:AO46" si="28">AN23</f>
        <v>10592540.79849246</v>
      </c>
      <c r="AO46" s="227">
        <f t="shared" si="28"/>
        <v>1645989.8357840199</v>
      </c>
      <c r="AP46" s="227">
        <f>AP35+AP24-AP36</f>
        <v>-329510.2872867618</v>
      </c>
      <c r="AQ46" s="227">
        <f>AQ23</f>
        <v>261017.5590615999</v>
      </c>
      <c r="AR46" s="228">
        <f>AR35</f>
        <v>37387.736491961361</v>
      </c>
      <c r="AS46" s="227">
        <f>AS23-AS24</f>
        <v>13474916.425195221</v>
      </c>
      <c r="AT46" s="227">
        <f t="shared" ref="AT46:AU46" si="29">AT23</f>
        <v>11013795.611320138</v>
      </c>
      <c r="AU46" s="227">
        <f t="shared" si="29"/>
        <v>2370337.7357020909</v>
      </c>
      <c r="AV46" s="227">
        <f>AV35+AV24-AV36</f>
        <v>-842715.58998035791</v>
      </c>
      <c r="AW46" s="227">
        <f>AW23</f>
        <v>446208.95526146004</v>
      </c>
      <c r="AX46" s="228">
        <f>AX35</f>
        <v>478580.40712886845</v>
      </c>
      <c r="AY46" s="227">
        <f>AY23-AY24</f>
        <v>15324600.504634425</v>
      </c>
      <c r="AZ46" s="227">
        <f t="shared" ref="AZ46:BA46" si="30">AZ23</f>
        <v>11896997.2442964</v>
      </c>
      <c r="BA46" s="227">
        <f t="shared" si="30"/>
        <v>3311760.9164654692</v>
      </c>
      <c r="BB46" s="227">
        <f>BB35+BB24-BB36</f>
        <v>-414639.55488581565</v>
      </c>
      <c r="BC46" s="227">
        <f>BC23</f>
        <v>693657.36538094096</v>
      </c>
      <c r="BD46" s="228">
        <f>BD35</f>
        <v>-175025.6228438745</v>
      </c>
      <c r="BE46" s="227">
        <f>BE23-BE24</f>
        <v>15937625.964833278</v>
      </c>
      <c r="BF46" s="227">
        <f t="shared" ref="BF46:BG46" si="31">BF23</f>
        <v>12928271.737489318</v>
      </c>
      <c r="BG46" s="227">
        <f t="shared" si="31"/>
        <v>3372114.183264982</v>
      </c>
      <c r="BH46" s="227">
        <f>BH35+BH24-BH36</f>
        <v>-1477205.3341029044</v>
      </c>
      <c r="BI46" s="227">
        <f>BI23</f>
        <v>453658.03034679964</v>
      </c>
      <c r="BJ46" s="228">
        <f>BJ35</f>
        <v>646580.77488878334</v>
      </c>
      <c r="BK46" s="227">
        <f>BK23-BK24</f>
        <v>17005683.387753908</v>
      </c>
      <c r="BL46" s="227">
        <f t="shared" ref="BL46:BM46" si="32">BL23</f>
        <v>13976577.865418604</v>
      </c>
      <c r="BM46" s="227">
        <f t="shared" si="32"/>
        <v>3338958.7268018937</v>
      </c>
      <c r="BN46" s="227">
        <f>BN35+BN24-BN36</f>
        <v>-234267.8390841755</v>
      </c>
      <c r="BO46" s="227">
        <f>BO23</f>
        <v>397168.2427885998</v>
      </c>
      <c r="BP46" s="228">
        <f>BP35</f>
        <v>-488451.76826706942</v>
      </c>
    </row>
    <row r="47" spans="1:68" ht="14.25" customHeight="1">
      <c r="A47" s="183">
        <v>9</v>
      </c>
      <c r="B47" s="184" t="s">
        <v>278</v>
      </c>
      <c r="C47" s="185"/>
      <c r="D47" s="185"/>
      <c r="E47" s="291"/>
      <c r="F47" s="185"/>
      <c r="G47" s="185"/>
      <c r="H47" s="187"/>
      <c r="I47" s="185"/>
      <c r="J47" s="185"/>
      <c r="K47" s="291"/>
      <c r="L47" s="185"/>
      <c r="M47" s="185"/>
      <c r="N47" s="187"/>
      <c r="O47" s="185"/>
      <c r="P47" s="185"/>
      <c r="Q47" s="291"/>
      <c r="R47" s="185"/>
      <c r="S47" s="185"/>
      <c r="T47" s="187"/>
      <c r="U47" s="185"/>
      <c r="V47" s="185"/>
      <c r="W47" s="291"/>
      <c r="X47" s="185"/>
      <c r="Y47" s="185"/>
      <c r="Z47" s="187"/>
      <c r="AA47" s="185"/>
      <c r="AB47" s="185"/>
      <c r="AC47" s="291"/>
      <c r="AD47" s="185"/>
      <c r="AE47" s="185"/>
      <c r="AF47" s="187"/>
      <c r="AG47" s="185"/>
      <c r="AH47" s="185"/>
      <c r="AI47" s="291"/>
      <c r="AJ47" s="185"/>
      <c r="AK47" s="185"/>
      <c r="AL47" s="187"/>
      <c r="AM47" s="185"/>
      <c r="AN47" s="185"/>
      <c r="AO47" s="291"/>
      <c r="AP47" s="185"/>
      <c r="AQ47" s="185"/>
      <c r="AR47" s="187"/>
      <c r="AS47" s="185"/>
      <c r="AT47" s="185"/>
      <c r="AU47" s="291"/>
      <c r="AV47" s="185"/>
      <c r="AW47" s="185"/>
      <c r="AX47" s="187"/>
      <c r="AY47" s="185"/>
      <c r="AZ47" s="185"/>
      <c r="BA47" s="291"/>
      <c r="BB47" s="185"/>
      <c r="BC47" s="185"/>
      <c r="BD47" s="187"/>
      <c r="BE47" s="185"/>
      <c r="BF47" s="185"/>
      <c r="BG47" s="291"/>
      <c r="BH47" s="185"/>
      <c r="BI47" s="185"/>
      <c r="BJ47" s="187"/>
      <c r="BK47" s="185"/>
      <c r="BL47" s="185"/>
      <c r="BM47" s="291"/>
      <c r="BN47" s="185"/>
      <c r="BO47" s="185"/>
      <c r="BP47" s="187"/>
    </row>
    <row r="48" spans="1:68" ht="14.25" customHeight="1">
      <c r="A48" s="190"/>
      <c r="B48" s="191" t="s">
        <v>224</v>
      </c>
      <c r="C48" s="192"/>
      <c r="D48" s="192"/>
      <c r="E48" s="292">
        <f>E60-E46-E9</f>
        <v>3145856.6506991126</v>
      </c>
      <c r="F48" s="192"/>
      <c r="G48" s="192"/>
      <c r="H48" s="193"/>
      <c r="I48" s="192"/>
      <c r="J48" s="192"/>
      <c r="K48" s="292">
        <f>K60-K46-K9</f>
        <v>1914113.8943846598</v>
      </c>
      <c r="L48" s="192"/>
      <c r="M48" s="192"/>
      <c r="N48" s="193"/>
      <c r="O48" s="192"/>
      <c r="P48" s="192"/>
      <c r="Q48" s="292">
        <f>Q60-Q46-Q9</f>
        <v>1318339.4179961681</v>
      </c>
      <c r="R48" s="192"/>
      <c r="S48" s="192"/>
      <c r="T48" s="193"/>
      <c r="U48" s="192"/>
      <c r="V48" s="192"/>
      <c r="W48" s="292">
        <f>W60-W46-W9</f>
        <v>2311045.3135480359</v>
      </c>
      <c r="X48" s="192"/>
      <c r="Y48" s="192"/>
      <c r="Z48" s="193"/>
      <c r="AA48" s="192"/>
      <c r="AB48" s="192"/>
      <c r="AC48" s="292">
        <f>AC60-AC46-AC9</f>
        <v>2816519.1860657632</v>
      </c>
      <c r="AD48" s="192"/>
      <c r="AE48" s="192"/>
      <c r="AF48" s="193"/>
      <c r="AG48" s="192"/>
      <c r="AH48" s="192"/>
      <c r="AI48" s="292">
        <f>AI60-AI46-AI9</f>
        <v>1617443.6827440262</v>
      </c>
      <c r="AJ48" s="192"/>
      <c r="AK48" s="192"/>
      <c r="AL48" s="193"/>
      <c r="AM48" s="192"/>
      <c r="AN48" s="192"/>
      <c r="AO48" s="292">
        <f>AO60-AO46-AO9</f>
        <v>1842694.5524192303</v>
      </c>
      <c r="AP48" s="192"/>
      <c r="AQ48" s="192"/>
      <c r="AR48" s="193"/>
      <c r="AS48" s="192"/>
      <c r="AT48" s="192"/>
      <c r="AU48" s="292">
        <f>AU60-AU46-AU9</f>
        <v>3659416.5489914119</v>
      </c>
      <c r="AV48" s="192"/>
      <c r="AW48" s="192"/>
      <c r="AX48" s="193"/>
      <c r="AY48" s="192"/>
      <c r="AZ48" s="192"/>
      <c r="BA48" s="292">
        <f>BA60-BA46-BA9</f>
        <v>3334636.5114194304</v>
      </c>
      <c r="BB48" s="192"/>
      <c r="BC48" s="192"/>
      <c r="BD48" s="193"/>
      <c r="BE48" s="192"/>
      <c r="BF48" s="192"/>
      <c r="BG48" s="292">
        <f>BG60-BG46-BG9</f>
        <v>2718562.5490724146</v>
      </c>
      <c r="BH48" s="192"/>
      <c r="BI48" s="192"/>
      <c r="BJ48" s="193"/>
      <c r="BK48" s="192"/>
      <c r="BL48" s="192"/>
      <c r="BM48" s="292">
        <f>BM60-BM46-BM9</f>
        <v>3113571.998637408</v>
      </c>
      <c r="BN48" s="192"/>
      <c r="BO48" s="192"/>
      <c r="BP48" s="193"/>
    </row>
    <row r="49" spans="1:68" ht="14.25" customHeight="1">
      <c r="A49" s="190"/>
      <c r="B49" s="191" t="s">
        <v>225</v>
      </c>
      <c r="C49" s="192"/>
      <c r="D49" s="192"/>
      <c r="E49" s="192"/>
      <c r="F49" s="244">
        <f>'Aset Moneter'!D15</f>
        <v>47446.500940220416</v>
      </c>
      <c r="G49" s="192"/>
      <c r="H49" s="193"/>
      <c r="I49" s="192"/>
      <c r="J49" s="192"/>
      <c r="K49" s="192"/>
      <c r="L49" s="244">
        <f>'Aset Moneter'!E15</f>
        <v>-1472.3089740215557</v>
      </c>
      <c r="M49" s="192"/>
      <c r="N49" s="193"/>
      <c r="O49" s="192"/>
      <c r="P49" s="192"/>
      <c r="Q49" s="192"/>
      <c r="R49" s="244">
        <f>'Aset Moneter'!F15</f>
        <v>85161.980150892065</v>
      </c>
      <c r="S49" s="192"/>
      <c r="T49" s="193"/>
      <c r="U49" s="192"/>
      <c r="V49" s="192"/>
      <c r="W49" s="192"/>
      <c r="X49" s="244">
        <f>'Aset Moneter'!G15</f>
        <v>99106.760170063993</v>
      </c>
      <c r="Y49" s="192"/>
      <c r="Z49" s="193"/>
      <c r="AA49" s="192"/>
      <c r="AB49" s="192"/>
      <c r="AC49" s="192"/>
      <c r="AD49" s="244">
        <f>'Aset Moneter'!H15</f>
        <v>17814.209086076611</v>
      </c>
      <c r="AE49" s="192"/>
      <c r="AF49" s="193"/>
      <c r="AG49" s="192"/>
      <c r="AH49" s="192"/>
      <c r="AI49" s="192"/>
      <c r="AJ49" s="244">
        <f>'Aset Moneter'!I15</f>
        <v>157217.00902159844</v>
      </c>
      <c r="AK49" s="192"/>
      <c r="AL49" s="193"/>
      <c r="AM49" s="192"/>
      <c r="AN49" s="192"/>
      <c r="AO49" s="192"/>
      <c r="AP49" s="244">
        <f>'Aset Moneter'!J15</f>
        <v>157930.01764476002</v>
      </c>
      <c r="AQ49" s="192"/>
      <c r="AR49" s="193"/>
      <c r="AS49" s="192"/>
      <c r="AT49" s="192"/>
      <c r="AU49" s="192"/>
      <c r="AV49" s="244">
        <f>'Aset Moneter'!K15</f>
        <v>176558.81044716181</v>
      </c>
      <c r="AW49" s="192"/>
      <c r="AX49" s="193"/>
      <c r="AY49" s="192"/>
      <c r="AZ49" s="192"/>
      <c r="BA49" s="192"/>
      <c r="BB49" s="244">
        <f>'Aset Moneter'!L15</f>
        <v>102581.11067246601</v>
      </c>
      <c r="BC49" s="192"/>
      <c r="BD49" s="193"/>
      <c r="BE49" s="192"/>
      <c r="BF49" s="192"/>
      <c r="BG49" s="192"/>
      <c r="BH49" s="244">
        <f>'Aset Moneter'!M15</f>
        <v>344684.2165960698</v>
      </c>
      <c r="BI49" s="192"/>
      <c r="BJ49" s="193"/>
      <c r="BK49" s="192"/>
      <c r="BL49" s="192"/>
      <c r="BM49" s="192"/>
      <c r="BN49" s="244">
        <f>'Aset Moneter'!N15</f>
        <v>-3840.5880950581973</v>
      </c>
      <c r="BO49" s="192"/>
      <c r="BP49" s="193"/>
    </row>
    <row r="50" spans="1:68" ht="14.25" customHeight="1">
      <c r="A50" s="190"/>
      <c r="B50" s="191" t="s">
        <v>227</v>
      </c>
      <c r="C50" s="192"/>
      <c r="D50" s="192"/>
      <c r="E50" s="192"/>
      <c r="F50" s="260">
        <f>'Aset Moneter'!D25</f>
        <v>-147335.56284885076</v>
      </c>
      <c r="G50" s="192"/>
      <c r="H50" s="193"/>
      <c r="I50" s="192"/>
      <c r="J50" s="192"/>
      <c r="K50" s="192"/>
      <c r="L50" s="260">
        <f>'Aset Moneter'!E25</f>
        <v>-793537.45744612825</v>
      </c>
      <c r="M50" s="192"/>
      <c r="N50" s="193"/>
      <c r="O50" s="192"/>
      <c r="P50" s="192"/>
      <c r="Q50" s="192"/>
      <c r="R50" s="260">
        <f>'Aset Moneter'!F25</f>
        <v>-81814.454627024956</v>
      </c>
      <c r="S50" s="192"/>
      <c r="T50" s="193"/>
      <c r="U50" s="192"/>
      <c r="V50" s="192"/>
      <c r="W50" s="192"/>
      <c r="X50" s="260">
        <f>'Aset Moneter'!G25</f>
        <v>357315.44581871561</v>
      </c>
      <c r="Y50" s="192"/>
      <c r="Z50" s="193"/>
      <c r="AA50" s="192"/>
      <c r="AB50" s="192"/>
      <c r="AC50" s="192"/>
      <c r="AD50" s="260">
        <f>'Aset Moneter'!H25</f>
        <v>388979.48327351687</v>
      </c>
      <c r="AE50" s="192"/>
      <c r="AF50" s="193"/>
      <c r="AG50" s="192"/>
      <c r="AH50" s="192"/>
      <c r="AI50" s="192"/>
      <c r="AJ50" s="260">
        <f>'Aset Moneter'!I25</f>
        <v>1094467.1858781227</v>
      </c>
      <c r="AK50" s="192"/>
      <c r="AL50" s="193"/>
      <c r="AM50" s="192"/>
      <c r="AN50" s="192"/>
      <c r="AO50" s="192"/>
      <c r="AP50" s="260">
        <f>'Aset Moneter'!J25</f>
        <v>-562127.58511760051</v>
      </c>
      <c r="AQ50" s="192"/>
      <c r="AR50" s="193"/>
      <c r="AS50" s="192"/>
      <c r="AT50" s="192"/>
      <c r="AU50" s="192"/>
      <c r="AV50" s="260">
        <f>'Aset Moneter'!K25</f>
        <v>608802.27800921549</v>
      </c>
      <c r="AW50" s="192"/>
      <c r="AX50" s="193"/>
      <c r="AY50" s="192"/>
      <c r="AZ50" s="192"/>
      <c r="BA50" s="192"/>
      <c r="BB50" s="260">
        <f>'Aset Moneter'!L25</f>
        <v>403556.82553182321</v>
      </c>
      <c r="BC50" s="192"/>
      <c r="BD50" s="193"/>
      <c r="BE50" s="192"/>
      <c r="BF50" s="192"/>
      <c r="BG50" s="192"/>
      <c r="BH50" s="260">
        <f>'Aset Moneter'!M25</f>
        <v>-621083.24407137698</v>
      </c>
      <c r="BI50" s="192"/>
      <c r="BJ50" s="193"/>
      <c r="BK50" s="192"/>
      <c r="BL50" s="192"/>
      <c r="BM50" s="192"/>
      <c r="BN50" s="260">
        <f>'Aset Moneter'!N25</f>
        <v>145800.32543249763</v>
      </c>
      <c r="BO50" s="192"/>
      <c r="BP50" s="193"/>
    </row>
    <row r="51" spans="1:68" ht="14.25" customHeight="1">
      <c r="A51" s="190"/>
      <c r="B51" s="191" t="s">
        <v>229</v>
      </c>
      <c r="C51" s="192"/>
      <c r="D51" s="192"/>
      <c r="E51" s="192"/>
      <c r="F51" s="260">
        <f>'Aset Moneter'!D35</f>
        <v>-265018.80655970436</v>
      </c>
      <c r="G51" s="192"/>
      <c r="H51" s="193"/>
      <c r="I51" s="192"/>
      <c r="J51" s="192"/>
      <c r="K51" s="192"/>
      <c r="L51" s="260">
        <f>'Aset Moneter'!E35</f>
        <v>136007.26445648496</v>
      </c>
      <c r="M51" s="192"/>
      <c r="N51" s="193"/>
      <c r="O51" s="192"/>
      <c r="P51" s="192"/>
      <c r="Q51" s="192"/>
      <c r="R51" s="260">
        <f>'Aset Moneter'!F35</f>
        <v>109667.72307802293</v>
      </c>
      <c r="S51" s="192"/>
      <c r="T51" s="193"/>
      <c r="U51" s="192"/>
      <c r="V51" s="192"/>
      <c r="W51" s="192"/>
      <c r="X51" s="260">
        <f>'Aset Moneter'!G35</f>
        <v>2287.3592372674398</v>
      </c>
      <c r="Y51" s="192"/>
      <c r="Z51" s="193"/>
      <c r="AA51" s="192"/>
      <c r="AB51" s="192"/>
      <c r="AC51" s="192"/>
      <c r="AD51" s="260">
        <f>'Aset Moneter'!H35</f>
        <v>8539.499524897421</v>
      </c>
      <c r="AE51" s="192"/>
      <c r="AF51" s="193"/>
      <c r="AG51" s="192"/>
      <c r="AH51" s="192"/>
      <c r="AI51" s="192"/>
      <c r="AJ51" s="260">
        <f>'Aset Moneter'!I35</f>
        <v>1315947.1126974688</v>
      </c>
      <c r="AK51" s="192"/>
      <c r="AL51" s="193"/>
      <c r="AM51" s="192"/>
      <c r="AN51" s="192"/>
      <c r="AO51" s="192"/>
      <c r="AP51" s="260">
        <f>'Aset Moneter'!J35</f>
        <v>565651.79937313637</v>
      </c>
      <c r="AQ51" s="192"/>
      <c r="AR51" s="193"/>
      <c r="AS51" s="192"/>
      <c r="AT51" s="192"/>
      <c r="AU51" s="192"/>
      <c r="AV51" s="260">
        <f>'Aset Moneter'!K35</f>
        <v>450029.71463422815</v>
      </c>
      <c r="AW51" s="192"/>
      <c r="AX51" s="193"/>
      <c r="AY51" s="192"/>
      <c r="AZ51" s="192"/>
      <c r="BA51" s="192"/>
      <c r="BB51" s="260">
        <f>'Aset Moneter'!L35</f>
        <v>729076.66556905105</v>
      </c>
      <c r="BC51" s="192"/>
      <c r="BD51" s="193"/>
      <c r="BE51" s="192"/>
      <c r="BF51" s="192"/>
      <c r="BG51" s="192"/>
      <c r="BH51" s="260">
        <f>'Aset Moneter'!M35</f>
        <v>-342831.44379393035</v>
      </c>
      <c r="BI51" s="192"/>
      <c r="BJ51" s="193"/>
      <c r="BK51" s="192"/>
      <c r="BL51" s="192"/>
      <c r="BM51" s="192"/>
      <c r="BN51" s="260">
        <f>'Aset Moneter'!N35</f>
        <v>67246.415487391801</v>
      </c>
      <c r="BO51" s="192"/>
      <c r="BP51" s="193"/>
    </row>
    <row r="52" spans="1:68" ht="14.25" customHeight="1">
      <c r="A52" s="190"/>
      <c r="B52" s="191" t="s">
        <v>230</v>
      </c>
      <c r="C52" s="192"/>
      <c r="D52" s="192"/>
      <c r="E52" s="192"/>
      <c r="F52" s="260">
        <f>'Aset Moneter'!D45</f>
        <v>-838957.18243886845</v>
      </c>
      <c r="G52" s="192"/>
      <c r="H52" s="193"/>
      <c r="I52" s="192"/>
      <c r="J52" s="192"/>
      <c r="K52" s="192"/>
      <c r="L52" s="260">
        <f>'Aset Moneter'!E45</f>
        <v>169608.55804087437</v>
      </c>
      <c r="M52" s="192"/>
      <c r="N52" s="193"/>
      <c r="O52" s="192"/>
      <c r="P52" s="192"/>
      <c r="Q52" s="192"/>
      <c r="R52" s="260">
        <f>'Aset Moneter'!F45</f>
        <v>666177.16178659548</v>
      </c>
      <c r="S52" s="192"/>
      <c r="T52" s="193"/>
      <c r="U52" s="192"/>
      <c r="V52" s="192"/>
      <c r="W52" s="192"/>
      <c r="X52" s="260">
        <f>'Aset Moneter'!G45</f>
        <v>1836963.3017272286</v>
      </c>
      <c r="Y52" s="192"/>
      <c r="Z52" s="193"/>
      <c r="AA52" s="192"/>
      <c r="AB52" s="192"/>
      <c r="AC52" s="192"/>
      <c r="AD52" s="260">
        <f>'Aset Moneter'!H45</f>
        <v>-1737584.1469852261</v>
      </c>
      <c r="AE52" s="192"/>
      <c r="AF52" s="193"/>
      <c r="AG52" s="192"/>
      <c r="AH52" s="192"/>
      <c r="AI52" s="192"/>
      <c r="AJ52" s="260">
        <f>'Aset Moneter'!I45</f>
        <v>-242829.04167328356</v>
      </c>
      <c r="AK52" s="192"/>
      <c r="AL52" s="193"/>
      <c r="AM52" s="192"/>
      <c r="AN52" s="192"/>
      <c r="AO52" s="192"/>
      <c r="AP52" s="260">
        <f>'Aset Moneter'!J45</f>
        <v>-570405.05989416258</v>
      </c>
      <c r="AQ52" s="192"/>
      <c r="AR52" s="193"/>
      <c r="AS52" s="192"/>
      <c r="AT52" s="192"/>
      <c r="AU52" s="192"/>
      <c r="AV52" s="260">
        <f>'Aset Moneter'!K45</f>
        <v>3855326.6334787277</v>
      </c>
      <c r="AW52" s="192"/>
      <c r="AX52" s="193"/>
      <c r="AY52" s="192"/>
      <c r="AZ52" s="192"/>
      <c r="BA52" s="192"/>
      <c r="BB52" s="260">
        <f>'Aset Moneter'!L45</f>
        <v>8464861.709196765</v>
      </c>
      <c r="BC52" s="192"/>
      <c r="BD52" s="193"/>
      <c r="BE52" s="192"/>
      <c r="BF52" s="192"/>
      <c r="BG52" s="192"/>
      <c r="BH52" s="260">
        <f>'Aset Moneter'!M45</f>
        <v>-202799.09847879765</v>
      </c>
      <c r="BI52" s="192"/>
      <c r="BJ52" s="193"/>
      <c r="BK52" s="192"/>
      <c r="BL52" s="192"/>
      <c r="BM52" s="192"/>
      <c r="BN52" s="260">
        <f>'Aset Moneter'!N45</f>
        <v>-3820771.8704729131</v>
      </c>
      <c r="BO52" s="192"/>
      <c r="BP52" s="193"/>
    </row>
    <row r="53" spans="1:68" ht="14.25" customHeight="1">
      <c r="A53" s="190"/>
      <c r="B53" s="191" t="s">
        <v>231</v>
      </c>
      <c r="C53" s="192"/>
      <c r="D53" s="192"/>
      <c r="E53" s="192"/>
      <c r="F53" s="260">
        <f>'Aset Moneter'!D55</f>
        <v>28091.563633638059</v>
      </c>
      <c r="G53" s="192"/>
      <c r="H53" s="193"/>
      <c r="I53" s="192"/>
      <c r="J53" s="192"/>
      <c r="K53" s="192"/>
      <c r="L53" s="260">
        <f>'Aset Moneter'!E55</f>
        <v>92697.54385064276</v>
      </c>
      <c r="M53" s="192"/>
      <c r="N53" s="193"/>
      <c r="O53" s="192"/>
      <c r="P53" s="192"/>
      <c r="Q53" s="192"/>
      <c r="R53" s="260">
        <f>'Aset Moneter'!F55</f>
        <v>30488.252043007549</v>
      </c>
      <c r="S53" s="192"/>
      <c r="T53" s="193"/>
      <c r="U53" s="192"/>
      <c r="V53" s="192"/>
      <c r="W53" s="192"/>
      <c r="X53" s="260">
        <f>'Aset Moneter'!G55</f>
        <v>-88217.946067133453</v>
      </c>
      <c r="Y53" s="192"/>
      <c r="Z53" s="193"/>
      <c r="AA53" s="192"/>
      <c r="AB53" s="192"/>
      <c r="AC53" s="192"/>
      <c r="AD53" s="260">
        <f>'Aset Moneter'!H55</f>
        <v>-98352.408457191952</v>
      </c>
      <c r="AE53" s="192"/>
      <c r="AF53" s="193"/>
      <c r="AG53" s="192"/>
      <c r="AH53" s="192"/>
      <c r="AI53" s="192"/>
      <c r="AJ53" s="260">
        <f>'Aset Moneter'!I55</f>
        <v>-157944.80358342777</v>
      </c>
      <c r="AK53" s="192"/>
      <c r="AL53" s="193"/>
      <c r="AM53" s="192"/>
      <c r="AN53" s="192"/>
      <c r="AO53" s="192"/>
      <c r="AP53" s="260">
        <f>'Aset Moneter'!J55</f>
        <v>199146.18252056619</v>
      </c>
      <c r="AQ53" s="192"/>
      <c r="AR53" s="193"/>
      <c r="AS53" s="192"/>
      <c r="AT53" s="192"/>
      <c r="AU53" s="192"/>
      <c r="AV53" s="260">
        <f>'Aset Moneter'!K55</f>
        <v>80154.659306919406</v>
      </c>
      <c r="AW53" s="192"/>
      <c r="AX53" s="193"/>
      <c r="AY53" s="192"/>
      <c r="AZ53" s="192"/>
      <c r="BA53" s="192"/>
      <c r="BB53" s="260">
        <f>'Aset Moneter'!L55</f>
        <v>-66133.599575156099</v>
      </c>
      <c r="BC53" s="192"/>
      <c r="BD53" s="193"/>
      <c r="BE53" s="192"/>
      <c r="BF53" s="192"/>
      <c r="BG53" s="192"/>
      <c r="BH53" s="260">
        <f>'Aset Moneter'!M55</f>
        <v>49526.108363348809</v>
      </c>
      <c r="BI53" s="192"/>
      <c r="BJ53" s="193"/>
      <c r="BK53" s="192"/>
      <c r="BL53" s="192"/>
      <c r="BM53" s="192"/>
      <c r="BN53" s="260">
        <f>'Aset Moneter'!N55</f>
        <v>86041.101333410988</v>
      </c>
      <c r="BO53" s="192"/>
      <c r="BP53" s="193"/>
    </row>
    <row r="54" spans="1:68" ht="14.25" customHeight="1">
      <c r="A54" s="190"/>
      <c r="B54" s="191" t="s">
        <v>236</v>
      </c>
      <c r="C54" s="192"/>
      <c r="D54" s="192"/>
      <c r="E54" s="192"/>
      <c r="F54" s="260">
        <f>'Aset Moneter'!D65</f>
        <v>-871.24424832967179</v>
      </c>
      <c r="G54" s="192"/>
      <c r="H54" s="193"/>
      <c r="I54" s="192"/>
      <c r="J54" s="192"/>
      <c r="K54" s="192"/>
      <c r="L54" s="260">
        <f>'Aset Moneter'!E65</f>
        <v>2372.4819553144994</v>
      </c>
      <c r="M54" s="192"/>
      <c r="N54" s="193"/>
      <c r="O54" s="192"/>
      <c r="P54" s="192"/>
      <c r="Q54" s="192"/>
      <c r="R54" s="260">
        <f>'Aset Moneter'!F65</f>
        <v>1584.7716499102767</v>
      </c>
      <c r="S54" s="192"/>
      <c r="T54" s="193"/>
      <c r="U54" s="192"/>
      <c r="V54" s="192"/>
      <c r="W54" s="192"/>
      <c r="X54" s="260">
        <f>'Aset Moneter'!G65</f>
        <v>9454.3674857209626</v>
      </c>
      <c r="Y54" s="192"/>
      <c r="Z54" s="193"/>
      <c r="AA54" s="192"/>
      <c r="AB54" s="192"/>
      <c r="AC54" s="192"/>
      <c r="AD54" s="260">
        <f>'Aset Moneter'!H65</f>
        <v>-17403.88322061611</v>
      </c>
      <c r="AE54" s="192"/>
      <c r="AF54" s="193"/>
      <c r="AG54" s="192"/>
      <c r="AH54" s="192"/>
      <c r="AI54" s="192"/>
      <c r="AJ54" s="260">
        <f>'Aset Moneter'!I65</f>
        <v>331.93582443126451</v>
      </c>
      <c r="AK54" s="192"/>
      <c r="AL54" s="193"/>
      <c r="AM54" s="192"/>
      <c r="AN54" s="192"/>
      <c r="AO54" s="192"/>
      <c r="AP54" s="260">
        <f>'Aset Moneter'!J65</f>
        <v>1103.7495079725311</v>
      </c>
      <c r="AQ54" s="192"/>
      <c r="AR54" s="193"/>
      <c r="AS54" s="192"/>
      <c r="AT54" s="192"/>
      <c r="AU54" s="192"/>
      <c r="AV54" s="260">
        <f>'Aset Moneter'!K65</f>
        <v>324.12151349565971</v>
      </c>
      <c r="AW54" s="192"/>
      <c r="AX54" s="193"/>
      <c r="AY54" s="192"/>
      <c r="AZ54" s="192"/>
      <c r="BA54" s="192"/>
      <c r="BB54" s="260">
        <f>'Aset Moneter'!L65</f>
        <v>-11330.364890944309</v>
      </c>
      <c r="BC54" s="192"/>
      <c r="BD54" s="193"/>
      <c r="BE54" s="192"/>
      <c r="BF54" s="192"/>
      <c r="BG54" s="192"/>
      <c r="BH54" s="260">
        <f>'Aset Moneter'!M65</f>
        <v>1277.3015253589783</v>
      </c>
      <c r="BI54" s="192"/>
      <c r="BJ54" s="193"/>
      <c r="BK54" s="192"/>
      <c r="BL54" s="192"/>
      <c r="BM54" s="192"/>
      <c r="BN54" s="260">
        <f>'Aset Moneter'!N65</f>
        <v>3164.2238862905078</v>
      </c>
      <c r="BO54" s="192"/>
      <c r="BP54" s="193"/>
    </row>
    <row r="55" spans="1:68" ht="14.25" customHeight="1">
      <c r="A55" s="190"/>
      <c r="B55" s="191" t="s">
        <v>237</v>
      </c>
      <c r="C55" s="192"/>
      <c r="D55" s="192"/>
      <c r="E55" s="192"/>
      <c r="F55" s="260">
        <f>'Aset Moneter'!D75</f>
        <v>-143444.61306159271</v>
      </c>
      <c r="G55" s="192"/>
      <c r="H55" s="193"/>
      <c r="I55" s="192"/>
      <c r="J55" s="192"/>
      <c r="K55" s="192"/>
      <c r="L55" s="260">
        <f>'Aset Moneter'!E75</f>
        <v>-40937.290409671346</v>
      </c>
      <c r="M55" s="192"/>
      <c r="N55" s="193"/>
      <c r="O55" s="192"/>
      <c r="P55" s="192"/>
      <c r="Q55" s="192"/>
      <c r="R55" s="260">
        <f>'Aset Moneter'!F75</f>
        <v>13215.261222003484</v>
      </c>
      <c r="S55" s="192"/>
      <c r="T55" s="193"/>
      <c r="U55" s="192"/>
      <c r="V55" s="192"/>
      <c r="W55" s="192"/>
      <c r="X55" s="260">
        <f>'Aset Moneter'!G75</f>
        <v>73342.991973098746</v>
      </c>
      <c r="Y55" s="192"/>
      <c r="Z55" s="193"/>
      <c r="AA55" s="192"/>
      <c r="AB55" s="192"/>
      <c r="AC55" s="192"/>
      <c r="AD55" s="260">
        <f>'Aset Moneter'!H75</f>
        <v>29266.635380651052</v>
      </c>
      <c r="AE55" s="192"/>
      <c r="AF55" s="193"/>
      <c r="AG55" s="192"/>
      <c r="AH55" s="192"/>
      <c r="AI55" s="192"/>
      <c r="AJ55" s="260">
        <f>'Aset Moneter'!I75</f>
        <v>-70293.645681230279</v>
      </c>
      <c r="AK55" s="192"/>
      <c r="AL55" s="193"/>
      <c r="AM55" s="192"/>
      <c r="AN55" s="192"/>
      <c r="AO55" s="192"/>
      <c r="AP55" s="260">
        <f>'Aset Moneter'!J75</f>
        <v>414112.59604762238</v>
      </c>
      <c r="AQ55" s="192"/>
      <c r="AR55" s="193"/>
      <c r="AS55" s="192"/>
      <c r="AT55" s="192"/>
      <c r="AU55" s="192"/>
      <c r="AV55" s="260">
        <f>'Aset Moneter'!K75</f>
        <v>474323.88169090787</v>
      </c>
      <c r="AW55" s="192"/>
      <c r="AX55" s="193"/>
      <c r="AY55" s="192"/>
      <c r="AZ55" s="192"/>
      <c r="BA55" s="192"/>
      <c r="BB55" s="260">
        <f>'Aset Moneter'!L75</f>
        <v>75637.95846516575</v>
      </c>
      <c r="BC55" s="192"/>
      <c r="BD55" s="193"/>
      <c r="BE55" s="192"/>
      <c r="BF55" s="192"/>
      <c r="BG55" s="192"/>
      <c r="BH55" s="260">
        <f>'Aset Moneter'!M75</f>
        <v>61295.529221865843</v>
      </c>
      <c r="BI55" s="192"/>
      <c r="BJ55" s="193"/>
      <c r="BK55" s="192"/>
      <c r="BL55" s="192"/>
      <c r="BM55" s="192"/>
      <c r="BN55" s="260">
        <f>'Aset Moneter'!N75</f>
        <v>131958.55104123001</v>
      </c>
      <c r="BO55" s="192"/>
      <c r="BP55" s="193"/>
    </row>
    <row r="56" spans="1:68" ht="14.25" customHeight="1">
      <c r="A56" s="190"/>
      <c r="B56" s="191" t="s">
        <v>238</v>
      </c>
      <c r="C56" s="192"/>
      <c r="D56" s="192"/>
      <c r="E56" s="192"/>
      <c r="F56" s="260">
        <f>'Aset Moneter'!D85</f>
        <v>-41814.626528112647</v>
      </c>
      <c r="G56" s="192"/>
      <c r="H56" s="193"/>
      <c r="I56" s="192"/>
      <c r="J56" s="192"/>
      <c r="K56" s="192"/>
      <c r="L56" s="260">
        <f>'Aset Moneter'!E85</f>
        <v>-13740.740195298567</v>
      </c>
      <c r="M56" s="192"/>
      <c r="N56" s="193"/>
      <c r="O56" s="192"/>
      <c r="P56" s="192"/>
      <c r="Q56" s="192"/>
      <c r="R56" s="260">
        <f>'Aset Moneter'!F85</f>
        <v>-2302.5638263931373</v>
      </c>
      <c r="S56" s="192"/>
      <c r="T56" s="193"/>
      <c r="U56" s="192"/>
      <c r="V56" s="192"/>
      <c r="W56" s="192"/>
      <c r="X56" s="260">
        <f>'Aset Moneter'!G85</f>
        <v>24880.925120121552</v>
      </c>
      <c r="Y56" s="192"/>
      <c r="Z56" s="193"/>
      <c r="AA56" s="192"/>
      <c r="AB56" s="192"/>
      <c r="AC56" s="192"/>
      <c r="AD56" s="260">
        <f>'Aset Moneter'!H85</f>
        <v>-108420.40633388898</v>
      </c>
      <c r="AE56" s="192"/>
      <c r="AF56" s="193"/>
      <c r="AG56" s="192"/>
      <c r="AH56" s="192"/>
      <c r="AI56" s="192"/>
      <c r="AJ56" s="260">
        <f>'Aset Moneter'!I85</f>
        <v>24745.321423538113</v>
      </c>
      <c r="AK56" s="192"/>
      <c r="AL56" s="193"/>
      <c r="AM56" s="192"/>
      <c r="AN56" s="192"/>
      <c r="AO56" s="192"/>
      <c r="AP56" s="260">
        <f>'Aset Moneter'!J85</f>
        <v>26733.17166003399</v>
      </c>
      <c r="AQ56" s="192"/>
      <c r="AR56" s="193"/>
      <c r="AS56" s="192"/>
      <c r="AT56" s="192"/>
      <c r="AU56" s="192"/>
      <c r="AV56" s="260">
        <f>'Aset Moneter'!K85</f>
        <v>171659.98855298985</v>
      </c>
      <c r="AW56" s="192"/>
      <c r="AX56" s="193"/>
      <c r="AY56" s="192"/>
      <c r="AZ56" s="192"/>
      <c r="BA56" s="192"/>
      <c r="BB56" s="260">
        <f>'Aset Moneter'!L85</f>
        <v>65725.639960929388</v>
      </c>
      <c r="BC56" s="192"/>
      <c r="BD56" s="193"/>
      <c r="BE56" s="192"/>
      <c r="BF56" s="192"/>
      <c r="BG56" s="192"/>
      <c r="BH56" s="260">
        <f>'Aset Moneter'!M85</f>
        <v>272265.48708045075</v>
      </c>
      <c r="BI56" s="192"/>
      <c r="BJ56" s="193"/>
      <c r="BK56" s="192"/>
      <c r="BL56" s="192"/>
      <c r="BM56" s="192"/>
      <c r="BN56" s="260">
        <f>'Aset Moneter'!N85</f>
        <v>73116.428044612025</v>
      </c>
      <c r="BO56" s="192"/>
      <c r="BP56" s="193"/>
    </row>
    <row r="57" spans="1:68" ht="14.25" customHeight="1">
      <c r="A57" s="190"/>
      <c r="B57" s="191" t="s">
        <v>239</v>
      </c>
      <c r="C57" s="192"/>
      <c r="D57" s="192"/>
      <c r="E57" s="192"/>
      <c r="F57" s="260">
        <f>'Aset Moneter'!D95</f>
        <v>26256.526047628282</v>
      </c>
      <c r="G57" s="192"/>
      <c r="H57" s="193"/>
      <c r="I57" s="192"/>
      <c r="J57" s="192"/>
      <c r="K57" s="192"/>
      <c r="L57" s="260">
        <f>'Aset Moneter'!E95</f>
        <v>-57544.121565008732</v>
      </c>
      <c r="M57" s="192"/>
      <c r="N57" s="193"/>
      <c r="O57" s="192"/>
      <c r="P57" s="192"/>
      <c r="Q57" s="192"/>
      <c r="R57" s="260">
        <f>'Aset Moneter'!F95</f>
        <v>166656.64473041316</v>
      </c>
      <c r="S57" s="192"/>
      <c r="T57" s="193"/>
      <c r="U57" s="192"/>
      <c r="V57" s="192"/>
      <c r="W57" s="192"/>
      <c r="X57" s="260">
        <f>'Aset Moneter'!G95</f>
        <v>-99430.857869202766</v>
      </c>
      <c r="Y57" s="192"/>
      <c r="Z57" s="193"/>
      <c r="AA57" s="192"/>
      <c r="AB57" s="192"/>
      <c r="AC57" s="192"/>
      <c r="AD57" s="260">
        <f>'Aset Moneter'!H95</f>
        <v>-277368.38188592019</v>
      </c>
      <c r="AE57" s="192"/>
      <c r="AF57" s="193"/>
      <c r="AG57" s="192"/>
      <c r="AH57" s="192"/>
      <c r="AI57" s="192"/>
      <c r="AJ57" s="260">
        <f>'Aset Moneter'!I95</f>
        <v>3372.487652936682</v>
      </c>
      <c r="AK57" s="192"/>
      <c r="AL57" s="193"/>
      <c r="AM57" s="192"/>
      <c r="AN57" s="192"/>
      <c r="AO57" s="192"/>
      <c r="AP57" s="260">
        <f>'Aset Moneter'!J95</f>
        <v>103087.61660701703</v>
      </c>
      <c r="AQ57" s="192"/>
      <c r="AR57" s="193"/>
      <c r="AS57" s="192"/>
      <c r="AT57" s="192"/>
      <c r="AU57" s="192"/>
      <c r="AV57" s="260">
        <f>'Aset Moneter'!K95</f>
        <v>36093.058420451329</v>
      </c>
      <c r="AW57" s="192"/>
      <c r="AX57" s="193"/>
      <c r="AY57" s="192"/>
      <c r="AZ57" s="192"/>
      <c r="BA57" s="192"/>
      <c r="BB57" s="260">
        <f>'Aset Moneter'!L95</f>
        <v>8443.5155473855248</v>
      </c>
      <c r="BC57" s="192"/>
      <c r="BD57" s="193"/>
      <c r="BE57" s="192"/>
      <c r="BF57" s="192"/>
      <c r="BG57" s="192"/>
      <c r="BH57" s="260">
        <f>'Aset Moneter'!M95</f>
        <v>5998.9982181256373</v>
      </c>
      <c r="BI57" s="192"/>
      <c r="BJ57" s="193"/>
      <c r="BK57" s="192"/>
      <c r="BL57" s="192"/>
      <c r="BM57" s="192"/>
      <c r="BN57" s="260">
        <f>'Aset Moneter'!N95</f>
        <v>5153.4135573875883</v>
      </c>
      <c r="BO57" s="192"/>
      <c r="BP57" s="193"/>
    </row>
    <row r="58" spans="1:68" ht="14.25" customHeight="1">
      <c r="A58" s="220"/>
      <c r="B58" s="221" t="s">
        <v>240</v>
      </c>
      <c r="C58" s="222"/>
      <c r="D58" s="222"/>
      <c r="E58" s="222"/>
      <c r="F58" s="284">
        <f>'Aset Moneter'!D105</f>
        <v>-41433.283003950484</v>
      </c>
      <c r="G58" s="222"/>
      <c r="H58" s="224"/>
      <c r="I58" s="222"/>
      <c r="J58" s="222"/>
      <c r="K58" s="222"/>
      <c r="L58" s="284">
        <f>'Aset Moneter'!E105</f>
        <v>-10184.040669775086</v>
      </c>
      <c r="M58" s="222"/>
      <c r="N58" s="224"/>
      <c r="O58" s="222"/>
      <c r="P58" s="222"/>
      <c r="Q58" s="222"/>
      <c r="R58" s="284">
        <f>'Aset Moneter'!F105</f>
        <v>13140.443945987017</v>
      </c>
      <c r="S58" s="222"/>
      <c r="T58" s="224"/>
      <c r="U58" s="222"/>
      <c r="V58" s="222"/>
      <c r="W58" s="222"/>
      <c r="X58" s="284">
        <f>'Aset Moneter'!G105</f>
        <v>29468.452242757536</v>
      </c>
      <c r="Y58" s="222"/>
      <c r="Z58" s="224"/>
      <c r="AA58" s="222"/>
      <c r="AB58" s="222"/>
      <c r="AC58" s="222"/>
      <c r="AD58" s="284">
        <f>'Aset Moneter'!H105</f>
        <v>28995.962162806263</v>
      </c>
      <c r="AE58" s="222"/>
      <c r="AF58" s="224"/>
      <c r="AG58" s="222"/>
      <c r="AH58" s="222"/>
      <c r="AI58" s="222"/>
      <c r="AJ58" s="284">
        <f>'Aset Moneter'!I105</f>
        <v>37872.097359253137</v>
      </c>
      <c r="AK58" s="222"/>
      <c r="AL58" s="224"/>
      <c r="AM58" s="222"/>
      <c r="AN58" s="222"/>
      <c r="AO58" s="222"/>
      <c r="AP58" s="284">
        <f>'Aset Moneter'!J105</f>
        <v>-53633.524204410838</v>
      </c>
      <c r="AQ58" s="222"/>
      <c r="AR58" s="224"/>
      <c r="AS58" s="222"/>
      <c r="AT58" s="222"/>
      <c r="AU58" s="222"/>
      <c r="AV58" s="284">
        <f>'Aset Moneter'!K105</f>
        <v>114713.25246543376</v>
      </c>
      <c r="AW58" s="222"/>
      <c r="AX58" s="224"/>
      <c r="AY58" s="222"/>
      <c r="AZ58" s="222"/>
      <c r="BA58" s="222"/>
      <c r="BB58" s="284">
        <f>'Aset Moneter'!L105</f>
        <v>25247.178485736858</v>
      </c>
      <c r="BC58" s="222"/>
      <c r="BD58" s="224"/>
      <c r="BE58" s="222"/>
      <c r="BF58" s="222"/>
      <c r="BG58" s="222"/>
      <c r="BH58" s="284">
        <f>'Aset Moneter'!M105</f>
        <v>28800.922679807649</v>
      </c>
      <c r="BI58" s="222"/>
      <c r="BJ58" s="224"/>
      <c r="BK58" s="222"/>
      <c r="BL58" s="222"/>
      <c r="BM58" s="222"/>
      <c r="BN58" s="284">
        <f>'Aset Moneter'!N105</f>
        <v>30921.679499617014</v>
      </c>
      <c r="BO58" s="222"/>
      <c r="BP58" s="224"/>
    </row>
    <row r="59" spans="1:68" ht="14.25" customHeight="1">
      <c r="A59" s="183">
        <v>10</v>
      </c>
      <c r="B59" s="184" t="s">
        <v>279</v>
      </c>
      <c r="C59" s="185"/>
      <c r="D59" s="185"/>
      <c r="E59" s="185"/>
      <c r="F59" s="185"/>
      <c r="G59" s="185"/>
      <c r="H59" s="187"/>
      <c r="I59" s="185"/>
      <c r="J59" s="185"/>
      <c r="K59" s="185"/>
      <c r="L59" s="185"/>
      <c r="M59" s="185"/>
      <c r="N59" s="187"/>
      <c r="O59" s="185"/>
      <c r="P59" s="185"/>
      <c r="Q59" s="185"/>
      <c r="R59" s="185"/>
      <c r="S59" s="185"/>
      <c r="T59" s="187"/>
      <c r="U59" s="185"/>
      <c r="V59" s="185"/>
      <c r="W59" s="185"/>
      <c r="X59" s="185"/>
      <c r="Y59" s="185"/>
      <c r="Z59" s="187"/>
      <c r="AA59" s="185"/>
      <c r="AB59" s="185"/>
      <c r="AC59" s="185"/>
      <c r="AD59" s="185"/>
      <c r="AE59" s="185"/>
      <c r="AF59" s="187"/>
      <c r="AG59" s="185"/>
      <c r="AH59" s="185"/>
      <c r="AI59" s="185"/>
      <c r="AJ59" s="185"/>
      <c r="AK59" s="185"/>
      <c r="AL59" s="187"/>
      <c r="AM59" s="185"/>
      <c r="AN59" s="185"/>
      <c r="AO59" s="185"/>
      <c r="AP59" s="185"/>
      <c r="AQ59" s="185"/>
      <c r="AR59" s="187"/>
      <c r="AS59" s="185"/>
      <c r="AT59" s="185"/>
      <c r="AU59" s="185"/>
      <c r="AV59" s="185"/>
      <c r="AW59" s="185"/>
      <c r="AX59" s="187"/>
      <c r="AY59" s="185"/>
      <c r="AZ59" s="185"/>
      <c r="BA59" s="185"/>
      <c r="BB59" s="185"/>
      <c r="BC59" s="185"/>
      <c r="BD59" s="187"/>
      <c r="BE59" s="185"/>
      <c r="BF59" s="185"/>
      <c r="BG59" s="185"/>
      <c r="BH59" s="185"/>
      <c r="BI59" s="185"/>
      <c r="BJ59" s="187"/>
      <c r="BK59" s="185"/>
      <c r="BL59" s="185"/>
      <c r="BM59" s="185"/>
      <c r="BN59" s="185"/>
      <c r="BO59" s="185"/>
      <c r="BP59" s="187"/>
    </row>
    <row r="60" spans="1:68" ht="14.25" customHeight="1">
      <c r="A60" s="190"/>
      <c r="B60" s="191" t="s">
        <v>224</v>
      </c>
      <c r="C60" s="192"/>
      <c r="D60" s="192"/>
      <c r="E60" s="192">
        <f>'Stok Kapital'!J7</f>
        <v>38102452.670761548</v>
      </c>
      <c r="F60" s="192"/>
      <c r="G60" s="192"/>
      <c r="H60" s="193"/>
      <c r="I60" s="192"/>
      <c r="J60" s="192"/>
      <c r="K60" s="192">
        <f>'Stok Kapital'!Q7</f>
        <v>41623717.638465554</v>
      </c>
      <c r="L60" s="192"/>
      <c r="M60" s="192"/>
      <c r="N60" s="193"/>
      <c r="O60" s="192"/>
      <c r="P60" s="192"/>
      <c r="Q60" s="192">
        <f>'Stok Kapital'!Y7</f>
        <v>44861123.019045532</v>
      </c>
      <c r="R60" s="192">
        <f>SUM(R61:R70)</f>
        <v>7621715.7245435789</v>
      </c>
      <c r="S60" s="192"/>
      <c r="T60" s="193"/>
      <c r="U60" s="192"/>
      <c r="V60" s="192"/>
      <c r="W60" s="192">
        <f>'Stok Kapital'!AG7</f>
        <v>49172158.789865479</v>
      </c>
      <c r="X60" s="192">
        <f>SUM(X61:X70)</f>
        <v>9431868.4048209786</v>
      </c>
      <c r="Y60" s="192"/>
      <c r="Z60" s="193"/>
      <c r="AA60" s="192"/>
      <c r="AB60" s="192"/>
      <c r="AC60" s="192">
        <f>'Stok Kapital'!AO7</f>
        <v>54392256.500084057</v>
      </c>
      <c r="AD60" s="192">
        <f>SUM(AD61:AD70)</f>
        <v>9557954.6911396589</v>
      </c>
      <c r="AE60" s="192"/>
      <c r="AF60" s="193"/>
      <c r="AG60" s="192"/>
      <c r="AH60" s="192"/>
      <c r="AI60" s="192">
        <f>'Stok Kapital'!AW7</f>
        <v>58178120.618363939</v>
      </c>
      <c r="AJ60" s="192">
        <f>SUM(AJ61:AJ70)</f>
        <v>9204516.3540373277</v>
      </c>
      <c r="AK60" s="192"/>
      <c r="AL60" s="193"/>
      <c r="AM60" s="192"/>
      <c r="AN60" s="192"/>
      <c r="AO60" s="192">
        <f>'Stok Kapital'!BE7</f>
        <v>61666805.006567188</v>
      </c>
      <c r="AP60" s="192">
        <f>SUM(AP61:AP70)</f>
        <v>9166919.0281922258</v>
      </c>
      <c r="AQ60" s="192"/>
      <c r="AR60" s="193"/>
      <c r="AS60" s="192"/>
      <c r="AT60" s="192"/>
      <c r="AU60" s="192">
        <f>'Stok Kapital'!BM7</f>
        <v>67696559.291260689</v>
      </c>
      <c r="AV60" s="192">
        <f>SUM(AV61:AV70)</f>
        <v>14300899.142494421</v>
      </c>
      <c r="AW60" s="192"/>
      <c r="AX60" s="193"/>
      <c r="AY60" s="192"/>
      <c r="AZ60" s="192"/>
      <c r="BA60" s="192">
        <f>'Stok Kapital'!BU7</f>
        <v>74342956.719145596</v>
      </c>
      <c r="BB60" s="192">
        <f>SUM(BB61:BB70)</f>
        <v>23695776.38279314</v>
      </c>
      <c r="BC60" s="192"/>
      <c r="BD60" s="193"/>
      <c r="BE60" s="192"/>
      <c r="BF60" s="192"/>
      <c r="BG60" s="192">
        <f>'Stok Kapital'!CC7</f>
        <v>80433633.451482996</v>
      </c>
      <c r="BH60" s="192">
        <f>SUM(BH61:BH70)</f>
        <v>21829912.398977451</v>
      </c>
      <c r="BI60" s="192"/>
      <c r="BJ60" s="193"/>
      <c r="BK60" s="192"/>
      <c r="BL60" s="192"/>
      <c r="BM60" s="192">
        <f>'Stok Kapital'!CK7</f>
        <v>86886164.176922292</v>
      </c>
      <c r="BN60" s="192">
        <f>SUM(BN61:BN70)</f>
        <v>18330132.399703801</v>
      </c>
      <c r="BO60" s="192"/>
      <c r="BP60" s="193"/>
    </row>
    <row r="61" spans="1:68" ht="14.25" customHeight="1">
      <c r="A61" s="190"/>
      <c r="B61" s="191" t="s">
        <v>225</v>
      </c>
      <c r="C61" s="192"/>
      <c r="D61" s="192"/>
      <c r="E61" s="192"/>
      <c r="F61" s="244">
        <f>'Aset Moneter'!D16</f>
        <v>719985.08593615424</v>
      </c>
      <c r="G61" s="192"/>
      <c r="H61" s="193"/>
      <c r="I61" s="192"/>
      <c r="J61" s="192"/>
      <c r="K61" s="192"/>
      <c r="L61" s="244">
        <f>'Aset Moneter'!E16</f>
        <v>628834.11034068733</v>
      </c>
      <c r="M61" s="192"/>
      <c r="N61" s="193"/>
      <c r="O61" s="192"/>
      <c r="P61" s="192"/>
      <c r="Q61" s="192"/>
      <c r="R61" s="244">
        <f>'Aset Moneter'!F16</f>
        <v>681499.89064630575</v>
      </c>
      <c r="S61" s="192"/>
      <c r="T61" s="193"/>
      <c r="U61" s="192"/>
      <c r="V61" s="192"/>
      <c r="W61" s="192"/>
      <c r="X61" s="244">
        <f>'Aset Moneter'!G16</f>
        <v>749533.48946009087</v>
      </c>
      <c r="Y61" s="192"/>
      <c r="Z61" s="193"/>
      <c r="AA61" s="192"/>
      <c r="AB61" s="192"/>
      <c r="AC61" s="192"/>
      <c r="AD61" s="244">
        <f>'Aset Moneter'!H16</f>
        <v>740284.00334144756</v>
      </c>
      <c r="AE61" s="192"/>
      <c r="AF61" s="193"/>
      <c r="AG61" s="192"/>
      <c r="AH61" s="192"/>
      <c r="AI61" s="192"/>
      <c r="AJ61" s="244">
        <f>'Aset Moneter'!I16</f>
        <v>818198.37655188492</v>
      </c>
      <c r="AK61" s="192"/>
      <c r="AL61" s="193"/>
      <c r="AM61" s="192"/>
      <c r="AN61" s="192"/>
      <c r="AO61" s="192"/>
      <c r="AP61" s="244">
        <f>'Aset Moneter'!J16</f>
        <v>952915.51878835238</v>
      </c>
      <c r="AQ61" s="192"/>
      <c r="AR61" s="193"/>
      <c r="AS61" s="192"/>
      <c r="AT61" s="192"/>
      <c r="AU61" s="192"/>
      <c r="AV61" s="244">
        <f>'Aset Moneter'!K16</f>
        <v>1100095.7065798338</v>
      </c>
      <c r="AW61" s="192"/>
      <c r="AX61" s="193"/>
      <c r="AY61" s="192"/>
      <c r="AZ61" s="192"/>
      <c r="BA61" s="192"/>
      <c r="BB61" s="244">
        <f>'Aset Moneter'!L16</f>
        <v>1173971.8049369522</v>
      </c>
      <c r="BC61" s="192"/>
      <c r="BD61" s="193"/>
      <c r="BE61" s="192"/>
      <c r="BF61" s="192"/>
      <c r="BG61" s="192"/>
      <c r="BH61" s="244">
        <f>'Aset Moneter'!M16</f>
        <v>1390349.5952327701</v>
      </c>
      <c r="BI61" s="192"/>
      <c r="BJ61" s="193"/>
      <c r="BK61" s="192"/>
      <c r="BL61" s="192"/>
      <c r="BM61" s="192"/>
      <c r="BN61" s="244">
        <f>'Aset Moneter'!N16</f>
        <v>1330038.2354740493</v>
      </c>
      <c r="BO61" s="192"/>
      <c r="BP61" s="193"/>
    </row>
    <row r="62" spans="1:68" ht="14.25" customHeight="1">
      <c r="A62" s="190"/>
      <c r="B62" s="191" t="s">
        <v>227</v>
      </c>
      <c r="C62" s="192"/>
      <c r="D62" s="192"/>
      <c r="E62" s="192"/>
      <c r="F62" s="260">
        <f>'Aset Moneter'!D26</f>
        <v>1936673.9737175689</v>
      </c>
      <c r="G62" s="192"/>
      <c r="H62" s="193"/>
      <c r="I62" s="192"/>
      <c r="J62" s="192"/>
      <c r="K62" s="192"/>
      <c r="L62" s="260">
        <f>'Aset Moneter'!E26</f>
        <v>1128616.8654583555</v>
      </c>
      <c r="M62" s="192"/>
      <c r="N62" s="193"/>
      <c r="O62" s="192"/>
      <c r="P62" s="192"/>
      <c r="Q62" s="192"/>
      <c r="R62" s="260">
        <f>'Aset Moneter'!F26</f>
        <v>1038776.4033883412</v>
      </c>
      <c r="S62" s="192"/>
      <c r="T62" s="193"/>
      <c r="U62" s="192"/>
      <c r="V62" s="192"/>
      <c r="W62" s="192"/>
      <c r="X62" s="260">
        <f>'Aset Moneter'!G26</f>
        <v>1442786.7813271717</v>
      </c>
      <c r="Y62" s="192"/>
      <c r="Z62" s="193"/>
      <c r="AA62" s="192"/>
      <c r="AB62" s="192"/>
      <c r="AC62" s="192"/>
      <c r="AD62" s="260">
        <f>'Aset Moneter'!H26</f>
        <v>1827895.3989000786</v>
      </c>
      <c r="AE62" s="192"/>
      <c r="AF62" s="193"/>
      <c r="AG62" s="192"/>
      <c r="AH62" s="192"/>
      <c r="AI62" s="192"/>
      <c r="AJ62" s="260">
        <f>'Aset Moneter'!I26</f>
        <v>1650482.1487191245</v>
      </c>
      <c r="AK62" s="192"/>
      <c r="AL62" s="193"/>
      <c r="AM62" s="192"/>
      <c r="AN62" s="192"/>
      <c r="AO62" s="192"/>
      <c r="AP62" s="260">
        <f>'Aset Moneter'!J26</f>
        <v>1232797.0968946044</v>
      </c>
      <c r="AQ62" s="192"/>
      <c r="AR62" s="193"/>
      <c r="AS62" s="192"/>
      <c r="AT62" s="192"/>
      <c r="AU62" s="192"/>
      <c r="AV62" s="260">
        <f>'Aset Moneter'!K26</f>
        <v>1759477.4533354028</v>
      </c>
      <c r="AW62" s="192"/>
      <c r="AX62" s="193"/>
      <c r="AY62" s="192"/>
      <c r="AZ62" s="192"/>
      <c r="BA62" s="192"/>
      <c r="BB62" s="260">
        <f>'Aset Moneter'!L26</f>
        <v>2275538.6724397279</v>
      </c>
      <c r="BC62" s="192"/>
      <c r="BD62" s="193"/>
      <c r="BE62" s="192"/>
      <c r="BF62" s="192"/>
      <c r="BG62" s="192"/>
      <c r="BH62" s="260">
        <f>'Aset Moneter'!M26</f>
        <v>1904383.557102096</v>
      </c>
      <c r="BI62" s="192"/>
      <c r="BJ62" s="193"/>
      <c r="BK62" s="192"/>
      <c r="BL62" s="192"/>
      <c r="BM62" s="192"/>
      <c r="BN62" s="260">
        <f>'Aset Moneter'!N26</f>
        <v>1886353.1604259873</v>
      </c>
      <c r="BO62" s="192"/>
      <c r="BP62" s="193"/>
    </row>
    <row r="63" spans="1:68" ht="14.25" customHeight="1">
      <c r="A63" s="190"/>
      <c r="B63" s="191" t="s">
        <v>229</v>
      </c>
      <c r="C63" s="192"/>
      <c r="D63" s="192"/>
      <c r="E63" s="192"/>
      <c r="F63" s="260">
        <f>'Aset Moneter'!D36</f>
        <v>1929560.4055106894</v>
      </c>
      <c r="G63" s="192"/>
      <c r="H63" s="193"/>
      <c r="I63" s="192"/>
      <c r="J63" s="192"/>
      <c r="K63" s="192"/>
      <c r="L63" s="260">
        <f>'Aset Moneter'!E36</f>
        <v>2092742.2082036678</v>
      </c>
      <c r="M63" s="192"/>
      <c r="N63" s="193"/>
      <c r="O63" s="192"/>
      <c r="P63" s="192"/>
      <c r="Q63" s="192"/>
      <c r="R63" s="260">
        <f>'Aset Moneter'!F36</f>
        <v>2099174.0281491606</v>
      </c>
      <c r="S63" s="192"/>
      <c r="T63" s="193"/>
      <c r="U63" s="192"/>
      <c r="V63" s="192"/>
      <c r="W63" s="192"/>
      <c r="X63" s="260">
        <f>'Aset Moneter'!G36</f>
        <v>2081924.8547662157</v>
      </c>
      <c r="Y63" s="192"/>
      <c r="Z63" s="193"/>
      <c r="AA63" s="192"/>
      <c r="AB63" s="192"/>
      <c r="AC63" s="192"/>
      <c r="AD63" s="260">
        <f>'Aset Moneter'!H36</f>
        <v>1985652.1056364621</v>
      </c>
      <c r="AE63" s="192"/>
      <c r="AF63" s="193"/>
      <c r="AG63" s="192"/>
      <c r="AH63" s="192"/>
      <c r="AI63" s="192"/>
      <c r="AJ63" s="260">
        <f>'Aset Moneter'!I36</f>
        <v>2088004.0759012178</v>
      </c>
      <c r="AK63" s="192"/>
      <c r="AL63" s="193"/>
      <c r="AM63" s="192"/>
      <c r="AN63" s="192"/>
      <c r="AO63" s="192"/>
      <c r="AP63" s="260">
        <f>'Aset Moneter'!J36</f>
        <v>2190729.8763846271</v>
      </c>
      <c r="AQ63" s="192"/>
      <c r="AR63" s="193"/>
      <c r="AS63" s="192"/>
      <c r="AT63" s="192"/>
      <c r="AU63" s="192"/>
      <c r="AV63" s="260">
        <f>'Aset Moneter'!K36</f>
        <v>2571830.69477779</v>
      </c>
      <c r="AW63" s="192"/>
      <c r="AX63" s="193"/>
      <c r="AY63" s="192"/>
      <c r="AZ63" s="192"/>
      <c r="BA63" s="192"/>
      <c r="BB63" s="260">
        <f>'Aset Moneter'!L36</f>
        <v>3019059.9689860176</v>
      </c>
      <c r="BC63" s="192"/>
      <c r="BD63" s="193"/>
      <c r="BE63" s="192"/>
      <c r="BF63" s="192"/>
      <c r="BG63" s="192"/>
      <c r="BH63" s="260">
        <f>'Aset Moneter'!M36</f>
        <v>2672571.8887185925</v>
      </c>
      <c r="BI63" s="192"/>
      <c r="BJ63" s="193"/>
      <c r="BK63" s="192"/>
      <c r="BL63" s="192"/>
      <c r="BM63" s="192"/>
      <c r="BN63" s="260">
        <f>'Aset Moneter'!N36</f>
        <v>2602475.0266915513</v>
      </c>
      <c r="BO63" s="192"/>
      <c r="BP63" s="193"/>
    </row>
    <row r="64" spans="1:68" ht="14.25" customHeight="1">
      <c r="A64" s="190"/>
      <c r="B64" s="191" t="s">
        <v>230</v>
      </c>
      <c r="C64" s="192"/>
      <c r="D64" s="192"/>
      <c r="E64" s="192"/>
      <c r="F64" s="260">
        <f>'Aset Moneter'!D46</f>
        <v>2374378.2709375597</v>
      </c>
      <c r="G64" s="192"/>
      <c r="H64" s="193"/>
      <c r="I64" s="192"/>
      <c r="J64" s="192"/>
      <c r="K64" s="192"/>
      <c r="L64" s="260">
        <f>'Aset Moneter'!E46</f>
        <v>2534793.3673582519</v>
      </c>
      <c r="M64" s="192"/>
      <c r="N64" s="193"/>
      <c r="O64" s="192"/>
      <c r="P64" s="192"/>
      <c r="Q64" s="192"/>
      <c r="R64" s="260">
        <f>'Aset Moneter'!F46</f>
        <v>2860161.443087176</v>
      </c>
      <c r="S64" s="192"/>
      <c r="T64" s="193"/>
      <c r="U64" s="192"/>
      <c r="V64" s="192"/>
      <c r="W64" s="192"/>
      <c r="X64" s="260">
        <f>'Aset Moneter'!G46</f>
        <v>4126241.7819370092</v>
      </c>
      <c r="Y64" s="192"/>
      <c r="Z64" s="193"/>
      <c r="AA64" s="192"/>
      <c r="AB64" s="192"/>
      <c r="AC64" s="192"/>
      <c r="AD64" s="260">
        <f>'Aset Moneter'!H46</f>
        <v>4338434.2909624977</v>
      </c>
      <c r="AE64" s="192"/>
      <c r="AF64" s="193"/>
      <c r="AG64" s="192"/>
      <c r="AH64" s="192"/>
      <c r="AI64" s="192"/>
      <c r="AJ64" s="260">
        <f>'Aset Moneter'!I46</f>
        <v>4057943.8765498921</v>
      </c>
      <c r="AK64" s="192"/>
      <c r="AL64" s="193"/>
      <c r="AM64" s="192"/>
      <c r="AN64" s="192"/>
      <c r="AO64" s="192"/>
      <c r="AP64" s="260">
        <f>'Aset Moneter'!J46</f>
        <v>3608155.3887086073</v>
      </c>
      <c r="AQ64" s="192"/>
      <c r="AR64" s="193"/>
      <c r="AS64" s="192"/>
      <c r="AT64" s="192"/>
      <c r="AU64" s="192"/>
      <c r="AV64" s="260">
        <f>'Aset Moneter'!K46</f>
        <v>7098820.2897188431</v>
      </c>
      <c r="AW64" s="192"/>
      <c r="AX64" s="193"/>
      <c r="AY64" s="192"/>
      <c r="AZ64" s="192"/>
      <c r="BA64" s="192"/>
      <c r="BB64" s="260">
        <f>'Aset Moneter'!L46</f>
        <v>15178688.940176306</v>
      </c>
      <c r="BC64" s="192"/>
      <c r="BD64" s="193"/>
      <c r="BE64" s="192"/>
      <c r="BF64" s="192"/>
      <c r="BG64" s="192"/>
      <c r="BH64" s="260">
        <f>'Aset Moneter'!M46</f>
        <v>13539561.974775651</v>
      </c>
      <c r="BI64" s="192"/>
      <c r="BJ64" s="193"/>
      <c r="BK64" s="192"/>
      <c r="BL64" s="192"/>
      <c r="BM64" s="192"/>
      <c r="BN64" s="260">
        <f>'Aset Moneter'!N46</f>
        <v>9807565.6307109073</v>
      </c>
      <c r="BO64" s="192"/>
      <c r="BP64" s="193"/>
    </row>
    <row r="65" spans="1:68" ht="14.25" customHeight="1">
      <c r="A65" s="190"/>
      <c r="B65" s="191" t="s">
        <v>231</v>
      </c>
      <c r="C65" s="192"/>
      <c r="D65" s="192"/>
      <c r="E65" s="192"/>
      <c r="F65" s="260">
        <f>'Aset Moneter'!D56</f>
        <v>200366.44797565616</v>
      </c>
      <c r="G65" s="192"/>
      <c r="H65" s="193"/>
      <c r="I65" s="192"/>
      <c r="J65" s="192"/>
      <c r="K65" s="192"/>
      <c r="L65" s="260">
        <f>'Aset Moneter'!E56</f>
        <v>311024.64287169016</v>
      </c>
      <c r="M65" s="192"/>
      <c r="N65" s="193"/>
      <c r="O65" s="192"/>
      <c r="P65" s="192"/>
      <c r="Q65" s="192"/>
      <c r="R65" s="260">
        <f>'Aset Moneter'!F56</f>
        <v>330729.38911953254</v>
      </c>
      <c r="S65" s="192"/>
      <c r="T65" s="193"/>
      <c r="U65" s="192"/>
      <c r="V65" s="192"/>
      <c r="W65" s="192"/>
      <c r="X65" s="260">
        <f>'Aset Moneter'!G56</f>
        <v>376606.06230149657</v>
      </c>
      <c r="Y65" s="192"/>
      <c r="Z65" s="193"/>
      <c r="AA65" s="192"/>
      <c r="AB65" s="192"/>
      <c r="AC65" s="192"/>
      <c r="AD65" s="260">
        <f>'Aset Moneter'!H56</f>
        <v>177537.94600791659</v>
      </c>
      <c r="AE65" s="192"/>
      <c r="AF65" s="193"/>
      <c r="AG65" s="192"/>
      <c r="AH65" s="192"/>
      <c r="AI65" s="192"/>
      <c r="AJ65" s="260">
        <f>'Aset Moneter'!I56</f>
        <v>111404.04160600067</v>
      </c>
      <c r="AK65" s="192"/>
      <c r="AL65" s="193"/>
      <c r="AM65" s="192"/>
      <c r="AN65" s="192"/>
      <c r="AO65" s="192"/>
      <c r="AP65" s="260">
        <f>'Aset Moneter'!J56</f>
        <v>181971.96855984296</v>
      </c>
      <c r="AQ65" s="192"/>
      <c r="AR65" s="193"/>
      <c r="AS65" s="192"/>
      <c r="AT65" s="192"/>
      <c r="AU65" s="192"/>
      <c r="AV65" s="260">
        <f>'Aset Moneter'!K56</f>
        <v>236975.2042414587</v>
      </c>
      <c r="AW65" s="192"/>
      <c r="AX65" s="193"/>
      <c r="AY65" s="192"/>
      <c r="AZ65" s="192"/>
      <c r="BA65" s="192"/>
      <c r="BB65" s="260">
        <f>'Aset Moneter'!L56</f>
        <v>313647.39947191282</v>
      </c>
      <c r="BC65" s="192"/>
      <c r="BD65" s="193"/>
      <c r="BE65" s="192"/>
      <c r="BF65" s="192"/>
      <c r="BG65" s="192"/>
      <c r="BH65" s="260">
        <f>'Aset Moneter'!M56</f>
        <v>372761.01601355977</v>
      </c>
      <c r="BI65" s="192"/>
      <c r="BJ65" s="193"/>
      <c r="BK65" s="192"/>
      <c r="BL65" s="192"/>
      <c r="BM65" s="192"/>
      <c r="BN65" s="260">
        <f>'Aset Moneter'!N56</f>
        <v>461930.7322744503</v>
      </c>
      <c r="BO65" s="192"/>
      <c r="BP65" s="193"/>
    </row>
    <row r="66" spans="1:68" ht="14.25" customHeight="1">
      <c r="A66" s="190"/>
      <c r="B66" s="191" t="s">
        <v>236</v>
      </c>
      <c r="C66" s="192"/>
      <c r="D66" s="192"/>
      <c r="E66" s="192"/>
      <c r="F66" s="260">
        <f>'Aset Moneter'!D66</f>
        <v>13473.768206839331</v>
      </c>
      <c r="G66" s="192"/>
      <c r="H66" s="193"/>
      <c r="I66" s="192"/>
      <c r="J66" s="192"/>
      <c r="K66" s="192"/>
      <c r="L66" s="260">
        <f>'Aset Moneter'!E66</f>
        <v>14780.666140090469</v>
      </c>
      <c r="M66" s="192"/>
      <c r="N66" s="193"/>
      <c r="O66" s="192"/>
      <c r="P66" s="192"/>
      <c r="Q66" s="192"/>
      <c r="R66" s="260">
        <f>'Aset Moneter'!F66</f>
        <v>17318.010842119704</v>
      </c>
      <c r="S66" s="192"/>
      <c r="T66" s="193"/>
      <c r="U66" s="192"/>
      <c r="V66" s="192"/>
      <c r="W66" s="192"/>
      <c r="X66" s="260">
        <f>'Aset Moneter'!G66</f>
        <v>12622.996983780795</v>
      </c>
      <c r="Y66" s="192"/>
      <c r="Z66" s="193"/>
      <c r="AA66" s="192"/>
      <c r="AB66" s="192"/>
      <c r="AC66" s="192"/>
      <c r="AD66" s="260">
        <f>'Aset Moneter'!H66</f>
        <v>4957.2854899750519</v>
      </c>
      <c r="AE66" s="192"/>
      <c r="AF66" s="193"/>
      <c r="AG66" s="192"/>
      <c r="AH66" s="192"/>
      <c r="AI66" s="192"/>
      <c r="AJ66" s="260">
        <f>'Aset Moneter'!I66</f>
        <v>5269.9370526771454</v>
      </c>
      <c r="AK66" s="192"/>
      <c r="AL66" s="193"/>
      <c r="AM66" s="192"/>
      <c r="AN66" s="192"/>
      <c r="AO66" s="192"/>
      <c r="AP66" s="260">
        <f>'Aset Moneter'!J66</f>
        <v>5627.0929192770755</v>
      </c>
      <c r="AQ66" s="192"/>
      <c r="AR66" s="193"/>
      <c r="AS66" s="192"/>
      <c r="AT66" s="192"/>
      <c r="AU66" s="192"/>
      <c r="AV66" s="260">
        <f>'Aset Moneter'!K66</f>
        <v>5993.3339944050504</v>
      </c>
      <c r="AW66" s="192"/>
      <c r="AX66" s="193"/>
      <c r="AY66" s="192"/>
      <c r="AZ66" s="192"/>
      <c r="BA66" s="192"/>
      <c r="BB66" s="260">
        <f>'Aset Moneter'!L66</f>
        <v>5023.8835773639576</v>
      </c>
      <c r="BC66" s="192"/>
      <c r="BD66" s="193"/>
      <c r="BE66" s="192"/>
      <c r="BF66" s="192"/>
      <c r="BG66" s="192"/>
      <c r="BH66" s="260">
        <f>'Aset Moneter'!M66</f>
        <v>6092.431486606315</v>
      </c>
      <c r="BI66" s="192"/>
      <c r="BJ66" s="193"/>
      <c r="BK66" s="192"/>
      <c r="BL66" s="192"/>
      <c r="BM66" s="192"/>
      <c r="BN66" s="260">
        <f>'Aset Moneter'!N66</f>
        <v>9245.0701236394962</v>
      </c>
      <c r="BO66" s="192"/>
      <c r="BP66" s="193"/>
    </row>
    <row r="67" spans="1:68" ht="14.25" customHeight="1">
      <c r="A67" s="190"/>
      <c r="B67" s="191" t="s">
        <v>237</v>
      </c>
      <c r="C67" s="192"/>
      <c r="D67" s="192"/>
      <c r="E67" s="192"/>
      <c r="F67" s="260">
        <f>'Aset Moneter'!D76</f>
        <v>220254.27460107402</v>
      </c>
      <c r="G67" s="192"/>
      <c r="H67" s="193"/>
      <c r="I67" s="192"/>
      <c r="J67" s="192"/>
      <c r="K67" s="192"/>
      <c r="L67" s="260">
        <f>'Aset Moneter'!E76</f>
        <v>172752.28834167775</v>
      </c>
      <c r="M67" s="192"/>
      <c r="N67" s="193"/>
      <c r="O67" s="192"/>
      <c r="P67" s="192"/>
      <c r="Q67" s="192"/>
      <c r="R67" s="260">
        <f>'Aset Moneter'!F76</f>
        <v>195241.86600448284</v>
      </c>
      <c r="S67" s="192"/>
      <c r="T67" s="193"/>
      <c r="U67" s="192"/>
      <c r="V67" s="192"/>
      <c r="W67" s="192"/>
      <c r="X67" s="260">
        <f>'Aset Moneter'!G76</f>
        <v>228644.70307333412</v>
      </c>
      <c r="Y67" s="192"/>
      <c r="Z67" s="193"/>
      <c r="AA67" s="192"/>
      <c r="AB67" s="192"/>
      <c r="AC67" s="192"/>
      <c r="AD67" s="260">
        <f>'Aset Moneter'!H76</f>
        <v>243466.58167333782</v>
      </c>
      <c r="AE67" s="192"/>
      <c r="AF67" s="193"/>
      <c r="AG67" s="192"/>
      <c r="AH67" s="192"/>
      <c r="AI67" s="192"/>
      <c r="AJ67" s="260">
        <f>'Aset Moneter'!I76</f>
        <v>182470.53824771309</v>
      </c>
      <c r="AK67" s="192"/>
      <c r="AL67" s="193"/>
      <c r="AM67" s="192"/>
      <c r="AN67" s="192"/>
      <c r="AO67" s="192"/>
      <c r="AP67" s="260">
        <f>'Aset Moneter'!J76</f>
        <v>603209.48662785674</v>
      </c>
      <c r="AQ67" s="192"/>
      <c r="AR67" s="193"/>
      <c r="AS67" s="192"/>
      <c r="AT67" s="192"/>
      <c r="AU67" s="192"/>
      <c r="AV67" s="260">
        <f>'Aset Moneter'!K76</f>
        <v>925405.53518102644</v>
      </c>
      <c r="AW67" s="192"/>
      <c r="AX67" s="193"/>
      <c r="AY67" s="192"/>
      <c r="AZ67" s="192"/>
      <c r="BA67" s="192"/>
      <c r="BB67" s="260">
        <f>'Aset Moneter'!L76</f>
        <v>1018188.9336443528</v>
      </c>
      <c r="BC67" s="192"/>
      <c r="BD67" s="193"/>
      <c r="BE67" s="192"/>
      <c r="BF67" s="192"/>
      <c r="BG67" s="192"/>
      <c r="BH67" s="260">
        <f>'Aset Moneter'!M76</f>
        <v>1137311.4432151858</v>
      </c>
      <c r="BI67" s="192"/>
      <c r="BJ67" s="193"/>
      <c r="BK67" s="192"/>
      <c r="BL67" s="192"/>
      <c r="BM67" s="192"/>
      <c r="BN67" s="260">
        <f>'Aset Moneter'!N76</f>
        <v>1264494.1846216884</v>
      </c>
      <c r="BO67" s="192"/>
      <c r="BP67" s="193"/>
    </row>
    <row r="68" spans="1:68" ht="14.25" customHeight="1">
      <c r="A68" s="190"/>
      <c r="B68" s="191" t="s">
        <v>238</v>
      </c>
      <c r="C68" s="192"/>
      <c r="D68" s="192"/>
      <c r="E68" s="192"/>
      <c r="F68" s="260">
        <f>'Aset Moneter'!D86</f>
        <v>33762.399729158569</v>
      </c>
      <c r="G68" s="192"/>
      <c r="H68" s="193"/>
      <c r="I68" s="192"/>
      <c r="J68" s="192"/>
      <c r="K68" s="192"/>
      <c r="L68" s="260">
        <f>'Aset Moneter'!E86</f>
        <v>50123.665438190503</v>
      </c>
      <c r="M68" s="192"/>
      <c r="N68" s="193"/>
      <c r="O68" s="192"/>
      <c r="P68" s="192"/>
      <c r="Q68" s="192"/>
      <c r="R68" s="260">
        <f>'Aset Moneter'!F86</f>
        <v>75206.157612457449</v>
      </c>
      <c r="S68" s="192"/>
      <c r="T68" s="193"/>
      <c r="U68" s="192"/>
      <c r="V68" s="192"/>
      <c r="W68" s="192"/>
      <c r="X68" s="260">
        <f>'Aset Moneter'!G86</f>
        <v>78627.703209916741</v>
      </c>
      <c r="Y68" s="192"/>
      <c r="Z68" s="193"/>
      <c r="AA68" s="192"/>
      <c r="AB68" s="192"/>
      <c r="AC68" s="192"/>
      <c r="AD68" s="260">
        <f>'Aset Moneter'!H86</f>
        <v>115623.69823232824</v>
      </c>
      <c r="AE68" s="192"/>
      <c r="AF68" s="193"/>
      <c r="AG68" s="192"/>
      <c r="AH68" s="192"/>
      <c r="AI68" s="192"/>
      <c r="AJ68" s="260">
        <f>'Aset Moneter'!I86</f>
        <v>128560.69610803058</v>
      </c>
      <c r="AK68" s="192"/>
      <c r="AL68" s="193"/>
      <c r="AM68" s="192"/>
      <c r="AN68" s="192"/>
      <c r="AO68" s="192"/>
      <c r="AP68" s="260">
        <f>'Aset Moneter'!J86</f>
        <v>185956.96972217612</v>
      </c>
      <c r="AQ68" s="192"/>
      <c r="AR68" s="193"/>
      <c r="AS68" s="192"/>
      <c r="AT68" s="192"/>
      <c r="AU68" s="192"/>
      <c r="AV68" s="260">
        <f>'Aset Moneter'!K86</f>
        <v>300256.28932725167</v>
      </c>
      <c r="AW68" s="192"/>
      <c r="AX68" s="193"/>
      <c r="AY68" s="192"/>
      <c r="AZ68" s="192"/>
      <c r="BA68" s="192"/>
      <c r="BB68" s="260">
        <f>'Aset Moneter'!L86</f>
        <v>378436.43561014492</v>
      </c>
      <c r="BC68" s="192"/>
      <c r="BD68" s="193"/>
      <c r="BE68" s="192"/>
      <c r="BF68" s="192"/>
      <c r="BG68" s="192"/>
      <c r="BH68" s="260">
        <f>'Aset Moneter'!M86</f>
        <v>436324.53659975063</v>
      </c>
      <c r="BI68" s="192"/>
      <c r="BJ68" s="193"/>
      <c r="BK68" s="192"/>
      <c r="BL68" s="192"/>
      <c r="BM68" s="192"/>
      <c r="BN68" s="260">
        <f>'Aset Moneter'!N86</f>
        <v>534000.07939923031</v>
      </c>
      <c r="BO68" s="192"/>
      <c r="BP68" s="193"/>
    </row>
    <row r="69" spans="1:68" ht="14.25" customHeight="1">
      <c r="A69" s="190"/>
      <c r="B69" s="191" t="s">
        <v>239</v>
      </c>
      <c r="C69" s="192"/>
      <c r="D69" s="192"/>
      <c r="E69" s="192"/>
      <c r="F69" s="260">
        <f>'Aset Moneter'!D96</f>
        <v>97741.008539998918</v>
      </c>
      <c r="G69" s="192"/>
      <c r="H69" s="193"/>
      <c r="I69" s="192"/>
      <c r="J69" s="192"/>
      <c r="K69" s="192"/>
      <c r="L69" s="260">
        <f>'Aset Moneter'!E96</f>
        <v>151552.00118134395</v>
      </c>
      <c r="M69" s="192"/>
      <c r="N69" s="193"/>
      <c r="O69" s="192"/>
      <c r="P69" s="192"/>
      <c r="Q69" s="192"/>
      <c r="R69" s="260">
        <f>'Aset Moneter'!F96</f>
        <v>307466.17226693378</v>
      </c>
      <c r="S69" s="192"/>
      <c r="T69" s="193"/>
      <c r="U69" s="192"/>
      <c r="V69" s="192"/>
      <c r="W69" s="192"/>
      <c r="X69" s="260">
        <f>'Aset Moneter'!G96</f>
        <v>282952.63199922501</v>
      </c>
      <c r="Y69" s="192"/>
      <c r="Z69" s="193"/>
      <c r="AA69" s="192"/>
      <c r="AB69" s="192"/>
      <c r="AC69" s="192"/>
      <c r="AD69" s="260">
        <f>'Aset Moneter'!H96</f>
        <v>42142.188439038968</v>
      </c>
      <c r="AE69" s="192"/>
      <c r="AF69" s="193"/>
      <c r="AG69" s="192"/>
      <c r="AH69" s="192"/>
      <c r="AI69" s="192"/>
      <c r="AJ69" s="260">
        <f>'Aset Moneter'!I96</f>
        <v>42808.066452145438</v>
      </c>
      <c r="AK69" s="192"/>
      <c r="AL69" s="193"/>
      <c r="AM69" s="192"/>
      <c r="AN69" s="192"/>
      <c r="AO69" s="192"/>
      <c r="AP69" s="260">
        <f>'Aset Moneter'!J96</f>
        <v>113056.09025386334</v>
      </c>
      <c r="AQ69" s="192"/>
      <c r="AR69" s="193"/>
      <c r="AS69" s="192"/>
      <c r="AT69" s="192"/>
      <c r="AU69" s="192"/>
      <c r="AV69" s="260">
        <f>'Aset Moneter'!K96</f>
        <v>169831.80657200314</v>
      </c>
      <c r="AW69" s="192"/>
      <c r="AX69" s="193"/>
      <c r="AY69" s="192"/>
      <c r="AZ69" s="192"/>
      <c r="BA69" s="192"/>
      <c r="BB69" s="260">
        <f>'Aset Moneter'!L96</f>
        <v>172030.87219682394</v>
      </c>
      <c r="BC69" s="192"/>
      <c r="BD69" s="193"/>
      <c r="BE69" s="192"/>
      <c r="BF69" s="192"/>
      <c r="BG69" s="192"/>
      <c r="BH69" s="260">
        <f>'Aset Moneter'!M96</f>
        <v>181377.42963707951</v>
      </c>
      <c r="BI69" s="192"/>
      <c r="BJ69" s="193"/>
      <c r="BK69" s="192"/>
      <c r="BL69" s="192"/>
      <c r="BM69" s="192"/>
      <c r="BN69" s="260">
        <f>'Aset Moneter'!N96</f>
        <v>205899.19463307661</v>
      </c>
      <c r="BO69" s="192"/>
      <c r="BP69" s="193"/>
    </row>
    <row r="70" spans="1:68" ht="14.25" customHeight="1">
      <c r="A70" s="220"/>
      <c r="B70" s="221" t="s">
        <v>240</v>
      </c>
      <c r="C70" s="222"/>
      <c r="D70" s="222"/>
      <c r="E70" s="222"/>
      <c r="F70" s="284">
        <f>'Aset Moneter'!D106</f>
        <v>7070.8202256160166</v>
      </c>
      <c r="G70" s="222"/>
      <c r="H70" s="224"/>
      <c r="I70" s="222"/>
      <c r="J70" s="222"/>
      <c r="K70" s="222"/>
      <c r="L70" s="284">
        <f>'Aset Moneter'!E106</f>
        <v>2508.8633804961082</v>
      </c>
      <c r="M70" s="222"/>
      <c r="N70" s="224"/>
      <c r="O70" s="222"/>
      <c r="P70" s="222"/>
      <c r="Q70" s="222"/>
      <c r="R70" s="284">
        <f>'Aset Moneter'!F106</f>
        <v>16142.363427068534</v>
      </c>
      <c r="S70" s="222"/>
      <c r="T70" s="224"/>
      <c r="U70" s="222"/>
      <c r="V70" s="222"/>
      <c r="W70" s="222"/>
      <c r="X70" s="284">
        <f>'Aset Moneter'!G106</f>
        <v>51927.399762739718</v>
      </c>
      <c r="Y70" s="222"/>
      <c r="Z70" s="224"/>
      <c r="AA70" s="222"/>
      <c r="AB70" s="222"/>
      <c r="AC70" s="222"/>
      <c r="AD70" s="284">
        <f>'Aset Moneter'!H106</f>
        <v>81961.192456577817</v>
      </c>
      <c r="AE70" s="222"/>
      <c r="AF70" s="224"/>
      <c r="AG70" s="222"/>
      <c r="AH70" s="222"/>
      <c r="AI70" s="222"/>
      <c r="AJ70" s="284">
        <f>'Aset Moneter'!I106</f>
        <v>119374.59684863981</v>
      </c>
      <c r="AK70" s="222"/>
      <c r="AL70" s="224"/>
      <c r="AM70" s="222"/>
      <c r="AN70" s="222"/>
      <c r="AO70" s="222"/>
      <c r="AP70" s="284">
        <f>'Aset Moneter'!J106</f>
        <v>92499.539333019711</v>
      </c>
      <c r="AQ70" s="222"/>
      <c r="AR70" s="224"/>
      <c r="AS70" s="222"/>
      <c r="AT70" s="222"/>
      <c r="AU70" s="222"/>
      <c r="AV70" s="284">
        <f>'Aset Moneter'!K106</f>
        <v>132212.82876640657</v>
      </c>
      <c r="AW70" s="222"/>
      <c r="AX70" s="224"/>
      <c r="AY70" s="222"/>
      <c r="AZ70" s="222"/>
      <c r="BA70" s="222"/>
      <c r="BB70" s="284">
        <f>'Aset Moneter'!L106</f>
        <v>161189.47175353253</v>
      </c>
      <c r="BC70" s="222"/>
      <c r="BD70" s="224"/>
      <c r="BE70" s="222"/>
      <c r="BF70" s="222"/>
      <c r="BG70" s="222"/>
      <c r="BH70" s="284">
        <f>'Aset Moneter'!M106</f>
        <v>189178.5261961603</v>
      </c>
      <c r="BI70" s="222"/>
      <c r="BJ70" s="224"/>
      <c r="BK70" s="222"/>
      <c r="BL70" s="222"/>
      <c r="BM70" s="222"/>
      <c r="BN70" s="284">
        <f>'Aset Moneter'!N106</f>
        <v>228131.08534921764</v>
      </c>
      <c r="BO70" s="222"/>
      <c r="BP70" s="224"/>
    </row>
    <row r="71" spans="1:68" ht="14.25" customHeight="1"/>
    <row r="72" spans="1:68" ht="14.25" customHeight="1"/>
    <row r="73" spans="1:68" ht="14.25" customHeight="1">
      <c r="Q73" s="282">
        <f>Q60/(Q60+R60)*100</f>
        <v>85.477699173666394</v>
      </c>
      <c r="R73" s="282">
        <f>R60/(Q60+R60)*100</f>
        <v>14.522300826333613</v>
      </c>
      <c r="W73" s="282">
        <f>W60/(W60+X60)*100</f>
        <v>83.905767476546131</v>
      </c>
      <c r="X73" s="282">
        <f>X60/(W60+X60)*100</f>
        <v>16.094232523453869</v>
      </c>
      <c r="AC73" s="282">
        <f>AC60/(AC60+AD60)*100</f>
        <v>85.054068605716566</v>
      </c>
      <c r="AD73" s="282">
        <f>AD60/(AC60+AD60)*100</f>
        <v>14.945931394283427</v>
      </c>
      <c r="AI73" s="282">
        <f>AI60/(AI60+AJ60)*100</f>
        <v>86.339928551909708</v>
      </c>
      <c r="AJ73" s="282">
        <f>AJ60/(AI60+AJ60)*100</f>
        <v>13.660071448090308</v>
      </c>
      <c r="AO73" s="282">
        <f>AO60/(AO60+AP60)*100</f>
        <v>87.05853863663323</v>
      </c>
      <c r="AP73" s="282">
        <f>AP60/(AO60+AP60)*100</f>
        <v>12.941461363366763</v>
      </c>
      <c r="AU73" s="282">
        <f>AU60/(AU60+AV60)*100</f>
        <v>82.559338526269116</v>
      </c>
      <c r="AV73" s="282">
        <f>AV60/(AU60+AV60)*100</f>
        <v>17.440661473730881</v>
      </c>
      <c r="BA73" s="282">
        <f>BA60/(BA60+BB60)*100</f>
        <v>75.83018911703526</v>
      </c>
      <c r="BB73" s="282">
        <f>BB60/(BA60+BB60)*100</f>
        <v>24.169810882964736</v>
      </c>
      <c r="BG73" s="282">
        <f>BG60/(BG60+BH60)*100</f>
        <v>78.65328038703133</v>
      </c>
      <c r="BH73" s="282">
        <f>BH60/(BG60+BH60)*100</f>
        <v>21.346719612968673</v>
      </c>
      <c r="BM73" s="282">
        <f>BM60/(BM60+BN60)*100</f>
        <v>82.578618525739046</v>
      </c>
      <c r="BN73" s="282">
        <f>BN60/(BM60+BN60)*100</f>
        <v>17.421381474260954</v>
      </c>
    </row>
    <row r="74" spans="1:68" ht="14.25" customHeight="1"/>
    <row r="75" spans="1:68" ht="14.25" customHeight="1"/>
    <row r="76" spans="1:68" ht="14.25" customHeight="1"/>
    <row r="77" spans="1:68" ht="14.25" customHeight="1">
      <c r="O77" s="204">
        <f>O22/I22*100-100</f>
        <v>-4.4025142458487494</v>
      </c>
      <c r="P77" s="204">
        <f>O24/I24*100-100</f>
        <v>-24.48677774607701</v>
      </c>
      <c r="U77" s="204">
        <f>U22/O22*100-100</f>
        <v>19.415930753450183</v>
      </c>
      <c r="V77" s="204">
        <f>U24/O24*100-100</f>
        <v>12.620245395769132</v>
      </c>
      <c r="AA77" s="204">
        <f>AA22/U22*100-100</f>
        <v>15.183145957634252</v>
      </c>
      <c r="AB77" s="204">
        <f>AA24/U24*100-100</f>
        <v>12.700021544086255</v>
      </c>
      <c r="AG77" s="204">
        <f>AG22/AA22*100-100</f>
        <v>13.145248148395552</v>
      </c>
      <c r="AH77" s="204">
        <f>AG24/AA24*100-100</f>
        <v>31.65507873076848</v>
      </c>
      <c r="AM77" s="204">
        <f>AM22/AG22*100-100</f>
        <v>-7.079828400752632</v>
      </c>
      <c r="AN77" s="204">
        <f>AM24/AG24*100-100</f>
        <v>-12.88035020518754</v>
      </c>
      <c r="AS77" s="204">
        <f>AS22/AM22*100-100</f>
        <v>6.8823882898427513</v>
      </c>
      <c r="AT77" s="204">
        <f>AS24/AM24*100-100</f>
        <v>26.123168610955517</v>
      </c>
      <c r="AY77" s="204">
        <f>AY22/AS22*100-100</f>
        <v>17.150830021835105</v>
      </c>
      <c r="AZ77" s="204">
        <f>AY24/AS24*100-100</f>
        <v>62.569767356742204</v>
      </c>
      <c r="BE77" s="204">
        <f>BE22/AY22*100-100</f>
        <v>12.269526060220784</v>
      </c>
      <c r="BF77" s="204">
        <f>BE24/AY24*100-100</f>
        <v>41.294005153512302</v>
      </c>
      <c r="BK77" s="204">
        <f>BK22/BE22*100-100</f>
        <v>6.958275126672774</v>
      </c>
      <c r="BL77" s="204">
        <f>BK24/BE24*100-100</f>
        <v>-13.399574832094217</v>
      </c>
    </row>
    <row r="78" spans="1:68" ht="14.25" customHeight="1"/>
    <row r="79" spans="1:68" ht="14.25" customHeight="1"/>
    <row r="80" spans="1:68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9">
    <mergeCell ref="AY2:BD2"/>
    <mergeCell ref="BE2:BJ2"/>
    <mergeCell ref="BK2:BP2"/>
    <mergeCell ref="C3:G3"/>
    <mergeCell ref="H3:H5"/>
    <mergeCell ref="I3:M3"/>
    <mergeCell ref="N3:N5"/>
    <mergeCell ref="O3:S3"/>
    <mergeCell ref="T3:T5"/>
    <mergeCell ref="U3:Y3"/>
    <mergeCell ref="Z3:Z5"/>
    <mergeCell ref="W4:X4"/>
    <mergeCell ref="Y4:Y5"/>
    <mergeCell ref="AA3:AE3"/>
    <mergeCell ref="AF3:AF5"/>
    <mergeCell ref="AA4:AA5"/>
    <mergeCell ref="AY3:BC3"/>
    <mergeCell ref="BE3:BI3"/>
    <mergeCell ref="BK3:BO3"/>
    <mergeCell ref="BA4:BB4"/>
    <mergeCell ref="BC4:BC5"/>
    <mergeCell ref="BG4:BH4"/>
    <mergeCell ref="BM4:BN4"/>
    <mergeCell ref="BE4:BE5"/>
    <mergeCell ref="BF4:BF5"/>
    <mergeCell ref="BJ3:BJ5"/>
    <mergeCell ref="BI4:BI5"/>
    <mergeCell ref="BK4:BK5"/>
    <mergeCell ref="BL4:BL5"/>
    <mergeCell ref="BP3:BP5"/>
    <mergeCell ref="BO4:BO5"/>
    <mergeCell ref="BD3:BD5"/>
    <mergeCell ref="AU4:AV4"/>
    <mergeCell ref="C4:C5"/>
    <mergeCell ref="D4:D5"/>
    <mergeCell ref="E4:F4"/>
    <mergeCell ref="G4:G5"/>
    <mergeCell ref="I4:I5"/>
    <mergeCell ref="J4:J5"/>
    <mergeCell ref="K4:L4"/>
    <mergeCell ref="M4:M5"/>
    <mergeCell ref="O4:O5"/>
    <mergeCell ref="P4:P5"/>
    <mergeCell ref="U4:U5"/>
    <mergeCell ref="V4:V5"/>
    <mergeCell ref="AY4:AY5"/>
    <mergeCell ref="AZ4:AZ5"/>
    <mergeCell ref="AX3:AX5"/>
    <mergeCell ref="AW4:AW5"/>
    <mergeCell ref="AG3:AK3"/>
    <mergeCell ref="AL3:AL5"/>
    <mergeCell ref="AM3:AQ3"/>
    <mergeCell ref="AR3:AR5"/>
    <mergeCell ref="AS3:AW3"/>
    <mergeCell ref="AG4:AG5"/>
    <mergeCell ref="AT4:AT5"/>
    <mergeCell ref="AH4:AH5"/>
    <mergeCell ref="AI4:AJ4"/>
    <mergeCell ref="AK4:AK5"/>
    <mergeCell ref="AM4:AM5"/>
    <mergeCell ref="AN4:AN5"/>
    <mergeCell ref="AO4:AP4"/>
    <mergeCell ref="AQ4:AQ5"/>
    <mergeCell ref="U2:Z2"/>
    <mergeCell ref="AA2:AF2"/>
    <mergeCell ref="AG2:AL2"/>
    <mergeCell ref="A6:B6"/>
    <mergeCell ref="AS4:AS5"/>
    <mergeCell ref="AM2:AR2"/>
    <mergeCell ref="AS2:AX2"/>
    <mergeCell ref="AB4:AB5"/>
    <mergeCell ref="AC4:AD4"/>
    <mergeCell ref="AE4:AE5"/>
    <mergeCell ref="Q4:R4"/>
    <mergeCell ref="S4:S5"/>
    <mergeCell ref="A2:B5"/>
    <mergeCell ref="C2:H2"/>
    <mergeCell ref="I2:N2"/>
    <mergeCell ref="O2:T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1000"/>
  <sheetViews>
    <sheetView workbookViewId="0">
      <pane xSplit="2" ySplit="4" topLeftCell="C44" activePane="bottomRight" state="frozen"/>
      <selection pane="topRight" activeCell="C1" sqref="C1"/>
      <selection pane="bottomLeft" activeCell="A5" sqref="A5"/>
      <selection pane="bottomRight" activeCell="C62" sqref="C62"/>
    </sheetView>
  </sheetViews>
  <sheetFormatPr defaultColWidth="14.42578125" defaultRowHeight="15" customHeight="1"/>
  <cols>
    <col min="1" max="1" width="10.140625" customWidth="1"/>
    <col min="2" max="2" width="16.42578125" customWidth="1"/>
    <col min="3" max="3" width="13.42578125" customWidth="1"/>
    <col min="4" max="4" width="14.7109375" customWidth="1"/>
    <col min="5" max="5" width="13.85546875" customWidth="1"/>
    <col min="6" max="6" width="11.28515625" customWidth="1"/>
    <col min="7" max="7" width="13.42578125" customWidth="1"/>
    <col min="8" max="8" width="14.7109375" customWidth="1"/>
    <col min="9" max="9" width="13.5703125" customWidth="1"/>
    <col min="10" max="10" width="11.28515625" customWidth="1"/>
    <col min="11" max="11" width="10.85546875" customWidth="1"/>
    <col min="12" max="12" width="10.28515625" customWidth="1"/>
    <col min="13" max="13" width="8.7109375" customWidth="1"/>
    <col min="14" max="14" width="10.5703125" customWidth="1"/>
    <col min="15" max="15" width="12.28515625" customWidth="1"/>
    <col min="16" max="16" width="11.42578125" customWidth="1"/>
    <col min="17" max="17" width="10.85546875" customWidth="1"/>
    <col min="18" max="18" width="11.28515625" customWidth="1"/>
    <col min="19" max="19" width="12.28515625" customWidth="1"/>
    <col min="20" max="20" width="13.28515625" customWidth="1"/>
    <col min="21" max="21" width="8.7109375" customWidth="1"/>
    <col min="22" max="22" width="11.7109375" customWidth="1"/>
    <col min="23" max="23" width="12.42578125" customWidth="1"/>
    <col min="24" max="24" width="13" customWidth="1"/>
    <col min="25" max="25" width="12.42578125" customWidth="1"/>
    <col min="26" max="26" width="11.5703125" customWidth="1"/>
    <col min="27" max="27" width="11.85546875" customWidth="1"/>
    <col min="28" max="28" width="13.5703125" customWidth="1"/>
    <col min="29" max="29" width="8.7109375" customWidth="1"/>
    <col min="30" max="30" width="11" customWidth="1"/>
    <col min="31" max="31" width="11.85546875" customWidth="1"/>
    <col min="32" max="32" width="13.5703125" customWidth="1"/>
    <col min="33" max="33" width="8.7109375" customWidth="1"/>
    <col min="34" max="34" width="11" customWidth="1"/>
    <col min="35" max="35" width="11.85546875" customWidth="1"/>
    <col min="36" max="36" width="13.5703125" customWidth="1"/>
    <col min="37" max="37" width="12.85546875" customWidth="1"/>
    <col min="38" max="38" width="11" customWidth="1"/>
    <col min="39" max="39" width="11.85546875" customWidth="1"/>
    <col min="40" max="40" width="13.5703125" customWidth="1"/>
    <col min="41" max="41" width="12.85546875" customWidth="1"/>
    <col min="42" max="42" width="11" customWidth="1"/>
    <col min="43" max="43" width="11.85546875" customWidth="1"/>
    <col min="44" max="44" width="13.5703125" customWidth="1"/>
    <col min="45" max="45" width="12.85546875" customWidth="1"/>
    <col min="46" max="46" width="11" customWidth="1"/>
    <col min="47" max="47" width="8.7109375" customWidth="1"/>
  </cols>
  <sheetData>
    <row r="1" spans="1:47" ht="14.25" customHeight="1"/>
    <row r="2" spans="1:47" ht="14.25" customHeight="1"/>
    <row r="3" spans="1:47" ht="14.25" customHeight="1">
      <c r="A3" s="358" t="s">
        <v>209</v>
      </c>
      <c r="B3" s="359"/>
      <c r="C3" s="357">
        <f>G3-1</f>
        <v>2014</v>
      </c>
      <c r="D3" s="311"/>
      <c r="E3" s="311"/>
      <c r="F3" s="312"/>
      <c r="G3" s="357">
        <f>'PDB ADHB'!C1</f>
        <v>2015</v>
      </c>
      <c r="H3" s="311"/>
      <c r="I3" s="311"/>
      <c r="J3" s="312"/>
      <c r="K3" s="357">
        <f>'PDB ADHB'!D1</f>
        <v>2016</v>
      </c>
      <c r="L3" s="311"/>
      <c r="M3" s="311"/>
      <c r="N3" s="312"/>
      <c r="O3" s="357">
        <f>'PDB ADHB'!E1</f>
        <v>2017</v>
      </c>
      <c r="P3" s="311"/>
      <c r="Q3" s="311"/>
      <c r="R3" s="312"/>
      <c r="S3" s="357">
        <f>'PDB ADHB'!F1</f>
        <v>2018</v>
      </c>
      <c r="T3" s="311"/>
      <c r="U3" s="311"/>
      <c r="V3" s="312"/>
      <c r="W3" s="357">
        <f>'PDB ADHB'!G1</f>
        <v>2019</v>
      </c>
      <c r="X3" s="311"/>
      <c r="Y3" s="311"/>
      <c r="Z3" s="312"/>
      <c r="AA3" s="357">
        <f>'PDB ADHB'!H1</f>
        <v>2020</v>
      </c>
      <c r="AB3" s="311"/>
      <c r="AC3" s="311"/>
      <c r="AD3" s="312"/>
      <c r="AE3" s="357">
        <f>'PDB ADHB'!I1</f>
        <v>2021</v>
      </c>
      <c r="AF3" s="311"/>
      <c r="AG3" s="311"/>
      <c r="AH3" s="312"/>
      <c r="AI3" s="357">
        <f>'PDB ADHB'!J1</f>
        <v>2022</v>
      </c>
      <c r="AJ3" s="311"/>
      <c r="AK3" s="311"/>
      <c r="AL3" s="312"/>
      <c r="AM3" s="357" t="str">
        <f>'PDB ADHB'!K1</f>
        <v>2023*</v>
      </c>
      <c r="AN3" s="311"/>
      <c r="AO3" s="311"/>
      <c r="AP3" s="312"/>
      <c r="AQ3" s="357" t="str">
        <f>'PDB ADHB'!L1</f>
        <v>2024**</v>
      </c>
      <c r="AR3" s="311"/>
      <c r="AS3" s="311"/>
      <c r="AT3" s="312"/>
    </row>
    <row r="4" spans="1:47" ht="14.25" customHeight="1">
      <c r="A4" s="351"/>
      <c r="B4" s="360"/>
      <c r="C4" s="32" t="s">
        <v>217</v>
      </c>
      <c r="D4" s="174" t="s">
        <v>218</v>
      </c>
      <c r="E4" s="174" t="s">
        <v>219</v>
      </c>
      <c r="F4" s="181" t="s">
        <v>220</v>
      </c>
      <c r="G4" s="32" t="s">
        <v>217</v>
      </c>
      <c r="H4" s="174" t="s">
        <v>218</v>
      </c>
      <c r="I4" s="174" t="s">
        <v>219</v>
      </c>
      <c r="J4" s="181" t="s">
        <v>220</v>
      </c>
      <c r="K4" s="32" t="s">
        <v>217</v>
      </c>
      <c r="L4" s="174" t="s">
        <v>218</v>
      </c>
      <c r="M4" s="174" t="s">
        <v>219</v>
      </c>
      <c r="N4" s="181" t="s">
        <v>220</v>
      </c>
      <c r="O4" s="32" t="s">
        <v>217</v>
      </c>
      <c r="P4" s="174" t="s">
        <v>218</v>
      </c>
      <c r="Q4" s="174" t="s">
        <v>219</v>
      </c>
      <c r="R4" s="181" t="s">
        <v>220</v>
      </c>
      <c r="S4" s="32" t="s">
        <v>217</v>
      </c>
      <c r="T4" s="174" t="s">
        <v>218</v>
      </c>
      <c r="U4" s="174" t="s">
        <v>219</v>
      </c>
      <c r="V4" s="181" t="s">
        <v>220</v>
      </c>
      <c r="W4" s="32" t="s">
        <v>217</v>
      </c>
      <c r="X4" s="174" t="s">
        <v>218</v>
      </c>
      <c r="Y4" s="174" t="s">
        <v>219</v>
      </c>
      <c r="Z4" s="181" t="s">
        <v>220</v>
      </c>
      <c r="AA4" s="32" t="s">
        <v>217</v>
      </c>
      <c r="AB4" s="174" t="s">
        <v>218</v>
      </c>
      <c r="AC4" s="174" t="s">
        <v>219</v>
      </c>
      <c r="AD4" s="181" t="s">
        <v>220</v>
      </c>
      <c r="AE4" s="32" t="s">
        <v>217</v>
      </c>
      <c r="AF4" s="174" t="s">
        <v>218</v>
      </c>
      <c r="AG4" s="174" t="s">
        <v>219</v>
      </c>
      <c r="AH4" s="181" t="s">
        <v>220</v>
      </c>
      <c r="AI4" s="32" t="s">
        <v>217</v>
      </c>
      <c r="AJ4" s="174" t="s">
        <v>218</v>
      </c>
      <c r="AK4" s="174" t="s">
        <v>219</v>
      </c>
      <c r="AL4" s="181" t="s">
        <v>220</v>
      </c>
      <c r="AM4" s="32" t="s">
        <v>217</v>
      </c>
      <c r="AN4" s="174" t="s">
        <v>218</v>
      </c>
      <c r="AO4" s="174" t="s">
        <v>219</v>
      </c>
      <c r="AP4" s="181" t="s">
        <v>220</v>
      </c>
      <c r="AQ4" s="32" t="s">
        <v>217</v>
      </c>
      <c r="AR4" s="174" t="s">
        <v>218</v>
      </c>
      <c r="AS4" s="174" t="s">
        <v>219</v>
      </c>
      <c r="AT4" s="181" t="s">
        <v>220</v>
      </c>
    </row>
    <row r="5" spans="1:47" ht="14.25" customHeight="1">
      <c r="A5" s="361" t="s">
        <v>221</v>
      </c>
      <c r="B5" s="34" t="s">
        <v>222</v>
      </c>
      <c r="C5" s="186">
        <f>'Neraca Terpadu'!D23</f>
        <v>7035633.6770690875</v>
      </c>
      <c r="D5" s="188">
        <f>'Neraca Terpadu'!E23</f>
        <v>1642635.4146147538</v>
      </c>
      <c r="E5" s="188">
        <f>'Neraca Terpadu'!G23</f>
        <v>-79083.210633110255</v>
      </c>
      <c r="F5" s="189">
        <f t="shared" ref="F5:F6" si="0">SUM(C5:E5)</f>
        <v>8599185.881050732</v>
      </c>
      <c r="G5" s="186">
        <f>'Neraca Terpadu'!J23</f>
        <v>7745630.1336852107</v>
      </c>
      <c r="H5" s="188">
        <f>'Neraca Terpadu'!K23</f>
        <v>1607151.0733193466</v>
      </c>
      <c r="I5" s="188">
        <f>'Neraca Terpadu'!M23</f>
        <v>44113.382418234367</v>
      </c>
      <c r="J5" s="189">
        <f t="shared" ref="J5:J6" si="1">SUM(G5:I5)</f>
        <v>9396894.5894227922</v>
      </c>
      <c r="K5" s="186">
        <f>'Neraca Terpadu'!P23</f>
        <v>8353135.9765716353</v>
      </c>
      <c r="L5" s="188">
        <f>'Neraca Terpadu'!Q23</f>
        <v>1919065.9625838071</v>
      </c>
      <c r="M5" s="188">
        <f>'Neraca Terpadu'!S23</f>
        <v>93837.170844558626</v>
      </c>
      <c r="N5" s="189">
        <f t="shared" ref="N5:N6" si="2">SUM(K5:M5)</f>
        <v>10366039.110000001</v>
      </c>
      <c r="O5" s="186">
        <f>'Neraca Terpadu'!V23</f>
        <v>9023120.2582747675</v>
      </c>
      <c r="P5" s="188">
        <f>'Neraca Terpadu'!W23</f>
        <v>1999990.4572719098</v>
      </c>
      <c r="Q5" s="188">
        <f>'Neraca Terpadu'!Y23</f>
        <v>135777.55213559046</v>
      </c>
      <c r="R5" s="189">
        <f t="shared" ref="R5:R6" si="3">SUM(O5:Q5)</f>
        <v>11158888.267682267</v>
      </c>
      <c r="S5" s="186">
        <f>'Neraca Terpadu'!AB23</f>
        <v>9793746.2575405799</v>
      </c>
      <c r="T5" s="188">
        <f>'Neraca Terpadu'!AC23</f>
        <v>2403578.5241528149</v>
      </c>
      <c r="U5" s="188">
        <f>'Neraca Terpadu'!AE23</f>
        <v>-158598.99249870004</v>
      </c>
      <c r="V5" s="189">
        <f t="shared" ref="V5:V6" si="4">SUM(S5:U5)</f>
        <v>12038725.789194696</v>
      </c>
      <c r="W5" s="186">
        <f>'Neraca Terpadu'!AH23</f>
        <v>10566546.93471471</v>
      </c>
      <c r="X5" s="188">
        <f>'Neraca Terpadu'!AI23</f>
        <v>2168420.4355358533</v>
      </c>
      <c r="Y5" s="188">
        <f>'Neraca Terpadu'!AK23</f>
        <v>-70411.300496299751</v>
      </c>
      <c r="Z5" s="189">
        <f t="shared" ref="Z5:Z6" si="5">SUM(W5:Y5)</f>
        <v>12664556.069754265</v>
      </c>
      <c r="AA5" s="186">
        <f>'Neraca Terpadu'!AN23</f>
        <v>10592540.79849246</v>
      </c>
      <c r="AB5" s="188">
        <f>'Neraca Terpadu'!AO23</f>
        <v>1645989.8357840199</v>
      </c>
      <c r="AC5" s="188">
        <f>'Neraca Terpadu'!AQ23</f>
        <v>261017.5590615999</v>
      </c>
      <c r="AD5" s="189">
        <f t="shared" ref="AD5:AD6" si="6">SUM(AA5:AC5)</f>
        <v>12499548.193338079</v>
      </c>
      <c r="AE5" s="186">
        <f>'Neraca Terpadu'!AT23</f>
        <v>11013795.611320138</v>
      </c>
      <c r="AF5" s="188">
        <f>'Neraca Terpadu'!AU23</f>
        <v>2370337.7357020909</v>
      </c>
      <c r="AG5" s="188">
        <f>'Neraca Terpadu'!AW23</f>
        <v>446208.95526146004</v>
      </c>
      <c r="AH5" s="189">
        <f t="shared" ref="AH5:AH6" si="7">SUM(AE5:AG5)</f>
        <v>13830342.302283688</v>
      </c>
      <c r="AI5" s="186">
        <f>'Neraca Terpadu'!AZ23</f>
        <v>11896997.2442964</v>
      </c>
      <c r="AJ5" s="188">
        <f>'Neraca Terpadu'!BA23</f>
        <v>3311760.9164654692</v>
      </c>
      <c r="AK5" s="188">
        <f>'Neraca Terpadu'!BC23</f>
        <v>693657.36538094096</v>
      </c>
      <c r="AL5" s="189">
        <f t="shared" ref="AL5:AL6" si="8">SUM(AI5:AK5)</f>
        <v>15902415.52614281</v>
      </c>
      <c r="AM5" s="186">
        <f>'Neraca Terpadu'!BF23</f>
        <v>12928271.737489318</v>
      </c>
      <c r="AN5" s="188">
        <f>'Neraca Terpadu'!BG23</f>
        <v>3372114.183264982</v>
      </c>
      <c r="AO5" s="188">
        <f>'Neraca Terpadu'!BI23</f>
        <v>453658.03034679964</v>
      </c>
      <c r="AP5" s="189">
        <f t="shared" ref="AP5:AP6" si="9">SUM(AM5:AO5)</f>
        <v>16754043.9511011</v>
      </c>
      <c r="AQ5" s="186">
        <f>'Neraca Terpadu'!BL23</f>
        <v>13976577.865418604</v>
      </c>
      <c r="AR5" s="188">
        <f>'Neraca Terpadu'!BM23</f>
        <v>3338958.7268018937</v>
      </c>
      <c r="AS5" s="188">
        <f>'Neraca Terpadu'!BO23</f>
        <v>397168.2427885998</v>
      </c>
      <c r="AT5" s="189">
        <f t="shared" ref="AT5:AT6" si="10">SUM(AQ5:AS5)</f>
        <v>17712704.835009098</v>
      </c>
    </row>
    <row r="6" spans="1:47" ht="14.25" customHeight="1">
      <c r="A6" s="362"/>
      <c r="B6" s="34" t="s">
        <v>226</v>
      </c>
      <c r="C6" s="195">
        <f t="shared" ref="C6:E6" si="11">C5/$F$5*100</f>
        <v>81.817439166804078</v>
      </c>
      <c r="D6" s="196">
        <f t="shared" si="11"/>
        <v>19.102220109399944</v>
      </c>
      <c r="E6" s="196">
        <f t="shared" si="11"/>
        <v>-0.91965927620402932</v>
      </c>
      <c r="F6" s="197">
        <f t="shared" si="0"/>
        <v>99.999999999999986</v>
      </c>
      <c r="G6" s="195">
        <f t="shared" ref="G6:I6" si="12">G5/$J$5*100</f>
        <v>82.427551570108534</v>
      </c>
      <c r="H6" s="196">
        <f t="shared" si="12"/>
        <v>17.103002039933134</v>
      </c>
      <c r="I6" s="196">
        <f t="shared" si="12"/>
        <v>0.469446389958324</v>
      </c>
      <c r="J6" s="197">
        <f t="shared" si="1"/>
        <v>99.999999999999986</v>
      </c>
      <c r="K6" s="195">
        <f t="shared" ref="K6:M6" si="13">K5/$N$5*100</f>
        <v>80.581752470077589</v>
      </c>
      <c r="L6" s="196">
        <f t="shared" si="13"/>
        <v>18.513011018186358</v>
      </c>
      <c r="M6" s="196">
        <f t="shared" si="13"/>
        <v>0.90523651173604947</v>
      </c>
      <c r="N6" s="197">
        <f t="shared" si="2"/>
        <v>100</v>
      </c>
      <c r="O6" s="195">
        <f t="shared" ref="O6:Q6" si="14">O5/$R$5*100</f>
        <v>80.860387180387946</v>
      </c>
      <c r="P6" s="196">
        <f t="shared" si="14"/>
        <v>17.922846875921927</v>
      </c>
      <c r="Q6" s="196">
        <f t="shared" si="14"/>
        <v>1.2167659436901221</v>
      </c>
      <c r="R6" s="197">
        <f t="shared" si="3"/>
        <v>100</v>
      </c>
      <c r="S6" s="195">
        <f t="shared" ref="S6:U6" si="15">S5/$V$5*100</f>
        <v>81.352017057576916</v>
      </c>
      <c r="T6" s="196">
        <f t="shared" si="15"/>
        <v>19.965389745068666</v>
      </c>
      <c r="U6" s="196">
        <f t="shared" si="15"/>
        <v>-1.3174068026455912</v>
      </c>
      <c r="V6" s="197">
        <f t="shared" si="4"/>
        <v>99.999999999999986</v>
      </c>
      <c r="W6" s="195">
        <f t="shared" ref="W6:Y6" si="16">W5/$Z$5*100</f>
        <v>83.434009660630267</v>
      </c>
      <c r="X6" s="196">
        <f t="shared" si="16"/>
        <v>17.121961666816858</v>
      </c>
      <c r="Y6" s="196">
        <f t="shared" si="16"/>
        <v>-0.55597132744713695</v>
      </c>
      <c r="Z6" s="197">
        <f t="shared" si="5"/>
        <v>99.999999999999986</v>
      </c>
      <c r="AA6" s="195">
        <f t="shared" ref="AA6:AC6" si="17">AA5/$AD$5*100</f>
        <v>84.743389398170393</v>
      </c>
      <c r="AB6" s="196">
        <f t="shared" si="17"/>
        <v>13.168394651746596</v>
      </c>
      <c r="AC6" s="196">
        <f t="shared" si="17"/>
        <v>2.0882159500830211</v>
      </c>
      <c r="AD6" s="197">
        <f t="shared" si="6"/>
        <v>100.00000000000001</v>
      </c>
      <c r="AE6" s="195">
        <f t="shared" ref="AE6:AG6" si="18">AE5/$AH$5*100</f>
        <v>79.635018212828484</v>
      </c>
      <c r="AF6" s="196">
        <f t="shared" si="18"/>
        <v>17.13867729297414</v>
      </c>
      <c r="AG6" s="196">
        <f t="shared" si="18"/>
        <v>3.2263044941973802</v>
      </c>
      <c r="AH6" s="197">
        <f t="shared" si="7"/>
        <v>100</v>
      </c>
      <c r="AI6" s="195">
        <f t="shared" ref="AI6:AK6" si="19">AI5/$AL$5*100</f>
        <v>74.812516530827068</v>
      </c>
      <c r="AJ6" s="195">
        <f t="shared" si="19"/>
        <v>20.825521198468831</v>
      </c>
      <c r="AK6" s="195">
        <f t="shared" si="19"/>
        <v>4.3619622707041046</v>
      </c>
      <c r="AL6" s="197">
        <f t="shared" si="8"/>
        <v>100</v>
      </c>
      <c r="AM6" s="195">
        <f t="shared" ref="AM6:AO6" si="20">AM5/$AP$5*100</f>
        <v>77.165081906327785</v>
      </c>
      <c r="AN6" s="195">
        <f t="shared" si="20"/>
        <v>20.127165674788394</v>
      </c>
      <c r="AO6" s="195">
        <f t="shared" si="20"/>
        <v>2.7077524188838278</v>
      </c>
      <c r="AP6" s="197">
        <f t="shared" si="9"/>
        <v>100.00000000000001</v>
      </c>
      <c r="AQ6" s="195">
        <f t="shared" ref="AQ6:AS6" si="21">AQ5/$AT$5*100</f>
        <v>78.907078256020768</v>
      </c>
      <c r="AR6" s="195">
        <f t="shared" si="21"/>
        <v>18.850642845933127</v>
      </c>
      <c r="AS6" s="195">
        <f t="shared" si="21"/>
        <v>2.2422788980460973</v>
      </c>
      <c r="AT6" s="197">
        <f t="shared" si="10"/>
        <v>99.999999999999986</v>
      </c>
    </row>
    <row r="7" spans="1:47" ht="14.25" customHeight="1">
      <c r="A7" s="361" t="s">
        <v>228</v>
      </c>
      <c r="B7" s="34" t="s">
        <v>222</v>
      </c>
      <c r="C7" s="186">
        <f>'Neraca Terpadu'!D46</f>
        <v>7035633.6770690875</v>
      </c>
      <c r="D7" s="188">
        <f>F7-C7-E7</f>
        <v>1417102.4807893094</v>
      </c>
      <c r="E7" s="188">
        <f>'Neraca Terpadu'!G46</f>
        <v>-79083.210633110255</v>
      </c>
      <c r="F7" s="189">
        <f>'Neraca Terpadu'!C46</f>
        <v>8373652.9472252866</v>
      </c>
      <c r="G7" s="186">
        <f>'Neraca Terpadu'!J46</f>
        <v>7745630.1336852107</v>
      </c>
      <c r="H7" s="188">
        <f>J7-G7-I7</f>
        <v>1350798.9248041804</v>
      </c>
      <c r="I7" s="188">
        <f>'Neraca Terpadu'!M46</f>
        <v>44113.382418234367</v>
      </c>
      <c r="J7" s="189">
        <f>'Neraca Terpadu'!I46</f>
        <v>9140542.4409076255</v>
      </c>
      <c r="K7" s="186">
        <f>'Neraca Terpadu'!P46</f>
        <v>8353135.9765716353</v>
      </c>
      <c r="L7" s="188">
        <f>N7-K7-M7</f>
        <v>1725486.1949228412</v>
      </c>
      <c r="M7" s="188">
        <f>'Neraca Terpadu'!S46</f>
        <v>93837.170844558626</v>
      </c>
      <c r="N7" s="189">
        <f>'Neraca Terpadu'!O46</f>
        <v>10172459.342339035</v>
      </c>
      <c r="O7" s="186">
        <f>'Neraca Terpadu'!V46</f>
        <v>9023120.2582747675</v>
      </c>
      <c r="P7" s="188">
        <f>R7-O7-Q7</f>
        <v>1781980.4478955735</v>
      </c>
      <c r="Q7" s="188">
        <f>'Neraca Terpadu'!Y46</f>
        <v>135777.55213559046</v>
      </c>
      <c r="R7" s="189">
        <f>'Neraca Terpadu'!U46</f>
        <v>10940878.258305931</v>
      </c>
      <c r="S7" s="186">
        <f>'Neraca Terpadu'!AB46</f>
        <v>9793746.2575405799</v>
      </c>
      <c r="T7" s="188">
        <f>V7-S7-U7</f>
        <v>2157881.1966174212</v>
      </c>
      <c r="U7" s="188">
        <f>'Neraca Terpadu'!AE46</f>
        <v>-158598.99249870004</v>
      </c>
      <c r="V7" s="189">
        <f>'Neraca Terpadu'!AA46</f>
        <v>11793028.461659301</v>
      </c>
      <c r="W7" s="186">
        <f>'Neraca Terpadu'!AH46</f>
        <v>10566546.93471471</v>
      </c>
      <c r="X7" s="188">
        <f>Z7-W7-Y7</f>
        <v>1844947.4255297659</v>
      </c>
      <c r="Y7" s="188">
        <f>'Neraca Terpadu'!AK46</f>
        <v>-70411.300496299751</v>
      </c>
      <c r="Z7" s="189">
        <f>'Neraca Terpadu'!AG46</f>
        <v>12341083.059748176</v>
      </c>
      <c r="AA7" s="186">
        <f>'Neraca Terpadu'!AN46</f>
        <v>10592540.79849246</v>
      </c>
      <c r="AB7" s="188">
        <f>AD7-AA7-AC7</f>
        <v>1364181.2822858673</v>
      </c>
      <c r="AC7" s="188">
        <f>'Neraca Terpadu'!AQ46</f>
        <v>261017.5590615999</v>
      </c>
      <c r="AD7" s="189">
        <f>'Neraca Terpadu'!AM46</f>
        <v>12217739.639839927</v>
      </c>
      <c r="AE7" s="186">
        <f>'Neraca Terpadu'!AT46</f>
        <v>11013795.611320138</v>
      </c>
      <c r="AF7" s="188">
        <f>AH7-AE7-AG7</f>
        <v>2014911.8586136228</v>
      </c>
      <c r="AG7" s="188">
        <f>'Neraca Terpadu'!AW46</f>
        <v>446208.95526146004</v>
      </c>
      <c r="AH7" s="189">
        <f>'Neraca Terpadu'!AS46</f>
        <v>13474916.425195221</v>
      </c>
      <c r="AI7" s="186">
        <f>'Neraca Terpadu'!AZ46</f>
        <v>11896997.2442964</v>
      </c>
      <c r="AJ7" s="188">
        <f>AL7-AI7-AK7</f>
        <v>2733945.8949570842</v>
      </c>
      <c r="AK7" s="188">
        <f>'Neraca Terpadu'!BC46</f>
        <v>693657.36538094096</v>
      </c>
      <c r="AL7" s="189">
        <f>'Neraca Terpadu'!AY46</f>
        <v>15324600.504634425</v>
      </c>
      <c r="AM7" s="186">
        <f>'Neraca Terpadu'!BF46</f>
        <v>12928271.737489318</v>
      </c>
      <c r="AN7" s="188">
        <f>AP7-AM7-AO7</f>
        <v>2555696.1969971601</v>
      </c>
      <c r="AO7" s="188">
        <f>'Neraca Terpadu'!BI46</f>
        <v>453658.03034679964</v>
      </c>
      <c r="AP7" s="189">
        <f>'Neraca Terpadu'!BE46</f>
        <v>15937625.964833278</v>
      </c>
      <c r="AQ7" s="186">
        <f>'Neraca Terpadu'!BL46</f>
        <v>13976577.865418604</v>
      </c>
      <c r="AR7" s="188">
        <f>AT7-AQ7-AS7</f>
        <v>2631937.2795467041</v>
      </c>
      <c r="AS7" s="188">
        <f>'Neraca Terpadu'!BO46</f>
        <v>397168.2427885998</v>
      </c>
      <c r="AT7" s="189">
        <f>'Neraca Terpadu'!BK46</f>
        <v>17005683.387753908</v>
      </c>
    </row>
    <row r="8" spans="1:47" ht="14.25" customHeight="1">
      <c r="A8" s="363"/>
      <c r="B8" s="199" t="s">
        <v>226</v>
      </c>
      <c r="C8" s="200">
        <f t="shared" ref="C8:E8" si="22">C7/$F$7*100</f>
        <v>84.021080422259814</v>
      </c>
      <c r="D8" s="201">
        <f t="shared" si="22"/>
        <v>16.923348623600216</v>
      </c>
      <c r="E8" s="201">
        <f t="shared" si="22"/>
        <v>-0.9444290458600324</v>
      </c>
      <c r="F8" s="202">
        <f>SUM(C8:E8)</f>
        <v>100</v>
      </c>
      <c r="G8" s="200">
        <f t="shared" ref="G8:I8" si="23">G7/$J$7*100</f>
        <v>84.739283076028201</v>
      </c>
      <c r="H8" s="201">
        <f t="shared" si="23"/>
        <v>14.778104620561781</v>
      </c>
      <c r="I8" s="201">
        <f t="shared" si="23"/>
        <v>0.48261230341001576</v>
      </c>
      <c r="J8" s="202">
        <f>SUM(G8:I8)</f>
        <v>100</v>
      </c>
      <c r="K8" s="200">
        <f t="shared" ref="K8:M8" si="24">K7/$N$7*100</f>
        <v>82.115206317953508</v>
      </c>
      <c r="L8" s="201">
        <f t="shared" si="24"/>
        <v>16.962330709361048</v>
      </c>
      <c r="M8" s="201">
        <f t="shared" si="24"/>
        <v>0.92246297268544197</v>
      </c>
      <c r="N8" s="202">
        <f>SUM(K8:M8)</f>
        <v>99.999999999999986</v>
      </c>
      <c r="O8" s="200">
        <f t="shared" ref="O8:Q8" si="25">O7/$R$7*100</f>
        <v>82.471626548122231</v>
      </c>
      <c r="P8" s="201">
        <f t="shared" si="25"/>
        <v>16.287361999871962</v>
      </c>
      <c r="Q8" s="201">
        <f t="shared" si="25"/>
        <v>1.2410114520058104</v>
      </c>
      <c r="R8" s="202">
        <f>SUM(O8:Q8)</f>
        <v>100</v>
      </c>
      <c r="S8" s="200">
        <f t="shared" ref="S8:U8" si="26">S7/$V$7*100</f>
        <v>83.046914449340534</v>
      </c>
      <c r="T8" s="201">
        <f t="shared" si="26"/>
        <v>18.297939359961514</v>
      </c>
      <c r="U8" s="201">
        <f t="shared" si="26"/>
        <v>-1.3448538093020499</v>
      </c>
      <c r="V8" s="202">
        <f>SUM(S8:U8)</f>
        <v>100</v>
      </c>
      <c r="W8" s="200">
        <f t="shared" ref="W8:Y8" si="27">W7/$Z$7*100</f>
        <v>85.620904450264064</v>
      </c>
      <c r="X8" s="201">
        <f t="shared" si="27"/>
        <v>14.949639481378002</v>
      </c>
      <c r="Y8" s="201">
        <f t="shared" si="27"/>
        <v>-0.57054393164206219</v>
      </c>
      <c r="Z8" s="202">
        <f>SUM(W8:Y8)</f>
        <v>100</v>
      </c>
      <c r="AA8" s="200">
        <f t="shared" ref="AA8:AC8" si="28">AA7/$AD$7*100</f>
        <v>86.698039987298671</v>
      </c>
      <c r="AB8" s="201">
        <f t="shared" si="28"/>
        <v>11.165578269793123</v>
      </c>
      <c r="AC8" s="201">
        <f t="shared" si="28"/>
        <v>2.1363817429082133</v>
      </c>
      <c r="AD8" s="202">
        <f>SUM(AA8:AC8)</f>
        <v>100</v>
      </c>
      <c r="AE8" s="200">
        <f t="shared" ref="AE8:AG8" si="29">AE7/$AH$7*100</f>
        <v>81.735539307143227</v>
      </c>
      <c r="AF8" s="201">
        <f t="shared" si="29"/>
        <v>14.953056442310597</v>
      </c>
      <c r="AG8" s="201">
        <f t="shared" si="29"/>
        <v>3.3114042505461807</v>
      </c>
      <c r="AH8" s="202">
        <f>SUM(AE8:AG8)</f>
        <v>100</v>
      </c>
      <c r="AI8" s="200">
        <f t="shared" ref="AI8:AK8" si="30">AI7/$AL$7*100</f>
        <v>77.633327150672159</v>
      </c>
      <c r="AJ8" s="200">
        <f t="shared" si="30"/>
        <v>17.84024251810213</v>
      </c>
      <c r="AK8" s="200">
        <f t="shared" si="30"/>
        <v>4.5264303312257104</v>
      </c>
      <c r="AL8" s="202">
        <f>SUM(AI8:AK8)</f>
        <v>100</v>
      </c>
      <c r="AM8" s="203">
        <f t="shared" ref="AM8:AO8" si="31">AM7/$AP$7*100</f>
        <v>81.117926634844068</v>
      </c>
      <c r="AN8" s="203">
        <f t="shared" si="31"/>
        <v>16.035614103608403</v>
      </c>
      <c r="AO8" s="203">
        <f t="shared" si="31"/>
        <v>2.846459261547523</v>
      </c>
      <c r="AP8" s="202">
        <f>SUM(AM8:AO8)</f>
        <v>100</v>
      </c>
      <c r="AQ8" s="200">
        <f t="shared" ref="AQ8:AS8" si="32">AQ7/$AT$7*100</f>
        <v>82.187687179236704</v>
      </c>
      <c r="AR8" s="200">
        <f t="shared" si="32"/>
        <v>15.476809837833441</v>
      </c>
      <c r="AS8" s="200">
        <f t="shared" si="32"/>
        <v>2.3355029829298579</v>
      </c>
      <c r="AT8" s="202">
        <f>SUM(AQ8:AS8)</f>
        <v>100</v>
      </c>
      <c r="AU8" s="204"/>
    </row>
    <row r="9" spans="1:47" ht="14.25" customHeight="1"/>
    <row r="10" spans="1:47" ht="14.25" customHeight="1"/>
    <row r="11" spans="1:47" ht="14.25" customHeight="1">
      <c r="A11" s="205"/>
      <c r="B11" s="206"/>
      <c r="C11" s="206"/>
      <c r="D11" s="206"/>
      <c r="E11" s="206"/>
    </row>
    <row r="12" spans="1:47" ht="14.25" customHeight="1">
      <c r="A12" s="207" t="s">
        <v>95</v>
      </c>
      <c r="B12" s="208"/>
      <c r="C12" s="208"/>
      <c r="D12" s="208"/>
      <c r="E12" s="208"/>
    </row>
    <row r="13" spans="1:47" ht="14.25" customHeight="1">
      <c r="A13" s="209" t="s">
        <v>217</v>
      </c>
      <c r="B13" s="210" t="s">
        <v>232</v>
      </c>
      <c r="C13" s="210"/>
      <c r="D13" s="210" t="s">
        <v>233</v>
      </c>
      <c r="E13" s="208"/>
    </row>
    <row r="14" spans="1:47" ht="14.25" customHeight="1">
      <c r="A14" s="209" t="s">
        <v>218</v>
      </c>
      <c r="B14" s="210" t="s">
        <v>234</v>
      </c>
      <c r="C14" s="210"/>
      <c r="D14" s="210" t="s">
        <v>235</v>
      </c>
      <c r="E14" s="208"/>
    </row>
    <row r="15" spans="1:47" ht="14.25" customHeight="1">
      <c r="A15" s="209" t="s">
        <v>219</v>
      </c>
      <c r="B15" s="210" t="s">
        <v>232</v>
      </c>
      <c r="C15" s="210"/>
      <c r="D15" s="210" t="s">
        <v>233</v>
      </c>
      <c r="E15" s="208"/>
    </row>
    <row r="16" spans="1:47" ht="14.25" customHeight="1">
      <c r="A16" s="209" t="s">
        <v>220</v>
      </c>
      <c r="B16" s="208"/>
      <c r="C16" s="208"/>
      <c r="D16" s="208"/>
      <c r="E16" s="208"/>
    </row>
    <row r="17" spans="1:6" ht="14.25" customHeight="1">
      <c r="A17" s="211"/>
      <c r="B17" s="212"/>
      <c r="C17" s="212"/>
      <c r="D17" s="212"/>
      <c r="E17" s="212"/>
    </row>
    <row r="18" spans="1:6" ht="14.25" customHeight="1"/>
    <row r="19" spans="1:6" ht="14.25" customHeight="1">
      <c r="A19" s="358" t="s">
        <v>209</v>
      </c>
      <c r="B19" s="364"/>
      <c r="C19" s="367" t="s">
        <v>221</v>
      </c>
      <c r="D19" s="368"/>
      <c r="E19" s="367" t="s">
        <v>228</v>
      </c>
      <c r="F19" s="312"/>
    </row>
    <row r="20" spans="1:6" ht="14.25" customHeight="1">
      <c r="A20" s="365"/>
      <c r="B20" s="366"/>
      <c r="C20" s="111" t="s">
        <v>222</v>
      </c>
      <c r="D20" s="111" t="s">
        <v>226</v>
      </c>
      <c r="E20" s="111" t="s">
        <v>222</v>
      </c>
      <c r="F20" s="199" t="s">
        <v>226</v>
      </c>
    </row>
    <row r="21" spans="1:6" ht="14.25" customHeight="1">
      <c r="A21" s="369">
        <f>C3</f>
        <v>2014</v>
      </c>
      <c r="B21" s="213" t="s">
        <v>217</v>
      </c>
      <c r="C21" s="214">
        <f t="array" ref="C21:F44">TRANSPOSE(C5:Z8)</f>
        <v>7035633.6770690875</v>
      </c>
      <c r="D21" s="215">
        <v>81.817439166804078</v>
      </c>
      <c r="E21" s="214">
        <v>7035633.6770690875</v>
      </c>
      <c r="F21" s="216">
        <v>84.021080422259814</v>
      </c>
    </row>
    <row r="22" spans="1:6" ht="14.25" customHeight="1">
      <c r="A22" s="370"/>
      <c r="B22" s="174" t="s">
        <v>218</v>
      </c>
      <c r="C22" s="188">
        <v>1642635.4146147538</v>
      </c>
      <c r="D22" s="196">
        <v>19.102220109399944</v>
      </c>
      <c r="E22" s="188">
        <v>1417102.4807893094</v>
      </c>
      <c r="F22" s="197">
        <v>16.923348623600216</v>
      </c>
    </row>
    <row r="23" spans="1:6" ht="14.25" customHeight="1">
      <c r="A23" s="370"/>
      <c r="B23" s="174" t="s">
        <v>219</v>
      </c>
      <c r="C23" s="188">
        <v>-79083.210633110255</v>
      </c>
      <c r="D23" s="196">
        <v>-0.91965927620402932</v>
      </c>
      <c r="E23" s="188">
        <v>-79083.210633110255</v>
      </c>
      <c r="F23" s="197">
        <v>-0.9444290458600324</v>
      </c>
    </row>
    <row r="24" spans="1:6" ht="14.25" customHeight="1">
      <c r="A24" s="363"/>
      <c r="B24" s="217" t="s">
        <v>220</v>
      </c>
      <c r="C24" s="218">
        <v>8599185.881050732</v>
      </c>
      <c r="D24" s="201">
        <v>99.999999999999986</v>
      </c>
      <c r="E24" s="218">
        <v>8373652.9472252866</v>
      </c>
      <c r="F24" s="202">
        <v>100</v>
      </c>
    </row>
    <row r="25" spans="1:6" ht="14.25" customHeight="1">
      <c r="A25" s="369">
        <f>A21+1</f>
        <v>2015</v>
      </c>
      <c r="B25" s="213" t="s">
        <v>217</v>
      </c>
      <c r="C25" s="214">
        <v>7745630.1336852107</v>
      </c>
      <c r="D25" s="215">
        <v>82.427551570108534</v>
      </c>
      <c r="E25" s="214">
        <v>7745630.1336852107</v>
      </c>
      <c r="F25" s="216">
        <v>84.739283076028201</v>
      </c>
    </row>
    <row r="26" spans="1:6" ht="14.25" customHeight="1">
      <c r="A26" s="370"/>
      <c r="B26" s="174" t="s">
        <v>218</v>
      </c>
      <c r="C26" s="188">
        <v>1607151.0733193466</v>
      </c>
      <c r="D26" s="196">
        <v>17.103002039933134</v>
      </c>
      <c r="E26" s="188">
        <v>1350798.9248041804</v>
      </c>
      <c r="F26" s="197">
        <v>14.778104620561781</v>
      </c>
    </row>
    <row r="27" spans="1:6" ht="14.25" customHeight="1">
      <c r="A27" s="370"/>
      <c r="B27" s="174" t="s">
        <v>219</v>
      </c>
      <c r="C27" s="188">
        <v>44113.382418234367</v>
      </c>
      <c r="D27" s="196">
        <v>0.469446389958324</v>
      </c>
      <c r="E27" s="188">
        <v>44113.382418234367</v>
      </c>
      <c r="F27" s="197">
        <v>0.48261230341001576</v>
      </c>
    </row>
    <row r="28" spans="1:6" ht="14.25" customHeight="1">
      <c r="A28" s="363"/>
      <c r="B28" s="217" t="s">
        <v>220</v>
      </c>
      <c r="C28" s="218">
        <v>9396894.5894227922</v>
      </c>
      <c r="D28" s="201">
        <v>99.999999999999986</v>
      </c>
      <c r="E28" s="218">
        <v>9140542.4409076255</v>
      </c>
      <c r="F28" s="202">
        <v>100</v>
      </c>
    </row>
    <row r="29" spans="1:6" ht="14.25" customHeight="1">
      <c r="A29" s="369">
        <f>A25+1</f>
        <v>2016</v>
      </c>
      <c r="B29" s="213" t="s">
        <v>217</v>
      </c>
      <c r="C29" s="214">
        <v>8353135.9765716353</v>
      </c>
      <c r="D29" s="215">
        <v>80.581752470077589</v>
      </c>
      <c r="E29" s="214">
        <v>8353135.9765716353</v>
      </c>
      <c r="F29" s="216">
        <v>82.115206317953508</v>
      </c>
    </row>
    <row r="30" spans="1:6" ht="14.25" customHeight="1">
      <c r="A30" s="370"/>
      <c r="B30" s="174" t="s">
        <v>218</v>
      </c>
      <c r="C30" s="188">
        <v>1919065.9625838071</v>
      </c>
      <c r="D30" s="196">
        <v>18.513011018186358</v>
      </c>
      <c r="E30" s="188">
        <v>1725486.1949228412</v>
      </c>
      <c r="F30" s="197">
        <v>16.962330709361048</v>
      </c>
    </row>
    <row r="31" spans="1:6" ht="14.25" customHeight="1">
      <c r="A31" s="370"/>
      <c r="B31" s="174" t="s">
        <v>219</v>
      </c>
      <c r="C31" s="188">
        <v>93837.170844558626</v>
      </c>
      <c r="D31" s="196">
        <v>0.90523651173604947</v>
      </c>
      <c r="E31" s="188">
        <v>93837.170844558626</v>
      </c>
      <c r="F31" s="197">
        <v>0.92246297268544197</v>
      </c>
    </row>
    <row r="32" spans="1:6" ht="14.25" customHeight="1">
      <c r="A32" s="363"/>
      <c r="B32" s="217" t="s">
        <v>220</v>
      </c>
      <c r="C32" s="218">
        <v>10366039.110000001</v>
      </c>
      <c r="D32" s="201">
        <v>100</v>
      </c>
      <c r="E32" s="218">
        <v>10172459.342339035</v>
      </c>
      <c r="F32" s="202">
        <v>99.999999999999986</v>
      </c>
    </row>
    <row r="33" spans="1:10" ht="14.25" customHeight="1">
      <c r="A33" s="369">
        <f>A29+1</f>
        <v>2017</v>
      </c>
      <c r="B33" s="213" t="s">
        <v>217</v>
      </c>
      <c r="C33" s="214">
        <v>9023120.2582747675</v>
      </c>
      <c r="D33" s="215">
        <v>80.860387180387946</v>
      </c>
      <c r="E33" s="214">
        <v>9023120.2582747675</v>
      </c>
      <c r="F33" s="216">
        <v>82.471626548122231</v>
      </c>
    </row>
    <row r="34" spans="1:10" ht="14.25" customHeight="1">
      <c r="A34" s="370"/>
      <c r="B34" s="174" t="s">
        <v>218</v>
      </c>
      <c r="C34" s="188">
        <v>1999990.4572719098</v>
      </c>
      <c r="D34" s="196">
        <v>17.922846875921927</v>
      </c>
      <c r="E34" s="188">
        <v>1781980.4478955735</v>
      </c>
      <c r="F34" s="197">
        <v>16.287361999871962</v>
      </c>
    </row>
    <row r="35" spans="1:10" ht="14.25" customHeight="1">
      <c r="A35" s="370"/>
      <c r="B35" s="174" t="s">
        <v>219</v>
      </c>
      <c r="C35" s="188">
        <v>135777.55213559046</v>
      </c>
      <c r="D35" s="196">
        <v>1.2167659436901221</v>
      </c>
      <c r="E35" s="188">
        <v>135777.55213559046</v>
      </c>
      <c r="F35" s="197">
        <v>1.2410114520058104</v>
      </c>
    </row>
    <row r="36" spans="1:10" ht="14.25" customHeight="1">
      <c r="A36" s="363"/>
      <c r="B36" s="217" t="s">
        <v>220</v>
      </c>
      <c r="C36" s="218">
        <v>11158888.267682267</v>
      </c>
      <c r="D36" s="201">
        <v>100</v>
      </c>
      <c r="E36" s="218">
        <v>10940878.258305931</v>
      </c>
      <c r="F36" s="202">
        <v>100</v>
      </c>
    </row>
    <row r="37" spans="1:10" ht="14.25" customHeight="1">
      <c r="A37" s="369">
        <f>S3</f>
        <v>2018</v>
      </c>
      <c r="B37" s="213" t="s">
        <v>217</v>
      </c>
      <c r="C37" s="214">
        <v>9793746.2575405799</v>
      </c>
      <c r="D37" s="215">
        <v>81.352017057576916</v>
      </c>
      <c r="E37" s="214">
        <v>9793746.2575405799</v>
      </c>
      <c r="F37" s="216">
        <v>83.046914449340534</v>
      </c>
      <c r="G37" s="219"/>
      <c r="H37" s="219"/>
      <c r="I37" s="219"/>
      <c r="J37" s="219"/>
    </row>
    <row r="38" spans="1:10" ht="14.25" customHeight="1">
      <c r="A38" s="370"/>
      <c r="B38" s="174" t="s">
        <v>218</v>
      </c>
      <c r="C38" s="188">
        <v>2403578.5241528149</v>
      </c>
      <c r="D38" s="196">
        <v>19.965389745068666</v>
      </c>
      <c r="E38" s="188">
        <v>2157881.1966174212</v>
      </c>
      <c r="F38" s="197">
        <v>18.297939359961514</v>
      </c>
      <c r="G38" s="219"/>
      <c r="H38" s="219"/>
      <c r="I38" s="219"/>
      <c r="J38" s="219"/>
    </row>
    <row r="39" spans="1:10" ht="14.25" customHeight="1">
      <c r="A39" s="370"/>
      <c r="B39" s="174" t="s">
        <v>219</v>
      </c>
      <c r="C39" s="188">
        <v>-158598.99249870004</v>
      </c>
      <c r="D39" s="196">
        <v>-1.3174068026455912</v>
      </c>
      <c r="E39" s="188">
        <v>-158598.99249870004</v>
      </c>
      <c r="F39" s="197">
        <v>-1.3448538093020499</v>
      </c>
      <c r="G39" s="219"/>
      <c r="H39" s="219"/>
      <c r="I39" s="219"/>
      <c r="J39" s="219"/>
    </row>
    <row r="40" spans="1:10" ht="14.25" customHeight="1">
      <c r="A40" s="363"/>
      <c r="B40" s="217" t="s">
        <v>220</v>
      </c>
      <c r="C40" s="218">
        <v>12038725.789194696</v>
      </c>
      <c r="D40" s="201">
        <v>99.999999999999986</v>
      </c>
      <c r="E40" s="218">
        <v>11793028.461659301</v>
      </c>
      <c r="F40" s="202">
        <v>100</v>
      </c>
      <c r="G40" s="219"/>
      <c r="H40" s="219"/>
      <c r="I40" s="219"/>
      <c r="J40" s="219"/>
    </row>
    <row r="41" spans="1:10" ht="14.25" customHeight="1">
      <c r="A41" s="369">
        <f>W3</f>
        <v>2019</v>
      </c>
      <c r="B41" s="213" t="s">
        <v>217</v>
      </c>
      <c r="C41" s="214">
        <v>10566546.93471471</v>
      </c>
      <c r="D41" s="215">
        <v>83.434009660630267</v>
      </c>
      <c r="E41" s="214">
        <v>10566546.93471471</v>
      </c>
      <c r="F41" s="216">
        <v>85.620904450264064</v>
      </c>
      <c r="G41" s="219"/>
      <c r="H41" s="219"/>
      <c r="I41" s="219"/>
      <c r="J41" s="219"/>
    </row>
    <row r="42" spans="1:10" ht="14.25" customHeight="1">
      <c r="A42" s="370"/>
      <c r="B42" s="174" t="s">
        <v>218</v>
      </c>
      <c r="C42" s="188">
        <v>2168420.4355358533</v>
      </c>
      <c r="D42" s="196">
        <v>17.121961666816858</v>
      </c>
      <c r="E42" s="188">
        <v>1844947.4255297659</v>
      </c>
      <c r="F42" s="197">
        <v>14.949639481378002</v>
      </c>
      <c r="G42" s="219"/>
      <c r="H42" s="219"/>
      <c r="I42" s="219"/>
      <c r="J42" s="219"/>
    </row>
    <row r="43" spans="1:10" ht="14.25" customHeight="1">
      <c r="A43" s="370"/>
      <c r="B43" s="174" t="s">
        <v>219</v>
      </c>
      <c r="C43" s="188">
        <v>-70411.300496299751</v>
      </c>
      <c r="D43" s="196">
        <v>-0.55597132744713695</v>
      </c>
      <c r="E43" s="188">
        <v>-70411.300496299751</v>
      </c>
      <c r="F43" s="197">
        <v>-0.57054393164206219</v>
      </c>
      <c r="G43" s="219"/>
      <c r="H43" s="219"/>
      <c r="I43" s="219"/>
      <c r="J43" s="219"/>
    </row>
    <row r="44" spans="1:10" ht="14.25" customHeight="1">
      <c r="A44" s="363"/>
      <c r="B44" s="217" t="s">
        <v>220</v>
      </c>
      <c r="C44" s="218">
        <v>12664556.069754265</v>
      </c>
      <c r="D44" s="201">
        <v>99.999999999999986</v>
      </c>
      <c r="E44" s="218">
        <v>12341083.059748176</v>
      </c>
      <c r="F44" s="202">
        <v>100</v>
      </c>
      <c r="G44" s="219"/>
      <c r="H44" s="219"/>
      <c r="I44" s="219"/>
      <c r="J44" s="219"/>
    </row>
    <row r="45" spans="1:10" ht="14.25" customHeight="1">
      <c r="A45" s="369">
        <f>AA3</f>
        <v>2020</v>
      </c>
      <c r="B45" s="213" t="s">
        <v>217</v>
      </c>
      <c r="C45" s="214">
        <f t="array" ref="C45:F48">TRANSPOSE(AA5:AD8)</f>
        <v>10592540.79849246</v>
      </c>
      <c r="D45" s="215">
        <v>84.743389398170393</v>
      </c>
      <c r="E45" s="214">
        <v>10592540.79849246</v>
      </c>
      <c r="F45" s="216">
        <v>86.698039987298671</v>
      </c>
      <c r="G45" s="219"/>
      <c r="H45" s="219"/>
      <c r="I45" s="219"/>
      <c r="J45" s="219"/>
    </row>
    <row r="46" spans="1:10" ht="14.25" customHeight="1">
      <c r="A46" s="370"/>
      <c r="B46" s="174" t="s">
        <v>218</v>
      </c>
      <c r="C46" s="188">
        <v>1645989.8357840199</v>
      </c>
      <c r="D46" s="196">
        <v>13.168394651746596</v>
      </c>
      <c r="E46" s="188">
        <v>1364181.2822858673</v>
      </c>
      <c r="F46" s="197">
        <v>11.165578269793123</v>
      </c>
      <c r="G46" s="219"/>
      <c r="H46" s="219"/>
      <c r="I46" s="219"/>
      <c r="J46" s="219"/>
    </row>
    <row r="47" spans="1:10" ht="14.25" customHeight="1">
      <c r="A47" s="370"/>
      <c r="B47" s="174" t="s">
        <v>219</v>
      </c>
      <c r="C47" s="188">
        <v>261017.5590615999</v>
      </c>
      <c r="D47" s="196">
        <v>2.0882159500830211</v>
      </c>
      <c r="E47" s="188">
        <v>261017.5590615999</v>
      </c>
      <c r="F47" s="197">
        <v>2.1363817429082133</v>
      </c>
      <c r="G47" s="219"/>
      <c r="H47" s="219"/>
      <c r="I47" s="219"/>
      <c r="J47" s="219"/>
    </row>
    <row r="48" spans="1:10" ht="14.25" customHeight="1">
      <c r="A48" s="363"/>
      <c r="B48" s="217" t="s">
        <v>220</v>
      </c>
      <c r="C48" s="218">
        <v>12499548.193338079</v>
      </c>
      <c r="D48" s="201">
        <v>100.00000000000001</v>
      </c>
      <c r="E48" s="218">
        <v>12217739.639839927</v>
      </c>
      <c r="F48" s="202">
        <v>100</v>
      </c>
      <c r="G48" s="219"/>
      <c r="H48" s="219"/>
      <c r="I48" s="219"/>
      <c r="J48" s="219"/>
    </row>
    <row r="49" spans="1:10" ht="14.25" customHeight="1">
      <c r="A49" s="369">
        <f>AE3</f>
        <v>2021</v>
      </c>
      <c r="B49" s="213" t="s">
        <v>217</v>
      </c>
      <c r="C49" s="214">
        <f t="array" ref="C49:F52">TRANSPOSE(AE5:AH8)</f>
        <v>11013795.611320138</v>
      </c>
      <c r="D49" s="215">
        <v>79.635018212828484</v>
      </c>
      <c r="E49" s="214">
        <v>11013795.611320138</v>
      </c>
      <c r="F49" s="216">
        <v>81.735539307143227</v>
      </c>
      <c r="G49" s="219"/>
      <c r="H49" s="219"/>
      <c r="I49" s="219"/>
      <c r="J49" s="219"/>
    </row>
    <row r="50" spans="1:10" ht="14.25" customHeight="1">
      <c r="A50" s="370"/>
      <c r="B50" s="174" t="s">
        <v>218</v>
      </c>
      <c r="C50" s="188">
        <v>2370337.7357020909</v>
      </c>
      <c r="D50" s="196">
        <v>17.13867729297414</v>
      </c>
      <c r="E50" s="188">
        <v>2014911.8586136228</v>
      </c>
      <c r="F50" s="197">
        <v>14.953056442310597</v>
      </c>
      <c r="G50" s="219"/>
      <c r="H50" s="219"/>
      <c r="I50" s="219"/>
      <c r="J50" s="219"/>
    </row>
    <row r="51" spans="1:10" ht="14.25" customHeight="1">
      <c r="A51" s="370"/>
      <c r="B51" s="174" t="s">
        <v>219</v>
      </c>
      <c r="C51" s="188">
        <v>446208.95526146004</v>
      </c>
      <c r="D51" s="196">
        <v>3.2263044941973802</v>
      </c>
      <c r="E51" s="188">
        <v>446208.95526146004</v>
      </c>
      <c r="F51" s="197">
        <v>3.3114042505461807</v>
      </c>
      <c r="G51" s="219"/>
      <c r="H51" s="219"/>
      <c r="I51" s="219"/>
      <c r="J51" s="219"/>
    </row>
    <row r="52" spans="1:10" ht="14.25" customHeight="1">
      <c r="A52" s="363"/>
      <c r="B52" s="217" t="s">
        <v>220</v>
      </c>
      <c r="C52" s="218">
        <v>13830342.302283688</v>
      </c>
      <c r="D52" s="201">
        <v>100</v>
      </c>
      <c r="E52" s="218">
        <v>13474916.425195221</v>
      </c>
      <c r="F52" s="202">
        <v>100</v>
      </c>
      <c r="G52" s="219"/>
      <c r="H52" s="219"/>
      <c r="I52" s="219"/>
      <c r="J52" s="219"/>
    </row>
    <row r="53" spans="1:10" ht="14.25" customHeight="1">
      <c r="A53" s="371">
        <f>AI3</f>
        <v>2022</v>
      </c>
      <c r="B53" s="213" t="s">
        <v>217</v>
      </c>
      <c r="C53" s="214">
        <f t="array" ref="C53:F56">TRANSPOSE(AI5:AL8)</f>
        <v>11896997.2442964</v>
      </c>
      <c r="D53" s="215">
        <v>74.812516530827068</v>
      </c>
      <c r="E53" s="214">
        <v>11896997.2442964</v>
      </c>
      <c r="F53" s="216">
        <v>77.633327150672159</v>
      </c>
      <c r="G53" s="219"/>
      <c r="H53" s="219"/>
      <c r="I53" s="219"/>
      <c r="J53" s="219"/>
    </row>
    <row r="54" spans="1:10" ht="14.25" customHeight="1">
      <c r="A54" s="370"/>
      <c r="B54" s="174" t="s">
        <v>218</v>
      </c>
      <c r="C54" s="188">
        <v>3311760.9164654692</v>
      </c>
      <c r="D54" s="196">
        <v>20.825521198468831</v>
      </c>
      <c r="E54" s="188">
        <v>2733945.8949570842</v>
      </c>
      <c r="F54" s="197">
        <v>17.84024251810213</v>
      </c>
      <c r="G54" s="219"/>
      <c r="H54" s="219"/>
      <c r="I54" s="219"/>
      <c r="J54" s="219"/>
    </row>
    <row r="55" spans="1:10" ht="14.25" customHeight="1">
      <c r="A55" s="370"/>
      <c r="B55" s="174" t="s">
        <v>219</v>
      </c>
      <c r="C55" s="188">
        <v>693657.36538094096</v>
      </c>
      <c r="D55" s="196">
        <v>4.3619622707041046</v>
      </c>
      <c r="E55" s="188">
        <v>693657.36538094096</v>
      </c>
      <c r="F55" s="197">
        <v>4.5264303312257104</v>
      </c>
      <c r="G55" s="219"/>
      <c r="H55" s="219"/>
      <c r="I55" s="219"/>
      <c r="J55" s="219"/>
    </row>
    <row r="56" spans="1:10" ht="14.25" customHeight="1">
      <c r="A56" s="363"/>
      <c r="B56" s="217" t="s">
        <v>220</v>
      </c>
      <c r="C56" s="218">
        <v>15902415.52614281</v>
      </c>
      <c r="D56" s="201">
        <v>100</v>
      </c>
      <c r="E56" s="218">
        <v>15324600.504634425</v>
      </c>
      <c r="F56" s="202">
        <v>100</v>
      </c>
      <c r="G56" s="219"/>
      <c r="H56" s="219"/>
      <c r="I56" s="219"/>
      <c r="J56" s="219"/>
    </row>
    <row r="57" spans="1:10" ht="14.25" customHeight="1">
      <c r="A57" s="371" t="str">
        <f>AM3</f>
        <v>2023*</v>
      </c>
      <c r="B57" s="213" t="s">
        <v>217</v>
      </c>
      <c r="C57" s="214">
        <f t="array" ref="C57:F60">TRANSPOSE(AM5:AP8)</f>
        <v>12928271.737489318</v>
      </c>
      <c r="D57" s="215">
        <v>77.165081906327785</v>
      </c>
      <c r="E57" s="214">
        <v>12928271.737489318</v>
      </c>
      <c r="F57" s="216">
        <v>81.117926634844068</v>
      </c>
    </row>
    <row r="58" spans="1:10" ht="14.25" customHeight="1">
      <c r="A58" s="370"/>
      <c r="B58" s="174" t="s">
        <v>218</v>
      </c>
      <c r="C58" s="188">
        <v>3372114.183264982</v>
      </c>
      <c r="D58" s="196">
        <v>20.127165674788394</v>
      </c>
      <c r="E58" s="188">
        <v>2555696.1969971601</v>
      </c>
      <c r="F58" s="197">
        <v>16.035614103608403</v>
      </c>
    </row>
    <row r="59" spans="1:10" ht="14.25" customHeight="1">
      <c r="A59" s="370"/>
      <c r="B59" s="174" t="s">
        <v>219</v>
      </c>
      <c r="C59" s="188">
        <v>453658.03034679964</v>
      </c>
      <c r="D59" s="196">
        <v>2.7077524188838278</v>
      </c>
      <c r="E59" s="188">
        <v>453658.03034679964</v>
      </c>
      <c r="F59" s="197">
        <v>2.846459261547523</v>
      </c>
    </row>
    <row r="60" spans="1:10" ht="14.25" customHeight="1">
      <c r="A60" s="363"/>
      <c r="B60" s="217" t="s">
        <v>220</v>
      </c>
      <c r="C60" s="218">
        <v>16754043.9511011</v>
      </c>
      <c r="D60" s="201">
        <v>100.00000000000001</v>
      </c>
      <c r="E60" s="218">
        <v>15937625.964833278</v>
      </c>
      <c r="F60" s="202">
        <v>100</v>
      </c>
    </row>
    <row r="61" spans="1:10" ht="14.25" customHeight="1">
      <c r="A61" s="371" t="str">
        <f t="array" ref="A61:F64">TRANSPOSE(AQ3:AT8)</f>
        <v>2024**</v>
      </c>
      <c r="B61" s="213" t="str">
        <v xml:space="preserve">1. Konsumsi Akhir </v>
      </c>
      <c r="C61" s="214">
        <v>13976577.865418604</v>
      </c>
      <c r="D61" s="215">
        <v>78.907078256020768</v>
      </c>
      <c r="E61" s="214">
        <v>13976577.865418604</v>
      </c>
      <c r="F61" s="216">
        <v>82.187687179236704</v>
      </c>
    </row>
    <row r="62" spans="1:10" ht="14.25" customHeight="1">
      <c r="A62" s="370">
        <v>0</v>
      </c>
      <c r="B62" s="174" t="str">
        <v xml:space="preserve">2. Akumulasi Kapital, neto </v>
      </c>
      <c r="C62" s="188">
        <v>3338958.7268018937</v>
      </c>
      <c r="D62" s="196">
        <v>18.850642845933127</v>
      </c>
      <c r="E62" s="188">
        <v>2631937.2795467041</v>
      </c>
      <c r="F62" s="197">
        <v>15.476809837833441</v>
      </c>
    </row>
    <row r="63" spans="1:10" ht="14.25" customHeight="1">
      <c r="A63" s="370">
        <v>0</v>
      </c>
      <c r="B63" s="174" t="str">
        <v>3. Ekspor Neto</v>
      </c>
      <c r="C63" s="188">
        <v>397168.2427885998</v>
      </c>
      <c r="D63" s="196">
        <v>2.2422788980460973</v>
      </c>
      <c r="E63" s="188">
        <v>397168.2427885998</v>
      </c>
      <c r="F63" s="197">
        <v>2.3355029829298579</v>
      </c>
    </row>
    <row r="64" spans="1:10" ht="14.25" customHeight="1">
      <c r="A64" s="363">
        <v>0</v>
      </c>
      <c r="B64" s="217" t="str">
        <v xml:space="preserve">4. Jumlah </v>
      </c>
      <c r="C64" s="218">
        <v>17712704.835009098</v>
      </c>
      <c r="D64" s="201">
        <v>99.999999999999986</v>
      </c>
      <c r="E64" s="218">
        <v>17005683.387753908</v>
      </c>
      <c r="F64" s="202">
        <v>100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21:A24"/>
    <mergeCell ref="A25:A28"/>
    <mergeCell ref="A57:A60"/>
    <mergeCell ref="A61:A64"/>
    <mergeCell ref="A29:A32"/>
    <mergeCell ref="A33:A36"/>
    <mergeCell ref="A37:A40"/>
    <mergeCell ref="A41:A44"/>
    <mergeCell ref="A45:A48"/>
    <mergeCell ref="A49:A52"/>
    <mergeCell ref="A53:A56"/>
    <mergeCell ref="S3:V3"/>
    <mergeCell ref="W3:Z3"/>
    <mergeCell ref="A5:A6"/>
    <mergeCell ref="A7:A8"/>
    <mergeCell ref="A19:B20"/>
    <mergeCell ref="C19:D19"/>
    <mergeCell ref="E19:F19"/>
    <mergeCell ref="A3:B4"/>
    <mergeCell ref="C3:F3"/>
    <mergeCell ref="G3:J3"/>
    <mergeCell ref="K3:N3"/>
    <mergeCell ref="O3:R3"/>
    <mergeCell ref="AA3:AD3"/>
    <mergeCell ref="AE3:AH3"/>
    <mergeCell ref="AI3:AL3"/>
    <mergeCell ref="AM3:AP3"/>
    <mergeCell ref="AQ3:AT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1000"/>
  <sheetViews>
    <sheetView workbookViewId="0">
      <pane xSplit="1" ySplit="3" topLeftCell="B9" activePane="bottomRight" state="frozen"/>
      <selection pane="topRight" activeCell="B1" sqref="B1"/>
      <selection pane="bottomLeft" activeCell="A4" sqref="A4"/>
      <selection pane="bottomRight" activeCell="F28" sqref="F28"/>
    </sheetView>
  </sheetViews>
  <sheetFormatPr defaultColWidth="14.42578125" defaultRowHeight="15" customHeight="1"/>
  <cols>
    <col min="1" max="1" width="15.28515625" customWidth="1"/>
    <col min="2" max="2" width="13.42578125" customWidth="1"/>
    <col min="3" max="3" width="12.140625" customWidth="1"/>
    <col min="4" max="12" width="12.5703125" customWidth="1"/>
    <col min="13" max="13" width="16.42578125" customWidth="1"/>
    <col min="14" max="16" width="8.7109375" customWidth="1"/>
    <col min="17" max="18" width="10.85546875" customWidth="1"/>
    <col min="19" max="26" width="8.7109375" customWidth="1"/>
  </cols>
  <sheetData>
    <row r="1" spans="1:18" ht="14.25" customHeight="1"/>
    <row r="2" spans="1:18" ht="14.25" customHeight="1"/>
    <row r="3" spans="1:18" ht="14.25" customHeight="1">
      <c r="A3" s="229" t="s">
        <v>244</v>
      </c>
      <c r="B3" s="230">
        <f>C3-1</f>
        <v>2014</v>
      </c>
      <c r="C3" s="230">
        <f>'PDB ADHB'!C1</f>
        <v>2015</v>
      </c>
      <c r="D3" s="230">
        <f>'PDB ADHB'!D1</f>
        <v>2016</v>
      </c>
      <c r="E3" s="230">
        <f>'PDB ADHB'!E1</f>
        <v>2017</v>
      </c>
      <c r="F3" s="230">
        <f>'PDB ADHB'!F1</f>
        <v>2018</v>
      </c>
      <c r="G3" s="231">
        <f>'PDB ADHB'!G1</f>
        <v>2019</v>
      </c>
      <c r="H3" s="231">
        <f>'PDB ADHB'!H1</f>
        <v>2020</v>
      </c>
      <c r="I3" s="231">
        <f>'PDB ADHB'!I1</f>
        <v>2021</v>
      </c>
      <c r="J3" s="231">
        <f>'PDB ADHB'!J1</f>
        <v>2022</v>
      </c>
      <c r="K3" s="231" t="str">
        <f>'PDB ADHB'!K1</f>
        <v>2023*</v>
      </c>
      <c r="L3" s="231" t="str">
        <f>'PDB ADHB'!L1</f>
        <v>2024**</v>
      </c>
      <c r="Q3" s="131"/>
      <c r="R3" s="131"/>
    </row>
    <row r="4" spans="1:18" ht="14.25" customHeight="1">
      <c r="A4" s="232" t="s">
        <v>245</v>
      </c>
      <c r="B4" s="233">
        <f>'Stok Kapital'!E5</f>
        <v>10569705.300000001</v>
      </c>
      <c r="C4" s="233">
        <f>'Stok Kapital'!M5</f>
        <v>11526332.800000001</v>
      </c>
      <c r="D4" s="233">
        <f>'Stok Kapital'!U5</f>
        <v>12401728.5</v>
      </c>
      <c r="E4" s="233">
        <f>'Stok Kapital'!AC5</f>
        <v>13589825.700000001</v>
      </c>
      <c r="F4" s="233">
        <f>'Stok Kapital'!AK5</f>
        <v>14838756</v>
      </c>
      <c r="G4" s="234">
        <f>'Stok Kapital'!AS5</f>
        <v>15832657.199999999</v>
      </c>
      <c r="H4" s="234">
        <f>'Stok Kapital'!BA5</f>
        <v>15443353.199999999</v>
      </c>
      <c r="I4" s="234">
        <f>'Stok Kapital'!BI5</f>
        <v>16976751.399999999</v>
      </c>
      <c r="J4" s="234">
        <f>'Stok Kapital'!BQ5</f>
        <v>19588459.899999999</v>
      </c>
      <c r="K4" s="234">
        <f>'Stok Kapital'!BY5</f>
        <v>20892348.5</v>
      </c>
      <c r="L4" s="234">
        <f>'Stok Kapital'!CG5</f>
        <v>22138964</v>
      </c>
      <c r="Q4" s="131"/>
      <c r="R4" s="131"/>
    </row>
    <row r="5" spans="1:18" ht="14.25" customHeight="1">
      <c r="A5" s="235"/>
      <c r="B5" s="236"/>
      <c r="C5" s="236"/>
      <c r="D5" s="236"/>
      <c r="E5" s="236"/>
      <c r="F5" s="236"/>
      <c r="G5" s="237"/>
      <c r="H5" s="237"/>
      <c r="I5" s="237"/>
      <c r="J5" s="237"/>
      <c r="K5" s="237"/>
      <c r="L5" s="237"/>
      <c r="Q5" s="131"/>
      <c r="R5" s="131"/>
    </row>
    <row r="6" spans="1:18" ht="14.25" customHeight="1">
      <c r="A6" s="238" t="s">
        <v>247</v>
      </c>
      <c r="B6" s="239">
        <f>'Stok Kapital'!G5</f>
        <v>8599185.881050732</v>
      </c>
      <c r="C6" s="239">
        <f>'Stok Kapital'!O5</f>
        <v>9396894.5894227922</v>
      </c>
      <c r="D6" s="239">
        <f>'Stok Kapital'!W5</f>
        <v>10366039.109999999</v>
      </c>
      <c r="E6" s="239">
        <f>'Stok Kapital'!AE5</f>
        <v>11158888.267682269</v>
      </c>
      <c r="F6" s="239">
        <f>'Stok Kapital'!AM5</f>
        <v>12038725.789194699</v>
      </c>
      <c r="G6" s="240">
        <f>'Stok Kapital'!AU5</f>
        <v>12664556.069754299</v>
      </c>
      <c r="H6" s="240">
        <f>'Stok Kapital'!BC5</f>
        <v>12499548.193337999</v>
      </c>
      <c r="I6" s="240">
        <f>'Stok Kapital'!BK5</f>
        <v>13830342.302283689</v>
      </c>
      <c r="J6" s="240">
        <f>'Stok Kapital'!BS5</f>
        <v>15902415.526142808</v>
      </c>
      <c r="K6" s="240">
        <f>'Stok Kapital'!CA5</f>
        <v>16754043.9511011</v>
      </c>
      <c r="L6" s="240">
        <f>'Stok Kapital'!CI5</f>
        <v>17712704.835009098</v>
      </c>
      <c r="Q6" s="131"/>
      <c r="R6" s="131"/>
    </row>
    <row r="7" spans="1:18" ht="14.25" customHeight="1">
      <c r="A7" s="241"/>
      <c r="B7" s="242"/>
      <c r="C7" s="242"/>
      <c r="D7" s="242"/>
      <c r="E7" s="242"/>
      <c r="F7" s="242"/>
      <c r="G7" s="243"/>
      <c r="H7" s="243"/>
      <c r="I7" s="243"/>
      <c r="J7" s="243"/>
      <c r="K7" s="243"/>
      <c r="L7" s="243"/>
      <c r="Q7" s="131"/>
      <c r="R7" s="131"/>
    </row>
    <row r="8" spans="1:18" ht="14.25" customHeight="1">
      <c r="A8" s="232" t="s">
        <v>248</v>
      </c>
      <c r="B8" s="233">
        <f>'PDB vs PDN1'!F7</f>
        <v>8373652.9472252866</v>
      </c>
      <c r="C8" s="233">
        <f>'PDB vs PDN1'!J7</f>
        <v>9140542.4409076255</v>
      </c>
      <c r="D8" s="233">
        <f>'PDB vs PDN1'!N7</f>
        <v>10172459.342339035</v>
      </c>
      <c r="E8" s="233">
        <f>'PDB vs PDN1'!R7</f>
        <v>10940878.258305931</v>
      </c>
      <c r="F8" s="233">
        <f>'PDB vs PDN1'!V7</f>
        <v>11793028.461659301</v>
      </c>
      <c r="G8" s="234">
        <f>'PDB vs PDN1'!Z7</f>
        <v>12341083.059748176</v>
      </c>
      <c r="H8" s="234">
        <f>'PDB vs PDN1'!AD7</f>
        <v>12217739.639839927</v>
      </c>
      <c r="I8" s="234">
        <f>'PDB vs PDN1'!AH7</f>
        <v>13474916.425195221</v>
      </c>
      <c r="J8" s="234">
        <f>'PDB vs PDN1'!AL7</f>
        <v>15324600.504634425</v>
      </c>
      <c r="K8" s="234">
        <f>'PDB vs PDN1'!AP7</f>
        <v>15937625.964833278</v>
      </c>
      <c r="L8" s="234">
        <f>'PDB vs PDN1'!AT7</f>
        <v>17005683.387753908</v>
      </c>
    </row>
    <row r="9" spans="1:18" ht="14.25" customHeight="1">
      <c r="A9" s="235"/>
      <c r="B9" s="236"/>
      <c r="C9" s="236"/>
      <c r="D9" s="236"/>
      <c r="E9" s="236"/>
      <c r="F9" s="236"/>
      <c r="G9" s="237"/>
      <c r="H9" s="237"/>
      <c r="I9" s="237"/>
      <c r="J9" s="237"/>
      <c r="K9" s="237"/>
      <c r="L9" s="237"/>
    </row>
    <row r="10" spans="1:18" ht="14.25" customHeight="1">
      <c r="A10" s="238" t="s">
        <v>249</v>
      </c>
      <c r="B10" s="245">
        <f t="shared" ref="B10:L10" si="0">B6/B4*100</f>
        <v>81.356912392351475</v>
      </c>
      <c r="C10" s="245">
        <f t="shared" si="0"/>
        <v>81.525449182091918</v>
      </c>
      <c r="D10" s="245">
        <f t="shared" si="0"/>
        <v>83.585438191136006</v>
      </c>
      <c r="E10" s="245">
        <f t="shared" si="0"/>
        <v>82.112077917837226</v>
      </c>
      <c r="F10" s="245">
        <f t="shared" si="0"/>
        <v>81.130290094363019</v>
      </c>
      <c r="G10" s="246">
        <f t="shared" si="0"/>
        <v>79.990085743499193</v>
      </c>
      <c r="H10" s="246">
        <f t="shared" si="0"/>
        <v>80.938045199523117</v>
      </c>
      <c r="I10" s="246">
        <f t="shared" si="0"/>
        <v>81.466365245141603</v>
      </c>
      <c r="J10" s="246">
        <f t="shared" si="0"/>
        <v>81.182571816903319</v>
      </c>
      <c r="K10" s="246">
        <f t="shared" si="0"/>
        <v>80.192248138600121</v>
      </c>
      <c r="L10" s="246">
        <f t="shared" si="0"/>
        <v>80.006927311544914</v>
      </c>
      <c r="M10" s="247">
        <f>100-L10</f>
        <v>19.993072688455086</v>
      </c>
    </row>
    <row r="11" spans="1:18" ht="14.25" customHeight="1">
      <c r="A11" s="248" t="s">
        <v>250</v>
      </c>
      <c r="B11" s="249"/>
      <c r="C11" s="249"/>
      <c r="D11" s="249"/>
      <c r="E11" s="249"/>
      <c r="F11" s="249"/>
      <c r="G11" s="250"/>
      <c r="H11" s="250"/>
      <c r="I11" s="250"/>
      <c r="J11" s="250"/>
      <c r="K11" s="250"/>
      <c r="L11" s="250"/>
    </row>
    <row r="12" spans="1:18" ht="14.25" customHeight="1">
      <c r="A12" s="241"/>
      <c r="B12" s="251"/>
      <c r="C12" s="251"/>
      <c r="D12" s="251"/>
      <c r="E12" s="251"/>
      <c r="F12" s="251"/>
      <c r="G12" s="252"/>
      <c r="H12" s="252"/>
      <c r="I12" s="252"/>
      <c r="J12" s="252"/>
      <c r="K12" s="252"/>
      <c r="L12" s="252"/>
      <c r="N12" s="253">
        <f>M13-M10</f>
        <v>3.1935615743139039</v>
      </c>
      <c r="O12" s="247"/>
    </row>
    <row r="13" spans="1:18" ht="14.25" customHeight="1">
      <c r="A13" s="232" t="s">
        <v>251</v>
      </c>
      <c r="B13" s="254">
        <f t="shared" ref="B13:L13" si="1">B8/B4*100</f>
        <v>79.223144918007179</v>
      </c>
      <c r="C13" s="254">
        <f t="shared" si="1"/>
        <v>79.301392728376058</v>
      </c>
      <c r="D13" s="254">
        <f t="shared" si="1"/>
        <v>82.024528615821851</v>
      </c>
      <c r="E13" s="254">
        <f t="shared" si="1"/>
        <v>80.507863013327182</v>
      </c>
      <c r="F13" s="254">
        <f t="shared" si="1"/>
        <v>79.474508925541343</v>
      </c>
      <c r="G13" s="255">
        <f t="shared" si="1"/>
        <v>77.947011066141044</v>
      </c>
      <c r="H13" s="255">
        <f t="shared" si="1"/>
        <v>79.11325656813915</v>
      </c>
      <c r="I13" s="255">
        <f t="shared" si="1"/>
        <v>79.372761653299719</v>
      </c>
      <c r="J13" s="255">
        <f t="shared" si="1"/>
        <v>78.232799223967703</v>
      </c>
      <c r="K13" s="255">
        <f t="shared" si="1"/>
        <v>76.284511359904215</v>
      </c>
      <c r="L13" s="255">
        <f t="shared" si="1"/>
        <v>76.81336573723101</v>
      </c>
      <c r="M13" s="247">
        <f>100-L13</f>
        <v>23.18663426276899</v>
      </c>
      <c r="O13" s="247"/>
    </row>
    <row r="14" spans="1:18" ht="14.25" customHeight="1">
      <c r="A14" s="256" t="s">
        <v>250</v>
      </c>
      <c r="B14" s="257"/>
      <c r="C14" s="257"/>
      <c r="D14" s="257"/>
      <c r="E14" s="257"/>
      <c r="F14" s="257"/>
      <c r="G14" s="258"/>
      <c r="H14" s="258"/>
      <c r="I14" s="258"/>
      <c r="J14" s="258"/>
      <c r="K14" s="258"/>
      <c r="L14" s="258"/>
    </row>
    <row r="15" spans="1:18" ht="14.25" customHeight="1">
      <c r="A15" s="235"/>
      <c r="B15" s="259"/>
      <c r="C15" s="259"/>
      <c r="D15" s="259"/>
      <c r="E15" s="259"/>
      <c r="F15" s="259"/>
      <c r="G15" s="261"/>
      <c r="H15" s="261"/>
      <c r="I15" s="261"/>
      <c r="J15" s="261"/>
      <c r="K15" s="261"/>
      <c r="L15" s="261"/>
      <c r="O15" s="247"/>
    </row>
    <row r="16" spans="1:18" ht="14.25" customHeight="1">
      <c r="A16" s="238" t="s">
        <v>252</v>
      </c>
      <c r="B16" s="245">
        <f t="shared" ref="B16:L16" si="2">B8/B6*100</f>
        <v>97.377275745109401</v>
      </c>
      <c r="C16" s="245">
        <f t="shared" si="2"/>
        <v>97.271948236987583</v>
      </c>
      <c r="D16" s="245">
        <f t="shared" si="2"/>
        <v>98.132558004009269</v>
      </c>
      <c r="E16" s="245">
        <f t="shared" si="2"/>
        <v>98.046310670501782</v>
      </c>
      <c r="F16" s="245">
        <f t="shared" si="2"/>
        <v>97.95910853160288</v>
      </c>
      <c r="G16" s="246">
        <f t="shared" si="2"/>
        <v>97.445840120849979</v>
      </c>
      <c r="H16" s="246">
        <f t="shared" si="2"/>
        <v>97.7454500823616</v>
      </c>
      <c r="I16" s="246">
        <f t="shared" si="2"/>
        <v>97.430100648848153</v>
      </c>
      <c r="J16" s="246">
        <f t="shared" si="2"/>
        <v>96.366495262568876</v>
      </c>
      <c r="K16" s="246">
        <f t="shared" si="2"/>
        <v>95.127039247057937</v>
      </c>
      <c r="L16" s="246">
        <f t="shared" si="2"/>
        <v>96.008393670865189</v>
      </c>
      <c r="M16" s="247"/>
    </row>
    <row r="17" spans="1:16" ht="14.25" customHeight="1">
      <c r="A17" s="248" t="s">
        <v>253</v>
      </c>
      <c r="B17" s="262"/>
      <c r="C17" s="208"/>
      <c r="D17" s="208"/>
      <c r="E17" s="208"/>
      <c r="F17" s="208"/>
      <c r="G17" s="263"/>
      <c r="H17" s="263"/>
      <c r="I17" s="263"/>
      <c r="J17" s="263"/>
      <c r="K17" s="263"/>
      <c r="L17" s="263"/>
    </row>
    <row r="18" spans="1:16" ht="14.25" customHeight="1">
      <c r="A18" s="241"/>
      <c r="B18" s="264"/>
      <c r="C18" s="242"/>
      <c r="D18" s="242"/>
      <c r="E18" s="242"/>
      <c r="F18" s="242"/>
      <c r="G18" s="243"/>
      <c r="H18" s="243"/>
      <c r="I18" s="243"/>
      <c r="J18" s="243"/>
      <c r="K18" s="243"/>
      <c r="L18" s="243"/>
    </row>
    <row r="19" spans="1:16" ht="14.25" customHeight="1">
      <c r="P19" s="247"/>
    </row>
    <row r="20" spans="1:16" ht="14.25" customHeight="1">
      <c r="A20" s="265" t="s">
        <v>254</v>
      </c>
    </row>
    <row r="21" spans="1:16" ht="14.25" customHeight="1">
      <c r="A21" s="266" t="s">
        <v>109</v>
      </c>
      <c r="B21" s="2" t="s">
        <v>255</v>
      </c>
      <c r="C21" s="2" t="s">
        <v>35</v>
      </c>
    </row>
    <row r="22" spans="1:16" ht="14.25" customHeight="1">
      <c r="A22" s="266" t="s">
        <v>221</v>
      </c>
      <c r="B22" s="2" t="s">
        <v>255</v>
      </c>
      <c r="C22" s="2" t="s">
        <v>256</v>
      </c>
    </row>
    <row r="23" spans="1:16" ht="14.25" customHeight="1">
      <c r="A23" s="266" t="s">
        <v>228</v>
      </c>
      <c r="B23" s="2" t="s">
        <v>255</v>
      </c>
      <c r="C23" s="2" t="s">
        <v>257</v>
      </c>
    </row>
    <row r="24" spans="1:16" ht="14.25" customHeight="1"/>
    <row r="25" spans="1:16" ht="14.25" customHeight="1"/>
    <row r="26" spans="1:16" ht="14.25" customHeight="1"/>
    <row r="27" spans="1:16" ht="14.25" customHeight="1"/>
    <row r="28" spans="1:16" ht="14.25" customHeight="1"/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000"/>
  <sheetViews>
    <sheetView workbookViewId="0">
      <selection activeCell="C9" sqref="C9"/>
    </sheetView>
  </sheetViews>
  <sheetFormatPr defaultColWidth="14.42578125" defaultRowHeight="15" customHeight="1"/>
  <cols>
    <col min="1" max="1" width="10.140625" style="379" customWidth="1"/>
    <col min="2" max="2" width="14.7109375" customWidth="1"/>
    <col min="3" max="3" width="12.7109375" style="379" customWidth="1"/>
    <col min="4" max="4" width="18.7109375" customWidth="1"/>
    <col min="5" max="5" width="8.7109375" customWidth="1"/>
    <col min="6" max="6" width="15.28515625" customWidth="1"/>
    <col min="7" max="9" width="8.7109375" customWidth="1"/>
    <col min="10" max="10" width="10" customWidth="1"/>
    <col min="11" max="26" width="8.7109375" customWidth="1"/>
  </cols>
  <sheetData>
    <row r="1" spans="1:11" ht="14.25" customHeight="1"/>
    <row r="2" spans="1:11" ht="14.25" customHeight="1"/>
    <row r="3" spans="1:11" ht="14.25" customHeight="1">
      <c r="A3" s="380" t="s">
        <v>258</v>
      </c>
      <c r="B3" s="267" t="s">
        <v>259</v>
      </c>
      <c r="C3" s="380" t="s">
        <v>260</v>
      </c>
      <c r="D3" s="267" t="s">
        <v>261</v>
      </c>
      <c r="E3" s="267" t="s">
        <v>262</v>
      </c>
      <c r="F3" s="267" t="s">
        <v>263</v>
      </c>
      <c r="G3" s="267" t="s">
        <v>264</v>
      </c>
      <c r="J3" s="268" t="s">
        <v>265</v>
      </c>
    </row>
    <row r="4" spans="1:11" ht="14.25" customHeight="1">
      <c r="A4" s="381"/>
      <c r="B4" s="268"/>
      <c r="C4" s="381"/>
      <c r="D4" s="269"/>
      <c r="E4" s="269"/>
      <c r="F4" s="269"/>
      <c r="G4" s="269"/>
      <c r="J4" s="270">
        <v>45979</v>
      </c>
      <c r="K4" s="2" t="s">
        <v>266</v>
      </c>
    </row>
    <row r="5" spans="1:11" ht="14.25" customHeight="1">
      <c r="A5" s="384">
        <f>'Studi PDB'!B3</f>
        <v>2014</v>
      </c>
      <c r="B5" s="271">
        <f>'PDB ADHB'!B37</f>
        <v>10569705.300000001</v>
      </c>
      <c r="C5" s="382">
        <f>252164786/1000</f>
        <v>252164.78599999999</v>
      </c>
      <c r="D5" s="271">
        <f t="shared" ref="D5:D15" si="0">+B5/C5*1000000</f>
        <v>41915865.683164828</v>
      </c>
      <c r="E5" s="272">
        <v>10431.209999999999</v>
      </c>
      <c r="F5" s="271">
        <f t="shared" ref="F5:F6" si="1">+B5/E5*1000</f>
        <v>1013277.0119669724</v>
      </c>
      <c r="G5" s="273">
        <f t="shared" ref="G5:G6" si="2">+F5/C5*1000</f>
        <v>4018.3128978483637</v>
      </c>
    </row>
    <row r="6" spans="1:11" ht="14.25" customHeight="1">
      <c r="A6" s="384">
        <f>'Studi PDB'!C3</f>
        <v>2015</v>
      </c>
      <c r="B6" s="271">
        <f>'PDB ADHB'!C37</f>
        <v>11526332.800000001</v>
      </c>
      <c r="C6" s="382">
        <v>255461.68599999999</v>
      </c>
      <c r="D6" s="271">
        <f t="shared" si="0"/>
        <v>45119614.531941988</v>
      </c>
      <c r="E6" s="272">
        <v>11838.95</v>
      </c>
      <c r="F6" s="271">
        <f t="shared" si="1"/>
        <v>973594.17853779253</v>
      </c>
      <c r="G6" s="273">
        <f t="shared" si="2"/>
        <v>3811.1162334448563</v>
      </c>
    </row>
    <row r="7" spans="1:11" ht="14.25" customHeight="1">
      <c r="A7" s="384">
        <f>'Studi PDB'!D3</f>
        <v>2016</v>
      </c>
      <c r="B7" s="271">
        <f>'PDB ADHB'!D37</f>
        <v>12401728.5</v>
      </c>
      <c r="C7" s="383">
        <v>258704.986</v>
      </c>
      <c r="D7" s="271">
        <f t="shared" si="0"/>
        <v>47937725.096647345</v>
      </c>
      <c r="E7" s="274"/>
      <c r="F7" s="275"/>
      <c r="G7" s="276"/>
    </row>
    <row r="8" spans="1:11" ht="14.25" customHeight="1">
      <c r="A8" s="384">
        <f>'Studi PDB'!E3</f>
        <v>2017</v>
      </c>
      <c r="B8" s="271">
        <f>'PDB ADHB'!E37</f>
        <v>13589825.700000001</v>
      </c>
      <c r="C8" s="382">
        <v>261890.872</v>
      </c>
      <c r="D8" s="271">
        <f t="shared" si="0"/>
        <v>51891177.406137325</v>
      </c>
      <c r="E8" s="272"/>
      <c r="F8" s="271"/>
      <c r="G8" s="273"/>
    </row>
    <row r="9" spans="1:11" ht="14.25" customHeight="1">
      <c r="A9" s="384">
        <f>'Studi PDB'!F3</f>
        <v>2018</v>
      </c>
      <c r="B9" s="271">
        <f>'PDB ADHB'!F37</f>
        <v>14838756</v>
      </c>
      <c r="C9" s="382">
        <v>265015.31300000002</v>
      </c>
      <c r="D9" s="271">
        <f t="shared" si="0"/>
        <v>55992070.163885206</v>
      </c>
      <c r="E9" s="272"/>
      <c r="F9" s="271"/>
      <c r="G9" s="273"/>
    </row>
    <row r="10" spans="1:11" ht="14.25" customHeight="1">
      <c r="A10" s="384">
        <f>'Studi PDB'!G3</f>
        <v>2019</v>
      </c>
      <c r="B10" s="271">
        <f>'PDB ADHB'!G37</f>
        <v>15832657.199999999</v>
      </c>
      <c r="C10" s="382">
        <f>266911905/1000</f>
        <v>266911.90500000003</v>
      </c>
      <c r="D10" s="271">
        <f t="shared" si="0"/>
        <v>59317913.151906796</v>
      </c>
      <c r="E10" s="272"/>
      <c r="F10" s="271"/>
      <c r="G10" s="273"/>
    </row>
    <row r="11" spans="1:11" ht="14.25" customHeight="1">
      <c r="A11" s="384">
        <f>'Studi PDB'!H3</f>
        <v>2020</v>
      </c>
      <c r="B11" s="271">
        <f>'PDB ADHB'!H37</f>
        <v>15443353.199999999</v>
      </c>
      <c r="C11" s="382">
        <f>269566470/1000</f>
        <v>269566.46999999997</v>
      </c>
      <c r="D11" s="271">
        <f t="shared" si="0"/>
        <v>57289592.433361612</v>
      </c>
      <c r="E11" s="272"/>
      <c r="F11" s="271"/>
      <c r="G11" s="273"/>
    </row>
    <row r="12" spans="1:11" ht="14.25" customHeight="1">
      <c r="A12" s="384">
        <f>'Studi PDB'!I3</f>
        <v>2021</v>
      </c>
      <c r="B12" s="271">
        <f>'PDB ADHB'!I37</f>
        <v>16976751.399999999</v>
      </c>
      <c r="C12" s="382">
        <f>272679153/1000</f>
        <v>272679.15299999999</v>
      </c>
      <c r="D12" s="271">
        <f t="shared" si="0"/>
        <v>62259073.395317458</v>
      </c>
      <c r="E12" s="272"/>
      <c r="F12" s="271"/>
      <c r="G12" s="273"/>
    </row>
    <row r="13" spans="1:11" ht="14.25" customHeight="1">
      <c r="A13" s="385">
        <f>'Studi PDB'!J3</f>
        <v>2022</v>
      </c>
      <c r="B13" s="271">
        <f>'PDB ADHB'!J37</f>
        <v>19588459.899999999</v>
      </c>
      <c r="C13" s="382">
        <f>275719905/1000</f>
        <v>275719.90500000003</v>
      </c>
      <c r="D13" s="271">
        <f t="shared" si="0"/>
        <v>71044779.665073484</v>
      </c>
      <c r="F13" s="131"/>
    </row>
    <row r="14" spans="1:11" ht="14.25" customHeight="1">
      <c r="A14" s="385" t="str">
        <f>'Studi PDB'!K3</f>
        <v>2023*</v>
      </c>
      <c r="B14" s="271">
        <f>'PDB ADHB'!K37</f>
        <v>20892348.5</v>
      </c>
      <c r="C14" s="382">
        <f>278696193/1000</f>
        <v>278696.19300000003</v>
      </c>
      <c r="D14" s="271">
        <f t="shared" si="0"/>
        <v>74964599.534375414</v>
      </c>
      <c r="F14" s="131"/>
    </row>
    <row r="15" spans="1:11" ht="14.25" customHeight="1">
      <c r="A15" s="385" t="str">
        <f>'Studi PDB'!L3</f>
        <v>2024**</v>
      </c>
      <c r="B15" s="271">
        <f>'PDB ADHB'!L37</f>
        <v>22138964</v>
      </c>
      <c r="C15" s="382">
        <f>281603799/1000</f>
        <v>281603.799</v>
      </c>
      <c r="D15" s="271">
        <f t="shared" si="0"/>
        <v>78617419.504344106</v>
      </c>
    </row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000"/>
  <sheetViews>
    <sheetView topLeftCell="F4" workbookViewId="0">
      <selection activeCell="F10" sqref="F10"/>
    </sheetView>
  </sheetViews>
  <sheetFormatPr defaultColWidth="14.42578125" defaultRowHeight="15" customHeight="1"/>
  <cols>
    <col min="1" max="1" width="8.7109375" customWidth="1"/>
    <col min="2" max="2" width="21.5703125" customWidth="1"/>
    <col min="3" max="3" width="27.85546875" customWidth="1"/>
    <col min="4" max="4" width="16.140625" customWidth="1"/>
    <col min="5" max="5" width="19.85546875" customWidth="1"/>
    <col min="6" max="6" width="22" customWidth="1"/>
    <col min="7" max="7" width="22.85546875" customWidth="1"/>
    <col min="8" max="8" width="10.140625" customWidth="1"/>
    <col min="9" max="9" width="16.140625" customWidth="1"/>
    <col min="10" max="11" width="9.42578125" customWidth="1"/>
    <col min="12" max="12" width="8.7109375" customWidth="1"/>
    <col min="13" max="13" width="16.85546875" customWidth="1"/>
    <col min="14" max="26" width="8.7109375" customWidth="1"/>
  </cols>
  <sheetData>
    <row r="1" spans="1:11" ht="14.25" customHeight="1"/>
    <row r="2" spans="1:11" ht="14.25" customHeight="1"/>
    <row r="3" spans="1:11" ht="14.25" customHeight="1">
      <c r="A3" s="374" t="s">
        <v>258</v>
      </c>
      <c r="B3" s="375" t="s">
        <v>267</v>
      </c>
      <c r="C3" s="295"/>
      <c r="D3" s="376" t="s">
        <v>26</v>
      </c>
      <c r="E3" s="375" t="s">
        <v>268</v>
      </c>
      <c r="F3" s="295"/>
    </row>
    <row r="4" spans="1:11" ht="14.25" customHeight="1">
      <c r="A4" s="322"/>
      <c r="B4" s="277" t="s">
        <v>269</v>
      </c>
      <c r="C4" s="277" t="s">
        <v>270</v>
      </c>
      <c r="D4" s="322"/>
      <c r="E4" s="277" t="s">
        <v>269</v>
      </c>
      <c r="F4" s="277" t="s">
        <v>270</v>
      </c>
    </row>
    <row r="5" spans="1:11" ht="14.25" customHeight="1">
      <c r="A5" s="278">
        <f>A6-1</f>
        <v>2014</v>
      </c>
      <c r="B5" s="188">
        <f>'Neraca Terpadu'!E60</f>
        <v>38102452.670761548</v>
      </c>
      <c r="C5" s="188">
        <f>SUM('Neraca Terpadu'!F61:F70)</f>
        <v>7533266.455380315</v>
      </c>
      <c r="D5" s="188">
        <f t="shared" ref="D5:D15" si="0">B5+C5</f>
        <v>45635719.126141861</v>
      </c>
      <c r="E5" s="279">
        <f t="shared" ref="E5:E15" si="1">B5/D5</f>
        <v>0.83492609298962539</v>
      </c>
      <c r="F5" s="279">
        <f t="shared" ref="F5:F15" si="2">1-E5</f>
        <v>0.16507390701037461</v>
      </c>
      <c r="G5" s="280"/>
      <c r="I5" s="280"/>
    </row>
    <row r="6" spans="1:11" ht="14.25" customHeight="1">
      <c r="A6" s="281">
        <f>'Studi PDB'!C3</f>
        <v>2015</v>
      </c>
      <c r="B6" s="188">
        <f>'Neraca Terpadu'!K60</f>
        <v>41623717.638465554</v>
      </c>
      <c r="C6" s="188">
        <f>SUM('Neraca Terpadu'!L61:L70)</f>
        <v>7087728.6787144514</v>
      </c>
      <c r="D6" s="188">
        <f t="shared" si="0"/>
        <v>48711446.317180008</v>
      </c>
      <c r="E6" s="279">
        <f t="shared" si="1"/>
        <v>0.85449562239307419</v>
      </c>
      <c r="F6" s="279">
        <f t="shared" si="2"/>
        <v>0.14550437760692581</v>
      </c>
    </row>
    <row r="7" spans="1:11" ht="14.25" customHeight="1">
      <c r="A7" s="281">
        <f>'Studi PDB'!D3</f>
        <v>2016</v>
      </c>
      <c r="B7" s="188">
        <f>'Neraca Terpadu'!Q60</f>
        <v>44861123.019045532</v>
      </c>
      <c r="C7" s="188">
        <f>SUM('Neraca Terpadu'!R61:R70)</f>
        <v>7621715.7245435789</v>
      </c>
      <c r="D7" s="188">
        <f t="shared" si="0"/>
        <v>52482838.743589111</v>
      </c>
      <c r="E7" s="279">
        <f t="shared" si="1"/>
        <v>0.85477699173666388</v>
      </c>
      <c r="F7" s="279">
        <f t="shared" si="2"/>
        <v>0.14522300826333612</v>
      </c>
    </row>
    <row r="8" spans="1:11" ht="14.25" customHeight="1">
      <c r="A8" s="281">
        <f>'Studi PDB'!E3</f>
        <v>2017</v>
      </c>
      <c r="B8" s="188">
        <f>'Neraca Terpadu'!W60</f>
        <v>49172158.789865479</v>
      </c>
      <c r="C8" s="188">
        <f>SUM('Neraca Terpadu'!X61:X70)</f>
        <v>9431868.4048209786</v>
      </c>
      <c r="D8" s="188">
        <f t="shared" si="0"/>
        <v>58604027.194686458</v>
      </c>
      <c r="E8" s="279">
        <f t="shared" si="1"/>
        <v>0.83905767476546134</v>
      </c>
      <c r="F8" s="279">
        <f t="shared" si="2"/>
        <v>0.16094232523453866</v>
      </c>
    </row>
    <row r="9" spans="1:11" ht="14.25" customHeight="1">
      <c r="A9" s="281">
        <f>'Studi PDB'!F3</f>
        <v>2018</v>
      </c>
      <c r="B9" s="188">
        <f>'Neraca Terpadu'!AC60</f>
        <v>54392256.500084057</v>
      </c>
      <c r="C9" s="188">
        <f>SUM('Neraca Terpadu'!AD61:AD70)</f>
        <v>9557954.6911396589</v>
      </c>
      <c r="D9" s="188">
        <f t="shared" si="0"/>
        <v>63950211.191223718</v>
      </c>
      <c r="E9" s="279">
        <f t="shared" si="1"/>
        <v>0.85054068605716571</v>
      </c>
      <c r="F9" s="279">
        <f t="shared" si="2"/>
        <v>0.14945931394283429</v>
      </c>
      <c r="J9" s="282"/>
      <c r="K9" s="282"/>
    </row>
    <row r="10" spans="1:11" ht="14.25" customHeight="1">
      <c r="A10" s="281">
        <f>'Studi PDB'!G3</f>
        <v>2019</v>
      </c>
      <c r="B10" s="188">
        <f>'Neraca Terpadu'!AI60</f>
        <v>58178120.618363939</v>
      </c>
      <c r="C10" s="188">
        <f>SUM('Neraca Terpadu'!AJ61:AJ70)</f>
        <v>9204516.3540373277</v>
      </c>
      <c r="D10" s="188">
        <f t="shared" si="0"/>
        <v>67382636.972401261</v>
      </c>
      <c r="E10" s="279">
        <f t="shared" si="1"/>
        <v>0.86339928551909706</v>
      </c>
      <c r="F10" s="279">
        <f t="shared" si="2"/>
        <v>0.13660071448090294</v>
      </c>
      <c r="J10" s="282"/>
      <c r="K10" s="282"/>
    </row>
    <row r="11" spans="1:11" ht="14.25" customHeight="1">
      <c r="A11" s="281">
        <f>'Studi PDB'!H3</f>
        <v>2020</v>
      </c>
      <c r="B11" s="188">
        <f>'Neraca Terpadu'!AO60</f>
        <v>61666805.006567188</v>
      </c>
      <c r="C11" s="188">
        <f>SUM('Neraca Terpadu'!AP61:AP70)</f>
        <v>9166919.0281922258</v>
      </c>
      <c r="D11" s="188">
        <f t="shared" si="0"/>
        <v>70833724.034759417</v>
      </c>
      <c r="E11" s="279">
        <f t="shared" si="1"/>
        <v>0.87058538636633231</v>
      </c>
      <c r="F11" s="279">
        <f t="shared" si="2"/>
        <v>0.12941461363366769</v>
      </c>
      <c r="J11" s="282"/>
      <c r="K11" s="282"/>
    </row>
    <row r="12" spans="1:11" ht="14.25" customHeight="1">
      <c r="A12" s="281">
        <f>'Studi PDB'!I3</f>
        <v>2021</v>
      </c>
      <c r="B12" s="188">
        <f>'Neraca Terpadu'!AU60</f>
        <v>67696559.291260689</v>
      </c>
      <c r="C12" s="188">
        <f>SUM('Neraca Terpadu'!AV61:AV70)</f>
        <v>14300899.142494421</v>
      </c>
      <c r="D12" s="188">
        <f t="shared" si="0"/>
        <v>81997458.433755115</v>
      </c>
      <c r="E12" s="279">
        <f t="shared" si="1"/>
        <v>0.8255933852626911</v>
      </c>
      <c r="F12" s="279">
        <f t="shared" si="2"/>
        <v>0.1744066147373089</v>
      </c>
      <c r="J12" s="282"/>
      <c r="K12" s="282"/>
    </row>
    <row r="13" spans="1:11" ht="14.25" customHeight="1">
      <c r="A13" s="281">
        <f>'Studi PDB'!J3</f>
        <v>2022</v>
      </c>
      <c r="B13" s="188">
        <f>'Neraca Terpadu'!BA60</f>
        <v>74342956.719145596</v>
      </c>
      <c r="C13" s="188">
        <f>SUM('Neraca Terpadu'!BB61:BB70)</f>
        <v>23695776.38279314</v>
      </c>
      <c r="D13" s="188">
        <f t="shared" si="0"/>
        <v>98038733.101938739</v>
      </c>
      <c r="E13" s="279">
        <f t="shared" si="1"/>
        <v>0.75830189117035263</v>
      </c>
      <c r="F13" s="279">
        <f t="shared" si="2"/>
        <v>0.24169810882964737</v>
      </c>
      <c r="J13" s="282"/>
      <c r="K13" s="282"/>
    </row>
    <row r="14" spans="1:11" ht="14.25" customHeight="1">
      <c r="A14" s="281" t="str">
        <f>'Studi PDB'!K3</f>
        <v>2023*</v>
      </c>
      <c r="B14" s="188">
        <f>'Neraca Terpadu'!BG60</f>
        <v>80433633.451482996</v>
      </c>
      <c r="C14" s="188">
        <f>SUM('Neraca Terpadu'!BH61:BH70)</f>
        <v>21829912.398977451</v>
      </c>
      <c r="D14" s="188">
        <f t="shared" si="0"/>
        <v>102263545.85046044</v>
      </c>
      <c r="E14" s="279">
        <f t="shared" si="1"/>
        <v>0.78653280387031332</v>
      </c>
      <c r="F14" s="279">
        <f t="shared" si="2"/>
        <v>0.21346719612968668</v>
      </c>
      <c r="J14" s="282"/>
      <c r="K14" s="282"/>
    </row>
    <row r="15" spans="1:11" ht="14.25" customHeight="1">
      <c r="A15" s="281" t="str">
        <f>'Studi PDB'!L3</f>
        <v>2024**</v>
      </c>
      <c r="B15" s="188">
        <f>'Neraca Terpadu'!BM60</f>
        <v>86886164.176922292</v>
      </c>
      <c r="C15" s="188">
        <f>SUM('Neraca Terpadu'!BN61:BN70)</f>
        <v>18330132.399703801</v>
      </c>
      <c r="D15" s="188">
        <f t="shared" si="0"/>
        <v>105216296.57662609</v>
      </c>
      <c r="E15" s="279">
        <f t="shared" si="1"/>
        <v>0.82578618525739045</v>
      </c>
      <c r="F15" s="279">
        <f t="shared" si="2"/>
        <v>0.17421381474260955</v>
      </c>
      <c r="J15" s="282"/>
      <c r="K15" s="282"/>
    </row>
    <row r="16" spans="1:11" ht="14.25" customHeight="1"/>
    <row r="17" spans="1:14" ht="14.25" customHeight="1">
      <c r="A17" s="377" t="s">
        <v>258</v>
      </c>
      <c r="B17" s="378" t="s">
        <v>271</v>
      </c>
      <c r="C17" s="294"/>
      <c r="D17" s="295"/>
      <c r="E17" s="378" t="s">
        <v>272</v>
      </c>
      <c r="F17" s="294"/>
      <c r="G17" s="295"/>
    </row>
    <row r="18" spans="1:14" ht="14.25" customHeight="1">
      <c r="A18" s="322"/>
      <c r="B18" s="283" t="s">
        <v>269</v>
      </c>
      <c r="C18" s="283" t="s">
        <v>270</v>
      </c>
      <c r="D18" s="283" t="s">
        <v>26</v>
      </c>
      <c r="E18" s="283" t="s">
        <v>269</v>
      </c>
      <c r="F18" s="283" t="s">
        <v>270</v>
      </c>
      <c r="G18" s="283" t="s">
        <v>26</v>
      </c>
      <c r="M18" s="280">
        <v>1000000000</v>
      </c>
      <c r="N18" s="2">
        <v>9</v>
      </c>
    </row>
    <row r="19" spans="1:14" ht="14.25" customHeight="1">
      <c r="A19" s="278">
        <f t="shared" ref="A19:A29" si="3">A5</f>
        <v>2014</v>
      </c>
      <c r="B19" s="188">
        <f>B5/Penduduk!C5*1000</f>
        <v>151101.40188551761</v>
      </c>
      <c r="C19" s="188">
        <f>C5/Penduduk!C5*1000</f>
        <v>29874.37926951591</v>
      </c>
      <c r="D19" s="188">
        <f>D5/Penduduk!C5*1000</f>
        <v>180975.78115503353</v>
      </c>
      <c r="E19" s="285"/>
      <c r="F19" s="285"/>
      <c r="G19" s="285"/>
      <c r="I19" s="286">
        <f>B15*1000000/281603799</f>
        <v>308540.45465815003</v>
      </c>
      <c r="M19" s="2">
        <v>1000</v>
      </c>
    </row>
    <row r="20" spans="1:14" ht="14.25" customHeight="1">
      <c r="A20" s="281">
        <f t="shared" si="3"/>
        <v>2015</v>
      </c>
      <c r="B20" s="188">
        <f>B6/Penduduk!C6*1000</f>
        <v>162935.26551948598</v>
      </c>
      <c r="C20" s="188">
        <f>C6/Penduduk!C6*1000</f>
        <v>27744.781574464563</v>
      </c>
      <c r="D20" s="188">
        <f>D6/Penduduk!C6*1000</f>
        <v>190680.04709395056</v>
      </c>
      <c r="E20" s="196">
        <f t="shared" ref="E20:G20" si="4">B20/B19*100-100</f>
        <v>7.8317364937052787</v>
      </c>
      <c r="F20" s="196">
        <f t="shared" si="4"/>
        <v>-7.1285085987524042</v>
      </c>
      <c r="G20" s="196">
        <f t="shared" si="4"/>
        <v>5.3621903864605116</v>
      </c>
      <c r="K20" s="131">
        <f>C5/Penduduk!C5</f>
        <v>29.874379269515909</v>
      </c>
    </row>
    <row r="21" spans="1:14" ht="14.25" customHeight="1">
      <c r="A21" s="281">
        <f t="shared" si="3"/>
        <v>2016</v>
      </c>
      <c r="B21" s="188">
        <f>B7/Penduduk!C7*1000</f>
        <v>173406.48787899871</v>
      </c>
      <c r="C21" s="188">
        <f>C7/Penduduk!C7*1000</f>
        <v>29461.031433478358</v>
      </c>
      <c r="D21" s="188">
        <f>D7/Penduduk!C7*1000</f>
        <v>202867.51931247706</v>
      </c>
      <c r="E21" s="196">
        <f t="shared" ref="E21:G21" si="5">B21/B20*100-100</f>
        <v>6.4266150892057397</v>
      </c>
      <c r="F21" s="196">
        <f t="shared" si="5"/>
        <v>6.1858474337147982</v>
      </c>
      <c r="G21" s="196">
        <f t="shared" si="5"/>
        <v>6.3915823413456536</v>
      </c>
      <c r="I21" s="2">
        <f>B15/Penduduk!C15*1000000</f>
        <v>308540454.65815002</v>
      </c>
      <c r="M21" s="280">
        <v>1000000</v>
      </c>
      <c r="N21" s="2">
        <v>6</v>
      </c>
    </row>
    <row r="22" spans="1:14" ht="14.25" customHeight="1">
      <c r="A22" s="281">
        <f t="shared" si="3"/>
        <v>2017</v>
      </c>
      <c r="B22" s="188">
        <f>B8/Penduduk!C8*1000</f>
        <v>187758.2002547438</v>
      </c>
      <c r="C22" s="188">
        <f>C8/Penduduk!C8*1000</f>
        <v>36014.498454230124</v>
      </c>
      <c r="D22" s="188">
        <f>D8/Penduduk!C8*1000</f>
        <v>223772.69870897394</v>
      </c>
      <c r="E22" s="196">
        <f t="shared" ref="E22:G22" si="6">B22/B21*100-100</f>
        <v>8.2763410707906075</v>
      </c>
      <c r="F22" s="196">
        <f t="shared" si="6"/>
        <v>22.244526759184225</v>
      </c>
      <c r="G22" s="196">
        <f t="shared" si="6"/>
        <v>10.304843016440017</v>
      </c>
      <c r="I22" s="2">
        <f>I21/1000000000</f>
        <v>0.30854045465815</v>
      </c>
    </row>
    <row r="23" spans="1:14" ht="14.25" customHeight="1">
      <c r="A23" s="281">
        <f t="shared" si="3"/>
        <v>2018</v>
      </c>
      <c r="B23" s="188">
        <f>B9/Penduduk!C9*1000</f>
        <v>205241.93822748668</v>
      </c>
      <c r="C23" s="188">
        <f>C9/Penduduk!C9*1000</f>
        <v>36065.669500160766</v>
      </c>
      <c r="D23" s="188">
        <f>D9/Penduduk!C9*1000</f>
        <v>241307.60772764747</v>
      </c>
      <c r="E23" s="196">
        <f t="shared" ref="E23:G23" si="7">B23/B22*100-100</f>
        <v>9.3118372188386758</v>
      </c>
      <c r="F23" s="196">
        <f t="shared" si="7"/>
        <v>0.14208457184450651</v>
      </c>
      <c r="G23" s="196">
        <f t="shared" si="7"/>
        <v>7.8360359060058755</v>
      </c>
    </row>
    <row r="24" spans="1:14" ht="14.25" customHeight="1">
      <c r="A24" s="281">
        <f t="shared" si="3"/>
        <v>2019</v>
      </c>
      <c r="B24" s="188">
        <f>B10/Penduduk!C10*1000</f>
        <v>217967.49986990629</v>
      </c>
      <c r="C24" s="188">
        <f>C10/Penduduk!C10*1000</f>
        <v>34485.222208568499</v>
      </c>
      <c r="D24" s="188">
        <f>D10/Penduduk!C10*1000</f>
        <v>252452.72207847476</v>
      </c>
      <c r="E24" s="196">
        <f t="shared" ref="E24:G24" si="8">B24/B23*100-100</f>
        <v>6.2002735660753814</v>
      </c>
      <c r="F24" s="196">
        <f t="shared" si="8"/>
        <v>-4.3821376768985942</v>
      </c>
      <c r="G24" s="196">
        <f t="shared" si="8"/>
        <v>4.6186336418395229</v>
      </c>
    </row>
    <row r="25" spans="1:14" ht="14.25" customHeight="1">
      <c r="A25" s="281">
        <f t="shared" si="3"/>
        <v>2020</v>
      </c>
      <c r="B25" s="188">
        <f>B11/Penduduk!C11*1000</f>
        <v>228762.8910471217</v>
      </c>
      <c r="C25" s="188">
        <f>C11/Penduduk!C11*1000</f>
        <v>34006.15450501773</v>
      </c>
      <c r="D25" s="188">
        <f>D11/Penduduk!C11*1000</f>
        <v>262769.0455521394</v>
      </c>
      <c r="E25" s="196">
        <f t="shared" ref="E25:G25" si="9">B25/B24*100-100</f>
        <v>4.9527526735218004</v>
      </c>
      <c r="F25" s="196">
        <f t="shared" si="9"/>
        <v>-1.389197090432944</v>
      </c>
      <c r="G25" s="196">
        <f t="shared" si="9"/>
        <v>4.0864378045635874</v>
      </c>
    </row>
    <row r="26" spans="1:14" ht="14.25" customHeight="1">
      <c r="A26" s="281">
        <f t="shared" si="3"/>
        <v>2021</v>
      </c>
      <c r="B26" s="188">
        <f>B12/Penduduk!C12*1000</f>
        <v>248264.52094510023</v>
      </c>
      <c r="C26" s="188">
        <f>C12/Penduduk!C12*1000</f>
        <v>52445.883688418311</v>
      </c>
      <c r="D26" s="188">
        <f>D12/Penduduk!C12*1000</f>
        <v>300710.4046335186</v>
      </c>
      <c r="E26" s="196">
        <f t="shared" ref="E26:G26" si="10">B26/B25*100-100</f>
        <v>8.5248222772116975</v>
      </c>
      <c r="F26" s="196">
        <f t="shared" si="10"/>
        <v>54.224682125348039</v>
      </c>
      <c r="G26" s="196">
        <f t="shared" si="10"/>
        <v>14.439051982571044</v>
      </c>
    </row>
    <row r="27" spans="1:14" ht="14.25" customHeight="1">
      <c r="A27" s="281">
        <f t="shared" si="3"/>
        <v>2022</v>
      </c>
      <c r="B27" s="188">
        <f>B13/Penduduk!C13*1000</f>
        <v>269632.17152981967</v>
      </c>
      <c r="C27" s="188">
        <f>C13/Penduduk!C13*1000</f>
        <v>85941.478845327234</v>
      </c>
      <c r="D27" s="188">
        <f>D13/Penduduk!C13*1000</f>
        <v>355573.65037514694</v>
      </c>
      <c r="E27" s="196">
        <f t="shared" ref="E27:G27" si="11">B27/B26*100-100</f>
        <v>8.6068079737597856</v>
      </c>
      <c r="F27" s="196">
        <f t="shared" si="11"/>
        <v>63.866966864180796</v>
      </c>
      <c r="G27" s="196">
        <f t="shared" si="11"/>
        <v>18.2445452156839</v>
      </c>
    </row>
    <row r="28" spans="1:14" ht="14.25" customHeight="1">
      <c r="A28" s="281" t="str">
        <f t="shared" si="3"/>
        <v>2023*</v>
      </c>
      <c r="B28" s="188">
        <f>B14/Penduduk!C14*1000</f>
        <v>288606.86106136721</v>
      </c>
      <c r="C28" s="188">
        <f>C14/Penduduk!C14*1000</f>
        <v>78328.706840202329</v>
      </c>
      <c r="D28" s="188">
        <f>D14/Penduduk!C14*1000</f>
        <v>366935.56790156954</v>
      </c>
      <c r="E28" s="196">
        <f t="shared" ref="E28:G28" si="12">B28/B27*100-100</f>
        <v>7.0372498296068784</v>
      </c>
      <c r="F28" s="196">
        <f t="shared" si="12"/>
        <v>-8.858088210031795</v>
      </c>
      <c r="G28" s="196">
        <f t="shared" si="12"/>
        <v>3.1953766862182249</v>
      </c>
    </row>
    <row r="29" spans="1:14" ht="14.25" customHeight="1">
      <c r="A29" s="281" t="str">
        <f t="shared" si="3"/>
        <v>2024**</v>
      </c>
      <c r="B29" s="188">
        <f>B15/Penduduk!C15*1000</f>
        <v>308540.45465814997</v>
      </c>
      <c r="C29" s="188">
        <f>C15/Penduduk!C15*1000</f>
        <v>65091.921574906737</v>
      </c>
      <c r="D29" s="188">
        <f>D15/Penduduk!C15*1000</f>
        <v>373632.37623305671</v>
      </c>
      <c r="E29" s="196">
        <f t="shared" ref="E29:G29" si="13">B29/B28*100-100</f>
        <v>6.9068328879902339</v>
      </c>
      <c r="F29" s="196">
        <f t="shared" si="13"/>
        <v>-16.899021826442038</v>
      </c>
      <c r="G29" s="196">
        <f t="shared" si="13"/>
        <v>1.8250638306296878</v>
      </c>
    </row>
    <row r="30" spans="1:14" ht="14.25" customHeight="1"/>
    <row r="31" spans="1:14" ht="14.25" customHeight="1">
      <c r="A31" s="372" t="s">
        <v>258</v>
      </c>
      <c r="B31" s="373" t="s">
        <v>274</v>
      </c>
      <c r="C31" s="295"/>
      <c r="D31" s="373" t="s">
        <v>272</v>
      </c>
      <c r="E31" s="295"/>
    </row>
    <row r="32" spans="1:14" ht="14.25" customHeight="1">
      <c r="A32" s="322"/>
      <c r="B32" s="288" t="s">
        <v>275</v>
      </c>
      <c r="C32" s="288" t="s">
        <v>276</v>
      </c>
      <c r="D32" s="288" t="s">
        <v>269</v>
      </c>
      <c r="E32" s="288" t="s">
        <v>270</v>
      </c>
    </row>
    <row r="33" spans="1:5" ht="14.25" customHeight="1">
      <c r="A33" s="278">
        <f t="shared" ref="A33:A43" si="14">A19</f>
        <v>2014</v>
      </c>
      <c r="B33" s="188">
        <f>'Neraca Terpadu'!C22</f>
        <v>1970519.4189492697</v>
      </c>
      <c r="C33" s="188">
        <f>'Neraca Terpadu'!C24</f>
        <v>225532.93382544519</v>
      </c>
      <c r="D33" s="289"/>
      <c r="E33" s="289"/>
    </row>
    <row r="34" spans="1:5" ht="14.25" customHeight="1">
      <c r="A34" s="281">
        <f t="shared" si="14"/>
        <v>2015</v>
      </c>
      <c r="B34" s="188">
        <f>'Neraca Terpadu'!I22</f>
        <v>2129438.2105772081</v>
      </c>
      <c r="C34" s="188">
        <f>'Neraca Terpadu'!I24</f>
        <v>256352.1485151668</v>
      </c>
      <c r="D34" s="196">
        <f t="shared" ref="D34:E34" si="15">B34/B33*100-100</f>
        <v>8.0648173319031571</v>
      </c>
      <c r="E34" s="196">
        <f t="shared" si="15"/>
        <v>13.665061757044612</v>
      </c>
    </row>
    <row r="35" spans="1:5" ht="14.25" customHeight="1">
      <c r="A35" s="281">
        <f t="shared" si="14"/>
        <v>2016</v>
      </c>
      <c r="B35" s="188">
        <f>'Neraca Terpadu'!O22</f>
        <v>2035689.39</v>
      </c>
      <c r="C35" s="188">
        <f>'Neraca Terpadu'!O24</f>
        <v>193579.76766096463</v>
      </c>
      <c r="D35" s="196">
        <f t="shared" ref="D35:E35" si="16">B35/B34*100-100</f>
        <v>-4.4025142458487494</v>
      </c>
      <c r="E35" s="196">
        <f t="shared" si="16"/>
        <v>-24.48677774607701</v>
      </c>
    </row>
    <row r="36" spans="1:5" ht="14.25" customHeight="1">
      <c r="A36" s="281">
        <f t="shared" si="14"/>
        <v>2017</v>
      </c>
      <c r="B36" s="188">
        <f>'Neraca Terpadu'!U22</f>
        <v>2430937.4323177324</v>
      </c>
      <c r="C36" s="188">
        <f>'Neraca Terpadu'!U24</f>
        <v>218010.00937633813</v>
      </c>
      <c r="D36" s="196">
        <f t="shared" ref="D36:E36" si="17">B36/B35*100-100</f>
        <v>19.415930753450183</v>
      </c>
      <c r="E36" s="196">
        <f t="shared" si="17"/>
        <v>12.620245395769132</v>
      </c>
    </row>
    <row r="37" spans="1:5" ht="14.25" customHeight="1">
      <c r="A37" s="281">
        <f t="shared" si="14"/>
        <v>2018</v>
      </c>
      <c r="B37" s="188">
        <f>'Neraca Terpadu'!AA22</f>
        <v>2800030.2108053002</v>
      </c>
      <c r="C37" s="188">
        <f>'Neraca Terpadu'!AA24</f>
        <v>245697.32753539752</v>
      </c>
      <c r="D37" s="196">
        <f t="shared" ref="D37:E37" si="18">B37/B36*100-100</f>
        <v>15.183145957634252</v>
      </c>
      <c r="E37" s="196">
        <f t="shared" si="18"/>
        <v>12.700021544086255</v>
      </c>
    </row>
    <row r="38" spans="1:5" ht="14.25" customHeight="1">
      <c r="A38" s="281">
        <f t="shared" si="14"/>
        <v>2019</v>
      </c>
      <c r="B38" s="188">
        <f>'Neraca Terpadu'!AG22</f>
        <v>3168101.1302457</v>
      </c>
      <c r="C38" s="188">
        <f>'Neraca Terpadu'!AG24</f>
        <v>323473.01000612171</v>
      </c>
      <c r="D38" s="196">
        <f t="shared" ref="D38:E38" si="19">B38/B37*100-100</f>
        <v>13.145248148395552</v>
      </c>
      <c r="E38" s="196">
        <f t="shared" si="19"/>
        <v>31.65507873076848</v>
      </c>
    </row>
    <row r="39" spans="1:5" ht="14.25" customHeight="1">
      <c r="A39" s="281">
        <f t="shared" si="14"/>
        <v>2020</v>
      </c>
      <c r="B39" s="188">
        <f>'Neraca Terpadu'!AM22</f>
        <v>2943805.006662</v>
      </c>
      <c r="C39" s="188">
        <f>'Neraca Terpadu'!AM24</f>
        <v>281808.55349807191</v>
      </c>
      <c r="D39" s="196">
        <f t="shared" ref="D39:E39" si="20">B39/B38*100-100</f>
        <v>-7.079828400752632</v>
      </c>
      <c r="E39" s="196">
        <f t="shared" si="20"/>
        <v>-12.88035020518754</v>
      </c>
    </row>
    <row r="40" spans="1:5" ht="14.25" customHeight="1">
      <c r="A40" s="281">
        <f t="shared" si="14"/>
        <v>2021</v>
      </c>
      <c r="B40" s="188">
        <f>'Neraca Terpadu'!AS22</f>
        <v>3146409.0977163101</v>
      </c>
      <c r="C40" s="188">
        <f>'Neraca Terpadu'!AS24</f>
        <v>355425.877088468</v>
      </c>
      <c r="D40" s="196">
        <f t="shared" ref="D40:E40" si="21">B40/B39*100-100</f>
        <v>6.8823882898427513</v>
      </c>
      <c r="E40" s="196">
        <f t="shared" si="21"/>
        <v>26.123168610955517</v>
      </c>
    </row>
    <row r="41" spans="1:5" ht="14.25" customHeight="1">
      <c r="A41" s="281">
        <f t="shared" si="14"/>
        <v>2022</v>
      </c>
      <c r="B41" s="188">
        <f>'Neraca Terpadu'!AY22</f>
        <v>3686044.3738571904</v>
      </c>
      <c r="C41" s="188">
        <f>'Neraca Terpadu'!AY24</f>
        <v>577815.02150838287</v>
      </c>
      <c r="D41" s="196">
        <f t="shared" ref="D41:E41" si="22">B41/B40*100-100</f>
        <v>17.150830021835105</v>
      </c>
      <c r="E41" s="196">
        <f t="shared" si="22"/>
        <v>62.569767356742204</v>
      </c>
    </row>
    <row r="42" spans="1:5" ht="14.25" customHeight="1">
      <c r="A42" s="281" t="str">
        <f t="shared" si="14"/>
        <v>2023*</v>
      </c>
      <c r="B42" s="188">
        <f>'Neraca Terpadu'!BE22</f>
        <v>4138304.5488988999</v>
      </c>
      <c r="C42" s="188">
        <f>'Neraca Terpadu'!BE24</f>
        <v>816417.98626782268</v>
      </c>
      <c r="D42" s="196">
        <f t="shared" ref="D42:E42" si="23">B42/B41*100-100</f>
        <v>12.269526060220784</v>
      </c>
      <c r="E42" s="196">
        <f t="shared" si="23"/>
        <v>41.294005153512302</v>
      </c>
    </row>
    <row r="43" spans="1:5" ht="14.25" customHeight="1">
      <c r="A43" s="281" t="str">
        <f t="shared" si="14"/>
        <v>2024**</v>
      </c>
      <c r="B43" s="188">
        <f>'Neraca Terpadu'!BK22</f>
        <v>4426259.1649909001</v>
      </c>
      <c r="C43" s="188">
        <f>'Neraca Terpadu'!BK24</f>
        <v>707021.44725518906</v>
      </c>
      <c r="D43" s="196">
        <f t="shared" ref="D43:E43" si="24">B43/B42*100-100</f>
        <v>6.958275126672774</v>
      </c>
      <c r="E43" s="196">
        <f t="shared" si="24"/>
        <v>-13.399574832094217</v>
      </c>
    </row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31:A32"/>
    <mergeCell ref="B31:C31"/>
    <mergeCell ref="D31:E31"/>
    <mergeCell ref="A3:A4"/>
    <mergeCell ref="B3:C3"/>
    <mergeCell ref="D3:D4"/>
    <mergeCell ref="E3:F3"/>
    <mergeCell ref="A17:A18"/>
    <mergeCell ref="B17:D17"/>
    <mergeCell ref="E17:G1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PDB ADHB</vt:lpstr>
      <vt:lpstr>Penyusutan</vt:lpstr>
      <vt:lpstr>SUT (Rasio Penyediaan)</vt:lpstr>
      <vt:lpstr>Penyediaan</vt:lpstr>
      <vt:lpstr>Stok Kapital</vt:lpstr>
      <vt:lpstr>Aset Moneter</vt:lpstr>
      <vt:lpstr>Neraca Terpadu</vt:lpstr>
      <vt:lpstr>PDB vs PDN1</vt:lpstr>
      <vt:lpstr>Studi PDB</vt:lpstr>
      <vt:lpstr>Penduduk</vt:lpstr>
      <vt:lpstr>National Wealth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2019-12-13T03:30:34Z</dcterms:created>
  <dcterms:modified xsi:type="dcterms:W3CDTF">2026-08-06T03:54:40Z</dcterms:modified>
</cp:coreProperties>
</file>