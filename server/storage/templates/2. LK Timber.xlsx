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fc06a6345ed787f/Documents/"/>
    </mc:Choice>
  </mc:AlternateContent>
  <xr:revisionPtr revIDLastSave="36" documentId="13_ncr:1_{309341FF-B3CD-435B-B188-FFDAA5F59F1F}" xr6:coauthVersionLast="47" xr6:coauthVersionMax="47" xr10:uidLastSave="{556F7181-838F-403B-A874-B18387879B4A}"/>
  <bookViews>
    <workbookView xWindow="-110" yWindow="-110" windowWidth="19420" windowHeight="11500" tabRatio="723" firstSheet="1" activeTab="5" xr2:uid="{00000000-000D-0000-FFFF-FFFF00000000}"/>
  </bookViews>
  <sheets>
    <sheet name="Rekap" sheetId="6" r:id="rId1"/>
    <sheet name="Rekap JJ" sheetId="16" r:id="rId2"/>
    <sheet name="Rekap RJ" sheetId="17" r:id="rId3"/>
    <sheet name="Rekap RLJ" sheetId="18" r:id="rId4"/>
    <sheet name="Rekap Transpose" sheetId="7" r:id="rId5"/>
    <sheet name="Jati Jawa" sheetId="1" r:id="rId6"/>
    <sheet name="Rimba Jawa" sheetId="2" r:id="rId7"/>
    <sheet name="Rimba Luar Jawa" sheetId="3" r:id="rId8"/>
    <sheet name="Sheet1" sheetId="14" state="hidden" r:id="rId9"/>
    <sheet name="Rate of Return" sheetId="4" r:id="rId10"/>
    <sheet name="GOS per unit" sheetId="5" r:id="rId11"/>
    <sheet name="2012" sheetId="13" state="hidden" r:id="rId12"/>
    <sheet name="2013" sheetId="8" state="hidden" r:id="rId13"/>
    <sheet name="2014" sheetId="9" state="hidden" r:id="rId14"/>
    <sheet name="2015" sheetId="10" state="hidden" r:id="rId15"/>
    <sheet name="2016" sheetId="11" state="hidden" r:id="rId16"/>
    <sheet name="2017" sheetId="12" state="hidden" r:id="rId17"/>
    <sheet name="2018" sheetId="15" state="hidden" r:id="rId18"/>
    <sheet name="2019" sheetId="19" state="hidden" r:id="rId19"/>
    <sheet name="2020" sheetId="20" state="hidden" r:id="rId20"/>
    <sheet name="2021" sheetId="21" state="hidden" r:id="rId21"/>
    <sheet name="2022" sheetId="22" r:id="rId22"/>
    <sheet name="2023" sheetId="25" r:id="rId23"/>
    <sheet name="2024" sheetId="24" r:id="rId24"/>
  </sheets>
  <externalReferences>
    <externalReference r:id="rId25"/>
    <externalReference r:id="rId26"/>
    <externalReference r:id="rId27"/>
  </externalReferences>
  <definedNames>
    <definedName name="_xlnm.Print_Area" localSheetId="0">Rekap!$A$1:$AJ$30</definedName>
    <definedName name="_xlnm.Print_Area" localSheetId="1">'Rekap JJ'!$A$1:$R$30</definedName>
    <definedName name="_xlnm.Print_Area" localSheetId="2">'Rekap RJ'!$A$1:$R$30</definedName>
    <definedName name="_xlnm.Print_Area" localSheetId="3">'Rekap RLJ'!$A$1:$R$30</definedName>
    <definedName name="_xlnm.Print_Area" localSheetId="4">'Rekap Transpose'!$A$1:$J$39</definedName>
    <definedName name="_xlnm.Print_Area" localSheetId="6">'Rimba Jawa'!$A$1:$L$65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G10" i="1"/>
  <c r="B11" i="1" s="1"/>
  <c r="G11" i="1" s="1"/>
  <c r="B12" i="1" s="1"/>
  <c r="G12" i="1" s="1"/>
  <c r="B13" i="1" s="1"/>
  <c r="G13" i="1" s="1"/>
  <c r="B14" i="1" s="1"/>
  <c r="G14" i="1" s="1"/>
  <c r="B15" i="1" s="1"/>
  <c r="G15" i="1" s="1"/>
  <c r="B16" i="1" s="1"/>
  <c r="G16" i="1" s="1"/>
  <c r="B17" i="1" s="1"/>
  <c r="G17" i="1" s="1"/>
  <c r="B18" i="1" s="1"/>
  <c r="G18" i="1" s="1"/>
  <c r="B19" i="1" s="1"/>
  <c r="G19" i="1" s="1"/>
  <c r="B20" i="1" s="1"/>
  <c r="G20" i="1" s="1"/>
  <c r="AI32" i="6"/>
  <c r="AJ32" i="6" s="1"/>
  <c r="Q32" i="18"/>
  <c r="R32" i="18" s="1"/>
  <c r="Q32" i="17"/>
  <c r="R32" i="17" s="1"/>
  <c r="D33" i="16"/>
  <c r="Q32" i="16"/>
  <c r="R32" i="16" s="1"/>
  <c r="G20" i="3" l="1"/>
  <c r="F20" i="3"/>
  <c r="E20" i="3"/>
  <c r="D20" i="3"/>
  <c r="C20" i="3"/>
  <c r="B20" i="3"/>
  <c r="G19" i="3"/>
  <c r="F19" i="3"/>
  <c r="E19" i="3"/>
  <c r="D19" i="3"/>
  <c r="C19" i="3"/>
  <c r="B19" i="3"/>
  <c r="B41" i="3"/>
  <c r="B40" i="3"/>
  <c r="B41" i="2"/>
  <c r="B40" i="2"/>
  <c r="F20" i="2"/>
  <c r="D20" i="2"/>
  <c r="C20" i="2"/>
  <c r="F19" i="2"/>
  <c r="D19" i="2"/>
  <c r="C19" i="2"/>
  <c r="B19" i="2"/>
  <c r="J180" i="25"/>
  <c r="J179" i="25"/>
  <c r="B23" i="4"/>
  <c r="C23" i="4" s="1"/>
  <c r="I247" i="25"/>
  <c r="B22" i="4"/>
  <c r="C22" i="4" s="1"/>
  <c r="P19" i="5"/>
  <c r="P18" i="5"/>
  <c r="N19" i="5"/>
  <c r="N18" i="5"/>
  <c r="O18" i="5" s="1"/>
  <c r="Q18" i="5" s="1"/>
  <c r="C40" i="3" s="1"/>
  <c r="J19" i="5"/>
  <c r="J18" i="5"/>
  <c r="H19" i="5"/>
  <c r="I19" i="5" s="1"/>
  <c r="K19" i="5" s="1"/>
  <c r="C41" i="2" s="1"/>
  <c r="D41" i="2" s="1"/>
  <c r="H18" i="5"/>
  <c r="D19" i="5"/>
  <c r="D18" i="5"/>
  <c r="B19" i="5"/>
  <c r="B18" i="5"/>
  <c r="Q14" i="18"/>
  <c r="R11" i="18"/>
  <c r="Q10" i="17"/>
  <c r="Q11" i="18"/>
  <c r="R14" i="18"/>
  <c r="Q14" i="17"/>
  <c r="R11" i="17"/>
  <c r="R10" i="17"/>
  <c r="Q13" i="18"/>
  <c r="Q11" i="17"/>
  <c r="R13" i="18"/>
  <c r="R10" i="18"/>
  <c r="R14" i="17"/>
  <c r="Q10" i="18"/>
  <c r="D40" i="3" l="1"/>
  <c r="O19" i="5"/>
  <c r="Q19" i="5" s="1"/>
  <c r="C41" i="3" s="1"/>
  <c r="D41" i="3" s="1"/>
  <c r="I18" i="5"/>
  <c r="K18" i="5" s="1"/>
  <c r="C40" i="2" s="1"/>
  <c r="D40" i="2" s="1"/>
  <c r="R12" i="18"/>
  <c r="Q9" i="17"/>
  <c r="Q9" i="18"/>
  <c r="Q12" i="18"/>
  <c r="R9" i="17"/>
  <c r="R9" i="18"/>
  <c r="H19" i="3"/>
  <c r="E40" i="3" s="1"/>
  <c r="F40" i="3" s="1"/>
  <c r="G40" i="3" s="1"/>
  <c r="H40" i="3" s="1"/>
  <c r="I20" i="3"/>
  <c r="H20" i="3"/>
  <c r="E41" i="3" s="1"/>
  <c r="F41" i="3" s="1"/>
  <c r="J20" i="3"/>
  <c r="J19" i="3"/>
  <c r="H23" i="4"/>
  <c r="J23" i="4"/>
  <c r="H22" i="4"/>
  <c r="J22" i="4"/>
  <c r="I22" i="4"/>
  <c r="I23" i="4"/>
  <c r="G41" i="3" l="1"/>
  <c r="H41" i="3" s="1"/>
  <c r="H61" i="3"/>
  <c r="I61" i="3" s="1"/>
  <c r="B61" i="3"/>
  <c r="H60" i="3"/>
  <c r="I60" i="3" s="1"/>
  <c r="E60" i="3"/>
  <c r="F60" i="3"/>
  <c r="C60" i="3"/>
  <c r="D60" i="3"/>
  <c r="G61" i="3"/>
  <c r="E61" i="3"/>
  <c r="C61" i="3"/>
  <c r="D61" i="3"/>
  <c r="F61" i="3"/>
  <c r="C18" i="5"/>
  <c r="E18" i="5" s="1"/>
  <c r="C19" i="5"/>
  <c r="E19" i="5" s="1"/>
  <c r="D43" i="1" s="1"/>
  <c r="G19" i="5"/>
  <c r="M19" i="5"/>
  <c r="G18" i="5"/>
  <c r="M18" i="5"/>
  <c r="B18" i="7"/>
  <c r="Q11" i="16"/>
  <c r="Q14" i="16"/>
  <c r="R14" i="16"/>
  <c r="R10" i="16"/>
  <c r="R11" i="16"/>
  <c r="Q10" i="16"/>
  <c r="D42" i="1" l="1"/>
  <c r="R9" i="16"/>
  <c r="Q9" i="16"/>
  <c r="D18" i="7"/>
  <c r="F18" i="7"/>
  <c r="F19" i="7"/>
  <c r="D19" i="7"/>
  <c r="C19" i="7"/>
  <c r="C18" i="7"/>
  <c r="AJ14" i="6"/>
  <c r="AI14" i="6"/>
  <c r="AJ10" i="6"/>
  <c r="AI10" i="6"/>
  <c r="AJ11" i="6"/>
  <c r="AI11" i="6"/>
  <c r="AJ9" i="6" l="1"/>
  <c r="AI9" i="6"/>
  <c r="B21" i="4"/>
  <c r="I21" i="4" s="1"/>
  <c r="P17" i="5"/>
  <c r="N17" i="5"/>
  <c r="O17" i="5" s="1"/>
  <c r="Q17" i="5" s="1"/>
  <c r="C39" i="3" s="1"/>
  <c r="M17" i="5"/>
  <c r="J17" i="5"/>
  <c r="H17" i="5"/>
  <c r="G17" i="5"/>
  <c r="D17" i="5"/>
  <c r="B17" i="5"/>
  <c r="P16" i="5"/>
  <c r="N16" i="5"/>
  <c r="P15" i="5"/>
  <c r="N15" i="5"/>
  <c r="P14" i="5"/>
  <c r="N14" i="5"/>
  <c r="P13" i="5"/>
  <c r="N13" i="5"/>
  <c r="P12" i="5"/>
  <c r="N12" i="5"/>
  <c r="P11" i="5"/>
  <c r="N11" i="5"/>
  <c r="P10" i="5"/>
  <c r="N10" i="5"/>
  <c r="P9" i="5"/>
  <c r="N9" i="5"/>
  <c r="J16" i="5"/>
  <c r="H16" i="5"/>
  <c r="J15" i="5"/>
  <c r="H15" i="5"/>
  <c r="J14" i="5"/>
  <c r="H14" i="5"/>
  <c r="J13" i="5"/>
  <c r="H13" i="5"/>
  <c r="J12" i="5"/>
  <c r="H12" i="5"/>
  <c r="J11" i="5"/>
  <c r="H11" i="5"/>
  <c r="J10" i="5"/>
  <c r="H10" i="5"/>
  <c r="J9" i="5"/>
  <c r="H9" i="5"/>
  <c r="D16" i="5"/>
  <c r="B16" i="5"/>
  <c r="D15" i="5"/>
  <c r="B15" i="5"/>
  <c r="D14" i="5"/>
  <c r="B14" i="5"/>
  <c r="D13" i="5"/>
  <c r="B13" i="5"/>
  <c r="D12" i="5"/>
  <c r="B12" i="5"/>
  <c r="D11" i="5"/>
  <c r="B11" i="5"/>
  <c r="D10" i="5"/>
  <c r="B10" i="5"/>
  <c r="D9" i="5"/>
  <c r="B9" i="5"/>
  <c r="G18" i="3"/>
  <c r="I19" i="3" s="1"/>
  <c r="F18" i="3"/>
  <c r="E18" i="3"/>
  <c r="D18" i="3"/>
  <c r="C18" i="3"/>
  <c r="B18" i="3"/>
  <c r="G18" i="2"/>
  <c r="F18" i="2"/>
  <c r="E18" i="2"/>
  <c r="D18" i="2"/>
  <c r="C18" i="2"/>
  <c r="B18" i="2"/>
  <c r="P14" i="16"/>
  <c r="P10" i="16"/>
  <c r="P11" i="16"/>
  <c r="P13" i="16"/>
  <c r="P12" i="16" l="1"/>
  <c r="P9" i="16"/>
  <c r="I17" i="5"/>
  <c r="K17" i="5" s="1"/>
  <c r="C39" i="2" s="1"/>
  <c r="D39" i="2" s="1"/>
  <c r="F17" i="7"/>
  <c r="G17" i="7"/>
  <c r="B17" i="7"/>
  <c r="C17" i="7"/>
  <c r="D17" i="7"/>
  <c r="E17" i="7"/>
  <c r="C17" i="5"/>
  <c r="E17" i="5" s="1"/>
  <c r="D41" i="1" s="1"/>
  <c r="C21" i="4"/>
  <c r="J18" i="3"/>
  <c r="D39" i="3"/>
  <c r="J18" i="2"/>
  <c r="H18" i="3"/>
  <c r="E39" i="3" s="1"/>
  <c r="H18" i="2"/>
  <c r="E39" i="2" s="1"/>
  <c r="J18" i="1"/>
  <c r="H18" i="1"/>
  <c r="E41" i="1" s="1"/>
  <c r="G17" i="3"/>
  <c r="I18" i="3" s="1"/>
  <c r="F17" i="3"/>
  <c r="E17" i="3"/>
  <c r="D17" i="3"/>
  <c r="C17" i="3"/>
  <c r="B17" i="3"/>
  <c r="G17" i="2"/>
  <c r="I18" i="2" s="1"/>
  <c r="F17" i="2"/>
  <c r="E17" i="2"/>
  <c r="D17" i="2"/>
  <c r="C17" i="2"/>
  <c r="B17" i="2"/>
  <c r="I18" i="1"/>
  <c r="O11" i="16"/>
  <c r="O10" i="16"/>
  <c r="O13" i="16"/>
  <c r="O14" i="16"/>
  <c r="O12" i="16" l="1"/>
  <c r="O9" i="16"/>
  <c r="H17" i="7"/>
  <c r="J17" i="7"/>
  <c r="B39" i="3"/>
  <c r="F39" i="3" s="1"/>
  <c r="G39" i="3" s="1"/>
  <c r="B39" i="2"/>
  <c r="F39" i="2" s="1"/>
  <c r="G39" i="2" s="1"/>
  <c r="F41" i="1"/>
  <c r="G41" i="1" s="1"/>
  <c r="J21" i="4"/>
  <c r="H21" i="4"/>
  <c r="B16" i="7"/>
  <c r="C16" i="7"/>
  <c r="D16" i="7"/>
  <c r="G16" i="7"/>
  <c r="E16" i="7"/>
  <c r="F16" i="7"/>
  <c r="H59" i="3" l="1"/>
  <c r="I59" i="3" s="1"/>
  <c r="B60" i="3"/>
  <c r="H59" i="2"/>
  <c r="B60" i="2"/>
  <c r="K17" i="7"/>
  <c r="I17" i="7"/>
  <c r="H39" i="2"/>
  <c r="H39" i="3"/>
  <c r="G60" i="3" s="1"/>
  <c r="H41" i="1"/>
  <c r="H60" i="1"/>
  <c r="B61" i="1" s="1"/>
  <c r="H16" i="7"/>
  <c r="J16" i="7"/>
  <c r="B20" i="4"/>
  <c r="C20" i="4" s="1"/>
  <c r="M16" i="5"/>
  <c r="G16" i="5"/>
  <c r="B37" i="7" l="1"/>
  <c r="C59" i="2"/>
  <c r="I59" i="2"/>
  <c r="I60" i="1"/>
  <c r="H36" i="7"/>
  <c r="D59" i="2"/>
  <c r="F59" i="2"/>
  <c r="E59" i="2"/>
  <c r="D59" i="3"/>
  <c r="C59" i="3"/>
  <c r="F59" i="3"/>
  <c r="E59" i="3"/>
  <c r="C60" i="1"/>
  <c r="D60" i="1"/>
  <c r="E60" i="1"/>
  <c r="F60" i="1"/>
  <c r="H20" i="4"/>
  <c r="B38" i="3"/>
  <c r="B38" i="2"/>
  <c r="I16" i="5"/>
  <c r="O16" i="5"/>
  <c r="C16" i="5"/>
  <c r="J17" i="3"/>
  <c r="H17" i="3"/>
  <c r="E38" i="3" s="1"/>
  <c r="J17" i="2"/>
  <c r="H17" i="2"/>
  <c r="E38" i="2" s="1"/>
  <c r="J17" i="1"/>
  <c r="H17" i="1"/>
  <c r="E40" i="1" s="1"/>
  <c r="F40" i="1" l="1"/>
  <c r="E36" i="7"/>
  <c r="D36" i="7"/>
  <c r="C36" i="7"/>
  <c r="F36" i="7"/>
  <c r="F38" i="3"/>
  <c r="F38" i="2"/>
  <c r="E16" i="5" l="1"/>
  <c r="D40" i="1" s="1"/>
  <c r="G40" i="1" s="1"/>
  <c r="H40" i="1" s="1"/>
  <c r="G60" i="1" s="1"/>
  <c r="H59" i="1" l="1"/>
  <c r="B60" i="1" s="1"/>
  <c r="Q16" i="5"/>
  <c r="C38" i="3" s="1"/>
  <c r="D38" i="3" s="1"/>
  <c r="G38" i="3" s="1"/>
  <c r="B59" i="3" s="1"/>
  <c r="K16" i="5"/>
  <c r="C38" i="2" s="1"/>
  <c r="D38" i="2" s="1"/>
  <c r="G38" i="2" s="1"/>
  <c r="B59" i="2" s="1"/>
  <c r="D59" i="1"/>
  <c r="E59" i="1"/>
  <c r="C59" i="1"/>
  <c r="F59" i="1"/>
  <c r="U32" i="6"/>
  <c r="V32" i="6" s="1"/>
  <c r="W32" i="6" s="1"/>
  <c r="X32" i="6" s="1"/>
  <c r="Y32" i="6" s="1"/>
  <c r="Z32" i="6" s="1"/>
  <c r="AA32" i="6" s="1"/>
  <c r="AB32" i="6" s="1"/>
  <c r="AC32" i="6" s="1"/>
  <c r="AD32" i="6" s="1"/>
  <c r="AE32" i="6" s="1"/>
  <c r="AF32" i="6" s="1"/>
  <c r="AG32" i="6" s="1"/>
  <c r="AH32" i="6" s="1"/>
  <c r="V33" i="6"/>
  <c r="W33" i="6" s="1"/>
  <c r="X33" i="6" s="1"/>
  <c r="Y33" i="6" s="1"/>
  <c r="Z33" i="6" s="1"/>
  <c r="AA33" i="6" s="1"/>
  <c r="AB33" i="6" s="1"/>
  <c r="AC33" i="6" s="1"/>
  <c r="AD33" i="6" s="1"/>
  <c r="AE33" i="6" s="1"/>
  <c r="AF33" i="6" s="1"/>
  <c r="AG33" i="6" s="1"/>
  <c r="AH33" i="6" s="1"/>
  <c r="AI33" i="6" s="1"/>
  <c r="AJ33" i="6" l="1"/>
  <c r="I59" i="1"/>
  <c r="J60" i="1"/>
  <c r="B36" i="7"/>
  <c r="H58" i="2"/>
  <c r="K59" i="2" s="1"/>
  <c r="H38" i="2"/>
  <c r="G59" i="2" s="1"/>
  <c r="H58" i="3"/>
  <c r="H38" i="3"/>
  <c r="D33" i="18"/>
  <c r="E33" i="18" s="1"/>
  <c r="F33" i="18" s="1"/>
  <c r="G33" i="18" s="1"/>
  <c r="H33" i="18" s="1"/>
  <c r="I33" i="18" s="1"/>
  <c r="J33" i="18" s="1"/>
  <c r="K33" i="18" s="1"/>
  <c r="L33" i="18" s="1"/>
  <c r="M33" i="18" s="1"/>
  <c r="N33" i="18" s="1"/>
  <c r="O33" i="18" s="1"/>
  <c r="P33" i="18" s="1"/>
  <c r="Q33" i="18" s="1"/>
  <c r="C32" i="18"/>
  <c r="D32" i="18" s="1"/>
  <c r="E32" i="18" s="1"/>
  <c r="F32" i="18" s="1"/>
  <c r="G32" i="18" s="1"/>
  <c r="H32" i="18" s="1"/>
  <c r="I32" i="18" s="1"/>
  <c r="J32" i="18" s="1"/>
  <c r="K32" i="18" s="1"/>
  <c r="L32" i="18" s="1"/>
  <c r="M32" i="18" s="1"/>
  <c r="N32" i="18" s="1"/>
  <c r="O32" i="18" s="1"/>
  <c r="P32" i="18" s="1"/>
  <c r="AH13" i="6"/>
  <c r="AG10" i="6"/>
  <c r="AH14" i="6"/>
  <c r="Q28" i="18"/>
  <c r="Q26" i="18"/>
  <c r="AG13" i="6"/>
  <c r="AG11" i="6"/>
  <c r="Q23" i="18"/>
  <c r="AH11" i="6"/>
  <c r="AG14" i="6"/>
  <c r="AH10" i="6"/>
  <c r="Q27" i="18"/>
  <c r="Q24" i="18"/>
  <c r="Q25" i="18" l="1"/>
  <c r="Q22" i="18"/>
  <c r="R33" i="18"/>
  <c r="J59" i="2"/>
  <c r="AH12" i="6"/>
  <c r="AH9" i="6"/>
  <c r="K39" i="3"/>
  <c r="G59" i="3"/>
  <c r="J59" i="3" s="1"/>
  <c r="I58" i="3"/>
  <c r="K59" i="3"/>
  <c r="AG12" i="6"/>
  <c r="AG9" i="6"/>
  <c r="F58" i="3"/>
  <c r="E58" i="3"/>
  <c r="C58" i="3"/>
  <c r="D58" i="3"/>
  <c r="I58" i="2"/>
  <c r="H35" i="7"/>
  <c r="J36" i="7" s="1"/>
  <c r="C58" i="2"/>
  <c r="F58" i="2"/>
  <c r="D58" i="2"/>
  <c r="E58" i="2"/>
  <c r="E35" i="7" s="1"/>
  <c r="G16" i="3"/>
  <c r="I17" i="3" s="1"/>
  <c r="F16" i="3"/>
  <c r="E16" i="3"/>
  <c r="D16" i="3"/>
  <c r="C16" i="3"/>
  <c r="B16" i="3"/>
  <c r="G16" i="2"/>
  <c r="I17" i="2" s="1"/>
  <c r="F16" i="2"/>
  <c r="E16" i="2"/>
  <c r="D16" i="2"/>
  <c r="C16" i="2"/>
  <c r="B16" i="2"/>
  <c r="P14" i="18"/>
  <c r="R24" i="18"/>
  <c r="N14" i="18"/>
  <c r="P10" i="18"/>
  <c r="R23" i="18"/>
  <c r="P11" i="18"/>
  <c r="O14" i="18"/>
  <c r="O10" i="18"/>
  <c r="R26" i="18"/>
  <c r="O11" i="18"/>
  <c r="N11" i="18"/>
  <c r="N13" i="18"/>
  <c r="R28" i="18"/>
  <c r="P13" i="18"/>
  <c r="R27" i="18"/>
  <c r="O13" i="18"/>
  <c r="N10" i="18"/>
  <c r="R25" i="18" l="1"/>
  <c r="R22" i="18"/>
  <c r="G36" i="7"/>
  <c r="K36" i="7" s="1"/>
  <c r="P9" i="18"/>
  <c r="P12" i="18"/>
  <c r="F35" i="7"/>
  <c r="C35" i="7"/>
  <c r="O9" i="18"/>
  <c r="O12" i="18"/>
  <c r="D35" i="7"/>
  <c r="N9" i="18"/>
  <c r="N12" i="18"/>
  <c r="J16" i="3"/>
  <c r="H16" i="3"/>
  <c r="E37" i="3" s="1"/>
  <c r="J16" i="2"/>
  <c r="H16" i="2"/>
  <c r="E37" i="2" s="1"/>
  <c r="F15" i="4"/>
  <c r="B19" i="4"/>
  <c r="M15" i="5" l="1"/>
  <c r="G15" i="5"/>
  <c r="C19" i="4"/>
  <c r="B15" i="7"/>
  <c r="I15" i="5" l="1"/>
  <c r="K15" i="5" s="1"/>
  <c r="C37" i="2" s="1"/>
  <c r="D37" i="2" s="1"/>
  <c r="H19" i="4"/>
  <c r="B37" i="2"/>
  <c r="B37" i="3"/>
  <c r="G15" i="7"/>
  <c r="I17" i="1"/>
  <c r="C15" i="5"/>
  <c r="E15" i="5" s="1"/>
  <c r="C15" i="7"/>
  <c r="D15" i="7"/>
  <c r="E15" i="7"/>
  <c r="F15" i="7"/>
  <c r="J16" i="1"/>
  <c r="O15" i="5"/>
  <c r="H16" i="1"/>
  <c r="E39" i="1" s="1"/>
  <c r="F39" i="1" s="1"/>
  <c r="B15" i="2"/>
  <c r="B15" i="3"/>
  <c r="AF10" i="6"/>
  <c r="AF14" i="6"/>
  <c r="AF11" i="6"/>
  <c r="AF13" i="6"/>
  <c r="K16" i="7" l="1"/>
  <c r="I16" i="7"/>
  <c r="Q15" i="5"/>
  <c r="C37" i="3" s="1"/>
  <c r="D37" i="3" s="1"/>
  <c r="J15" i="7"/>
  <c r="D39" i="1"/>
  <c r="G39" i="1" s="1"/>
  <c r="AF12" i="6"/>
  <c r="AF9" i="6"/>
  <c r="H15" i="7"/>
  <c r="B18" i="4"/>
  <c r="B44" i="2"/>
  <c r="B44" i="3"/>
  <c r="C18" i="4" l="1"/>
  <c r="I20" i="4"/>
  <c r="H39" i="1"/>
  <c r="H58" i="1"/>
  <c r="B59" i="1" s="1"/>
  <c r="H18" i="4"/>
  <c r="G15" i="2"/>
  <c r="I16" i="2" s="1"/>
  <c r="F15" i="2"/>
  <c r="E15" i="2"/>
  <c r="D15" i="2"/>
  <c r="C15" i="2"/>
  <c r="G15" i="3"/>
  <c r="I16" i="3" s="1"/>
  <c r="F15" i="3"/>
  <c r="E15" i="3"/>
  <c r="D15" i="3"/>
  <c r="C15" i="3"/>
  <c r="I16" i="1"/>
  <c r="M14" i="5"/>
  <c r="G14" i="5"/>
  <c r="C14" i="5"/>
  <c r="E14" i="5" s="1"/>
  <c r="G59" i="1" l="1"/>
  <c r="J59" i="1" s="1"/>
  <c r="O14" i="5"/>
  <c r="Q14" i="5" s="1"/>
  <c r="C36" i="3" s="1"/>
  <c r="D36" i="3" s="1"/>
  <c r="I14" i="5"/>
  <c r="K14" i="5" s="1"/>
  <c r="C36" i="2" s="1"/>
  <c r="D36" i="2" s="1"/>
  <c r="J20" i="4"/>
  <c r="B36" i="3"/>
  <c r="B36" i="2"/>
  <c r="I58" i="1"/>
  <c r="C58" i="1"/>
  <c r="D58" i="1"/>
  <c r="F58" i="1"/>
  <c r="E58" i="1"/>
  <c r="B14" i="7"/>
  <c r="G14" i="7"/>
  <c r="C14" i="7"/>
  <c r="D14" i="7"/>
  <c r="E14" i="7"/>
  <c r="F14" i="7"/>
  <c r="J15" i="2"/>
  <c r="H15" i="3"/>
  <c r="E36" i="3" s="1"/>
  <c r="H15" i="1"/>
  <c r="E38" i="1" s="1"/>
  <c r="F38" i="1" s="1"/>
  <c r="J15" i="1"/>
  <c r="J15" i="3"/>
  <c r="H15" i="2"/>
  <c r="AE10" i="6"/>
  <c r="AE11" i="6"/>
  <c r="AE13" i="6"/>
  <c r="AE14" i="6"/>
  <c r="F36" i="3" l="1"/>
  <c r="G36" i="3" s="1"/>
  <c r="D38" i="1"/>
  <c r="G38" i="1" s="1"/>
  <c r="AE9" i="6"/>
  <c r="AE12" i="6"/>
  <c r="K15" i="7"/>
  <c r="I15" i="7"/>
  <c r="F37" i="2"/>
  <c r="G37" i="2" s="1"/>
  <c r="B58" i="2" s="1"/>
  <c r="E36" i="2"/>
  <c r="J14" i="7"/>
  <c r="H14" i="7"/>
  <c r="G14" i="3"/>
  <c r="I15" i="3" s="1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G4" i="3"/>
  <c r="F4" i="3"/>
  <c r="E4" i="3"/>
  <c r="D4" i="3"/>
  <c r="C4" i="3"/>
  <c r="B4" i="3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G4" i="2"/>
  <c r="F4" i="2"/>
  <c r="E4" i="2"/>
  <c r="D4" i="2"/>
  <c r="C4" i="2"/>
  <c r="B4" i="2"/>
  <c r="I15" i="1"/>
  <c r="G9" i="1"/>
  <c r="F9" i="1"/>
  <c r="E9" i="1"/>
  <c r="D9" i="1"/>
  <c r="C9" i="1"/>
  <c r="B9" i="1"/>
  <c r="G8" i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D6" i="1"/>
  <c r="C6" i="1"/>
  <c r="B6" i="1"/>
  <c r="G5" i="1"/>
  <c r="F5" i="1"/>
  <c r="E5" i="1"/>
  <c r="D5" i="1"/>
  <c r="C5" i="1"/>
  <c r="B5" i="1"/>
  <c r="G4" i="1"/>
  <c r="F4" i="1"/>
  <c r="E4" i="1"/>
  <c r="D4" i="1"/>
  <c r="C4" i="1"/>
  <c r="B4" i="1"/>
  <c r="C13" i="5"/>
  <c r="E13" i="5" s="1"/>
  <c r="C9" i="5"/>
  <c r="E9" i="5" s="1"/>
  <c r="C11" i="5" l="1"/>
  <c r="E11" i="5" s="1"/>
  <c r="C12" i="5"/>
  <c r="E12" i="5" s="1"/>
  <c r="H37" i="2"/>
  <c r="H57" i="2"/>
  <c r="K58" i="2" s="1"/>
  <c r="J5" i="3"/>
  <c r="H56" i="3"/>
  <c r="B57" i="3"/>
  <c r="I15" i="2"/>
  <c r="I14" i="2"/>
  <c r="J9" i="2"/>
  <c r="H36" i="3"/>
  <c r="H38" i="1"/>
  <c r="H57" i="1"/>
  <c r="D33" i="17"/>
  <c r="E33" i="17" s="1"/>
  <c r="C32" i="17"/>
  <c r="D32" i="17" s="1"/>
  <c r="E32" i="17" s="1"/>
  <c r="C32" i="16"/>
  <c r="D32" i="16" s="1"/>
  <c r="E32" i="16" s="1"/>
  <c r="F32" i="16" s="1"/>
  <c r="G32" i="16" s="1"/>
  <c r="H32" i="16" s="1"/>
  <c r="I32" i="16" s="1"/>
  <c r="J32" i="16" s="1"/>
  <c r="K32" i="16" s="1"/>
  <c r="L32" i="16" s="1"/>
  <c r="M32" i="16" s="1"/>
  <c r="N32" i="16" s="1"/>
  <c r="N10" i="16"/>
  <c r="G58" i="1" l="1"/>
  <c r="G58" i="2"/>
  <c r="J58" i="2" s="1"/>
  <c r="O32" i="16"/>
  <c r="P32" i="16" s="1"/>
  <c r="C57" i="2"/>
  <c r="F57" i="2"/>
  <c r="E57" i="2"/>
  <c r="D57" i="2"/>
  <c r="E33" i="16"/>
  <c r="B58" i="1"/>
  <c r="E56" i="3"/>
  <c r="F56" i="3"/>
  <c r="C56" i="3"/>
  <c r="D56" i="3"/>
  <c r="I57" i="1"/>
  <c r="C57" i="1"/>
  <c r="D57" i="1"/>
  <c r="E57" i="1"/>
  <c r="F57" i="1"/>
  <c r="F32" i="17"/>
  <c r="F33" i="17"/>
  <c r="M10" i="16"/>
  <c r="M13" i="16"/>
  <c r="N14" i="16"/>
  <c r="N11" i="16"/>
  <c r="N13" i="16"/>
  <c r="M11" i="16"/>
  <c r="M14" i="16"/>
  <c r="N9" i="16" l="1"/>
  <c r="N12" i="16"/>
  <c r="J58" i="1"/>
  <c r="F33" i="16"/>
  <c r="M12" i="16"/>
  <c r="M9" i="16"/>
  <c r="G33" i="17"/>
  <c r="G32" i="17"/>
  <c r="B17" i="4"/>
  <c r="I19" i="4" s="1"/>
  <c r="G33" i="16" l="1"/>
  <c r="H33" i="17"/>
  <c r="H32" i="17"/>
  <c r="J14" i="3"/>
  <c r="H14" i="3"/>
  <c r="E35" i="3" s="1"/>
  <c r="C17" i="4"/>
  <c r="L14" i="16"/>
  <c r="L10" i="16"/>
  <c r="L11" i="16"/>
  <c r="B35" i="2" l="1"/>
  <c r="B35" i="3"/>
  <c r="J19" i="4"/>
  <c r="H33" i="16"/>
  <c r="F35" i="3"/>
  <c r="L9" i="16"/>
  <c r="D13" i="7"/>
  <c r="C13" i="7"/>
  <c r="F13" i="7"/>
  <c r="I33" i="17"/>
  <c r="I32" i="17"/>
  <c r="H17" i="4"/>
  <c r="M4" i="5"/>
  <c r="M5" i="5"/>
  <c r="M6" i="5"/>
  <c r="M7" i="5"/>
  <c r="M8" i="5"/>
  <c r="M9" i="5"/>
  <c r="M10" i="5"/>
  <c r="M11" i="5"/>
  <c r="M12" i="5"/>
  <c r="M13" i="5"/>
  <c r="M3" i="5"/>
  <c r="G4" i="5"/>
  <c r="G5" i="5"/>
  <c r="G6" i="5"/>
  <c r="G7" i="5"/>
  <c r="G8" i="5"/>
  <c r="G9" i="5"/>
  <c r="G10" i="5"/>
  <c r="G11" i="5"/>
  <c r="G12" i="5"/>
  <c r="G13" i="5"/>
  <c r="G3" i="5"/>
  <c r="AD11" i="6"/>
  <c r="AD14" i="6"/>
  <c r="AD10" i="6"/>
  <c r="AD9" i="6" l="1"/>
  <c r="I33" i="16"/>
  <c r="O13" i="5"/>
  <c r="J33" i="17"/>
  <c r="J32" i="17"/>
  <c r="I13" i="5"/>
  <c r="B8" i="18"/>
  <c r="B8" i="17"/>
  <c r="B8" i="16"/>
  <c r="C10" i="18"/>
  <c r="F11" i="17"/>
  <c r="G13" i="18"/>
  <c r="I11" i="17"/>
  <c r="C14" i="16"/>
  <c r="D14" i="17"/>
  <c r="K11" i="16"/>
  <c r="D14" i="16"/>
  <c r="B10" i="18"/>
  <c r="H10" i="17"/>
  <c r="B11" i="16"/>
  <c r="G14" i="16"/>
  <c r="J14" i="16"/>
  <c r="I14" i="17"/>
  <c r="C14" i="17"/>
  <c r="F10" i="17"/>
  <c r="E14" i="17"/>
  <c r="F10" i="16"/>
  <c r="E11" i="17"/>
  <c r="C10" i="16"/>
  <c r="K10" i="16"/>
  <c r="D11" i="18"/>
  <c r="C11" i="16"/>
  <c r="H11" i="17"/>
  <c r="I14" i="18"/>
  <c r="H14" i="18"/>
  <c r="E10" i="17"/>
  <c r="F10" i="18"/>
  <c r="I10" i="17"/>
  <c r="E14" i="16"/>
  <c r="D14" i="18"/>
  <c r="I11" i="18"/>
  <c r="G10" i="16"/>
  <c r="B13" i="18"/>
  <c r="B14" i="17"/>
  <c r="H13" i="18"/>
  <c r="E14" i="18"/>
  <c r="D11" i="17"/>
  <c r="C10" i="17"/>
  <c r="C11" i="18"/>
  <c r="E11" i="18"/>
  <c r="C14" i="18"/>
  <c r="G14" i="17"/>
  <c r="B11" i="17"/>
  <c r="B10" i="16"/>
  <c r="E10" i="18"/>
  <c r="H14" i="16"/>
  <c r="I13" i="18"/>
  <c r="I10" i="18"/>
  <c r="E13" i="18"/>
  <c r="B11" i="18"/>
  <c r="F11" i="16"/>
  <c r="I14" i="16"/>
  <c r="B14" i="18"/>
  <c r="G11" i="16"/>
  <c r="B13" i="16"/>
  <c r="G10" i="18"/>
  <c r="F13" i="18"/>
  <c r="D11" i="16"/>
  <c r="D10" i="17"/>
  <c r="B14" i="16"/>
  <c r="F14" i="16"/>
  <c r="C11" i="17"/>
  <c r="H11" i="16"/>
  <c r="G11" i="18"/>
  <c r="C13" i="18"/>
  <c r="B10" i="17"/>
  <c r="F14" i="17"/>
  <c r="E11" i="16"/>
  <c r="J11" i="16"/>
  <c r="D13" i="18"/>
  <c r="I11" i="16"/>
  <c r="H10" i="16"/>
  <c r="H10" i="18"/>
  <c r="G10" i="17"/>
  <c r="D10" i="16"/>
  <c r="H14" i="17"/>
  <c r="J10" i="16"/>
  <c r="G14" i="18"/>
  <c r="K14" i="16"/>
  <c r="F11" i="18"/>
  <c r="E10" i="16"/>
  <c r="D10" i="18"/>
  <c r="F14" i="18"/>
  <c r="I10" i="16"/>
  <c r="G11" i="17"/>
  <c r="J14" i="17"/>
  <c r="H11" i="18"/>
  <c r="Q13" i="5" l="1"/>
  <c r="C35" i="3" s="1"/>
  <c r="D35" i="3" s="1"/>
  <c r="G35" i="3" s="1"/>
  <c r="L39" i="3" s="1"/>
  <c r="K13" i="5"/>
  <c r="C35" i="2" s="1"/>
  <c r="D35" i="2" s="1"/>
  <c r="D37" i="1"/>
  <c r="J33" i="16"/>
  <c r="F9" i="16"/>
  <c r="E9" i="16"/>
  <c r="I9" i="16"/>
  <c r="D9" i="17"/>
  <c r="H9" i="17"/>
  <c r="D9" i="16"/>
  <c r="H9" i="16"/>
  <c r="C9" i="17"/>
  <c r="G9" i="17"/>
  <c r="B9" i="18"/>
  <c r="C12" i="18"/>
  <c r="D9" i="18"/>
  <c r="E12" i="18"/>
  <c r="F9" i="18"/>
  <c r="G12" i="18"/>
  <c r="C9" i="16"/>
  <c r="G9" i="16"/>
  <c r="B9" i="17"/>
  <c r="F9" i="17"/>
  <c r="J9" i="16"/>
  <c r="E9" i="17"/>
  <c r="B12" i="18"/>
  <c r="C9" i="18"/>
  <c r="D12" i="18"/>
  <c r="E9" i="18"/>
  <c r="F12" i="18"/>
  <c r="G9" i="18"/>
  <c r="B12" i="16"/>
  <c r="K9" i="16"/>
  <c r="B9" i="16"/>
  <c r="H12" i="18"/>
  <c r="H9" i="18"/>
  <c r="I9" i="17"/>
  <c r="K32" i="17"/>
  <c r="K33" i="17"/>
  <c r="B11" i="4"/>
  <c r="B16" i="4"/>
  <c r="I18" i="4" s="1"/>
  <c r="B15" i="4"/>
  <c r="B14" i="4"/>
  <c r="B13" i="4"/>
  <c r="B12" i="4"/>
  <c r="J10" i="17"/>
  <c r="J11" i="17"/>
  <c r="H55" i="3" l="1"/>
  <c r="I55" i="3" s="1"/>
  <c r="H35" i="3"/>
  <c r="B56" i="3"/>
  <c r="K33" i="16"/>
  <c r="B15" i="16"/>
  <c r="C8" i="16" s="1"/>
  <c r="B15" i="18"/>
  <c r="I12" i="18"/>
  <c r="I9" i="18"/>
  <c r="J9" i="17"/>
  <c r="L33" i="17"/>
  <c r="M33" i="17" s="1"/>
  <c r="N33" i="17" s="1"/>
  <c r="O33" i="17" s="1"/>
  <c r="P33" i="17" s="1"/>
  <c r="Q33" i="17" s="1"/>
  <c r="L32" i="17"/>
  <c r="M32" i="17" s="1"/>
  <c r="N32" i="17" s="1"/>
  <c r="C16" i="4"/>
  <c r="J11" i="18"/>
  <c r="K11" i="17"/>
  <c r="J10" i="18"/>
  <c r="J13" i="18"/>
  <c r="J14" i="18"/>
  <c r="K14" i="17"/>
  <c r="K10" i="17"/>
  <c r="R33" i="17" l="1"/>
  <c r="O32" i="17"/>
  <c r="P32" i="17" s="1"/>
  <c r="G56" i="3"/>
  <c r="J56" i="3" s="1"/>
  <c r="D55" i="3"/>
  <c r="C55" i="3"/>
  <c r="F55" i="3"/>
  <c r="E55" i="3"/>
  <c r="K36" i="3"/>
  <c r="J18" i="4"/>
  <c r="B34" i="2"/>
  <c r="B34" i="3"/>
  <c r="C8" i="18"/>
  <c r="C15" i="18" s="1"/>
  <c r="L33" i="16"/>
  <c r="J9" i="18"/>
  <c r="J12" i="18"/>
  <c r="K9" i="17"/>
  <c r="N10" i="17"/>
  <c r="M10" i="17"/>
  <c r="L14" i="17"/>
  <c r="L13" i="17"/>
  <c r="K10" i="18"/>
  <c r="M13" i="17"/>
  <c r="L10" i="17"/>
  <c r="N14" i="17"/>
  <c r="L11" i="17"/>
  <c r="N11" i="17"/>
  <c r="N13" i="17"/>
  <c r="M14" i="17"/>
  <c r="M11" i="17"/>
  <c r="K14" i="18"/>
  <c r="N9" i="17" l="1"/>
  <c r="N12" i="17"/>
  <c r="D8" i="18"/>
  <c r="M33" i="16"/>
  <c r="M12" i="17"/>
  <c r="M9" i="17"/>
  <c r="L9" i="17"/>
  <c r="L12" i="17"/>
  <c r="F21" i="3"/>
  <c r="L13" i="18"/>
  <c r="O10" i="17"/>
  <c r="C16" i="18"/>
  <c r="M11" i="18"/>
  <c r="L11" i="18"/>
  <c r="P10" i="17"/>
  <c r="L14" i="18"/>
  <c r="O11" i="17"/>
  <c r="M13" i="18"/>
  <c r="P13" i="17"/>
  <c r="P11" i="17"/>
  <c r="O14" i="17"/>
  <c r="M10" i="18"/>
  <c r="O13" i="17"/>
  <c r="L10" i="18"/>
  <c r="P14" i="17"/>
  <c r="M14" i="18"/>
  <c r="P12" i="17" l="1"/>
  <c r="P9" i="17"/>
  <c r="O9" i="17"/>
  <c r="O12" i="17"/>
  <c r="D15" i="18"/>
  <c r="N33" i="16"/>
  <c r="O33" i="16" s="1"/>
  <c r="P33" i="16" s="1"/>
  <c r="Q33" i="16" s="1"/>
  <c r="M9" i="18"/>
  <c r="M12" i="18"/>
  <c r="L12" i="18"/>
  <c r="L9" i="18"/>
  <c r="F12" i="7"/>
  <c r="C12" i="7"/>
  <c r="AC14" i="6"/>
  <c r="AC10" i="6"/>
  <c r="R33" i="16" l="1"/>
  <c r="E8" i="18"/>
  <c r="E15" i="18" s="1"/>
  <c r="F21" i="7"/>
  <c r="O12" i="5"/>
  <c r="I12" i="5"/>
  <c r="E16" i="4"/>
  <c r="H16" i="4"/>
  <c r="D16" i="18"/>
  <c r="K12" i="5" l="1"/>
  <c r="C34" i="2" s="1"/>
  <c r="D34" i="2" s="1"/>
  <c r="Q12" i="5"/>
  <c r="C34" i="3" s="1"/>
  <c r="D34" i="3" s="1"/>
  <c r="D36" i="1"/>
  <c r="F8" i="18"/>
  <c r="F15" i="18" s="1"/>
  <c r="I17" i="4"/>
  <c r="I6" i="3"/>
  <c r="I8" i="3"/>
  <c r="J4" i="1"/>
  <c r="I5" i="3"/>
  <c r="I7" i="3"/>
  <c r="I9" i="3"/>
  <c r="J4" i="3"/>
  <c r="J6" i="3"/>
  <c r="J8" i="3"/>
  <c r="J7" i="3"/>
  <c r="J9" i="3"/>
  <c r="L9" i="3"/>
  <c r="K9" i="3"/>
  <c r="F6" i="4"/>
  <c r="F7" i="4"/>
  <c r="F8" i="4"/>
  <c r="F9" i="4"/>
  <c r="F10" i="4"/>
  <c r="F11" i="4"/>
  <c r="F12" i="4"/>
  <c r="F13" i="4"/>
  <c r="F14" i="4"/>
  <c r="F5" i="4"/>
  <c r="E16" i="18"/>
  <c r="G8" i="18" l="1"/>
  <c r="I16" i="4"/>
  <c r="K16" i="4"/>
  <c r="I15" i="4"/>
  <c r="K15" i="4"/>
  <c r="M53" i="1"/>
  <c r="F16" i="18"/>
  <c r="G15" i="18" l="1"/>
  <c r="H8" i="18" s="1"/>
  <c r="O11" i="5"/>
  <c r="Q11" i="5" s="1"/>
  <c r="I11" i="5"/>
  <c r="K11" i="5" s="1"/>
  <c r="H15" i="18" l="1"/>
  <c r="I8" i="18" s="1"/>
  <c r="I15" i="18" s="1"/>
  <c r="C33" i="2"/>
  <c r="D33" i="2" s="1"/>
  <c r="D35" i="1"/>
  <c r="G16" i="18"/>
  <c r="J8" i="18" l="1"/>
  <c r="J15" i="18" s="1"/>
  <c r="C11" i="7"/>
  <c r="F11" i="7"/>
  <c r="D11" i="7"/>
  <c r="C33" i="3"/>
  <c r="D33" i="3" s="1"/>
  <c r="K7" i="4"/>
  <c r="C15" i="4"/>
  <c r="AB11" i="6"/>
  <c r="H16" i="18"/>
  <c r="AB14" i="6"/>
  <c r="AB10" i="6"/>
  <c r="I16" i="18"/>
  <c r="J17" i="4" l="1"/>
  <c r="B33" i="3"/>
  <c r="B33" i="2"/>
  <c r="AB9" i="6"/>
  <c r="K8" i="18"/>
  <c r="H15" i="4"/>
  <c r="I11" i="4"/>
  <c r="K11" i="4"/>
  <c r="I10" i="4"/>
  <c r="K10" i="4"/>
  <c r="K13" i="4"/>
  <c r="I9" i="4"/>
  <c r="K9" i="4"/>
  <c r="I14" i="4"/>
  <c r="K14" i="4"/>
  <c r="I12" i="4"/>
  <c r="K12" i="4"/>
  <c r="K8" i="4"/>
  <c r="J16" i="18"/>
  <c r="G104" i="1" l="1"/>
  <c r="G105" i="1"/>
  <c r="G106" i="1"/>
  <c r="G107" i="1"/>
  <c r="G108" i="1"/>
  <c r="G109" i="1"/>
  <c r="G110" i="1"/>
  <c r="G103" i="1"/>
  <c r="F110" i="1"/>
  <c r="F106" i="1"/>
  <c r="F104" i="1"/>
  <c r="F105" i="1"/>
  <c r="F107" i="1"/>
  <c r="F108" i="1"/>
  <c r="F109" i="1"/>
  <c r="F103" i="1"/>
  <c r="F10" i="7" l="1"/>
  <c r="F8" i="7"/>
  <c r="F4" i="7"/>
  <c r="D10" i="7"/>
  <c r="D8" i="7"/>
  <c r="D6" i="7"/>
  <c r="D4" i="7"/>
  <c r="C10" i="7"/>
  <c r="Y11" i="6"/>
  <c r="U14" i="6"/>
  <c r="Y14" i="6"/>
  <c r="W11" i="6"/>
  <c r="AA14" i="6"/>
  <c r="AA10" i="6"/>
  <c r="U11" i="6"/>
  <c r="AA11" i="6"/>
  <c r="AA9" i="6" l="1"/>
  <c r="C4" i="7"/>
  <c r="C8" i="7"/>
  <c r="H7" i="3"/>
  <c r="H4" i="1"/>
  <c r="H4" i="3"/>
  <c r="H8" i="3"/>
  <c r="H5" i="3"/>
  <c r="H9" i="3"/>
  <c r="H6" i="3"/>
  <c r="F6" i="7"/>
  <c r="C6" i="7"/>
  <c r="D5" i="7"/>
  <c r="D9" i="7"/>
  <c r="B3" i="7"/>
  <c r="T8" i="6" s="1"/>
  <c r="C3" i="7"/>
  <c r="C7" i="7"/>
  <c r="D3" i="7"/>
  <c r="D7" i="7"/>
  <c r="F3" i="7"/>
  <c r="F7" i="7"/>
  <c r="C5" i="7"/>
  <c r="C9" i="7"/>
  <c r="F5" i="7"/>
  <c r="F9" i="7"/>
  <c r="T14" i="6"/>
  <c r="W14" i="6"/>
  <c r="T11" i="6"/>
  <c r="V10" i="6"/>
  <c r="Y10" i="6"/>
  <c r="Z11" i="6"/>
  <c r="X11" i="6"/>
  <c r="X14" i="6"/>
  <c r="W10" i="6"/>
  <c r="T10" i="6"/>
  <c r="V14" i="6"/>
  <c r="Z10" i="6"/>
  <c r="X10" i="6"/>
  <c r="U10" i="6"/>
  <c r="V11" i="6"/>
  <c r="Z14" i="6"/>
  <c r="W9" i="6" l="1"/>
  <c r="Z9" i="6"/>
  <c r="Y9" i="6"/>
  <c r="V9" i="6"/>
  <c r="U9" i="6"/>
  <c r="X9" i="6"/>
  <c r="O10" i="5"/>
  <c r="Q10" i="5" s="1"/>
  <c r="O9" i="5"/>
  <c r="Q9" i="5" s="1"/>
  <c r="O8" i="5"/>
  <c r="Q8" i="5" s="1"/>
  <c r="O7" i="5"/>
  <c r="Q7" i="5" s="1"/>
  <c r="O6" i="5"/>
  <c r="Q6" i="5" s="1"/>
  <c r="O5" i="5"/>
  <c r="Q5" i="5" s="1"/>
  <c r="O4" i="5"/>
  <c r="Q4" i="5" s="1"/>
  <c r="O3" i="5"/>
  <c r="Q3" i="5" s="1"/>
  <c r="I10" i="5"/>
  <c r="K10" i="5" s="1"/>
  <c r="I9" i="5"/>
  <c r="K9" i="5" s="1"/>
  <c r="C31" i="2" s="1"/>
  <c r="D31" i="2" s="1"/>
  <c r="I8" i="5"/>
  <c r="K8" i="5" s="1"/>
  <c r="C30" i="2" s="1"/>
  <c r="D30" i="2" s="1"/>
  <c r="I7" i="5"/>
  <c r="K7" i="5" s="1"/>
  <c r="C29" i="2" s="1"/>
  <c r="D29" i="2" s="1"/>
  <c r="I6" i="5"/>
  <c r="K6" i="5" s="1"/>
  <c r="C28" i="2" s="1"/>
  <c r="D28" i="2" s="1"/>
  <c r="I5" i="5"/>
  <c r="K5" i="5" s="1"/>
  <c r="C27" i="2" s="1"/>
  <c r="D27" i="2" s="1"/>
  <c r="I4" i="5"/>
  <c r="K4" i="5" s="1"/>
  <c r="C26" i="2" s="1"/>
  <c r="D26" i="2" s="1"/>
  <c r="I3" i="5"/>
  <c r="K3" i="5" s="1"/>
  <c r="C25" i="2" s="1"/>
  <c r="C32" i="2" l="1"/>
  <c r="D32" i="2" s="1"/>
  <c r="C4" i="5"/>
  <c r="E4" i="5" s="1"/>
  <c r="C5" i="5"/>
  <c r="E5" i="5" s="1"/>
  <c r="C6" i="5"/>
  <c r="E6" i="5" s="1"/>
  <c r="C7" i="5"/>
  <c r="E7" i="5" s="1"/>
  <c r="C31" i="1" s="1"/>
  <c r="C8" i="5"/>
  <c r="E8" i="5" s="1"/>
  <c r="C10" i="5"/>
  <c r="E10" i="5" s="1"/>
  <c r="C3" i="5"/>
  <c r="E3" i="5" s="1"/>
  <c r="C32" i="3" l="1"/>
  <c r="D32" i="3" s="1"/>
  <c r="D34" i="1"/>
  <c r="C14" i="4"/>
  <c r="B32" i="3" l="1"/>
  <c r="B32" i="2"/>
  <c r="J16" i="4"/>
  <c r="L16" i="4" s="1"/>
  <c r="H14" i="4"/>
  <c r="E27" i="1" l="1"/>
  <c r="C5" i="4" l="1"/>
  <c r="C6" i="4"/>
  <c r="C7" i="4"/>
  <c r="C8" i="4"/>
  <c r="C9" i="4"/>
  <c r="C10" i="4"/>
  <c r="C11" i="4"/>
  <c r="C12" i="4"/>
  <c r="C13" i="4"/>
  <c r="C4" i="4"/>
  <c r="H4" i="4" s="1"/>
  <c r="E25" i="3"/>
  <c r="E30" i="3"/>
  <c r="E29" i="3"/>
  <c r="E28" i="3"/>
  <c r="E27" i="3"/>
  <c r="E26" i="3"/>
  <c r="C26" i="3"/>
  <c r="D26" i="3" s="1"/>
  <c r="C27" i="3"/>
  <c r="D27" i="3" s="1"/>
  <c r="C28" i="3"/>
  <c r="D28" i="3" s="1"/>
  <c r="C29" i="3"/>
  <c r="D29" i="3" s="1"/>
  <c r="C30" i="3"/>
  <c r="D30" i="3" s="1"/>
  <c r="C31" i="3"/>
  <c r="D31" i="3" s="1"/>
  <c r="C25" i="3"/>
  <c r="D25" i="3" s="1"/>
  <c r="C28" i="1"/>
  <c r="D28" i="1" s="1"/>
  <c r="C29" i="1"/>
  <c r="D29" i="1" s="1"/>
  <c r="C30" i="1"/>
  <c r="D30" i="1" s="1"/>
  <c r="D31" i="1"/>
  <c r="C32" i="1"/>
  <c r="D32" i="1" s="1"/>
  <c r="D33" i="1"/>
  <c r="C27" i="1"/>
  <c r="D27" i="1" s="1"/>
  <c r="B31" i="1" l="1"/>
  <c r="B29" i="3"/>
  <c r="B29" i="2"/>
  <c r="J15" i="4"/>
  <c r="L15" i="4" s="1"/>
  <c r="B31" i="2"/>
  <c r="B31" i="3"/>
  <c r="B30" i="3"/>
  <c r="B30" i="2"/>
  <c r="B32" i="1"/>
  <c r="H10" i="4"/>
  <c r="J12" i="4"/>
  <c r="L12" i="4" s="1"/>
  <c r="J11" i="4"/>
  <c r="L11" i="4" s="1"/>
  <c r="H5" i="4"/>
  <c r="J7" i="4"/>
  <c r="L7" i="4" s="1"/>
  <c r="H13" i="4"/>
  <c r="H12" i="4"/>
  <c r="J14" i="4"/>
  <c r="L14" i="4" s="1"/>
  <c r="H8" i="4"/>
  <c r="J10" i="4"/>
  <c r="L10" i="4" s="1"/>
  <c r="H6" i="4"/>
  <c r="J8" i="4"/>
  <c r="L8" i="4" s="1"/>
  <c r="H11" i="4"/>
  <c r="J13" i="4"/>
  <c r="L13" i="4" s="1"/>
  <c r="H7" i="4"/>
  <c r="J9" i="4"/>
  <c r="L9" i="4" s="1"/>
  <c r="H9" i="4"/>
  <c r="D25" i="2"/>
  <c r="T9" i="6"/>
  <c r="B28" i="2" l="1"/>
  <c r="B28" i="3"/>
  <c r="F28" i="3" s="1"/>
  <c r="G28" i="3" s="1"/>
  <c r="H28" i="3" s="1"/>
  <c r="B30" i="1"/>
  <c r="F29" i="3"/>
  <c r="B27" i="2"/>
  <c r="B27" i="3"/>
  <c r="F27" i="3" s="1"/>
  <c r="G27" i="3" s="1"/>
  <c r="B48" i="3" s="1"/>
  <c r="B29" i="1"/>
  <c r="F30" i="3"/>
  <c r="G30" i="3" s="1"/>
  <c r="G43" i="3" s="1"/>
  <c r="B26" i="3"/>
  <c r="F26" i="3" s="1"/>
  <c r="G26" i="3" s="1"/>
  <c r="B47" i="3" s="1"/>
  <c r="B26" i="2"/>
  <c r="B28" i="1"/>
  <c r="B25" i="3"/>
  <c r="F25" i="3" s="1"/>
  <c r="G25" i="3" s="1"/>
  <c r="H25" i="3" s="1"/>
  <c r="B25" i="2"/>
  <c r="B27" i="1"/>
  <c r="G29" i="3" l="1"/>
  <c r="H29" i="3" s="1"/>
  <c r="F27" i="1"/>
  <c r="G27" i="1" s="1"/>
  <c r="H30" i="3"/>
  <c r="H27" i="3"/>
  <c r="F47" i="3" s="1"/>
  <c r="B49" i="3"/>
  <c r="H47" i="3"/>
  <c r="I47" i="3" s="1"/>
  <c r="H48" i="3"/>
  <c r="I48" i="3" s="1"/>
  <c r="B51" i="3"/>
  <c r="H26" i="3"/>
  <c r="C46" i="3" s="1"/>
  <c r="H50" i="3"/>
  <c r="B46" i="3"/>
  <c r="C21" i="18" s="1"/>
  <c r="H46" i="3"/>
  <c r="I46" i="3" s="1"/>
  <c r="C48" i="3"/>
  <c r="D48" i="3"/>
  <c r="F48" i="3"/>
  <c r="E48" i="3"/>
  <c r="C23" i="18"/>
  <c r="B50" i="3" l="1"/>
  <c r="H49" i="3"/>
  <c r="I49" i="3" s="1"/>
  <c r="E49" i="3"/>
  <c r="C49" i="3"/>
  <c r="G49" i="3"/>
  <c r="F49" i="3"/>
  <c r="D49" i="3"/>
  <c r="B47" i="1"/>
  <c r="H27" i="1"/>
  <c r="K30" i="3"/>
  <c r="H43" i="3"/>
  <c r="G50" i="3"/>
  <c r="D50" i="3"/>
  <c r="F50" i="3"/>
  <c r="E50" i="3"/>
  <c r="C50" i="3"/>
  <c r="I50" i="3"/>
  <c r="K50" i="3"/>
  <c r="D47" i="3"/>
  <c r="C47" i="3"/>
  <c r="E47" i="3"/>
  <c r="G48" i="3"/>
  <c r="D46" i="3"/>
  <c r="G46" i="3"/>
  <c r="G47" i="3"/>
  <c r="F46" i="3"/>
  <c r="E46" i="3"/>
  <c r="F24" i="18"/>
  <c r="G23" i="18"/>
  <c r="D27" i="18"/>
  <c r="F27" i="18"/>
  <c r="G28" i="18"/>
  <c r="D23" i="18"/>
  <c r="G26" i="18"/>
  <c r="C24" i="18"/>
  <c r="F28" i="18"/>
  <c r="E23" i="18"/>
  <c r="D28" i="18"/>
  <c r="G24" i="18"/>
  <c r="C26" i="18"/>
  <c r="D24" i="18"/>
  <c r="E26" i="18"/>
  <c r="C27" i="18"/>
  <c r="D26" i="18"/>
  <c r="E24" i="18"/>
  <c r="E27" i="18"/>
  <c r="F26" i="18"/>
  <c r="F23" i="18"/>
  <c r="G27" i="18"/>
  <c r="L50" i="3" l="1"/>
  <c r="E25" i="18"/>
  <c r="E22" i="18"/>
  <c r="J50" i="3"/>
  <c r="D25" i="18"/>
  <c r="F22" i="18"/>
  <c r="G25" i="18"/>
  <c r="F25" i="18"/>
  <c r="G22" i="18"/>
  <c r="C21" i="16"/>
  <c r="I10" i="3"/>
  <c r="J10" i="3"/>
  <c r="L10" i="3"/>
  <c r="K10" i="3"/>
  <c r="H10" i="3"/>
  <c r="E31" i="3" s="1"/>
  <c r="F31" i="3" s="1"/>
  <c r="G31" i="3" s="1"/>
  <c r="L35" i="3" l="1"/>
  <c r="G44" i="3"/>
  <c r="I11" i="3"/>
  <c r="I21" i="3"/>
  <c r="J11" i="3"/>
  <c r="L11" i="3"/>
  <c r="K11" i="3"/>
  <c r="H31" i="3"/>
  <c r="H51" i="3"/>
  <c r="K51" i="3" s="1"/>
  <c r="B52" i="3"/>
  <c r="H11" i="3"/>
  <c r="E32" i="3" s="1"/>
  <c r="F32" i="3" s="1"/>
  <c r="G32" i="3" s="1"/>
  <c r="L36" i="3" s="1"/>
  <c r="E28" i="18"/>
  <c r="K31" i="3" l="1"/>
  <c r="H44" i="3"/>
  <c r="I12" i="3"/>
  <c r="L12" i="3"/>
  <c r="J12" i="3"/>
  <c r="K12" i="3"/>
  <c r="H52" i="3"/>
  <c r="H32" i="3"/>
  <c r="B53" i="3"/>
  <c r="I51" i="3"/>
  <c r="L51" i="3" s="1"/>
  <c r="C51" i="3"/>
  <c r="D51" i="3"/>
  <c r="G51" i="3"/>
  <c r="F51" i="3"/>
  <c r="E51" i="3"/>
  <c r="H12" i="3"/>
  <c r="E33" i="3" s="1"/>
  <c r="F33" i="3" s="1"/>
  <c r="G33" i="3" s="1"/>
  <c r="B54" i="3" s="1"/>
  <c r="H23" i="18"/>
  <c r="H24" i="18"/>
  <c r="H27" i="18"/>
  <c r="H26" i="18"/>
  <c r="H28" i="18"/>
  <c r="K52" i="3" l="1"/>
  <c r="H25" i="18"/>
  <c r="J51" i="3"/>
  <c r="K32" i="3"/>
  <c r="H22" i="18"/>
  <c r="G52" i="3"/>
  <c r="D52" i="3"/>
  <c r="F52" i="3"/>
  <c r="C52" i="3"/>
  <c r="E52" i="3"/>
  <c r="I52" i="3"/>
  <c r="L52" i="3" s="1"/>
  <c r="H33" i="3"/>
  <c r="H53" i="3"/>
  <c r="I23" i="18"/>
  <c r="I28" i="18"/>
  <c r="I24" i="18"/>
  <c r="I26" i="18"/>
  <c r="I27" i="18"/>
  <c r="I25" i="18" l="1"/>
  <c r="J52" i="3"/>
  <c r="I22" i="18"/>
  <c r="K53" i="3"/>
  <c r="K33" i="3"/>
  <c r="I53" i="3"/>
  <c r="L53" i="3" s="1"/>
  <c r="G53" i="3"/>
  <c r="F53" i="3"/>
  <c r="C53" i="3"/>
  <c r="D53" i="3"/>
  <c r="E53" i="3"/>
  <c r="J28" i="18"/>
  <c r="J26" i="18"/>
  <c r="K13" i="18"/>
  <c r="J23" i="18"/>
  <c r="J24" i="18"/>
  <c r="J27" i="18"/>
  <c r="J25" i="18" l="1"/>
  <c r="J53" i="3"/>
  <c r="J22" i="18"/>
  <c r="K12" i="18"/>
  <c r="I14" i="3"/>
  <c r="K11" i="18"/>
  <c r="K9" i="18" l="1"/>
  <c r="K15" i="18" s="1"/>
  <c r="D12" i="7"/>
  <c r="H21" i="3"/>
  <c r="H13" i="3"/>
  <c r="G22" i="3"/>
  <c r="G21" i="3"/>
  <c r="I13" i="3"/>
  <c r="J13" i="3"/>
  <c r="AC11" i="6"/>
  <c r="AC9" i="6" l="1"/>
  <c r="L8" i="18"/>
  <c r="L15" i="18" s="1"/>
  <c r="F37" i="3"/>
  <c r="G37" i="3" s="1"/>
  <c r="B58" i="3" s="1"/>
  <c r="B35" i="7" s="1"/>
  <c r="E34" i="3"/>
  <c r="F34" i="3" s="1"/>
  <c r="G34" i="3" s="1"/>
  <c r="H22" i="3"/>
  <c r="K16" i="18"/>
  <c r="B55" i="3" l="1"/>
  <c r="L38" i="3"/>
  <c r="M8" i="18"/>
  <c r="M15" i="18" s="1"/>
  <c r="H37" i="3"/>
  <c r="H57" i="3"/>
  <c r="K58" i="3" s="1"/>
  <c r="L37" i="3"/>
  <c r="G42" i="3"/>
  <c r="H54" i="3"/>
  <c r="H34" i="3"/>
  <c r="L34" i="3"/>
  <c r="C28" i="18"/>
  <c r="L16" i="18"/>
  <c r="G58" i="3" l="1"/>
  <c r="J58" i="3" s="1"/>
  <c r="K37" i="3"/>
  <c r="K38" i="3"/>
  <c r="K55" i="3"/>
  <c r="H34" i="7"/>
  <c r="N8" i="18"/>
  <c r="N15" i="18" s="1"/>
  <c r="O8" i="18" s="1"/>
  <c r="O15" i="18" s="1"/>
  <c r="P8" i="18" s="1"/>
  <c r="P15" i="18" s="1"/>
  <c r="Q8" i="18" s="1"/>
  <c r="Q15" i="18" s="1"/>
  <c r="K57" i="3"/>
  <c r="I57" i="3"/>
  <c r="G57" i="3"/>
  <c r="E57" i="3"/>
  <c r="D57" i="3"/>
  <c r="C57" i="3"/>
  <c r="F57" i="3"/>
  <c r="G55" i="3"/>
  <c r="K56" i="3"/>
  <c r="I56" i="3"/>
  <c r="K35" i="3"/>
  <c r="H42" i="3"/>
  <c r="F54" i="3"/>
  <c r="D54" i="3"/>
  <c r="C54" i="3"/>
  <c r="K42" i="3"/>
  <c r="L33" i="3"/>
  <c r="K34" i="3"/>
  <c r="G54" i="3"/>
  <c r="E54" i="3"/>
  <c r="I54" i="3"/>
  <c r="K54" i="3"/>
  <c r="P23" i="18"/>
  <c r="O23" i="18"/>
  <c r="L27" i="18"/>
  <c r="M23" i="18"/>
  <c r="P26" i="18"/>
  <c r="K28" i="18"/>
  <c r="O27" i="18"/>
  <c r="O24" i="18"/>
  <c r="L26" i="18"/>
  <c r="N24" i="18"/>
  <c r="N28" i="18"/>
  <c r="L28" i="18"/>
  <c r="M24" i="18"/>
  <c r="P27" i="18"/>
  <c r="P28" i="18"/>
  <c r="O28" i="18"/>
  <c r="M28" i="18"/>
  <c r="K23" i="18"/>
  <c r="M16" i="18"/>
  <c r="N27" i="18"/>
  <c r="N26" i="18"/>
  <c r="K27" i="18"/>
  <c r="K24" i="18"/>
  <c r="N23" i="18"/>
  <c r="K26" i="18"/>
  <c r="M26" i="18"/>
  <c r="L24" i="18"/>
  <c r="O26" i="18"/>
  <c r="P24" i="18"/>
  <c r="L23" i="18"/>
  <c r="M27" i="18"/>
  <c r="J35" i="7" l="1"/>
  <c r="R8" i="18"/>
  <c r="R15" i="18" s="1"/>
  <c r="P22" i="18"/>
  <c r="P25" i="18"/>
  <c r="G35" i="7"/>
  <c r="O22" i="18"/>
  <c r="O25" i="18"/>
  <c r="M25" i="18"/>
  <c r="L22" i="18"/>
  <c r="L25" i="18"/>
  <c r="N22" i="18"/>
  <c r="K25" i="18"/>
  <c r="N25" i="18"/>
  <c r="J57" i="3"/>
  <c r="C34" i="7"/>
  <c r="J54" i="3"/>
  <c r="F34" i="7"/>
  <c r="D34" i="7"/>
  <c r="E34" i="7"/>
  <c r="J55" i="3"/>
  <c r="K22" i="18"/>
  <c r="AH27" i="6"/>
  <c r="AH24" i="6"/>
  <c r="O16" i="18"/>
  <c r="Q16" i="18"/>
  <c r="R16" i="18"/>
  <c r="AH26" i="6"/>
  <c r="N16" i="18"/>
  <c r="B13" i="17"/>
  <c r="P16" i="18"/>
  <c r="AH23" i="6"/>
  <c r="AH22" i="6" l="1"/>
  <c r="AH25" i="6"/>
  <c r="K35" i="7"/>
  <c r="M22" i="18"/>
  <c r="B12" i="17"/>
  <c r="B15" i="17" s="1"/>
  <c r="E3" i="7"/>
  <c r="T13" i="6"/>
  <c r="C13" i="16"/>
  <c r="C8" i="17" l="1"/>
  <c r="C12" i="16"/>
  <c r="C15" i="16" s="1"/>
  <c r="D13" i="16"/>
  <c r="C13" i="17"/>
  <c r="D8" i="16" l="1"/>
  <c r="D12" i="16"/>
  <c r="C12" i="17"/>
  <c r="C15" i="17" s="1"/>
  <c r="E4" i="7"/>
  <c r="E13" i="16"/>
  <c r="C16" i="16"/>
  <c r="D13" i="17"/>
  <c r="U13" i="6"/>
  <c r="U12" i="6" l="1"/>
  <c r="D15" i="16"/>
  <c r="E8" i="16" s="1"/>
  <c r="D8" i="17"/>
  <c r="D12" i="17"/>
  <c r="E12" i="16"/>
  <c r="E5" i="7"/>
  <c r="V13" i="6"/>
  <c r="E13" i="17"/>
  <c r="C16" i="17"/>
  <c r="F13" i="16"/>
  <c r="V12" i="6" l="1"/>
  <c r="D15" i="17"/>
  <c r="E8" i="17" s="1"/>
  <c r="E15" i="16"/>
  <c r="F8" i="16" s="1"/>
  <c r="E12" i="17"/>
  <c r="F12" i="16"/>
  <c r="E6" i="7"/>
  <c r="G13" i="16"/>
  <c r="W13" i="6"/>
  <c r="D16" i="16"/>
  <c r="F13" i="17"/>
  <c r="W12" i="6" l="1"/>
  <c r="E15" i="17"/>
  <c r="F8" i="17" s="1"/>
  <c r="F15" i="16"/>
  <c r="G8" i="16" s="1"/>
  <c r="G12" i="16"/>
  <c r="F12" i="17"/>
  <c r="E7" i="7"/>
  <c r="H13" i="16"/>
  <c r="X13" i="6"/>
  <c r="D16" i="17"/>
  <c r="E16" i="16"/>
  <c r="G13" i="17"/>
  <c r="X12" i="6" l="1"/>
  <c r="F15" i="17"/>
  <c r="G8" i="17" s="1"/>
  <c r="G15" i="16"/>
  <c r="H8" i="16" s="1"/>
  <c r="H12" i="16"/>
  <c r="G12" i="17"/>
  <c r="E8" i="7"/>
  <c r="H13" i="17"/>
  <c r="Y13" i="6"/>
  <c r="I13" i="16"/>
  <c r="F16" i="16"/>
  <c r="E16" i="17"/>
  <c r="Y12" i="6" l="1"/>
  <c r="G15" i="17"/>
  <c r="H8" i="17" s="1"/>
  <c r="H15" i="16"/>
  <c r="I8" i="16" s="1"/>
  <c r="H12" i="17"/>
  <c r="I12" i="16"/>
  <c r="E9" i="7"/>
  <c r="I13" i="17"/>
  <c r="F16" i="17"/>
  <c r="Z13" i="6"/>
  <c r="G16" i="16"/>
  <c r="J13" i="16"/>
  <c r="Z12" i="6" l="1"/>
  <c r="H15" i="17"/>
  <c r="I8" i="17" s="1"/>
  <c r="I15" i="16"/>
  <c r="J12" i="16"/>
  <c r="I12" i="17"/>
  <c r="E10" i="7"/>
  <c r="J13" i="17"/>
  <c r="K13" i="16"/>
  <c r="G16" i="17"/>
  <c r="AA13" i="6"/>
  <c r="H16" i="16"/>
  <c r="AA12" i="6" l="1"/>
  <c r="I15" i="17"/>
  <c r="J8" i="17" s="1"/>
  <c r="J8" i="16"/>
  <c r="J15" i="16" s="1"/>
  <c r="J12" i="17"/>
  <c r="K12" i="16"/>
  <c r="E11" i="7"/>
  <c r="T12" i="6"/>
  <c r="T15" i="6" s="1"/>
  <c r="L13" i="16"/>
  <c r="AB13" i="6"/>
  <c r="H16" i="17"/>
  <c r="I16" i="16"/>
  <c r="K13" i="17"/>
  <c r="AB12" i="6" l="1"/>
  <c r="J15" i="17"/>
  <c r="K8" i="17" s="1"/>
  <c r="K8" i="16"/>
  <c r="K15" i="16" s="1"/>
  <c r="K12" i="17"/>
  <c r="L12" i="16"/>
  <c r="E13" i="7"/>
  <c r="U8" i="6"/>
  <c r="U16" i="6" s="1"/>
  <c r="E12" i="7"/>
  <c r="J16" i="16"/>
  <c r="AD13" i="6"/>
  <c r="I16" i="17"/>
  <c r="AC13" i="6"/>
  <c r="AC12" i="6" l="1"/>
  <c r="AD12" i="6"/>
  <c r="K15" i="17"/>
  <c r="L8" i="17" s="1"/>
  <c r="L15" i="17" s="1"/>
  <c r="L8" i="16"/>
  <c r="L15" i="16" s="1"/>
  <c r="U15" i="6"/>
  <c r="V8" i="6" s="1"/>
  <c r="J16" i="17"/>
  <c r="K16" i="16"/>
  <c r="M8" i="17" l="1"/>
  <c r="M15" i="17" s="1"/>
  <c r="M8" i="16"/>
  <c r="M15" i="16" s="1"/>
  <c r="V15" i="6"/>
  <c r="W8" i="6" s="1"/>
  <c r="V16" i="6"/>
  <c r="H4" i="2"/>
  <c r="E25" i="2" s="1"/>
  <c r="G3" i="7"/>
  <c r="J4" i="2"/>
  <c r="B4" i="7"/>
  <c r="L16" i="17"/>
  <c r="L16" i="16"/>
  <c r="K16" i="17"/>
  <c r="N8" i="17" l="1"/>
  <c r="N15" i="17" s="1"/>
  <c r="O8" i="17" s="1"/>
  <c r="O15" i="17" s="1"/>
  <c r="P8" i="17" s="1"/>
  <c r="P15" i="17" s="1"/>
  <c r="Q8" i="17" s="1"/>
  <c r="N8" i="16"/>
  <c r="N15" i="16" s="1"/>
  <c r="O8" i="16" s="1"/>
  <c r="O15" i="16" s="1"/>
  <c r="W15" i="6"/>
  <c r="X8" i="6" s="1"/>
  <c r="W16" i="6"/>
  <c r="H3" i="7"/>
  <c r="J3" i="7"/>
  <c r="F25" i="2"/>
  <c r="G25" i="2" s="1"/>
  <c r="I25" i="2"/>
  <c r="M16" i="16"/>
  <c r="P16" i="17"/>
  <c r="M16" i="17"/>
  <c r="O16" i="16"/>
  <c r="P8" i="16" l="1"/>
  <c r="P15" i="16" s="1"/>
  <c r="Q8" i="16" s="1"/>
  <c r="X15" i="6"/>
  <c r="Y8" i="6" s="1"/>
  <c r="X16" i="6"/>
  <c r="B46" i="2"/>
  <c r="H25" i="2"/>
  <c r="O16" i="17"/>
  <c r="N16" i="16"/>
  <c r="N16" i="17"/>
  <c r="C21" i="17" l="1"/>
  <c r="Y15" i="6"/>
  <c r="Z8" i="6" s="1"/>
  <c r="Y16" i="6"/>
  <c r="B23" i="7"/>
  <c r="P16" i="16"/>
  <c r="U21" i="6" l="1"/>
  <c r="Z15" i="6"/>
  <c r="AA8" i="6" s="1"/>
  <c r="Z16" i="6"/>
  <c r="AA15" i="6" l="1"/>
  <c r="AA16" i="6"/>
  <c r="I5" i="1"/>
  <c r="H5" i="1"/>
  <c r="E28" i="1" s="1"/>
  <c r="F28" i="1" s="1"/>
  <c r="G28" i="1" s="1"/>
  <c r="J5" i="1"/>
  <c r="AB8" i="6" l="1"/>
  <c r="AB16" i="6" s="1"/>
  <c r="H47" i="1"/>
  <c r="H28" i="1"/>
  <c r="I5" i="2"/>
  <c r="H5" i="2"/>
  <c r="E26" i="2" s="1"/>
  <c r="J5" i="2"/>
  <c r="G4" i="7"/>
  <c r="I4" i="7" l="1"/>
  <c r="H4" i="7"/>
  <c r="J4" i="7"/>
  <c r="I26" i="2"/>
  <c r="F26" i="2"/>
  <c r="G26" i="2" s="1"/>
  <c r="C47" i="1"/>
  <c r="G47" i="1"/>
  <c r="D47" i="1"/>
  <c r="F47" i="1"/>
  <c r="E47" i="1"/>
  <c r="B48" i="1"/>
  <c r="I47" i="1"/>
  <c r="C26" i="16"/>
  <c r="C24" i="16"/>
  <c r="C27" i="16"/>
  <c r="C23" i="16"/>
  <c r="J47" i="1" l="1"/>
  <c r="B47" i="2"/>
  <c r="B24" i="7" s="1"/>
  <c r="H46" i="2"/>
  <c r="H26" i="2"/>
  <c r="D46" i="2" l="1"/>
  <c r="G46" i="2"/>
  <c r="F46" i="2"/>
  <c r="C46" i="2"/>
  <c r="E46" i="2"/>
  <c r="I46" i="2"/>
  <c r="H23" i="7"/>
  <c r="C24" i="17"/>
  <c r="C23" i="17"/>
  <c r="C26" i="17"/>
  <c r="C27" i="17"/>
  <c r="C22" i="17" l="1"/>
  <c r="C22" i="18"/>
  <c r="C25" i="18"/>
  <c r="F23" i="7"/>
  <c r="G23" i="7"/>
  <c r="E23" i="7"/>
  <c r="D23" i="7"/>
  <c r="C25" i="16"/>
  <c r="J46" i="2"/>
  <c r="C23" i="7"/>
  <c r="U26" i="6"/>
  <c r="U24" i="6"/>
  <c r="U23" i="6"/>
  <c r="U27" i="6"/>
  <c r="C25" i="17" l="1"/>
  <c r="C29" i="18"/>
  <c r="D21" i="18" s="1"/>
  <c r="C22" i="16"/>
  <c r="B5" i="7" l="1"/>
  <c r="I6" i="2" l="1"/>
  <c r="H6" i="2"/>
  <c r="E27" i="2" s="1"/>
  <c r="J6" i="2"/>
  <c r="F27" i="2" l="1"/>
  <c r="G27" i="2" s="1"/>
  <c r="I27" i="2"/>
  <c r="I7" i="2"/>
  <c r="H7" i="2"/>
  <c r="E28" i="2" s="1"/>
  <c r="J7" i="2"/>
  <c r="J28" i="2" l="1"/>
  <c r="L28" i="2"/>
  <c r="I28" i="2"/>
  <c r="K28" i="2"/>
  <c r="F28" i="2"/>
  <c r="G28" i="2" s="1"/>
  <c r="H27" i="2"/>
  <c r="H47" i="2"/>
  <c r="I47" i="2" s="1"/>
  <c r="B48" i="2"/>
  <c r="C47" i="2" l="1"/>
  <c r="D47" i="2"/>
  <c r="F47" i="2"/>
  <c r="G47" i="2"/>
  <c r="E47" i="2"/>
  <c r="H48" i="2"/>
  <c r="I48" i="2" s="1"/>
  <c r="B49" i="2"/>
  <c r="H28" i="2"/>
  <c r="D27" i="17"/>
  <c r="D24" i="17"/>
  <c r="D26" i="17"/>
  <c r="D23" i="17"/>
  <c r="D25" i="17" l="1"/>
  <c r="D22" i="17"/>
  <c r="D22" i="18"/>
  <c r="J47" i="2"/>
  <c r="I8" i="2"/>
  <c r="H8" i="2"/>
  <c r="E29" i="2" s="1"/>
  <c r="J8" i="2"/>
  <c r="F48" i="2"/>
  <c r="G48" i="2"/>
  <c r="C48" i="2"/>
  <c r="D48" i="2"/>
  <c r="E48" i="2"/>
  <c r="E23" i="17"/>
  <c r="E24" i="17"/>
  <c r="E26" i="17"/>
  <c r="E27" i="17"/>
  <c r="E25" i="17" l="1"/>
  <c r="E22" i="17"/>
  <c r="D29" i="18"/>
  <c r="L9" i="2"/>
  <c r="I9" i="2"/>
  <c r="K9" i="2"/>
  <c r="I21" i="2"/>
  <c r="H9" i="2"/>
  <c r="E30" i="2" s="1"/>
  <c r="J48" i="2"/>
  <c r="I29" i="2"/>
  <c r="F29" i="2"/>
  <c r="G29" i="2" s="1"/>
  <c r="D30" i="18"/>
  <c r="E21" i="18" l="1"/>
  <c r="E29" i="18" s="1"/>
  <c r="B50" i="2"/>
  <c r="H29" i="2"/>
  <c r="H49" i="2"/>
  <c r="I49" i="2" s="1"/>
  <c r="F30" i="2"/>
  <c r="G30" i="2" s="1"/>
  <c r="H30" i="2" s="1"/>
  <c r="I30" i="2"/>
  <c r="E30" i="18"/>
  <c r="G50" i="2" l="1"/>
  <c r="F21" i="18"/>
  <c r="L10" i="2"/>
  <c r="I10" i="2"/>
  <c r="K10" i="2"/>
  <c r="H10" i="2"/>
  <c r="E31" i="2" s="1"/>
  <c r="D49" i="2"/>
  <c r="C49" i="2"/>
  <c r="G49" i="2"/>
  <c r="F49" i="2"/>
  <c r="E49" i="2"/>
  <c r="B51" i="2"/>
  <c r="G43" i="2"/>
  <c r="H50" i="2"/>
  <c r="J10" i="2"/>
  <c r="F27" i="17"/>
  <c r="F28" i="17"/>
  <c r="G28" i="17"/>
  <c r="F26" i="17"/>
  <c r="F24" i="17"/>
  <c r="F23" i="17"/>
  <c r="D28" i="17"/>
  <c r="F25" i="17" l="1"/>
  <c r="F22" i="17"/>
  <c r="I31" i="2"/>
  <c r="F31" i="2"/>
  <c r="G31" i="2" s="1"/>
  <c r="G44" i="2" s="1"/>
  <c r="I11" i="2"/>
  <c r="K11" i="2"/>
  <c r="L11" i="2"/>
  <c r="H11" i="2"/>
  <c r="E32" i="2" s="1"/>
  <c r="F32" i="2" s="1"/>
  <c r="K50" i="2"/>
  <c r="I50" i="2"/>
  <c r="H43" i="2"/>
  <c r="D50" i="2"/>
  <c r="C50" i="2"/>
  <c r="F50" i="2"/>
  <c r="E50" i="2"/>
  <c r="J11" i="2"/>
  <c r="J49" i="2"/>
  <c r="G23" i="17"/>
  <c r="G26" i="17"/>
  <c r="G27" i="17"/>
  <c r="E28" i="17"/>
  <c r="G24" i="17"/>
  <c r="G25" i="17" l="1"/>
  <c r="G22" i="17"/>
  <c r="F29" i="18"/>
  <c r="G32" i="2"/>
  <c r="I32" i="2"/>
  <c r="H51" i="2"/>
  <c r="H31" i="2"/>
  <c r="B52" i="2"/>
  <c r="J50" i="2"/>
  <c r="G21" i="18" l="1"/>
  <c r="H44" i="2"/>
  <c r="H52" i="2"/>
  <c r="B53" i="2"/>
  <c r="H32" i="2"/>
  <c r="C51" i="2"/>
  <c r="G51" i="2"/>
  <c r="F51" i="2"/>
  <c r="D51" i="2"/>
  <c r="E51" i="2"/>
  <c r="L12" i="2"/>
  <c r="I12" i="2"/>
  <c r="K12" i="2"/>
  <c r="H12" i="2"/>
  <c r="E33" i="2" s="1"/>
  <c r="J12" i="2"/>
  <c r="I51" i="2"/>
  <c r="K51" i="2"/>
  <c r="H23" i="17"/>
  <c r="H28" i="17"/>
  <c r="F30" i="18"/>
  <c r="H26" i="17"/>
  <c r="H27" i="17"/>
  <c r="H24" i="17"/>
  <c r="C52" i="2" l="1"/>
  <c r="G29" i="18"/>
  <c r="H21" i="18" s="1"/>
  <c r="H25" i="17"/>
  <c r="H22" i="17"/>
  <c r="K52" i="2"/>
  <c r="I52" i="2"/>
  <c r="I33" i="2"/>
  <c r="F33" i="2"/>
  <c r="G33" i="2" s="1"/>
  <c r="J51" i="2"/>
  <c r="G52" i="2"/>
  <c r="D52" i="2"/>
  <c r="F52" i="2"/>
  <c r="E52" i="2"/>
  <c r="I24" i="17"/>
  <c r="I27" i="17"/>
  <c r="I23" i="17"/>
  <c r="I26" i="17"/>
  <c r="I28" i="17"/>
  <c r="H29" i="18" l="1"/>
  <c r="I21" i="18" s="1"/>
  <c r="I29" i="18" s="1"/>
  <c r="J21" i="18" s="1"/>
  <c r="J29" i="18" s="1"/>
  <c r="I25" i="17"/>
  <c r="I22" i="17"/>
  <c r="J52" i="2"/>
  <c r="J13" i="2"/>
  <c r="B54" i="2"/>
  <c r="H53" i="2"/>
  <c r="H33" i="2"/>
  <c r="J14" i="2"/>
  <c r="J30" i="18"/>
  <c r="G30" i="18"/>
  <c r="K21" i="18" l="1"/>
  <c r="K29" i="18" s="1"/>
  <c r="H13" i="2"/>
  <c r="E34" i="2" s="1"/>
  <c r="F34" i="2" s="1"/>
  <c r="G34" i="2" s="1"/>
  <c r="B55" i="2" s="1"/>
  <c r="G22" i="2"/>
  <c r="G21" i="2"/>
  <c r="I13" i="2"/>
  <c r="G53" i="2"/>
  <c r="D53" i="2"/>
  <c r="F53" i="2"/>
  <c r="C53" i="2"/>
  <c r="E53" i="2"/>
  <c r="H14" i="2"/>
  <c r="I53" i="2"/>
  <c r="K53" i="2"/>
  <c r="J26" i="17"/>
  <c r="I30" i="18"/>
  <c r="K30" i="18"/>
  <c r="J27" i="17"/>
  <c r="J23" i="17"/>
  <c r="J28" i="17"/>
  <c r="J24" i="17"/>
  <c r="H30" i="18"/>
  <c r="J25" i="17" l="1"/>
  <c r="E35" i="2"/>
  <c r="F35" i="2" s="1"/>
  <c r="G35" i="2" s="1"/>
  <c r="B56" i="2" s="1"/>
  <c r="J22" i="17"/>
  <c r="L21" i="18"/>
  <c r="L29" i="18" s="1"/>
  <c r="J53" i="2"/>
  <c r="G42" i="2"/>
  <c r="H54" i="2"/>
  <c r="H34" i="2"/>
  <c r="C28" i="17"/>
  <c r="L30" i="18"/>
  <c r="C29" i="17" l="1"/>
  <c r="D21" i="17" s="1"/>
  <c r="D29" i="17" s="1"/>
  <c r="I57" i="2"/>
  <c r="F36" i="2"/>
  <c r="G36" i="2" s="1"/>
  <c r="H56" i="2" s="1"/>
  <c r="M21" i="18"/>
  <c r="M29" i="18" s="1"/>
  <c r="H35" i="2"/>
  <c r="H55" i="2"/>
  <c r="I54" i="2"/>
  <c r="K54" i="2"/>
  <c r="H42" i="2"/>
  <c r="D54" i="2"/>
  <c r="C54" i="2"/>
  <c r="F54" i="2"/>
  <c r="E54" i="2"/>
  <c r="G54" i="2"/>
  <c r="K23" i="17"/>
  <c r="K24" i="17"/>
  <c r="K26" i="17"/>
  <c r="D30" i="17"/>
  <c r="K28" i="17"/>
  <c r="K27" i="17"/>
  <c r="M30" i="18"/>
  <c r="C55" i="2" l="1"/>
  <c r="H33" i="7"/>
  <c r="I55" i="2"/>
  <c r="K25" i="17"/>
  <c r="I56" i="2"/>
  <c r="K57" i="2"/>
  <c r="N21" i="18"/>
  <c r="N29" i="18" s="1"/>
  <c r="O21" i="18" s="1"/>
  <c r="O29" i="18" s="1"/>
  <c r="P21" i="18" s="1"/>
  <c r="P29" i="18" s="1"/>
  <c r="Q21" i="18" s="1"/>
  <c r="Q29" i="18" s="1"/>
  <c r="B57" i="2"/>
  <c r="B34" i="7" s="1"/>
  <c r="H36" i="2"/>
  <c r="G55" i="2"/>
  <c r="K22" i="17"/>
  <c r="K56" i="2"/>
  <c r="K55" i="2"/>
  <c r="D55" i="2"/>
  <c r="F55" i="2"/>
  <c r="E55" i="2"/>
  <c r="J54" i="2"/>
  <c r="L28" i="17"/>
  <c r="L24" i="17"/>
  <c r="L23" i="17"/>
  <c r="P24" i="17"/>
  <c r="P23" i="17"/>
  <c r="P27" i="17"/>
  <c r="P26" i="17"/>
  <c r="L26" i="17"/>
  <c r="L27" i="17"/>
  <c r="J34" i="7" l="1"/>
  <c r="R21" i="18"/>
  <c r="R29" i="18" s="1"/>
  <c r="P25" i="17"/>
  <c r="P22" i="17"/>
  <c r="L25" i="17"/>
  <c r="C56" i="2"/>
  <c r="G56" i="2"/>
  <c r="F56" i="2"/>
  <c r="E56" i="2"/>
  <c r="D56" i="2"/>
  <c r="G57" i="2"/>
  <c r="L22" i="17"/>
  <c r="J55" i="2"/>
  <c r="M27" i="17"/>
  <c r="P28" i="17"/>
  <c r="O26" i="17"/>
  <c r="Q30" i="18"/>
  <c r="O27" i="17"/>
  <c r="M23" i="17"/>
  <c r="N23" i="17"/>
  <c r="N27" i="17"/>
  <c r="O24" i="17"/>
  <c r="O28" i="17"/>
  <c r="N24" i="17"/>
  <c r="N28" i="17"/>
  <c r="P30" i="18"/>
  <c r="O23" i="17"/>
  <c r="M28" i="17"/>
  <c r="M24" i="17"/>
  <c r="O30" i="18"/>
  <c r="M26" i="17"/>
  <c r="N30" i="18"/>
  <c r="N26" i="17"/>
  <c r="R30" i="18"/>
  <c r="O22" i="17" l="1"/>
  <c r="O25" i="17"/>
  <c r="N22" i="17"/>
  <c r="N25" i="17"/>
  <c r="M22" i="17"/>
  <c r="M25" i="17"/>
  <c r="G34" i="7"/>
  <c r="D33" i="7"/>
  <c r="J56" i="2"/>
  <c r="C33" i="7"/>
  <c r="E33" i="7"/>
  <c r="F33" i="7"/>
  <c r="J57" i="2"/>
  <c r="I6" i="1"/>
  <c r="G5" i="7"/>
  <c r="H6" i="1"/>
  <c r="E29" i="1" s="1"/>
  <c r="F29" i="1" s="1"/>
  <c r="G29" i="1" s="1"/>
  <c r="J6" i="1"/>
  <c r="AG26" i="6"/>
  <c r="AH28" i="6"/>
  <c r="AG24" i="6"/>
  <c r="AG23" i="6"/>
  <c r="AG27" i="6"/>
  <c r="AG22" i="6" l="1"/>
  <c r="AG25" i="6"/>
  <c r="K34" i="7"/>
  <c r="H48" i="1"/>
  <c r="H29" i="1"/>
  <c r="H5" i="7"/>
  <c r="I5" i="7"/>
  <c r="J5" i="7"/>
  <c r="D48" i="1" l="1"/>
  <c r="F48" i="1"/>
  <c r="C48" i="1"/>
  <c r="G48" i="1"/>
  <c r="E48" i="1"/>
  <c r="B49" i="1"/>
  <c r="I48" i="1"/>
  <c r="H24" i="7"/>
  <c r="I7" i="1"/>
  <c r="G6" i="7"/>
  <c r="H7" i="1"/>
  <c r="E30" i="1" s="1"/>
  <c r="F30" i="1" s="1"/>
  <c r="G30" i="1" s="1"/>
  <c r="J7" i="1"/>
  <c r="B6" i="7"/>
  <c r="D24" i="16"/>
  <c r="D23" i="16"/>
  <c r="D27" i="16"/>
  <c r="D26" i="16"/>
  <c r="D25" i="16" l="1"/>
  <c r="D22" i="16"/>
  <c r="G24" i="7"/>
  <c r="F24" i="7"/>
  <c r="E24" i="7"/>
  <c r="D24" i="7"/>
  <c r="J6" i="7"/>
  <c r="H49" i="1"/>
  <c r="H30" i="1"/>
  <c r="C24" i="7"/>
  <c r="J48" i="1"/>
  <c r="I6" i="7"/>
  <c r="H6" i="7"/>
  <c r="B25" i="7"/>
  <c r="H40" i="7" s="1"/>
  <c r="V23" i="6"/>
  <c r="V28" i="6"/>
  <c r="V26" i="6"/>
  <c r="V27" i="6"/>
  <c r="V24" i="6"/>
  <c r="V25" i="6" l="1"/>
  <c r="V22" i="6"/>
  <c r="B7" i="7"/>
  <c r="F49" i="1"/>
  <c r="D49" i="1"/>
  <c r="G49" i="1"/>
  <c r="C49" i="1"/>
  <c r="E49" i="1"/>
  <c r="B50" i="1"/>
  <c r="I49" i="1"/>
  <c r="H25" i="7"/>
  <c r="E27" i="16"/>
  <c r="E23" i="16"/>
  <c r="E24" i="16"/>
  <c r="E26" i="16"/>
  <c r="E25" i="16" l="1"/>
  <c r="E22" i="16"/>
  <c r="F25" i="7"/>
  <c r="E25" i="7"/>
  <c r="G25" i="7"/>
  <c r="D25" i="7"/>
  <c r="E21" i="17"/>
  <c r="E29" i="17" s="1"/>
  <c r="C25" i="7"/>
  <c r="J49" i="1"/>
  <c r="B26" i="7"/>
  <c r="I8" i="1"/>
  <c r="H8" i="1"/>
  <c r="E31" i="1" s="1"/>
  <c r="F31" i="1" s="1"/>
  <c r="G31" i="1" s="1"/>
  <c r="G7" i="7"/>
  <c r="J7" i="7" s="1"/>
  <c r="J8" i="1"/>
  <c r="W28" i="6"/>
  <c r="W24" i="6"/>
  <c r="W26" i="6"/>
  <c r="W23" i="6"/>
  <c r="W27" i="6"/>
  <c r="E30" i="17"/>
  <c r="W25" i="6" l="1"/>
  <c r="W22" i="6"/>
  <c r="F21" i="17"/>
  <c r="F29" i="17" s="1"/>
  <c r="F30" i="17" s="1"/>
  <c r="H41" i="7"/>
  <c r="B8" i="7"/>
  <c r="H50" i="1"/>
  <c r="H31" i="1"/>
  <c r="H7" i="7"/>
  <c r="I7" i="7"/>
  <c r="G50" i="1" l="1"/>
  <c r="C50" i="1"/>
  <c r="D50" i="1"/>
  <c r="F50" i="1"/>
  <c r="E50" i="1"/>
  <c r="B51" i="1"/>
  <c r="I50" i="1"/>
  <c r="H26" i="7"/>
  <c r="I9" i="1"/>
  <c r="I21" i="1"/>
  <c r="G8" i="7"/>
  <c r="H9" i="1"/>
  <c r="E32" i="1" s="1"/>
  <c r="F32" i="1" s="1"/>
  <c r="G32" i="1" s="1"/>
  <c r="J9" i="1"/>
  <c r="F24" i="16"/>
  <c r="F27" i="16"/>
  <c r="F28" i="16"/>
  <c r="F23" i="16"/>
  <c r="F26" i="16"/>
  <c r="F25" i="16" l="1"/>
  <c r="F22" i="16"/>
  <c r="G26" i="7"/>
  <c r="E26" i="7"/>
  <c r="F26" i="7"/>
  <c r="D26" i="7"/>
  <c r="J10" i="1"/>
  <c r="H8" i="7"/>
  <c r="K8" i="7"/>
  <c r="I8" i="7"/>
  <c r="B9" i="7"/>
  <c r="B27" i="7"/>
  <c r="C26" i="7"/>
  <c r="J50" i="1"/>
  <c r="H51" i="1"/>
  <c r="H32" i="1"/>
  <c r="J8" i="7"/>
  <c r="X28" i="6"/>
  <c r="X23" i="6"/>
  <c r="X24" i="6"/>
  <c r="X26" i="6"/>
  <c r="X27" i="6"/>
  <c r="X25" i="6" l="1"/>
  <c r="C51" i="1"/>
  <c r="G51" i="1"/>
  <c r="E51" i="1"/>
  <c r="X22" i="6"/>
  <c r="K26" i="7"/>
  <c r="H42" i="7"/>
  <c r="F51" i="1"/>
  <c r="D51" i="1"/>
  <c r="B52" i="1"/>
  <c r="I51" i="1"/>
  <c r="H27" i="7"/>
  <c r="I10" i="1"/>
  <c r="H10" i="1"/>
  <c r="E33" i="1" s="1"/>
  <c r="F33" i="1" s="1"/>
  <c r="G33" i="1" s="1"/>
  <c r="G9" i="7"/>
  <c r="J9" i="7" s="1"/>
  <c r="G27" i="16"/>
  <c r="G28" i="16"/>
  <c r="G23" i="16"/>
  <c r="G24" i="16"/>
  <c r="G26" i="16"/>
  <c r="G25" i="16" l="1"/>
  <c r="G22" i="16"/>
  <c r="D27" i="7"/>
  <c r="F27" i="7"/>
  <c r="G27" i="7"/>
  <c r="E27" i="7"/>
  <c r="G21" i="17"/>
  <c r="H9" i="7"/>
  <c r="I9" i="7"/>
  <c r="K9" i="7"/>
  <c r="H52" i="1"/>
  <c r="I52" i="1" s="1"/>
  <c r="H33" i="1"/>
  <c r="B28" i="7"/>
  <c r="B10" i="7"/>
  <c r="C27" i="7"/>
  <c r="J51" i="1"/>
  <c r="Y26" i="6"/>
  <c r="Y27" i="6"/>
  <c r="Y24" i="6"/>
  <c r="Y23" i="6"/>
  <c r="Y28" i="6"/>
  <c r="Y25" i="6" l="1"/>
  <c r="Y22" i="6"/>
  <c r="G29" i="17"/>
  <c r="K27" i="7"/>
  <c r="H43" i="7"/>
  <c r="I11" i="1"/>
  <c r="H11" i="1"/>
  <c r="E34" i="1" s="1"/>
  <c r="F34" i="1" s="1"/>
  <c r="G34" i="1" s="1"/>
  <c r="G10" i="7"/>
  <c r="J10" i="7" s="1"/>
  <c r="J11" i="1"/>
  <c r="D52" i="1"/>
  <c r="C52" i="1"/>
  <c r="F52" i="1"/>
  <c r="G52" i="1"/>
  <c r="E52" i="1"/>
  <c r="B53" i="1"/>
  <c r="H28" i="7"/>
  <c r="J28" i="7" s="1"/>
  <c r="H23" i="16"/>
  <c r="H28" i="16"/>
  <c r="H26" i="16"/>
  <c r="H27" i="16"/>
  <c r="H24" i="16"/>
  <c r="J52" i="1" l="1"/>
  <c r="H21" i="17"/>
  <c r="H25" i="16"/>
  <c r="H22" i="16"/>
  <c r="E28" i="7"/>
  <c r="D28" i="7"/>
  <c r="G28" i="7"/>
  <c r="F28" i="7"/>
  <c r="I20" i="7"/>
  <c r="H10" i="7"/>
  <c r="I10" i="7"/>
  <c r="AB15" i="6"/>
  <c r="K10" i="7"/>
  <c r="B11" i="7"/>
  <c r="C28" i="7"/>
  <c r="G45" i="1"/>
  <c r="H34" i="1"/>
  <c r="H53" i="1"/>
  <c r="B29" i="7"/>
  <c r="J12" i="1"/>
  <c r="Z27" i="6"/>
  <c r="Z28" i="6"/>
  <c r="Z26" i="6"/>
  <c r="E28" i="16"/>
  <c r="Z24" i="6"/>
  <c r="Z23" i="6"/>
  <c r="C28" i="16"/>
  <c r="G30" i="17"/>
  <c r="AC8" i="6" l="1"/>
  <c r="AC16" i="6" s="1"/>
  <c r="H29" i="17"/>
  <c r="H30" i="17" s="1"/>
  <c r="Z25" i="6"/>
  <c r="Z22" i="6"/>
  <c r="C29" i="16"/>
  <c r="H44" i="7"/>
  <c r="K28" i="7"/>
  <c r="U25" i="6"/>
  <c r="I12" i="1"/>
  <c r="H12" i="1"/>
  <c r="E35" i="1" s="1"/>
  <c r="G11" i="7"/>
  <c r="J11" i="7" s="1"/>
  <c r="B54" i="1"/>
  <c r="I53" i="1"/>
  <c r="H29" i="7"/>
  <c r="I33" i="7" s="1"/>
  <c r="H45" i="1"/>
  <c r="G53" i="1"/>
  <c r="D53" i="1"/>
  <c r="C53" i="1"/>
  <c r="F53" i="1"/>
  <c r="E53" i="1"/>
  <c r="I23" i="16"/>
  <c r="I26" i="16"/>
  <c r="I24" i="16"/>
  <c r="I28" i="16"/>
  <c r="I27" i="16"/>
  <c r="C30" i="16"/>
  <c r="AC15" i="6" l="1"/>
  <c r="AD8" i="6" s="1"/>
  <c r="AD16" i="6" s="1"/>
  <c r="I21" i="17"/>
  <c r="I29" i="17" s="1"/>
  <c r="I25" i="16"/>
  <c r="I22" i="16"/>
  <c r="D21" i="16"/>
  <c r="F29" i="7"/>
  <c r="D29" i="7"/>
  <c r="E29" i="7"/>
  <c r="G29" i="7"/>
  <c r="J29" i="7"/>
  <c r="F35" i="1"/>
  <c r="G35" i="1" s="1"/>
  <c r="C29" i="7"/>
  <c r="J53" i="1"/>
  <c r="U22" i="6"/>
  <c r="B30" i="7"/>
  <c r="B12" i="7"/>
  <c r="K11" i="7"/>
  <c r="H11" i="7"/>
  <c r="I11" i="7"/>
  <c r="J13" i="1"/>
  <c r="AA23" i="6"/>
  <c r="AA27" i="6"/>
  <c r="I30" i="17"/>
  <c r="AA26" i="6"/>
  <c r="AA24" i="6"/>
  <c r="AA28" i="6"/>
  <c r="AD15" i="6" l="1"/>
  <c r="AE8" i="6" s="1"/>
  <c r="AA25" i="6"/>
  <c r="AA22" i="6"/>
  <c r="J21" i="17"/>
  <c r="J29" i="17" s="1"/>
  <c r="K29" i="7"/>
  <c r="H35" i="1"/>
  <c r="H54" i="1"/>
  <c r="G22" i="1"/>
  <c r="G21" i="1"/>
  <c r="H13" i="1"/>
  <c r="E36" i="1" s="1"/>
  <c r="F36" i="1" s="1"/>
  <c r="G36" i="1" s="1"/>
  <c r="I13" i="1"/>
  <c r="G12" i="7"/>
  <c r="J12" i="7" s="1"/>
  <c r="B13" i="7"/>
  <c r="J30" i="17"/>
  <c r="AE15" i="6" l="1"/>
  <c r="AF8" i="6" s="1"/>
  <c r="AE16" i="6"/>
  <c r="G20" i="7"/>
  <c r="H12" i="7"/>
  <c r="K12" i="7"/>
  <c r="F20" i="7"/>
  <c r="I12" i="7"/>
  <c r="G21" i="7"/>
  <c r="G13" i="7"/>
  <c r="G44" i="1"/>
  <c r="H55" i="1"/>
  <c r="H36" i="1"/>
  <c r="B55" i="1"/>
  <c r="I54" i="1"/>
  <c r="H30" i="7"/>
  <c r="G54" i="1"/>
  <c r="D54" i="1"/>
  <c r="F54" i="1"/>
  <c r="C54" i="1"/>
  <c r="E54" i="1"/>
  <c r="U28" i="6"/>
  <c r="J26" i="16"/>
  <c r="J24" i="16"/>
  <c r="D28" i="16"/>
  <c r="J23" i="16"/>
  <c r="J28" i="16"/>
  <c r="J27" i="16"/>
  <c r="U29" i="6" l="1"/>
  <c r="D29" i="16"/>
  <c r="AF16" i="6"/>
  <c r="AF15" i="6"/>
  <c r="AG8" i="6" s="1"/>
  <c r="J30" i="7"/>
  <c r="I34" i="7"/>
  <c r="J22" i="16"/>
  <c r="J25" i="16"/>
  <c r="H13" i="7"/>
  <c r="K14" i="7"/>
  <c r="I14" i="7"/>
  <c r="F30" i="7"/>
  <c r="D30" i="7"/>
  <c r="E30" i="7"/>
  <c r="G30" i="7"/>
  <c r="I13" i="7"/>
  <c r="K13" i="7"/>
  <c r="J14" i="1"/>
  <c r="J13" i="7"/>
  <c r="B31" i="7"/>
  <c r="H14" i="1"/>
  <c r="E37" i="1" s="1"/>
  <c r="I14" i="1"/>
  <c r="H44" i="1"/>
  <c r="D55" i="1"/>
  <c r="C55" i="1"/>
  <c r="F55" i="1"/>
  <c r="E55" i="1"/>
  <c r="B56" i="1"/>
  <c r="B32" i="7" s="1"/>
  <c r="I55" i="1"/>
  <c r="H31" i="7"/>
  <c r="I35" i="7" s="1"/>
  <c r="C30" i="7"/>
  <c r="J54" i="1"/>
  <c r="G55" i="1"/>
  <c r="AB23" i="6"/>
  <c r="K28" i="16"/>
  <c r="O24" i="16"/>
  <c r="K26" i="16"/>
  <c r="K24" i="16"/>
  <c r="AB24" i="6"/>
  <c r="AB27" i="6"/>
  <c r="K27" i="16"/>
  <c r="O27" i="16"/>
  <c r="O26" i="16"/>
  <c r="D30" i="16"/>
  <c r="O23" i="16"/>
  <c r="AB28" i="6"/>
  <c r="K23" i="16"/>
  <c r="AB26" i="6"/>
  <c r="V21" i="6" l="1"/>
  <c r="V29" i="6" s="1"/>
  <c r="O25" i="16"/>
  <c r="O22" i="16"/>
  <c r="E21" i="16"/>
  <c r="E29" i="16" s="1"/>
  <c r="AG16" i="6"/>
  <c r="AG15" i="6"/>
  <c r="AH8" i="6" s="1"/>
  <c r="AB25" i="6"/>
  <c r="K22" i="16"/>
  <c r="K25" i="16"/>
  <c r="AB22" i="6"/>
  <c r="C31" i="7"/>
  <c r="D31" i="7"/>
  <c r="E31" i="7"/>
  <c r="F31" i="7"/>
  <c r="G31" i="7"/>
  <c r="K30" i="7"/>
  <c r="F37" i="1"/>
  <c r="G37" i="1" s="1"/>
  <c r="H39" i="7"/>
  <c r="I31" i="7"/>
  <c r="J31" i="7"/>
  <c r="J55" i="1"/>
  <c r="AC27" i="6"/>
  <c r="AC24" i="6"/>
  <c r="AC28" i="6"/>
  <c r="AC26" i="6"/>
  <c r="AC23" i="6"/>
  <c r="E30" i="16"/>
  <c r="V30" i="6" l="1"/>
  <c r="W21" i="6"/>
  <c r="W29" i="6" s="1"/>
  <c r="F21" i="16"/>
  <c r="F29" i="16" s="1"/>
  <c r="AH15" i="6"/>
  <c r="AI8" i="6" s="1"/>
  <c r="AH16" i="6"/>
  <c r="AC25" i="6"/>
  <c r="AC22" i="6"/>
  <c r="K21" i="17"/>
  <c r="K29" i="17" s="1"/>
  <c r="K31" i="7"/>
  <c r="H37" i="1"/>
  <c r="H56" i="1"/>
  <c r="F30" i="16"/>
  <c r="K30" i="17"/>
  <c r="AI16" i="6" l="1"/>
  <c r="W30" i="6"/>
  <c r="X21" i="6"/>
  <c r="X29" i="6" s="1"/>
  <c r="G21" i="16"/>
  <c r="G57" i="1"/>
  <c r="B57" i="1"/>
  <c r="B33" i="7" s="1"/>
  <c r="L21" i="17"/>
  <c r="L29" i="17" s="1"/>
  <c r="I56" i="1"/>
  <c r="H32" i="7"/>
  <c r="I36" i="7" s="1"/>
  <c r="D56" i="1"/>
  <c r="F56" i="1"/>
  <c r="C56" i="1"/>
  <c r="G56" i="1"/>
  <c r="E56" i="1"/>
  <c r="M23" i="16"/>
  <c r="L26" i="16"/>
  <c r="M24" i="16"/>
  <c r="L28" i="16"/>
  <c r="N27" i="16"/>
  <c r="L24" i="16"/>
  <c r="M26" i="16"/>
  <c r="P27" i="16"/>
  <c r="P26" i="16"/>
  <c r="P23" i="16"/>
  <c r="M27" i="16"/>
  <c r="N26" i="16"/>
  <c r="L23" i="16"/>
  <c r="P24" i="16"/>
  <c r="P28" i="16"/>
  <c r="N24" i="16"/>
  <c r="L27" i="16"/>
  <c r="N28" i="16"/>
  <c r="M28" i="16"/>
  <c r="N23" i="16"/>
  <c r="O28" i="16"/>
  <c r="L30" i="17"/>
  <c r="G29" i="16" l="1"/>
  <c r="X30" i="6"/>
  <c r="Y21" i="6"/>
  <c r="P25" i="16"/>
  <c r="P22" i="16"/>
  <c r="G33" i="7"/>
  <c r="J57" i="1"/>
  <c r="N25" i="16"/>
  <c r="N22" i="16"/>
  <c r="M22" i="16"/>
  <c r="M25" i="16"/>
  <c r="J33" i="7"/>
  <c r="I32" i="7"/>
  <c r="L25" i="16"/>
  <c r="L22" i="16"/>
  <c r="M21" i="17"/>
  <c r="M29" i="17" s="1"/>
  <c r="C32" i="7"/>
  <c r="F32" i="7"/>
  <c r="E32" i="7"/>
  <c r="D32" i="7"/>
  <c r="G32" i="7"/>
  <c r="J32" i="7"/>
  <c r="J56" i="1"/>
  <c r="AE28" i="6"/>
  <c r="G30" i="16"/>
  <c r="AG28" i="6"/>
  <c r="AE23" i="6"/>
  <c r="AD24" i="6"/>
  <c r="AD27" i="6"/>
  <c r="AF27" i="6"/>
  <c r="AF23" i="6"/>
  <c r="AE24" i="6"/>
  <c r="AD23" i="6"/>
  <c r="AF26" i="6"/>
  <c r="AF28" i="6"/>
  <c r="AD28" i="6"/>
  <c r="AD26" i="6"/>
  <c r="AF24" i="6"/>
  <c r="AE27" i="6"/>
  <c r="AE26" i="6"/>
  <c r="Y29" i="6" l="1"/>
  <c r="Z21" i="6" s="1"/>
  <c r="H21" i="16"/>
  <c r="Y30" i="6"/>
  <c r="AF22" i="6"/>
  <c r="AF25" i="6"/>
  <c r="K33" i="7"/>
  <c r="AE25" i="6"/>
  <c r="AE22" i="6"/>
  <c r="AD25" i="6"/>
  <c r="N21" i="17"/>
  <c r="N29" i="17" s="1"/>
  <c r="O21" i="17" s="1"/>
  <c r="O29" i="17" s="1"/>
  <c r="P21" i="17" s="1"/>
  <c r="P29" i="17" s="1"/>
  <c r="Q21" i="17" s="1"/>
  <c r="AD22" i="6"/>
  <c r="K32" i="7"/>
  <c r="M30" i="17"/>
  <c r="H29" i="16" l="1"/>
  <c r="H30" i="16" s="1"/>
  <c r="Z29" i="6"/>
  <c r="AA21" i="6" s="1"/>
  <c r="AA29" i="6" s="1"/>
  <c r="Z30" i="6"/>
  <c r="O30" i="17"/>
  <c r="P30" i="17"/>
  <c r="N30" i="17"/>
  <c r="I21" i="16" l="1"/>
  <c r="I29" i="16" s="1"/>
  <c r="I30" i="16" s="1"/>
  <c r="AA30" i="6"/>
  <c r="AB21" i="6"/>
  <c r="AB29" i="6" s="1"/>
  <c r="AC21" i="6" s="1"/>
  <c r="J21" i="16" l="1"/>
  <c r="J29" i="16" s="1"/>
  <c r="AB30" i="6"/>
  <c r="AC30" i="6"/>
  <c r="AC29" i="6"/>
  <c r="J30" i="16"/>
  <c r="K21" i="16" l="1"/>
  <c r="K29" i="16" s="1"/>
  <c r="AD21" i="6"/>
  <c r="AD29" i="6" s="1"/>
  <c r="K30" i="16"/>
  <c r="L21" i="16" l="1"/>
  <c r="L29" i="16" s="1"/>
  <c r="AD30" i="6"/>
  <c r="AE21" i="6"/>
  <c r="AE29" i="6" s="1"/>
  <c r="L30" i="16"/>
  <c r="M21" i="16" l="1"/>
  <c r="M29" i="16" s="1"/>
  <c r="M30" i="16" s="1"/>
  <c r="AE30" i="6"/>
  <c r="AF21" i="6"/>
  <c r="AF29" i="6" s="1"/>
  <c r="N21" i="16" l="1"/>
  <c r="N29" i="16" s="1"/>
  <c r="AF30" i="6"/>
  <c r="AG21" i="6"/>
  <c r="AG29" i="6" s="1"/>
  <c r="N30" i="16"/>
  <c r="O21" i="16" l="1"/>
  <c r="O29" i="16" s="1"/>
  <c r="AG30" i="6"/>
  <c r="AH21" i="6"/>
  <c r="AH29" i="6" s="1"/>
  <c r="O30" i="16"/>
  <c r="P21" i="16" l="1"/>
  <c r="P29" i="16" s="1"/>
  <c r="AI21" i="6"/>
  <c r="AH30" i="6"/>
  <c r="P30" i="16"/>
  <c r="AI30" i="6" l="1"/>
  <c r="Q21" i="16"/>
  <c r="Q13" i="16" l="1"/>
  <c r="Q12" i="16" l="1"/>
  <c r="Q15" i="16" s="1"/>
  <c r="R13" i="16"/>
  <c r="R12" i="16" l="1"/>
  <c r="R8" i="16"/>
  <c r="R15" i="16" l="1"/>
  <c r="E19" i="2"/>
  <c r="Q13" i="17"/>
  <c r="Q12" i="17" l="1"/>
  <c r="Q15" i="17" s="1"/>
  <c r="E18" i="7"/>
  <c r="AI13" i="6"/>
  <c r="AI12" i="6" l="1"/>
  <c r="AI15" i="6" s="1"/>
  <c r="AJ8" i="6" s="1"/>
  <c r="E20" i="2"/>
  <c r="R8" i="17"/>
  <c r="R13" i="17"/>
  <c r="R12" i="17" l="1"/>
  <c r="R15" i="17" s="1"/>
  <c r="E19" i="7"/>
  <c r="AJ16" i="6"/>
  <c r="AJ13" i="6"/>
  <c r="AJ12" i="6" l="1"/>
  <c r="AJ15" i="6" s="1"/>
  <c r="G19" i="2" l="1"/>
  <c r="Q16" i="17"/>
  <c r="H19" i="2" l="1"/>
  <c r="E40" i="2" s="1"/>
  <c r="F40" i="2" s="1"/>
  <c r="G40" i="2" s="1"/>
  <c r="B20" i="2" l="1"/>
  <c r="H40" i="2"/>
  <c r="H60" i="2"/>
  <c r="B61" i="2"/>
  <c r="I60" i="2" l="1"/>
  <c r="K60" i="2"/>
  <c r="D60" i="2"/>
  <c r="F60" i="2"/>
  <c r="C60" i="2"/>
  <c r="G60" i="2"/>
  <c r="E60" i="2"/>
  <c r="G20" i="2"/>
  <c r="Q24" i="17"/>
  <c r="R16" i="17"/>
  <c r="Q23" i="17"/>
  <c r="Q28" i="17"/>
  <c r="Q26" i="17"/>
  <c r="Q27" i="17"/>
  <c r="Q25" i="17" l="1"/>
  <c r="Q22" i="17"/>
  <c r="H20" i="2"/>
  <c r="E41" i="2" s="1"/>
  <c r="F41" i="2" s="1"/>
  <c r="G41" i="2" s="1"/>
  <c r="J60" i="2"/>
  <c r="Q29" i="17" l="1"/>
  <c r="H41" i="2"/>
  <c r="H61" i="2"/>
  <c r="R21" i="17" l="1"/>
  <c r="Q30" i="17"/>
  <c r="I61" i="2"/>
  <c r="K61" i="2"/>
  <c r="G61" i="2"/>
  <c r="C61" i="2"/>
  <c r="D61" i="2"/>
  <c r="F61" i="2"/>
  <c r="E61" i="2"/>
  <c r="R26" i="17"/>
  <c r="R24" i="17"/>
  <c r="R27" i="17"/>
  <c r="R23" i="17"/>
  <c r="R28" i="17"/>
  <c r="R22" i="17" l="1"/>
  <c r="R25" i="17"/>
  <c r="J61" i="2"/>
  <c r="R29" i="17" l="1"/>
  <c r="R30" i="17"/>
  <c r="Q16" i="16" l="1"/>
  <c r="B19" i="7" l="1"/>
  <c r="G18" i="7"/>
  <c r="H19" i="1"/>
  <c r="E42" i="1" s="1"/>
  <c r="F42" i="1" s="1"/>
  <c r="G42" i="1" s="1"/>
  <c r="I19" i="1"/>
  <c r="J19" i="1"/>
  <c r="R16" i="16"/>
  <c r="G19" i="7" l="1"/>
  <c r="I20" i="1"/>
  <c r="H20" i="1"/>
  <c r="E43" i="1" s="1"/>
  <c r="F43" i="1" s="1"/>
  <c r="G43" i="1" s="1"/>
  <c r="I19" i="7"/>
  <c r="H18" i="7"/>
  <c r="K18" i="7"/>
  <c r="I18" i="7"/>
  <c r="J18" i="7"/>
  <c r="J20" i="1"/>
  <c r="H42" i="1"/>
  <c r="H61" i="1"/>
  <c r="J19" i="7"/>
  <c r="H37" i="7" l="1"/>
  <c r="I61" i="1"/>
  <c r="B62" i="1"/>
  <c r="H43" i="1"/>
  <c r="H62" i="1"/>
  <c r="C61" i="1"/>
  <c r="D61" i="1"/>
  <c r="F61" i="1"/>
  <c r="G61" i="1"/>
  <c r="E61" i="1"/>
  <c r="H19" i="7"/>
  <c r="K19" i="7"/>
  <c r="Q26" i="16"/>
  <c r="Q23" i="16"/>
  <c r="Q27" i="16"/>
  <c r="Q28" i="16"/>
  <c r="Q24" i="16"/>
  <c r="Q22" i="16" l="1"/>
  <c r="Q25" i="16"/>
  <c r="F37" i="7"/>
  <c r="G62" i="1"/>
  <c r="F62" i="1"/>
  <c r="C62" i="1"/>
  <c r="D62" i="1"/>
  <c r="E62" i="1"/>
  <c r="B38" i="7"/>
  <c r="C37" i="7"/>
  <c r="J61" i="1"/>
  <c r="E37" i="7"/>
  <c r="D37" i="7"/>
  <c r="I62" i="1"/>
  <c r="H38" i="7"/>
  <c r="G37" i="7"/>
  <c r="J37" i="7"/>
  <c r="I37" i="7"/>
  <c r="AI26" i="6"/>
  <c r="R23" i="16"/>
  <c r="AI23" i="6"/>
  <c r="R28" i="16"/>
  <c r="AI24" i="6"/>
  <c r="AI27" i="6"/>
  <c r="AI28" i="6"/>
  <c r="R26" i="16"/>
  <c r="R27" i="16"/>
  <c r="R24" i="16"/>
  <c r="R25" i="16" l="1"/>
  <c r="AI25" i="6"/>
  <c r="R22" i="16"/>
  <c r="AI22" i="6"/>
  <c r="E38" i="7"/>
  <c r="J38" i="7"/>
  <c r="I38" i="7"/>
  <c r="F38" i="7"/>
  <c r="C38" i="7"/>
  <c r="G38" i="7"/>
  <c r="J62" i="1"/>
  <c r="D38" i="7"/>
  <c r="K37" i="7"/>
  <c r="Q29" i="16"/>
  <c r="AJ27" i="6"/>
  <c r="AJ28" i="6"/>
  <c r="AJ24" i="6"/>
  <c r="AJ23" i="6"/>
  <c r="AJ26" i="6"/>
  <c r="Q30" i="16"/>
  <c r="AI29" i="6" l="1"/>
  <c r="AJ21" i="6" s="1"/>
  <c r="AJ25" i="6"/>
  <c r="AJ22" i="6"/>
  <c r="K38" i="7"/>
  <c r="R21" i="16"/>
  <c r="R29" i="16" s="1"/>
  <c r="R30" i="16"/>
  <c r="AJ29" i="6" l="1"/>
  <c r="AJ3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loga</author>
  </authors>
  <commentList>
    <comment ref="U33" authorId="0" shapeId="0" xr:uid="{14608538-1BCD-438C-A0DF-7DF3103E5F82}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ganti ini (+1)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loga</author>
  </authors>
  <commentList>
    <comment ref="C33" authorId="0" shapeId="0" xr:uid="{37BB6900-D7B6-4655-B756-A89548ADE949}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ganti ini (+2)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loga</author>
  </authors>
  <commentList>
    <comment ref="C33" authorId="0" shapeId="0" xr:uid="{E0AD4675-7D39-4243-9DBB-3CEC834890CD}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ganti ini (+2)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loga</author>
  </authors>
  <commentList>
    <comment ref="C33" authorId="0" shapeId="0" xr:uid="{1156381C-56AB-4240-AC8F-034C1240AF93}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ganti ini (+2)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Wiwik Andriyani</author>
    <author>sandra loga</author>
  </authors>
  <commentList>
    <comment ref="A2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File 1. LK Neraca Fisik &amp; Moneter Hutan</t>
        </r>
      </text>
    </comment>
    <comment ref="C35" authorId="1" shapeId="0" xr:uid="{0DBDFEA8-679F-46FB-B5CC-B51DBBE5B409}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menggunakan rasio IO 2016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Wiwik Andriyani</author>
    <author>sandra loga</author>
  </authors>
  <commentList>
    <comment ref="B23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Hanya menggunakan GBR th berjalan (krn sudah memperhitungkan angka inflasi)</t>
        </r>
      </text>
    </comment>
    <comment ref="C33" authorId="1" shapeId="0" xr:uid="{12423C9D-D5CA-4324-AC9C-A1C8DA0DE24F}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menggunakan rasio IO 2016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Wiwik Andriyani</author>
    <author>sandra loga</author>
  </authors>
  <commentList>
    <comment ref="B23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Hanya menggunakan GBR th berjalan (krn sudah memperhitungkan angka inflasi)</t>
        </r>
      </text>
    </comment>
    <comment ref="C33" authorId="1" shapeId="0" xr:uid="{C63FEA5D-5C5D-4B10-8C12-E4D0934C789C}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menggunakan rasio IO 2016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Wiwik Andriyani</author>
  </authors>
  <commentList>
    <comment ref="B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Hanya menggunakan GBR th berjalan (krn sudah memperhitungkan angka inflasi)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Wiwik Andriyani</author>
  </authors>
  <commentList>
    <comment ref="F15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ini inflasi tahunan</t>
        </r>
      </text>
    </comment>
    <comment ref="F16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inflasi tahun 2017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loga</author>
  </authors>
  <commentList>
    <comment ref="E11" authorId="0" shapeId="0" xr:uid="{24CF97AF-9A2D-41D6-BFB6-F231E3A97228}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menggunakan rasio GOS 2016</t>
        </r>
      </text>
    </comment>
  </commentList>
</comments>
</file>

<file path=xl/sharedStrings.xml><?xml version="1.0" encoding="utf-8"?>
<sst xmlns="http://schemas.openxmlformats.org/spreadsheetml/2006/main" count="516" uniqueCount="140">
  <si>
    <t>Tabel 2. Penghitungan NPV</t>
  </si>
  <si>
    <t>Sumber: DJPPR</t>
  </si>
  <si>
    <t>Sumber: BPS</t>
  </si>
  <si>
    <t>Return to Capital Rate</t>
  </si>
  <si>
    <t>Government Bond Rate</t>
  </si>
  <si>
    <t>Indeks Harga Konsumen</t>
  </si>
  <si>
    <t>Rate</t>
  </si>
  <si>
    <t>Convert</t>
  </si>
  <si>
    <t>Rincian</t>
  </si>
  <si>
    <t>Government Bond-Inflasi</t>
  </si>
  <si>
    <t>Resource rent (miliar Rp)</t>
  </si>
  <si>
    <t>Stok Akhir</t>
  </si>
  <si>
    <t>Umur cadangan</t>
  </si>
  <si>
    <t>Discount Factor</t>
  </si>
  <si>
    <t>NPV (miliar Rp)</t>
  </si>
  <si>
    <t>Perkiraan Cadangan</t>
  </si>
  <si>
    <t>Jati Jawa</t>
  </si>
  <si>
    <t>Produksi (000 m3)</t>
  </si>
  <si>
    <t>Rimba Jawa</t>
  </si>
  <si>
    <t>Rimba Luar Jawa</t>
  </si>
  <si>
    <t>Revaluasi</t>
  </si>
  <si>
    <t>Tabel 3. Neraca Moneter Jati Jawa (miliar Rp)</t>
  </si>
  <si>
    <t xml:space="preserve"> Persediaan Awal</t>
  </si>
  <si>
    <t xml:space="preserve"> Pertumbuhan</t>
  </si>
  <si>
    <t xml:space="preserve"> Penanaman</t>
  </si>
  <si>
    <t xml:space="preserve"> Konversi &amp; Kerusakan</t>
  </si>
  <si>
    <t xml:space="preserve"> Penebangan</t>
  </si>
  <si>
    <t xml:space="preserve"> Persediaan Akhir</t>
  </si>
  <si>
    <t>Tabel 1. Neraca Fisik Jati Jawa (000m3)</t>
  </si>
  <si>
    <t>Tabel 1. Neraca Fisik Rimba Jawa (000m3)</t>
  </si>
  <si>
    <t>Tabel 1. Neraca Fisik Rimba Luar Jawa (000m3)</t>
  </si>
  <si>
    <t>Tabel 3. Neraca Moneter rimba Luar Jawa (miliar Rp)</t>
  </si>
  <si>
    <t>Tabel 3. Neraca Moneter Rimba Jawa (miliar Rp)</t>
  </si>
  <si>
    <t xml:space="preserve">Neraca Fisik dan Moneter </t>
  </si>
  <si>
    <t>Sumber Daya Hutan Indonesia</t>
  </si>
  <si>
    <t>Perincian</t>
  </si>
  <si>
    <t>1. Persediaan awal</t>
  </si>
  <si>
    <t>III. Neraca Moneter</t>
  </si>
  <si>
    <t xml:space="preserve">     (Miliar Rp)</t>
  </si>
  <si>
    <t>Neraca Fisik Kayu (000 m3)</t>
  </si>
  <si>
    <t>Neraca Moneter Kayu (miliar Rp)</t>
  </si>
  <si>
    <t>2. Penambahan</t>
  </si>
  <si>
    <t>Penanaman</t>
  </si>
  <si>
    <t>Pertumbuhan</t>
  </si>
  <si>
    <t>3.Pengurangan</t>
  </si>
  <si>
    <t>Kerusakan</t>
  </si>
  <si>
    <t>Penebangan</t>
  </si>
  <si>
    <t>4. Persediaan akhir</t>
  </si>
  <si>
    <t>4. Revaluasi</t>
  </si>
  <si>
    <t>5. Persediaan akhir</t>
  </si>
  <si>
    <t>Unit Rent (ribu Rp/m3)</t>
  </si>
  <si>
    <t>TAHUN</t>
  </si>
  <si>
    <r>
      <t>I. Neraca Fisik (000 M</t>
    </r>
    <r>
      <rPr>
        <b/>
        <vertAlign val="superscript"/>
        <sz val="10"/>
        <rFont val="Book Antiqua"/>
        <family val="1"/>
      </rPr>
      <t>3</t>
    </r>
    <r>
      <rPr>
        <b/>
        <sz val="10"/>
        <rFont val="Book Antiqua"/>
        <family val="1"/>
      </rPr>
      <t>)</t>
    </r>
  </si>
  <si>
    <t>Penambahan</t>
  </si>
  <si>
    <t>Pengurangan</t>
  </si>
  <si>
    <t>Note: data fisik lihat file LK Neraca Fisik &amp; moneter hutan dengan metode harga netto</t>
  </si>
  <si>
    <t>Harga</t>
  </si>
  <si>
    <t>Output (juta Rp)</t>
  </si>
  <si>
    <t>Rasio GOS/Output (SUT 2010)</t>
  </si>
  <si>
    <t>GOS per Unit (Rp/m3)</t>
  </si>
  <si>
    <r>
      <t>GOS per unit (Rp/m</t>
    </r>
    <r>
      <rPr>
        <b/>
        <vertAlign val="superscript"/>
        <sz val="10"/>
        <rFont val="Book Antiqua"/>
        <family val="1"/>
      </rPr>
      <t>3</t>
    </r>
    <r>
      <rPr>
        <b/>
        <sz val="10"/>
        <rFont val="Book Antiqua"/>
        <family val="1"/>
      </rPr>
      <t>)</t>
    </r>
  </si>
  <si>
    <r>
      <t>NPV per stok akhir (Rp/m</t>
    </r>
    <r>
      <rPr>
        <b/>
        <vertAlign val="superscript"/>
        <sz val="10"/>
        <rFont val="Book Antiqua"/>
        <family val="1"/>
      </rPr>
      <t>3</t>
    </r>
    <r>
      <rPr>
        <b/>
        <sz val="10"/>
        <rFont val="Book Antiqua"/>
        <family val="1"/>
      </rPr>
      <t>)</t>
    </r>
  </si>
  <si>
    <t xml:space="preserve">Unit Rent </t>
  </si>
  <si>
    <t>Tahun</t>
  </si>
  <si>
    <r>
      <t>Unit Rent (Rp/m</t>
    </r>
    <r>
      <rPr>
        <b/>
        <vertAlign val="superscript"/>
        <sz val="10"/>
        <rFont val="Book Antiqua"/>
        <family val="1"/>
      </rPr>
      <t>3</t>
    </r>
    <r>
      <rPr>
        <b/>
        <sz val="10"/>
        <rFont val="Book Antiqua"/>
        <family val="1"/>
      </rPr>
      <t>)</t>
    </r>
  </si>
  <si>
    <t>Index (2007=100)</t>
  </si>
  <si>
    <t>Annual Growth (%)</t>
  </si>
  <si>
    <t>Bond rate minus CPI (Consumer Price Indeks)</t>
  </si>
  <si>
    <t>rata2 GBR (3th)</t>
  </si>
  <si>
    <t>rata2 CPI (3th)</t>
  </si>
  <si>
    <t>Cek Persediaan Akhir</t>
  </si>
  <si>
    <t>Laju Persediaan Akhir</t>
  </si>
  <si>
    <t>Daftar Kuotasi Harga SUN Seri Benchmark Harian</t>
  </si>
  <si>
    <t>Tanggal/ Date</t>
  </si>
  <si>
    <t>5 Y</t>
  </si>
  <si>
    <t>10 Y</t>
  </si>
  <si>
    <t>15 Y</t>
  </si>
  <si>
    <t>20 Y</t>
  </si>
  <si>
    <t>FR0066</t>
  </si>
  <si>
    <t>FR0063</t>
  </si>
  <si>
    <t>FR0064</t>
  </si>
  <si>
    <t>FR0065</t>
  </si>
  <si>
    <t>Harga/ Price</t>
  </si>
  <si>
    <t>Yield</t>
  </si>
  <si>
    <t>FR0069</t>
  </si>
  <si>
    <t>FR0070</t>
  </si>
  <si>
    <t>FR0071</t>
  </si>
  <si>
    <t>FR0068</t>
  </si>
  <si>
    <t>FR0053</t>
  </si>
  <si>
    <t>FR0056</t>
  </si>
  <si>
    <t>FR0073</t>
  </si>
  <si>
    <t>FR0072</t>
  </si>
  <si>
    <t>FR0061</t>
  </si>
  <si>
    <t>FR0059</t>
  </si>
  <si>
    <t>FR0074</t>
  </si>
  <si>
    <t>FR0060</t>
  </si>
  <si>
    <t>FR0058</t>
  </si>
  <si>
    <t>Government Bond</t>
  </si>
  <si>
    <t>cadangan</t>
  </si>
  <si>
    <t>unit rent</t>
  </si>
  <si>
    <t>Luar Jawa</t>
  </si>
  <si>
    <t>FR0075</t>
  </si>
  <si>
    <t>Sumber Daya Hutan Jati Jawa</t>
  </si>
  <si>
    <t>Sumber Daya Hutan Rimba Jawa</t>
  </si>
  <si>
    <t>Sumber Daya Hutan Rimba Luar Jawa</t>
  </si>
  <si>
    <t>FR0077</t>
  </si>
  <si>
    <t>FR0078</t>
  </si>
  <si>
    <t>FR0079</t>
  </si>
  <si>
    <t>FR0081</t>
  </si>
  <si>
    <t>FR0082</t>
  </si>
  <si>
    <t>FR0080</t>
  </si>
  <si>
    <t>FR0083</t>
  </si>
  <si>
    <t>nomor baris neraca fisik</t>
  </si>
  <si>
    <t>nomor baris neraca moneter</t>
  </si>
  <si>
    <t>Rasio GOS/Output (IO 2016)</t>
  </si>
  <si>
    <t>Discount Rate</t>
  </si>
  <si>
    <t>FR0086</t>
  </si>
  <si>
    <t>FR0087</t>
  </si>
  <si>
    <t>FR0088</t>
  </si>
  <si>
    <t>NA</t>
  </si>
  <si>
    <t>FR0090</t>
  </si>
  <si>
    <t>FR0091</t>
  </si>
  <si>
    <t>FR0093</t>
  </si>
  <si>
    <t>FR0092</t>
  </si>
  <si>
    <t>FR0095</t>
  </si>
  <si>
    <t>FR0096</t>
  </si>
  <si>
    <t>FR0098</t>
  </si>
  <si>
    <t>FR0097</t>
  </si>
  <si>
    <t>FR0101</t>
  </si>
  <si>
    <t>FR0100</t>
  </si>
  <si>
    <t>2023**</t>
  </si>
  <si>
    <t>2024***</t>
  </si>
  <si>
    <t>2022*</t>
  </si>
  <si>
    <t>Output
(juta Rp)</t>
  </si>
  <si>
    <t>Produksi
(000 m3)</t>
  </si>
  <si>
    <t>GOS per Unit
(Rp/m3)</t>
  </si>
  <si>
    <t>growth</t>
  </si>
  <si>
    <t>planting</t>
  </si>
  <si>
    <t>losses</t>
  </si>
  <si>
    <t>harvesting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</si>
</sst>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_);\(0\)"/>
    <numFmt numFmtId="167" formatCode="#,##0.0"/>
    <numFmt numFmtId="168" formatCode="_(* #,##0_);_(* \(#,##0\);_(* &quot;-&quot;??_);_(@_)"/>
    <numFmt numFmtId="169" formatCode="_(* #,##0.00_);_(* \(#,##0.00\);_(* &quot;-&quot;_);_(@_)"/>
    <numFmt numFmtId="170" formatCode="0.0000"/>
    <numFmt numFmtId="171" formatCode="_(* #,##0.0000_);_(* \(#,##0.0000\);_(* &quot;-&quot;??_);_(@_)"/>
    <numFmt numFmtId="172" formatCode="0.000%"/>
    <numFmt numFmtId="173" formatCode="[$-409]d\-mmm\-yy;@"/>
    <numFmt numFmtId="174" formatCode="0.000"/>
    <numFmt numFmtId="175" formatCode="_-* #,##0.00_-;\-* #,##0.00_-;_-* &quot;-&quot;_-;_-@_-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Times New Roman"/>
      <family val="1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1"/>
      <name val="Book Antiqua"/>
      <family val="1"/>
    </font>
    <font>
      <sz val="12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2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vertAlign val="superscript"/>
      <sz val="10"/>
      <name val="Book Antiqua"/>
      <family val="1"/>
    </font>
    <font>
      <b/>
      <sz val="11"/>
      <color rgb="FFFF0000"/>
      <name val="Calibri"/>
      <family val="2"/>
      <scheme val="minor"/>
    </font>
    <font>
      <b/>
      <sz val="10"/>
      <color rgb="FFFF0000"/>
      <name val="Book Antiqua"/>
      <family val="1"/>
    </font>
    <font>
      <sz val="10"/>
      <color theme="1"/>
      <name val="Book Antiqua"/>
      <family val="1"/>
    </font>
    <font>
      <b/>
      <sz val="10"/>
      <color indexed="10"/>
      <name val="Book Antiqua"/>
      <family val="1"/>
    </font>
    <font>
      <sz val="10"/>
      <color rgb="FFFF0000"/>
      <name val="Book Antiqua"/>
      <family val="1"/>
    </font>
    <font>
      <b/>
      <i/>
      <sz val="10"/>
      <name val="Book Antiqua"/>
      <family val="1"/>
    </font>
    <font>
      <sz val="11"/>
      <color rgb="FFFF0000"/>
      <name val="Calibri"/>
      <family val="2"/>
    </font>
    <font>
      <sz val="9"/>
      <name val="Book Antiqua"/>
      <family val="1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sz val="12"/>
      <name val="Trebuchet MS"/>
      <family val="2"/>
    </font>
    <font>
      <sz val="10"/>
      <color theme="0"/>
      <name val="Book Antiqua"/>
      <family val="1"/>
    </font>
  </fonts>
  <fills count="18">
    <fill>
      <patternFill patternType="none"/>
    </fill>
    <fill>
      <patternFill patternType="gray125"/>
    </fill>
    <fill>
      <patternFill patternType="solid">
        <fgColor rgb="FFDDEE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2" tint="-9.9978637043366805E-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2" tint="-9.9978637043366805E-2"/>
      </bottom>
      <diagonal/>
    </border>
    <border>
      <left style="thin">
        <color theme="0" tint="-0.34998626667073579"/>
      </left>
      <right style="thin">
        <color theme="2" tint="-0.249977111117893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0" tint="-0.34998626667073579"/>
      </top>
      <bottom/>
      <diagonal/>
    </border>
    <border>
      <left/>
      <right style="thin">
        <color theme="2" tint="-0.249977111117893"/>
      </right>
      <top style="thin">
        <color theme="0" tint="-0.34998626667073579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/>
      <bottom/>
      <diagonal/>
    </border>
    <border>
      <left/>
      <right style="thin">
        <color indexed="64"/>
      </right>
      <top/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/>
      <diagonal/>
    </border>
  </borders>
  <cellStyleXfs count="42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43" fontId="10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493">
    <xf numFmtId="0" fontId="0" fillId="0" borderId="0" xfId="0"/>
    <xf numFmtId="43" fontId="5" fillId="0" borderId="0" xfId="1" applyFont="1" applyAlignment="1">
      <alignment vertical="center"/>
    </xf>
    <xf numFmtId="43" fontId="0" fillId="0" borderId="0" xfId="1" applyFont="1"/>
    <xf numFmtId="43" fontId="9" fillId="0" borderId="0" xfId="1" applyFont="1" applyFill="1" applyBorder="1" applyAlignment="1">
      <alignment vertical="center"/>
    </xf>
    <xf numFmtId="43" fontId="9" fillId="0" borderId="0" xfId="1" applyFont="1" applyFill="1" applyBorder="1" applyAlignment="1" applyProtection="1">
      <alignment vertical="center"/>
    </xf>
    <xf numFmtId="0" fontId="0" fillId="0" borderId="1" xfId="0" applyBorder="1"/>
    <xf numFmtId="43" fontId="0" fillId="0" borderId="1" xfId="1" applyFont="1" applyBorder="1"/>
    <xf numFmtId="0" fontId="0" fillId="0" borderId="1" xfId="0" applyBorder="1" applyAlignment="1">
      <alignment horizontal="center"/>
    </xf>
    <xf numFmtId="0" fontId="17" fillId="0" borderId="0" xfId="0" applyFont="1"/>
    <xf numFmtId="0" fontId="6" fillId="0" borderId="0" xfId="20" applyFont="1"/>
    <xf numFmtId="166" fontId="5" fillId="0" borderId="2" xfId="20" applyNumberFormat="1" applyFont="1" applyBorder="1" applyAlignment="1">
      <alignment horizontal="center" vertical="center" wrapText="1"/>
    </xf>
    <xf numFmtId="43" fontId="0" fillId="0" borderId="0" xfId="1" applyFont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" fontId="6" fillId="3" borderId="1" xfId="1" applyNumberFormat="1" applyFont="1" applyFill="1" applyBorder="1" applyAlignment="1">
      <alignment horizontal="center" vertical="center"/>
    </xf>
    <xf numFmtId="43" fontId="6" fillId="0" borderId="1" xfId="1" applyFont="1" applyBorder="1"/>
    <xf numFmtId="43" fontId="5" fillId="0" borderId="1" xfId="1" applyFont="1" applyBorder="1" applyAlignment="1">
      <alignment horizontal="center" vertical="center"/>
    </xf>
    <xf numFmtId="43" fontId="18" fillId="0" borderId="0" xfId="1" applyFont="1" applyAlignment="1">
      <alignment vertical="center"/>
    </xf>
    <xf numFmtId="43" fontId="7" fillId="0" borderId="1" xfId="1" applyFont="1" applyBorder="1" applyAlignment="1">
      <alignment horizontal="center" vertical="center" wrapText="1"/>
    </xf>
    <xf numFmtId="43" fontId="19" fillId="0" borderId="1" xfId="1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167" fontId="20" fillId="0" borderId="0" xfId="0" applyNumberFormat="1" applyFont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167" fontId="6" fillId="0" borderId="6" xfId="0" applyNumberFormat="1" applyFont="1" applyBorder="1" applyAlignment="1">
      <alignment vertical="center"/>
    </xf>
    <xf numFmtId="4" fontId="6" fillId="0" borderId="6" xfId="0" applyNumberFormat="1" applyFont="1" applyBorder="1" applyAlignment="1">
      <alignment vertical="center"/>
    </xf>
    <xf numFmtId="0" fontId="6" fillId="0" borderId="4" xfId="0" applyFont="1" applyBorder="1" applyAlignment="1">
      <alignment vertical="center"/>
    </xf>
    <xf numFmtId="43" fontId="0" fillId="0" borderId="0" xfId="0" applyNumberFormat="1"/>
    <xf numFmtId="43" fontId="7" fillId="0" borderId="7" xfId="1" applyFont="1" applyBorder="1" applyAlignment="1">
      <alignment horizontal="center" vertical="center" wrapText="1"/>
    </xf>
    <xf numFmtId="8" fontId="9" fillId="0" borderId="0" xfId="1" applyNumberFormat="1" applyFont="1" applyFill="1" applyBorder="1" applyAlignment="1" applyProtection="1">
      <alignment vertical="center"/>
    </xf>
    <xf numFmtId="0" fontId="6" fillId="0" borderId="6" xfId="0" applyFont="1" applyBorder="1" applyAlignment="1">
      <alignment horizontal="left" vertical="center" indent="2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1" fontId="6" fillId="0" borderId="0" xfId="1" applyNumberFormat="1" applyFont="1" applyBorder="1" applyAlignment="1">
      <alignment horizontal="center" vertical="center"/>
    </xf>
    <xf numFmtId="43" fontId="19" fillId="0" borderId="0" xfId="1" applyFont="1" applyBorder="1"/>
    <xf numFmtId="1" fontId="6" fillId="3" borderId="9" xfId="1" applyNumberFormat="1" applyFont="1" applyFill="1" applyBorder="1" applyAlignment="1">
      <alignment horizontal="center" vertical="center"/>
    </xf>
    <xf numFmtId="166" fontId="5" fillId="0" borderId="9" xfId="20" applyNumberFormat="1" applyFont="1" applyBorder="1" applyAlignment="1">
      <alignment horizontal="center" vertical="center" wrapText="1"/>
    </xf>
    <xf numFmtId="167" fontId="6" fillId="4" borderId="6" xfId="0" applyNumberFormat="1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0" fillId="4" borderId="0" xfId="0" applyFill="1"/>
    <xf numFmtId="0" fontId="5" fillId="4" borderId="6" xfId="0" applyFont="1" applyFill="1" applyBorder="1" applyAlignment="1">
      <alignment horizontal="left" vertical="center"/>
    </xf>
    <xf numFmtId="168" fontId="0" fillId="0" borderId="0" xfId="1" applyNumberFormat="1" applyFont="1"/>
    <xf numFmtId="43" fontId="18" fillId="0" borderId="0" xfId="1" applyFont="1" applyBorder="1" applyAlignment="1">
      <alignment vertical="center"/>
    </xf>
    <xf numFmtId="43" fontId="0" fillId="0" borderId="0" xfId="1" applyFont="1" applyBorder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43" fontId="19" fillId="0" borderId="1" xfId="1" applyFont="1" applyBorder="1" applyAlignment="1">
      <alignment vertical="center"/>
    </xf>
    <xf numFmtId="43" fontId="5" fillId="3" borderId="0" xfId="1" applyFont="1" applyFill="1" applyAlignment="1">
      <alignment vertical="center"/>
    </xf>
    <xf numFmtId="1" fontId="6" fillId="5" borderId="1" xfId="1" applyNumberFormat="1" applyFont="1" applyFill="1" applyBorder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0" borderId="9" xfId="1" applyFont="1" applyBorder="1" applyAlignment="1">
      <alignment horizontal="center"/>
    </xf>
    <xf numFmtId="43" fontId="21" fillId="0" borderId="1" xfId="1" applyFont="1" applyBorder="1"/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43" fontId="9" fillId="0" borderId="9" xfId="1" applyFont="1" applyFill="1" applyBorder="1" applyAlignment="1">
      <alignment vertical="center"/>
    </xf>
    <xf numFmtId="43" fontId="23" fillId="0" borderId="9" xfId="1" applyFont="1" applyFill="1" applyBorder="1" applyAlignment="1">
      <alignment vertical="center"/>
    </xf>
    <xf numFmtId="43" fontId="7" fillId="0" borderId="9" xfId="1" applyFont="1" applyBorder="1" applyAlignment="1">
      <alignment horizontal="center" vertical="center" wrapText="1"/>
    </xf>
    <xf numFmtId="43" fontId="0" fillId="0" borderId="9" xfId="1" applyFont="1" applyBorder="1"/>
    <xf numFmtId="43" fontId="21" fillId="0" borderId="9" xfId="1" applyFont="1" applyBorder="1"/>
    <xf numFmtId="43" fontId="19" fillId="3" borderId="1" xfId="1" applyFont="1" applyFill="1" applyBorder="1"/>
    <xf numFmtId="43" fontId="0" fillId="0" borderId="10" xfId="1" applyFont="1" applyBorder="1"/>
    <xf numFmtId="2" fontId="6" fillId="0" borderId="1" xfId="1" applyNumberFormat="1" applyFont="1" applyBorder="1" applyAlignment="1">
      <alignment horizontal="center" vertical="center"/>
    </xf>
    <xf numFmtId="43" fontId="6" fillId="0" borderId="1" xfId="1" applyFont="1" applyBorder="1" applyAlignment="1">
      <alignment vertical="center"/>
    </xf>
    <xf numFmtId="43" fontId="6" fillId="0" borderId="8" xfId="1" applyFont="1" applyBorder="1" applyAlignment="1">
      <alignment vertical="center"/>
    </xf>
    <xf numFmtId="43" fontId="19" fillId="0" borderId="9" xfId="1" applyFont="1" applyFill="1" applyBorder="1" applyAlignment="1">
      <alignment vertical="center"/>
    </xf>
    <xf numFmtId="43" fontId="19" fillId="0" borderId="9" xfId="1" applyFont="1" applyBorder="1" applyAlignment="1">
      <alignment vertical="center"/>
    </xf>
    <xf numFmtId="43" fontId="24" fillId="0" borderId="1" xfId="1" applyFont="1" applyBorder="1"/>
    <xf numFmtId="171" fontId="6" fillId="0" borderId="1" xfId="1" applyNumberFormat="1" applyFont="1" applyBorder="1"/>
    <xf numFmtId="0" fontId="2" fillId="0" borderId="9" xfId="0" applyFont="1" applyBorder="1" applyAlignment="1">
      <alignment horizontal="center" vertical="center" wrapText="1"/>
    </xf>
    <xf numFmtId="43" fontId="0" fillId="0" borderId="9" xfId="0" applyNumberFormat="1" applyBorder="1" applyAlignment="1">
      <alignment horizontal="center" vertical="center"/>
    </xf>
    <xf numFmtId="169" fontId="0" fillId="0" borderId="9" xfId="25" applyNumberFormat="1" applyFont="1" applyBorder="1"/>
    <xf numFmtId="1" fontId="6" fillId="3" borderId="0" xfId="1" applyNumberFormat="1" applyFont="1" applyFill="1" applyBorder="1" applyAlignment="1">
      <alignment horizontal="center" vertical="center"/>
    </xf>
    <xf numFmtId="43" fontId="6" fillId="0" borderId="0" xfId="1" applyFont="1" applyBorder="1"/>
    <xf numFmtId="43" fontId="21" fillId="0" borderId="0" xfId="1" applyFont="1" applyBorder="1"/>
    <xf numFmtId="43" fontId="19" fillId="3" borderId="0" xfId="1" applyFont="1" applyFill="1" applyBorder="1"/>
    <xf numFmtId="2" fontId="9" fillId="0" borderId="0" xfId="1" applyNumberFormat="1" applyFont="1" applyFill="1" applyBorder="1" applyAlignment="1" applyProtection="1">
      <alignment vertical="center"/>
    </xf>
    <xf numFmtId="2" fontId="6" fillId="0" borderId="1" xfId="1" applyNumberFormat="1" applyFont="1" applyBorder="1" applyAlignment="1">
      <alignment horizontal="center"/>
    </xf>
    <xf numFmtId="2" fontId="6" fillId="0" borderId="1" xfId="25" applyNumberFormat="1" applyFont="1" applyBorder="1" applyAlignment="1">
      <alignment horizontal="center"/>
    </xf>
    <xf numFmtId="10" fontId="0" fillId="0" borderId="0" xfId="0" applyNumberFormat="1"/>
    <xf numFmtId="169" fontId="0" fillId="0" borderId="0" xfId="25" applyNumberFormat="1" applyFont="1"/>
    <xf numFmtId="0" fontId="12" fillId="2" borderId="9" xfId="10" applyFont="1" applyFill="1" applyBorder="1" applyAlignment="1">
      <alignment horizontal="center" vertical="center" wrapText="1"/>
    </xf>
    <xf numFmtId="2" fontId="14" fillId="0" borderId="9" xfId="10" applyNumberFormat="1" applyFont="1" applyBorder="1" applyAlignment="1">
      <alignment horizontal="right"/>
    </xf>
    <xf numFmtId="10" fontId="13" fillId="0" borderId="9" xfId="11" applyNumberFormat="1" applyFont="1" applyBorder="1"/>
    <xf numFmtId="0" fontId="8" fillId="0" borderId="9" xfId="5" applyBorder="1"/>
    <xf numFmtId="2" fontId="13" fillId="0" borderId="9" xfId="11" applyNumberFormat="1" applyFont="1" applyBorder="1"/>
    <xf numFmtId="170" fontId="25" fillId="0" borderId="9" xfId="5" applyNumberFormat="1" applyFont="1" applyBorder="1"/>
    <xf numFmtId="10" fontId="1" fillId="0" borderId="9" xfId="10" applyNumberFormat="1" applyBorder="1"/>
    <xf numFmtId="0" fontId="0" fillId="0" borderId="9" xfId="0" applyBorder="1"/>
    <xf numFmtId="2" fontId="0" fillId="0" borderId="9" xfId="0" applyNumberFormat="1" applyBorder="1"/>
    <xf numFmtId="10" fontId="0" fillId="0" borderId="9" xfId="0" applyNumberFormat="1" applyBorder="1"/>
    <xf numFmtId="10" fontId="0" fillId="7" borderId="9" xfId="0" applyNumberFormat="1" applyFill="1" applyBorder="1"/>
    <xf numFmtId="10" fontId="0" fillId="0" borderId="9" xfId="24" applyNumberFormat="1" applyFont="1" applyBorder="1"/>
    <xf numFmtId="0" fontId="0" fillId="0" borderId="0" xfId="0" applyAlignment="1">
      <alignment horizontal="center" vertical="center" wrapText="1"/>
    </xf>
    <xf numFmtId="169" fontId="14" fillId="0" borderId="9" xfId="25" applyNumberFormat="1" applyFont="1" applyBorder="1" applyAlignment="1">
      <alignment horizontal="right"/>
    </xf>
    <xf numFmtId="0" fontId="2" fillId="8" borderId="9" xfId="0" applyFont="1" applyFill="1" applyBorder="1"/>
    <xf numFmtId="0" fontId="28" fillId="3" borderId="0" xfId="0" applyFont="1" applyFill="1"/>
    <xf numFmtId="43" fontId="0" fillId="0" borderId="0" xfId="1" applyFont="1" applyAlignment="1">
      <alignment horizontal="center" vertical="center" wrapText="1"/>
    </xf>
    <xf numFmtId="1" fontId="6" fillId="9" borderId="1" xfId="1" applyNumberFormat="1" applyFont="1" applyFill="1" applyBorder="1" applyAlignment="1">
      <alignment horizontal="center" vertical="center"/>
    </xf>
    <xf numFmtId="43" fontId="19" fillId="9" borderId="1" xfId="1" applyFont="1" applyFill="1" applyBorder="1"/>
    <xf numFmtId="43" fontId="21" fillId="9" borderId="1" xfId="1" applyFont="1" applyFill="1" applyBorder="1"/>
    <xf numFmtId="43" fontId="0" fillId="9" borderId="0" xfId="1" applyFont="1" applyFill="1"/>
    <xf numFmtId="1" fontId="6" fillId="9" borderId="9" xfId="1" applyNumberFormat="1" applyFont="1" applyFill="1" applyBorder="1" applyAlignment="1">
      <alignment horizontal="center" vertical="center"/>
    </xf>
    <xf numFmtId="43" fontId="19" fillId="9" borderId="9" xfId="1" applyFont="1" applyFill="1" applyBorder="1"/>
    <xf numFmtId="2" fontId="6" fillId="3" borderId="1" xfId="1" applyNumberFormat="1" applyFont="1" applyFill="1" applyBorder="1" applyAlignment="1">
      <alignment horizontal="center"/>
    </xf>
    <xf numFmtId="43" fontId="21" fillId="3" borderId="1" xfId="1" applyFont="1" applyFill="1" applyBorder="1"/>
    <xf numFmtId="43" fontId="6" fillId="3" borderId="1" xfId="1" applyFont="1" applyFill="1" applyBorder="1"/>
    <xf numFmtId="171" fontId="6" fillId="3" borderId="1" xfId="1" applyNumberFormat="1" applyFont="1" applyFill="1" applyBorder="1"/>
    <xf numFmtId="2" fontId="6" fillId="9" borderId="1" xfId="1" applyNumberFormat="1" applyFont="1" applyFill="1" applyBorder="1" applyAlignment="1">
      <alignment horizontal="center"/>
    </xf>
    <xf numFmtId="43" fontId="6" fillId="9" borderId="1" xfId="1" applyFont="1" applyFill="1" applyBorder="1"/>
    <xf numFmtId="43" fontId="19" fillId="3" borderId="9" xfId="1" applyFont="1" applyFill="1" applyBorder="1"/>
    <xf numFmtId="169" fontId="0" fillId="9" borderId="9" xfId="25" applyNumberFormat="1" applyFont="1" applyFill="1" applyBorder="1"/>
    <xf numFmtId="169" fontId="0" fillId="3" borderId="9" xfId="25" applyNumberFormat="1" applyFont="1" applyFill="1" applyBorder="1"/>
    <xf numFmtId="1" fontId="19" fillId="9" borderId="1" xfId="1" applyNumberFormat="1" applyFont="1" applyFill="1" applyBorder="1" applyAlignment="1">
      <alignment horizontal="center" vertical="center"/>
    </xf>
    <xf numFmtId="43" fontId="1" fillId="9" borderId="9" xfId="1" applyFont="1" applyFill="1" applyBorder="1"/>
    <xf numFmtId="1" fontId="19" fillId="3" borderId="1" xfId="1" applyNumberFormat="1" applyFont="1" applyFill="1" applyBorder="1" applyAlignment="1">
      <alignment horizontal="center" vertical="center"/>
    </xf>
    <xf numFmtId="43" fontId="1" fillId="3" borderId="9" xfId="1" applyFont="1" applyFill="1" applyBorder="1"/>
    <xf numFmtId="43" fontId="19" fillId="9" borderId="1" xfId="1" applyFont="1" applyFill="1" applyBorder="1" applyAlignment="1">
      <alignment vertical="center"/>
    </xf>
    <xf numFmtId="43" fontId="19" fillId="3" borderId="1" xfId="1" applyFont="1" applyFill="1" applyBorder="1" applyAlignment="1">
      <alignment vertical="center"/>
    </xf>
    <xf numFmtId="43" fontId="0" fillId="9" borderId="9" xfId="0" applyNumberFormat="1" applyFill="1" applyBorder="1" applyAlignment="1">
      <alignment horizontal="center" vertical="center"/>
    </xf>
    <xf numFmtId="43" fontId="0" fillId="9" borderId="1" xfId="1" applyFont="1" applyFill="1" applyBorder="1"/>
    <xf numFmtId="43" fontId="0" fillId="9" borderId="9" xfId="1" applyFont="1" applyFill="1" applyBorder="1" applyAlignment="1">
      <alignment horizontal="center"/>
    </xf>
    <xf numFmtId="41" fontId="21" fillId="9" borderId="9" xfId="25" applyFont="1" applyFill="1" applyBorder="1"/>
    <xf numFmtId="0" fontId="12" fillId="10" borderId="9" xfId="10" applyFont="1" applyFill="1" applyBorder="1" applyAlignment="1">
      <alignment horizontal="center" vertical="center" wrapText="1"/>
    </xf>
    <xf numFmtId="2" fontId="14" fillId="10" borderId="9" xfId="10" applyNumberFormat="1" applyFont="1" applyFill="1" applyBorder="1" applyAlignment="1">
      <alignment horizontal="right"/>
    </xf>
    <xf numFmtId="2" fontId="0" fillId="10" borderId="9" xfId="0" applyNumberFormat="1" applyFill="1" applyBorder="1"/>
    <xf numFmtId="169" fontId="0" fillId="10" borderId="9" xfId="25" applyNumberFormat="1" applyFont="1" applyFill="1" applyBorder="1" applyAlignment="1">
      <alignment horizontal="right" vertical="center"/>
    </xf>
    <xf numFmtId="0" fontId="2" fillId="11" borderId="15" xfId="0" applyFont="1" applyFill="1" applyBorder="1" applyAlignment="1">
      <alignment horizontal="center" vertical="center" wrapText="1"/>
    </xf>
    <xf numFmtId="0" fontId="2" fillId="11" borderId="15" xfId="0" applyFont="1" applyFill="1" applyBorder="1" applyAlignment="1">
      <alignment horizontal="center" vertical="center"/>
    </xf>
    <xf numFmtId="173" fontId="0" fillId="0" borderId="15" xfId="0" applyNumberFormat="1" applyBorder="1" applyAlignment="1">
      <alignment horizontal="center" vertical="center"/>
    </xf>
    <xf numFmtId="2" fontId="0" fillId="0" borderId="15" xfId="26" applyNumberFormat="1" applyFont="1" applyBorder="1" applyAlignment="1">
      <alignment horizontal="center" vertical="center"/>
    </xf>
    <xf numFmtId="10" fontId="0" fillId="0" borderId="15" xfId="24" applyNumberFormat="1" applyFont="1" applyBorder="1" applyAlignment="1">
      <alignment horizontal="center" vertical="center"/>
    </xf>
    <xf numFmtId="173" fontId="0" fillId="11" borderId="15" xfId="0" applyNumberFormat="1" applyFill="1" applyBorder="1" applyAlignment="1">
      <alignment horizontal="center" vertical="center"/>
    </xf>
    <xf numFmtId="2" fontId="0" fillId="11" borderId="15" xfId="26" applyNumberFormat="1" applyFont="1" applyFill="1" applyBorder="1" applyAlignment="1">
      <alignment horizontal="center" vertical="center"/>
    </xf>
    <xf numFmtId="10" fontId="0" fillId="11" borderId="15" xfId="24" applyNumberFormat="1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173" fontId="0" fillId="5" borderId="15" xfId="0" applyNumberFormat="1" applyFill="1" applyBorder="1" applyAlignment="1">
      <alignment horizontal="center" vertical="center"/>
    </xf>
    <xf numFmtId="2" fontId="0" fillId="5" borderId="15" xfId="26" applyNumberFormat="1" applyFont="1" applyFill="1" applyBorder="1" applyAlignment="1">
      <alignment horizontal="center" vertical="center"/>
    </xf>
    <xf numFmtId="10" fontId="0" fillId="5" borderId="15" xfId="24" applyNumberFormat="1" applyFont="1" applyFill="1" applyBorder="1" applyAlignment="1">
      <alignment horizontal="center" vertical="center"/>
    </xf>
    <xf numFmtId="10" fontId="13" fillId="10" borderId="9" xfId="11" applyNumberFormat="1" applyFont="1" applyFill="1" applyBorder="1"/>
    <xf numFmtId="43" fontId="6" fillId="3" borderId="0" xfId="1" applyFont="1" applyFill="1" applyAlignment="1">
      <alignment vertical="center"/>
    </xf>
    <xf numFmtId="41" fontId="21" fillId="0" borderId="9" xfId="25" applyFont="1" applyBorder="1"/>
    <xf numFmtId="169" fontId="0" fillId="0" borderId="0" xfId="25" applyNumberFormat="1" applyFont="1" applyAlignment="1">
      <alignment vertical="center"/>
    </xf>
    <xf numFmtId="43" fontId="6" fillId="0" borderId="0" xfId="20" applyNumberFormat="1" applyFont="1"/>
    <xf numFmtId="169" fontId="6" fillId="0" borderId="0" xfId="25" applyNumberFormat="1" applyFont="1"/>
    <xf numFmtId="174" fontId="6" fillId="9" borderId="1" xfId="1" applyNumberFormat="1" applyFont="1" applyFill="1" applyBorder="1" applyAlignment="1">
      <alignment horizontal="center"/>
    </xf>
    <xf numFmtId="1" fontId="0" fillId="0" borderId="9" xfId="0" applyNumberFormat="1" applyBorder="1"/>
    <xf numFmtId="174" fontId="0" fillId="0" borderId="9" xfId="0" applyNumberFormat="1" applyBorder="1"/>
    <xf numFmtId="41" fontId="0" fillId="0" borderId="9" xfId="25" applyFont="1" applyBorder="1"/>
    <xf numFmtId="2" fontId="0" fillId="11" borderId="15" xfId="1" applyNumberFormat="1" applyFont="1" applyFill="1" applyBorder="1" applyAlignment="1">
      <alignment horizontal="center" vertical="center"/>
    </xf>
    <xf numFmtId="2" fontId="0" fillId="0" borderId="15" xfId="1" applyNumberFormat="1" applyFont="1" applyBorder="1" applyAlignment="1">
      <alignment horizontal="center" vertical="center"/>
    </xf>
    <xf numFmtId="1" fontId="6" fillId="0" borderId="1" xfId="1" applyNumberFormat="1" applyFont="1" applyFill="1" applyBorder="1" applyAlignment="1">
      <alignment horizontal="center" vertical="center"/>
    </xf>
    <xf numFmtId="43" fontId="19" fillId="0" borderId="1" xfId="1" applyFont="1" applyFill="1" applyBorder="1"/>
    <xf numFmtId="43" fontId="21" fillId="0" borderId="1" xfId="1" applyFont="1" applyFill="1" applyBorder="1"/>
    <xf numFmtId="43" fontId="0" fillId="0" borderId="0" xfId="1" applyFont="1" applyFill="1"/>
    <xf numFmtId="41" fontId="21" fillId="0" borderId="9" xfId="25" applyFont="1" applyFill="1" applyBorder="1"/>
    <xf numFmtId="10" fontId="15" fillId="10" borderId="9" xfId="11" applyNumberFormat="1" applyFont="1" applyFill="1" applyBorder="1"/>
    <xf numFmtId="10" fontId="2" fillId="10" borderId="9" xfId="24" applyNumberFormat="1" applyFont="1" applyFill="1" applyBorder="1"/>
    <xf numFmtId="2" fontId="6" fillId="0" borderId="1" xfId="1" applyNumberFormat="1" applyFont="1" applyFill="1" applyBorder="1" applyAlignment="1">
      <alignment horizontal="center"/>
    </xf>
    <xf numFmtId="43" fontId="6" fillId="0" borderId="1" xfId="1" applyFont="1" applyFill="1" applyBorder="1"/>
    <xf numFmtId="174" fontId="6" fillId="0" borderId="1" xfId="1" applyNumberFormat="1" applyFont="1" applyFill="1" applyBorder="1" applyAlignment="1">
      <alignment horizontal="center"/>
    </xf>
    <xf numFmtId="171" fontId="6" fillId="0" borderId="1" xfId="1" applyNumberFormat="1" applyFont="1" applyFill="1" applyBorder="1"/>
    <xf numFmtId="1" fontId="19" fillId="0" borderId="1" xfId="1" applyNumberFormat="1" applyFont="1" applyFill="1" applyBorder="1" applyAlignment="1">
      <alignment horizontal="center" vertical="center"/>
    </xf>
    <xf numFmtId="43" fontId="19" fillId="0" borderId="9" xfId="1" applyFont="1" applyFill="1" applyBorder="1"/>
    <xf numFmtId="43" fontId="1" fillId="0" borderId="9" xfId="1" applyFont="1" applyFill="1" applyBorder="1"/>
    <xf numFmtId="43" fontId="19" fillId="0" borderId="1" xfId="1" applyFont="1" applyFill="1" applyBorder="1" applyAlignment="1">
      <alignment vertical="center"/>
    </xf>
    <xf numFmtId="169" fontId="2" fillId="10" borderId="9" xfId="25" applyNumberFormat="1" applyFont="1" applyFill="1" applyBorder="1" applyAlignment="1">
      <alignment horizontal="right" vertical="center"/>
    </xf>
    <xf numFmtId="169" fontId="0" fillId="0" borderId="9" xfId="25" applyNumberFormat="1" applyFont="1" applyFill="1" applyBorder="1"/>
    <xf numFmtId="169" fontId="0" fillId="0" borderId="0" xfId="25" applyNumberFormat="1" applyFont="1" applyFill="1"/>
    <xf numFmtId="167" fontId="6" fillId="9" borderId="6" xfId="0" applyNumberFormat="1" applyFont="1" applyFill="1" applyBorder="1" applyAlignment="1">
      <alignment vertical="center"/>
    </xf>
    <xf numFmtId="167" fontId="6" fillId="7" borderId="6" xfId="0" applyNumberFormat="1" applyFont="1" applyFill="1" applyBorder="1" applyAlignment="1">
      <alignment vertical="center"/>
    </xf>
    <xf numFmtId="41" fontId="21" fillId="0" borderId="4" xfId="25" applyFont="1" applyBorder="1" applyAlignment="1">
      <alignment vertical="center"/>
    </xf>
    <xf numFmtId="41" fontId="6" fillId="0" borderId="6" xfId="25" applyFont="1" applyBorder="1" applyAlignment="1">
      <alignment vertical="center"/>
    </xf>
    <xf numFmtId="167" fontId="6" fillId="8" borderId="6" xfId="0" applyNumberFormat="1" applyFont="1" applyFill="1" applyBorder="1" applyAlignment="1">
      <alignment vertical="center"/>
    </xf>
    <xf numFmtId="175" fontId="2" fillId="11" borderId="15" xfId="27" applyNumberFormat="1" applyFont="1" applyFill="1" applyBorder="1" applyAlignment="1">
      <alignment horizontal="center" wrapText="1"/>
    </xf>
    <xf numFmtId="0" fontId="2" fillId="11" borderId="15" xfId="0" applyFont="1" applyFill="1" applyBorder="1" applyAlignment="1">
      <alignment horizontal="center"/>
    </xf>
    <xf numFmtId="175" fontId="0" fillId="0" borderId="15" xfId="27" applyNumberFormat="1" applyFont="1" applyFill="1" applyBorder="1" applyAlignment="1">
      <alignment horizontal="center"/>
    </xf>
    <xf numFmtId="10" fontId="0" fillId="0" borderId="15" xfId="24" applyNumberFormat="1" applyFont="1" applyFill="1" applyBorder="1" applyAlignment="1">
      <alignment horizontal="center"/>
    </xf>
    <xf numFmtId="10" fontId="0" fillId="0" borderId="14" xfId="24" applyNumberFormat="1" applyFont="1" applyFill="1" applyBorder="1" applyAlignment="1">
      <alignment horizontal="center"/>
    </xf>
    <xf numFmtId="10" fontId="0" fillId="0" borderId="18" xfId="24" applyNumberFormat="1" applyFont="1" applyFill="1" applyBorder="1" applyAlignment="1">
      <alignment horizontal="center"/>
    </xf>
    <xf numFmtId="175" fontId="0" fillId="0" borderId="19" xfId="27" applyNumberFormat="1" applyFont="1" applyFill="1" applyBorder="1" applyAlignment="1">
      <alignment horizontal="center"/>
    </xf>
    <xf numFmtId="173" fontId="0" fillId="0" borderId="20" xfId="0" applyNumberFormat="1" applyBorder="1" applyAlignment="1">
      <alignment horizontal="center" vertical="center"/>
    </xf>
    <xf numFmtId="175" fontId="0" fillId="0" borderId="21" xfId="27" applyNumberFormat="1" applyFont="1" applyFill="1" applyBorder="1" applyAlignment="1">
      <alignment horizontal="center"/>
    </xf>
    <xf numFmtId="10" fontId="0" fillId="0" borderId="20" xfId="24" applyNumberFormat="1" applyFont="1" applyFill="1" applyBorder="1" applyAlignment="1">
      <alignment horizontal="center"/>
    </xf>
    <xf numFmtId="175" fontId="0" fillId="0" borderId="22" xfId="27" applyNumberFormat="1" applyFont="1" applyFill="1" applyBorder="1" applyAlignment="1">
      <alignment horizontal="center"/>
    </xf>
    <xf numFmtId="175" fontId="0" fillId="0" borderId="23" xfId="27" applyNumberFormat="1" applyFont="1" applyFill="1" applyBorder="1" applyAlignment="1">
      <alignment horizontal="center"/>
    </xf>
    <xf numFmtId="10" fontId="0" fillId="0" borderId="24" xfId="24" applyNumberFormat="1" applyFont="1" applyFill="1" applyBorder="1" applyAlignment="1">
      <alignment horizontal="center"/>
    </xf>
    <xf numFmtId="173" fontId="0" fillId="0" borderId="25" xfId="0" applyNumberFormat="1" applyBorder="1" applyAlignment="1">
      <alignment horizontal="center" vertical="center"/>
    </xf>
    <xf numFmtId="175" fontId="29" fillId="0" borderId="26" xfId="27" applyNumberFormat="1" applyFont="1" applyFill="1" applyBorder="1" applyAlignment="1">
      <alignment horizontal="center" wrapText="1"/>
    </xf>
    <xf numFmtId="10" fontId="29" fillId="0" borderId="26" xfId="24" applyNumberFormat="1" applyFont="1" applyFill="1" applyBorder="1" applyAlignment="1">
      <alignment horizontal="center"/>
    </xf>
    <xf numFmtId="175" fontId="29" fillId="0" borderId="26" xfId="27" applyNumberFormat="1" applyFont="1" applyFill="1" applyBorder="1" applyAlignment="1">
      <alignment horizontal="center"/>
    </xf>
    <xf numFmtId="175" fontId="29" fillId="0" borderId="25" xfId="27" applyNumberFormat="1" applyFont="1" applyFill="1" applyBorder="1" applyAlignment="1">
      <alignment horizontal="center"/>
    </xf>
    <xf numFmtId="0" fontId="0" fillId="0" borderId="26" xfId="0" applyBorder="1" applyAlignment="1">
      <alignment vertical="center"/>
    </xf>
    <xf numFmtId="173" fontId="0" fillId="0" borderId="27" xfId="0" applyNumberFormat="1" applyBorder="1" applyAlignment="1">
      <alignment horizontal="center" vertical="center"/>
    </xf>
    <xf numFmtId="175" fontId="0" fillId="0" borderId="28" xfId="27" applyNumberFormat="1" applyFont="1" applyFill="1" applyBorder="1" applyAlignment="1">
      <alignment horizontal="center"/>
    </xf>
    <xf numFmtId="10" fontId="0" fillId="0" borderId="28" xfId="24" applyNumberFormat="1" applyFont="1" applyFill="1" applyBorder="1" applyAlignment="1">
      <alignment horizontal="center"/>
    </xf>
    <xf numFmtId="175" fontId="0" fillId="0" borderId="27" xfId="27" applyNumberFormat="1" applyFont="1" applyFill="1" applyBorder="1" applyAlignment="1">
      <alignment horizontal="center"/>
    </xf>
    <xf numFmtId="10" fontId="0" fillId="0" borderId="28" xfId="0" applyNumberFormat="1" applyBorder="1" applyAlignment="1">
      <alignment horizontal="center"/>
    </xf>
    <xf numFmtId="0" fontId="0" fillId="0" borderId="28" xfId="0" applyBorder="1" applyAlignment="1">
      <alignment vertical="center"/>
    </xf>
    <xf numFmtId="173" fontId="0" fillId="0" borderId="29" xfId="0" applyNumberFormat="1" applyBorder="1" applyAlignment="1">
      <alignment horizontal="center" vertical="center"/>
    </xf>
    <xf numFmtId="175" fontId="29" fillId="0" borderId="30" xfId="27" applyNumberFormat="1" applyFont="1" applyFill="1" applyBorder="1" applyAlignment="1">
      <alignment horizontal="center"/>
    </xf>
    <xf numFmtId="10" fontId="29" fillId="0" borderId="30" xfId="24" applyNumberFormat="1" applyFont="1" applyFill="1" applyBorder="1" applyAlignment="1">
      <alignment horizontal="center"/>
    </xf>
    <xf numFmtId="10" fontId="0" fillId="0" borderId="30" xfId="24" applyNumberFormat="1" applyFont="1" applyFill="1" applyBorder="1" applyAlignment="1">
      <alignment horizontal="center"/>
    </xf>
    <xf numFmtId="175" fontId="0" fillId="0" borderId="29" xfId="27" applyNumberFormat="1" applyFont="1" applyFill="1" applyBorder="1" applyAlignment="1">
      <alignment horizontal="center"/>
    </xf>
    <xf numFmtId="175" fontId="0" fillId="0" borderId="26" xfId="27" applyNumberFormat="1" applyFont="1" applyFill="1" applyBorder="1" applyAlignment="1">
      <alignment horizontal="center"/>
    </xf>
    <xf numFmtId="10" fontId="0" fillId="0" borderId="26" xfId="24" applyNumberFormat="1" applyFont="1" applyFill="1" applyBorder="1" applyAlignment="1">
      <alignment horizontal="center"/>
    </xf>
    <xf numFmtId="175" fontId="0" fillId="0" borderId="25" xfId="27" applyNumberFormat="1" applyFont="1" applyFill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0" fontId="0" fillId="0" borderId="31" xfId="0" applyBorder="1" applyAlignment="1">
      <alignment vertical="center"/>
    </xf>
    <xf numFmtId="175" fontId="0" fillId="0" borderId="32" xfId="27" applyNumberFormat="1" applyFont="1" applyFill="1" applyBorder="1" applyAlignment="1">
      <alignment horizontal="center"/>
    </xf>
    <xf numFmtId="10" fontId="0" fillId="0" borderId="32" xfId="24" applyNumberFormat="1" applyFont="1" applyFill="1" applyBorder="1" applyAlignment="1">
      <alignment horizontal="center"/>
    </xf>
    <xf numFmtId="175" fontId="0" fillId="0" borderId="33" xfId="27" applyNumberFormat="1" applyFont="1" applyFill="1" applyBorder="1" applyAlignment="1">
      <alignment horizontal="center"/>
    </xf>
    <xf numFmtId="175" fontId="0" fillId="0" borderId="0" xfId="27" applyNumberFormat="1" applyFont="1" applyFill="1" applyAlignment="1">
      <alignment horizontal="center"/>
    </xf>
    <xf numFmtId="10" fontId="0" fillId="0" borderId="0" xfId="24" applyNumberFormat="1" applyFont="1" applyFill="1" applyAlignment="1">
      <alignment horizontal="center"/>
    </xf>
    <xf numFmtId="175" fontId="0" fillId="0" borderId="0" xfId="27" applyNumberFormat="1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3" fontId="0" fillId="0" borderId="34" xfId="0" applyNumberFormat="1" applyBorder="1" applyAlignment="1">
      <alignment horizontal="center" vertical="center"/>
    </xf>
    <xf numFmtId="175" fontId="0" fillId="0" borderId="35" xfId="27" applyNumberFormat="1" applyFont="1" applyFill="1" applyBorder="1" applyAlignment="1">
      <alignment horizontal="center"/>
    </xf>
    <xf numFmtId="10" fontId="0" fillId="0" borderId="35" xfId="24" applyNumberFormat="1" applyFon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5" xfId="0" applyBorder="1" applyAlignment="1">
      <alignment vertical="center"/>
    </xf>
    <xf numFmtId="173" fontId="0" fillId="0" borderId="36" xfId="0" applyNumberFormat="1" applyBorder="1" applyAlignment="1">
      <alignment horizontal="center" vertical="center"/>
    </xf>
    <xf numFmtId="175" fontId="0" fillId="0" borderId="37" xfId="27" applyNumberFormat="1" applyFont="1" applyFill="1" applyBorder="1" applyAlignment="1">
      <alignment horizontal="center"/>
    </xf>
    <xf numFmtId="0" fontId="0" fillId="0" borderId="37" xfId="24" applyNumberFormat="1" applyFont="1" applyFill="1" applyBorder="1" applyAlignment="1">
      <alignment horizontal="center"/>
    </xf>
    <xf numFmtId="0" fontId="0" fillId="0" borderId="0" xfId="24" applyNumberFormat="1" applyFont="1" applyFill="1" applyBorder="1" applyAlignment="1">
      <alignment horizontal="center"/>
    </xf>
    <xf numFmtId="10" fontId="0" fillId="0" borderId="37" xfId="24" applyNumberFormat="1" applyFont="1" applyFill="1" applyBorder="1" applyAlignment="1">
      <alignment horizontal="center"/>
    </xf>
    <xf numFmtId="0" fontId="0" fillId="0" borderId="38" xfId="0" applyBorder="1" applyAlignment="1">
      <alignment vertical="center"/>
    </xf>
    <xf numFmtId="173" fontId="0" fillId="0" borderId="39" xfId="0" applyNumberFormat="1" applyBorder="1" applyAlignment="1">
      <alignment horizontal="center" vertical="center"/>
    </xf>
    <xf numFmtId="0" fontId="0" fillId="0" borderId="37" xfId="0" applyBorder="1" applyAlignment="1">
      <alignment vertical="center"/>
    </xf>
    <xf numFmtId="173" fontId="0" fillId="0" borderId="40" xfId="0" applyNumberFormat="1" applyBorder="1" applyAlignment="1">
      <alignment horizontal="center" vertical="center"/>
    </xf>
    <xf numFmtId="175" fontId="0" fillId="0" borderId="41" xfId="27" applyNumberFormat="1" applyFont="1" applyFill="1" applyBorder="1" applyAlignment="1">
      <alignment horizontal="center"/>
    </xf>
    <xf numFmtId="0" fontId="0" fillId="0" borderId="41" xfId="24" applyNumberFormat="1" applyFont="1" applyFill="1" applyBorder="1" applyAlignment="1">
      <alignment horizontal="center"/>
    </xf>
    <xf numFmtId="10" fontId="0" fillId="0" borderId="41" xfId="24" applyNumberFormat="1" applyFont="1" applyFill="1" applyBorder="1" applyAlignment="1">
      <alignment horizontal="center"/>
    </xf>
    <xf numFmtId="0" fontId="0" fillId="0" borderId="41" xfId="0" applyBorder="1" applyAlignment="1">
      <alignment vertical="center"/>
    </xf>
    <xf numFmtId="0" fontId="0" fillId="0" borderId="42" xfId="0" applyBorder="1" applyAlignment="1">
      <alignment vertical="center"/>
    </xf>
    <xf numFmtId="173" fontId="0" fillId="0" borderId="43" xfId="0" applyNumberFormat="1" applyBorder="1" applyAlignment="1">
      <alignment horizontal="center" vertical="center"/>
    </xf>
    <xf numFmtId="175" fontId="0" fillId="0" borderId="44" xfId="27" applyNumberFormat="1" applyFont="1" applyFill="1" applyBorder="1" applyAlignment="1">
      <alignment horizontal="center"/>
    </xf>
    <xf numFmtId="0" fontId="0" fillId="0" borderId="44" xfId="24" applyNumberFormat="1" applyFont="1" applyFill="1" applyBorder="1" applyAlignment="1">
      <alignment horizontal="center"/>
    </xf>
    <xf numFmtId="10" fontId="0" fillId="0" borderId="44" xfId="24" applyNumberFormat="1" applyFont="1" applyFill="1" applyBorder="1" applyAlignment="1">
      <alignment horizontal="center"/>
    </xf>
    <xf numFmtId="0" fontId="0" fillId="0" borderId="44" xfId="0" applyBorder="1" applyAlignment="1">
      <alignment vertical="center"/>
    </xf>
    <xf numFmtId="173" fontId="0" fillId="0" borderId="45" xfId="0" applyNumberForma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0" fillId="0" borderId="0" xfId="24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173" fontId="0" fillId="0" borderId="47" xfId="0" applyNumberFormat="1" applyBorder="1" applyAlignment="1">
      <alignment horizontal="center" vertical="center"/>
    </xf>
    <xf numFmtId="173" fontId="0" fillId="0" borderId="47" xfId="0" applyNumberFormat="1" applyBorder="1" applyAlignment="1">
      <alignment horizontal="center"/>
    </xf>
    <xf numFmtId="10" fontId="29" fillId="0" borderId="0" xfId="24" applyNumberFormat="1" applyFont="1" applyFill="1" applyAlignment="1">
      <alignment horizontal="center"/>
    </xf>
    <xf numFmtId="2" fontId="0" fillId="0" borderId="0" xfId="24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175" fontId="0" fillId="0" borderId="0" xfId="27" applyNumberFormat="1" applyFont="1" applyAlignment="1">
      <alignment horizontal="center"/>
    </xf>
    <xf numFmtId="43" fontId="6" fillId="0" borderId="0" xfId="1" applyFont="1" applyFill="1" applyBorder="1"/>
    <xf numFmtId="166" fontId="5" fillId="0" borderId="0" xfId="20" applyNumberFormat="1" applyFont="1" applyAlignment="1">
      <alignment horizontal="center" vertical="center" wrapText="1"/>
    </xf>
    <xf numFmtId="43" fontId="1" fillId="0" borderId="0" xfId="1" applyFont="1" applyFill="1" applyBorder="1"/>
    <xf numFmtId="43" fontId="0" fillId="0" borderId="0" xfId="1" applyFont="1" applyFill="1" applyBorder="1"/>
    <xf numFmtId="0" fontId="2" fillId="0" borderId="0" xfId="0" applyFont="1"/>
    <xf numFmtId="0" fontId="2" fillId="12" borderId="9" xfId="0" applyFont="1" applyFill="1" applyBorder="1"/>
    <xf numFmtId="43" fontId="0" fillId="12" borderId="1" xfId="1" applyFont="1" applyFill="1" applyBorder="1"/>
    <xf numFmtId="0" fontId="31" fillId="0" borderId="0" xfId="0" applyFont="1" applyAlignment="1">
      <alignment vertical="center"/>
    </xf>
    <xf numFmtId="0" fontId="30" fillId="11" borderId="14" xfId="24" applyNumberFormat="1" applyFont="1" applyFill="1" applyBorder="1" applyAlignment="1">
      <alignment horizontal="center" vertical="center" wrapText="1"/>
    </xf>
    <xf numFmtId="10" fontId="30" fillId="11" borderId="14" xfId="24" applyNumberFormat="1" applyFont="1" applyFill="1" applyBorder="1" applyAlignment="1">
      <alignment horizontal="center" vertical="center"/>
    </xf>
    <xf numFmtId="173" fontId="0" fillId="0" borderId="9" xfId="0" applyNumberFormat="1" applyBorder="1" applyAlignment="1">
      <alignment horizontal="center" vertical="center"/>
    </xf>
    <xf numFmtId="0" fontId="31" fillId="0" borderId="9" xfId="24" applyNumberFormat="1" applyFont="1" applyFill="1" applyBorder="1" applyAlignment="1">
      <alignment horizontal="center" vertical="center"/>
    </xf>
    <xf numFmtId="10" fontId="31" fillId="0" borderId="9" xfId="24" applyNumberFormat="1" applyFont="1" applyFill="1" applyBorder="1" applyAlignment="1">
      <alignment horizontal="center" vertical="center"/>
    </xf>
    <xf numFmtId="10" fontId="32" fillId="0" borderId="9" xfId="24" applyNumberFormat="1" applyFont="1" applyFill="1" applyBorder="1" applyAlignment="1">
      <alignment horizontal="center" vertical="center"/>
    </xf>
    <xf numFmtId="10" fontId="32" fillId="0" borderId="9" xfId="24" quotePrefix="1" applyNumberFormat="1" applyFont="1" applyFill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2" fillId="0" borderId="9" xfId="28" applyNumberFormat="1" applyFont="1" applyFill="1" applyBorder="1" applyAlignment="1">
      <alignment horizontal="center" vertical="center"/>
    </xf>
    <xf numFmtId="10" fontId="32" fillId="0" borderId="9" xfId="29" applyNumberFormat="1" applyFont="1" applyFill="1" applyBorder="1" applyAlignment="1">
      <alignment horizontal="center" vertical="center"/>
    </xf>
    <xf numFmtId="0" fontId="32" fillId="0" borderId="9" xfId="29" applyNumberFormat="1" applyFont="1" applyFill="1" applyBorder="1" applyAlignment="1">
      <alignment horizontal="center" vertical="center"/>
    </xf>
    <xf numFmtId="0" fontId="32" fillId="0" borderId="9" xfId="30" applyNumberFormat="1" applyFont="1" applyFill="1" applyBorder="1" applyAlignment="1">
      <alignment horizontal="center" vertical="center"/>
    </xf>
    <xf numFmtId="165" fontId="32" fillId="0" borderId="9" xfId="30" applyFont="1" applyFill="1" applyBorder="1" applyAlignment="1">
      <alignment horizontal="center" vertical="center"/>
    </xf>
    <xf numFmtId="2" fontId="31" fillId="0" borderId="9" xfId="0" applyNumberFormat="1" applyFont="1" applyBorder="1" applyAlignment="1">
      <alignment horizontal="center" vertical="center"/>
    </xf>
    <xf numFmtId="165" fontId="32" fillId="0" borderId="9" xfId="31" applyFont="1" applyFill="1" applyBorder="1" applyAlignment="1">
      <alignment horizontal="center" vertical="center"/>
    </xf>
    <xf numFmtId="173" fontId="0" fillId="0" borderId="9" xfId="0" applyNumberFormat="1" applyBorder="1" applyAlignment="1">
      <alignment horizontal="center"/>
    </xf>
    <xf numFmtId="0" fontId="31" fillId="13" borderId="0" xfId="0" applyFont="1" applyFill="1" applyAlignment="1">
      <alignment vertical="center"/>
    </xf>
    <xf numFmtId="0" fontId="0" fillId="13" borderId="0" xfId="0" applyFill="1" applyAlignment="1">
      <alignment vertical="center"/>
    </xf>
    <xf numFmtId="165" fontId="32" fillId="0" borderId="9" xfId="32" applyFont="1" applyFill="1" applyBorder="1" applyAlignment="1">
      <alignment horizontal="center" vertical="center"/>
    </xf>
    <xf numFmtId="165" fontId="29" fillId="0" borderId="9" xfId="32" applyFont="1" applyFill="1" applyBorder="1"/>
    <xf numFmtId="10" fontId="29" fillId="0" borderId="9" xfId="29" applyNumberFormat="1" applyFont="1" applyFill="1" applyBorder="1" applyAlignment="1">
      <alignment horizontal="center"/>
    </xf>
    <xf numFmtId="165" fontId="29" fillId="0" borderId="9" xfId="32" applyFont="1" applyFill="1" applyBorder="1" applyAlignment="1">
      <alignment vertical="center"/>
    </xf>
    <xf numFmtId="10" fontId="29" fillId="0" borderId="9" xfId="29" applyNumberFormat="1" applyFont="1" applyFill="1" applyBorder="1" applyAlignment="1">
      <alignment horizontal="center" vertical="center"/>
    </xf>
    <xf numFmtId="165" fontId="29" fillId="0" borderId="9" xfId="32" applyFont="1" applyFill="1" applyBorder="1" applyAlignment="1">
      <alignment horizontal="center" vertical="center"/>
    </xf>
    <xf numFmtId="0" fontId="31" fillId="0" borderId="0" xfId="24" applyNumberFormat="1" applyFont="1" applyAlignment="1">
      <alignment horizontal="center" vertical="center"/>
    </xf>
    <xf numFmtId="10" fontId="31" fillId="0" borderId="0" xfId="24" applyNumberFormat="1" applyFont="1" applyAlignment="1">
      <alignment horizontal="center" vertical="center"/>
    </xf>
    <xf numFmtId="0" fontId="2" fillId="11" borderId="14" xfId="24" applyNumberFormat="1" applyFont="1" applyFill="1" applyBorder="1" applyAlignment="1">
      <alignment horizontal="center" vertical="center" wrapText="1"/>
    </xf>
    <xf numFmtId="10" fontId="2" fillId="11" borderId="14" xfId="24" applyNumberFormat="1" applyFont="1" applyFill="1" applyBorder="1" applyAlignment="1">
      <alignment horizontal="center" vertical="center"/>
    </xf>
    <xf numFmtId="10" fontId="0" fillId="0" borderId="9" xfId="24" applyNumberFormat="1" applyFont="1" applyFill="1" applyBorder="1" applyAlignment="1">
      <alignment horizontal="center" vertical="center"/>
    </xf>
    <xf numFmtId="10" fontId="29" fillId="0" borderId="9" xfId="24" applyNumberFormat="1" applyFont="1" applyFill="1" applyBorder="1" applyAlignment="1">
      <alignment horizontal="center" vertical="center"/>
    </xf>
    <xf numFmtId="173" fontId="0" fillId="14" borderId="9" xfId="0" applyNumberFormat="1" applyFill="1" applyBorder="1" applyAlignment="1">
      <alignment horizontal="center" vertical="center"/>
    </xf>
    <xf numFmtId="165" fontId="29" fillId="14" borderId="9" xfId="32" applyFont="1" applyFill="1" applyBorder="1" applyAlignment="1">
      <alignment horizontal="center" vertical="center"/>
    </xf>
    <xf numFmtId="10" fontId="29" fillId="14" borderId="9" xfId="24" applyNumberFormat="1" applyFont="1" applyFill="1" applyBorder="1" applyAlignment="1">
      <alignment horizontal="center" vertical="center"/>
    </xf>
    <xf numFmtId="10" fontId="29" fillId="14" borderId="9" xfId="29" applyNumberFormat="1" applyFont="1" applyFill="1" applyBorder="1" applyAlignment="1">
      <alignment horizontal="center" vertical="center"/>
    </xf>
    <xf numFmtId="0" fontId="0" fillId="0" borderId="9" xfId="24" applyNumberFormat="1" applyFont="1" applyFill="1" applyBorder="1" applyAlignment="1">
      <alignment horizontal="center" vertical="center"/>
    </xf>
    <xf numFmtId="2" fontId="0" fillId="0" borderId="9" xfId="24" applyNumberFormat="1" applyFont="1" applyFill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14" borderId="9" xfId="24" applyNumberFormat="1" applyFont="1" applyFill="1" applyBorder="1" applyAlignment="1">
      <alignment horizontal="center" vertical="center"/>
    </xf>
    <xf numFmtId="10" fontId="0" fillId="14" borderId="9" xfId="24" applyNumberFormat="1" applyFont="1" applyFill="1" applyBorder="1" applyAlignment="1">
      <alignment horizontal="center" vertical="center"/>
    </xf>
    <xf numFmtId="2" fontId="1" fillId="14" borderId="9" xfId="24" applyNumberFormat="1" applyFont="1" applyFill="1" applyBorder="1" applyAlignment="1">
      <alignment horizontal="center" vertical="center"/>
    </xf>
    <xf numFmtId="165" fontId="33" fillId="0" borderId="9" xfId="32" applyFont="1" applyBorder="1" applyAlignment="1">
      <alignment horizontal="center" vertical="center"/>
    </xf>
    <xf numFmtId="10" fontId="33" fillId="0" borderId="9" xfId="29" applyNumberFormat="1" applyFont="1" applyBorder="1" applyAlignment="1">
      <alignment horizontal="center" vertical="center"/>
    </xf>
    <xf numFmtId="165" fontId="33" fillId="14" borderId="9" xfId="32" applyFont="1" applyFill="1" applyBorder="1"/>
    <xf numFmtId="10" fontId="33" fillId="14" borderId="9" xfId="29" applyNumberFormat="1" applyFont="1" applyFill="1" applyBorder="1" applyAlignment="1">
      <alignment horizontal="center"/>
    </xf>
    <xf numFmtId="165" fontId="29" fillId="0" borderId="9" xfId="32" applyFont="1" applyBorder="1"/>
    <xf numFmtId="10" fontId="29" fillId="0" borderId="9" xfId="29" applyNumberFormat="1" applyFont="1" applyBorder="1" applyAlignment="1">
      <alignment horizontal="center"/>
    </xf>
    <xf numFmtId="173" fontId="0" fillId="15" borderId="9" xfId="0" applyNumberFormat="1" applyFill="1" applyBorder="1" applyAlignment="1">
      <alignment horizontal="center" vertical="center"/>
    </xf>
    <xf numFmtId="165" fontId="29" fillId="15" borderId="9" xfId="32" applyFont="1" applyFill="1" applyBorder="1"/>
    <xf numFmtId="10" fontId="29" fillId="15" borderId="9" xfId="29" applyNumberFormat="1" applyFont="1" applyFill="1" applyBorder="1" applyAlignment="1">
      <alignment horizontal="center"/>
    </xf>
    <xf numFmtId="165" fontId="29" fillId="14" borderId="9" xfId="32" applyFont="1" applyFill="1" applyBorder="1"/>
    <xf numFmtId="10" fontId="29" fillId="14" borderId="9" xfId="29" applyNumberFormat="1" applyFont="1" applyFill="1" applyBorder="1" applyAlignment="1">
      <alignment horizontal="center"/>
    </xf>
    <xf numFmtId="0" fontId="34" fillId="0" borderId="0" xfId="0" applyFont="1" applyAlignment="1">
      <alignment vertical="center"/>
    </xf>
    <xf numFmtId="10" fontId="0" fillId="0" borderId="9" xfId="24" applyNumberFormat="1" applyFont="1" applyBorder="1" applyAlignment="1">
      <alignment horizontal="center" vertical="center"/>
    </xf>
    <xf numFmtId="173" fontId="1" fillId="14" borderId="9" xfId="0" applyNumberFormat="1" applyFont="1" applyFill="1" applyBorder="1" applyAlignment="1">
      <alignment horizontal="center" vertical="center"/>
    </xf>
    <xf numFmtId="173" fontId="35" fillId="14" borderId="9" xfId="0" applyNumberFormat="1" applyFont="1" applyFill="1" applyBorder="1" applyAlignment="1">
      <alignment horizontal="center" vertical="center"/>
    </xf>
    <xf numFmtId="165" fontId="36" fillId="14" borderId="9" xfId="32" applyFont="1" applyFill="1" applyBorder="1"/>
    <xf numFmtId="10" fontId="36" fillId="14" borderId="9" xfId="29" applyNumberFormat="1" applyFont="1" applyFill="1" applyBorder="1" applyAlignment="1">
      <alignment horizontal="center"/>
    </xf>
    <xf numFmtId="173" fontId="37" fillId="0" borderId="9" xfId="0" applyNumberFormat="1" applyFont="1" applyBorder="1" applyAlignment="1">
      <alignment horizontal="center" vertical="center"/>
    </xf>
    <xf numFmtId="165" fontId="38" fillId="0" borderId="9" xfId="32" applyFont="1" applyFill="1" applyBorder="1"/>
    <xf numFmtId="10" fontId="38" fillId="0" borderId="9" xfId="29" applyNumberFormat="1" applyFont="1" applyFill="1" applyBorder="1" applyAlignment="1">
      <alignment horizontal="center"/>
    </xf>
    <xf numFmtId="173" fontId="37" fillId="14" borderId="9" xfId="0" applyNumberFormat="1" applyFont="1" applyFill="1" applyBorder="1" applyAlignment="1">
      <alignment horizontal="center" vertical="center"/>
    </xf>
    <xf numFmtId="165" fontId="38" fillId="14" borderId="9" xfId="32" applyFont="1" applyFill="1" applyBorder="1"/>
    <xf numFmtId="10" fontId="38" fillId="14" borderId="9" xfId="29" applyNumberFormat="1" applyFont="1" applyFill="1" applyBorder="1" applyAlignment="1">
      <alignment horizontal="center"/>
    </xf>
    <xf numFmtId="165" fontId="38" fillId="0" borderId="9" xfId="33" applyFont="1" applyBorder="1"/>
    <xf numFmtId="10" fontId="38" fillId="0" borderId="9" xfId="29" applyNumberFormat="1" applyFont="1" applyBorder="1" applyAlignment="1">
      <alignment horizontal="center"/>
    </xf>
    <xf numFmtId="165" fontId="38" fillId="0" borderId="9" xfId="34" applyFont="1" applyBorder="1"/>
    <xf numFmtId="165" fontId="38" fillId="0" borderId="9" xfId="35" applyFont="1" applyBorder="1"/>
    <xf numFmtId="165" fontId="38" fillId="0" borderId="9" xfId="36" applyFont="1" applyBorder="1"/>
    <xf numFmtId="165" fontId="38" fillId="0" borderId="9" xfId="37" applyFont="1" applyBorder="1"/>
    <xf numFmtId="0" fontId="1" fillId="0" borderId="0" xfId="24" applyNumberFormat="1" applyFont="1" applyAlignment="1">
      <alignment horizontal="center" vertical="center"/>
    </xf>
    <xf numFmtId="10" fontId="1" fillId="0" borderId="0" xfId="24" applyNumberFormat="1" applyFont="1" applyAlignment="1">
      <alignment horizontal="center" vertical="center"/>
    </xf>
    <xf numFmtId="4" fontId="6" fillId="4" borderId="6" xfId="0" applyNumberFormat="1" applyFont="1" applyFill="1" applyBorder="1" applyAlignment="1">
      <alignment vertical="center"/>
    </xf>
    <xf numFmtId="4" fontId="6" fillId="9" borderId="6" xfId="0" applyNumberFormat="1" applyFont="1" applyFill="1" applyBorder="1" applyAlignment="1">
      <alignment vertical="center"/>
    </xf>
    <xf numFmtId="4" fontId="6" fillId="7" borderId="6" xfId="0" applyNumberFormat="1" applyFont="1" applyFill="1" applyBorder="1" applyAlignment="1">
      <alignment vertical="center"/>
    </xf>
    <xf numFmtId="4" fontId="6" fillId="0" borderId="6" xfId="25" applyNumberFormat="1" applyFont="1" applyBorder="1" applyAlignment="1">
      <alignment vertical="center"/>
    </xf>
    <xf numFmtId="4" fontId="6" fillId="8" borderId="6" xfId="0" applyNumberFormat="1" applyFont="1" applyFill="1" applyBorder="1" applyAlignment="1">
      <alignment vertical="center"/>
    </xf>
    <xf numFmtId="4" fontId="21" fillId="0" borderId="4" xfId="25" applyNumberFormat="1" applyFont="1" applyBorder="1" applyAlignment="1">
      <alignment vertical="center"/>
    </xf>
    <xf numFmtId="169" fontId="6" fillId="0" borderId="6" xfId="0" applyNumberFormat="1" applyFont="1" applyBorder="1" applyAlignment="1">
      <alignment vertical="center"/>
    </xf>
    <xf numFmtId="169" fontId="6" fillId="4" borderId="6" xfId="0" applyNumberFormat="1" applyFont="1" applyFill="1" applyBorder="1" applyAlignment="1">
      <alignment vertical="center"/>
    </xf>
    <xf numFmtId="169" fontId="6" fillId="9" borderId="6" xfId="0" applyNumberFormat="1" applyFont="1" applyFill="1" applyBorder="1" applyAlignment="1">
      <alignment vertical="center"/>
    </xf>
    <xf numFmtId="169" fontId="6" fillId="7" borderId="6" xfId="0" applyNumberFormat="1" applyFont="1" applyFill="1" applyBorder="1" applyAlignment="1">
      <alignment vertical="center"/>
    </xf>
    <xf numFmtId="169" fontId="6" fillId="0" borderId="6" xfId="25" applyNumberFormat="1" applyFont="1" applyBorder="1" applyAlignment="1">
      <alignment vertical="center"/>
    </xf>
    <xf numFmtId="169" fontId="6" fillId="8" borderId="6" xfId="0" applyNumberFormat="1" applyFont="1" applyFill="1" applyBorder="1" applyAlignment="1">
      <alignment vertical="center"/>
    </xf>
    <xf numFmtId="169" fontId="21" fillId="0" borderId="4" xfId="25" applyNumberFormat="1" applyFont="1" applyBorder="1" applyAlignment="1">
      <alignment vertical="center"/>
    </xf>
    <xf numFmtId="173" fontId="0" fillId="13" borderId="9" xfId="0" applyNumberFormat="1" applyFill="1" applyBorder="1" applyAlignment="1">
      <alignment horizontal="center" vertical="center"/>
    </xf>
    <xf numFmtId="173" fontId="0" fillId="16" borderId="9" xfId="0" applyNumberFormat="1" applyFill="1" applyBorder="1" applyAlignment="1">
      <alignment horizontal="center" vertical="center"/>
    </xf>
    <xf numFmtId="165" fontId="29" fillId="16" borderId="9" xfId="32" applyFont="1" applyFill="1" applyBorder="1"/>
    <xf numFmtId="10" fontId="29" fillId="16" borderId="9" xfId="29" applyNumberFormat="1" applyFont="1" applyFill="1" applyBorder="1" applyAlignment="1">
      <alignment horizontal="center"/>
    </xf>
    <xf numFmtId="0" fontId="0" fillId="14" borderId="0" xfId="0" applyFill="1" applyAlignment="1">
      <alignment vertical="center"/>
    </xf>
    <xf numFmtId="173" fontId="0" fillId="3" borderId="9" xfId="0" applyNumberFormat="1" applyFill="1" applyBorder="1" applyAlignment="1">
      <alignment horizontal="center" vertical="center"/>
    </xf>
    <xf numFmtId="0" fontId="0" fillId="0" borderId="9" xfId="24" applyNumberFormat="1" applyFont="1" applyBorder="1" applyAlignment="1">
      <alignment horizontal="center" vertical="center"/>
    </xf>
    <xf numFmtId="0" fontId="0" fillId="14" borderId="9" xfId="24" applyNumberFormat="1" applyFont="1" applyFill="1" applyBorder="1" applyAlignment="1">
      <alignment horizontal="center" vertical="center"/>
    </xf>
    <xf numFmtId="165" fontId="29" fillId="0" borderId="9" xfId="32" applyFont="1" applyFill="1" applyBorder="1" applyAlignment="1">
      <alignment horizontal="center"/>
    </xf>
    <xf numFmtId="173" fontId="13" fillId="0" borderId="9" xfId="0" applyNumberFormat="1" applyFont="1" applyBorder="1" applyAlignment="1">
      <alignment horizontal="center" vertical="center"/>
    </xf>
    <xf numFmtId="0" fontId="13" fillId="0" borderId="9" xfId="24" applyNumberFormat="1" applyFont="1" applyBorder="1" applyAlignment="1">
      <alignment horizontal="center" vertical="center"/>
    </xf>
    <xf numFmtId="10" fontId="13" fillId="0" borderId="9" xfId="24" applyNumberFormat="1" applyFont="1" applyBorder="1" applyAlignment="1">
      <alignment horizontal="center" vertical="center"/>
    </xf>
    <xf numFmtId="0" fontId="1" fillId="15" borderId="9" xfId="24" applyNumberFormat="1" applyFont="1" applyFill="1" applyBorder="1" applyAlignment="1">
      <alignment horizontal="center" vertical="center"/>
    </xf>
    <xf numFmtId="10" fontId="1" fillId="15" borderId="9" xfId="24" applyNumberFormat="1" applyFont="1" applyFill="1" applyBorder="1" applyAlignment="1">
      <alignment horizontal="center" vertical="center"/>
    </xf>
    <xf numFmtId="165" fontId="29" fillId="3" borderId="9" xfId="32" applyFont="1" applyFill="1" applyBorder="1" applyAlignment="1">
      <alignment horizontal="center"/>
    </xf>
    <xf numFmtId="10" fontId="0" fillId="3" borderId="9" xfId="24" applyNumberFormat="1" applyFont="1" applyFill="1" applyBorder="1" applyAlignment="1">
      <alignment horizontal="center" vertical="center"/>
    </xf>
    <xf numFmtId="173" fontId="31" fillId="15" borderId="9" xfId="0" applyNumberFormat="1" applyFont="1" applyFill="1" applyBorder="1" applyAlignment="1">
      <alignment horizontal="center" vertical="center"/>
    </xf>
    <xf numFmtId="165" fontId="32" fillId="15" borderId="9" xfId="32" applyFont="1" applyFill="1" applyBorder="1"/>
    <xf numFmtId="10" fontId="32" fillId="15" borderId="9" xfId="29" applyNumberFormat="1" applyFont="1" applyFill="1" applyBorder="1" applyAlignment="1">
      <alignment horizontal="center"/>
    </xf>
    <xf numFmtId="173" fontId="31" fillId="0" borderId="9" xfId="0" applyNumberFormat="1" applyFont="1" applyBorder="1" applyAlignment="1">
      <alignment horizontal="center" vertical="center"/>
    </xf>
    <xf numFmtId="165" fontId="32" fillId="0" borderId="9" xfId="32" applyFont="1" applyBorder="1"/>
    <xf numFmtId="10" fontId="32" fillId="0" borderId="9" xfId="29" applyNumberFormat="1" applyFont="1" applyBorder="1" applyAlignment="1">
      <alignment horizontal="center"/>
    </xf>
    <xf numFmtId="165" fontId="29" fillId="0" borderId="9" xfId="38" applyFont="1" applyBorder="1" applyAlignment="1">
      <alignment horizontal="center" vertical="center"/>
    </xf>
    <xf numFmtId="10" fontId="29" fillId="0" borderId="9" xfId="29" applyNumberFormat="1" applyFont="1" applyBorder="1" applyAlignment="1">
      <alignment horizontal="center" vertical="center"/>
    </xf>
    <xf numFmtId="165" fontId="29" fillId="0" borderId="9" xfId="38" quotePrefix="1" applyFont="1" applyBorder="1" applyAlignment="1">
      <alignment horizontal="center" vertical="center"/>
    </xf>
    <xf numFmtId="165" fontId="29" fillId="14" borderId="9" xfId="38" quotePrefix="1" applyFont="1" applyFill="1" applyBorder="1" applyAlignment="1">
      <alignment horizontal="center" vertical="center"/>
    </xf>
    <xf numFmtId="165" fontId="29" fillId="14" borderId="9" xfId="38" applyFont="1" applyFill="1" applyBorder="1" applyAlignment="1">
      <alignment horizontal="center" vertical="center"/>
    </xf>
    <xf numFmtId="165" fontId="29" fillId="0" borderId="9" xfId="38" quotePrefix="1" applyFont="1" applyFill="1" applyBorder="1" applyAlignment="1">
      <alignment horizontal="center" vertical="center"/>
    </xf>
    <xf numFmtId="165" fontId="29" fillId="0" borderId="9" xfId="38" applyFont="1" applyFill="1" applyBorder="1" applyAlignment="1">
      <alignment horizontal="center" vertical="center"/>
    </xf>
    <xf numFmtId="165" fontId="33" fillId="0" borderId="9" xfId="38" quotePrefix="1" applyFont="1" applyFill="1" applyBorder="1" applyAlignment="1">
      <alignment horizontal="center" vertical="center"/>
    </xf>
    <xf numFmtId="10" fontId="33" fillId="0" borderId="9" xfId="29" applyNumberFormat="1" applyFont="1" applyFill="1" applyBorder="1" applyAlignment="1">
      <alignment horizontal="center" vertical="center"/>
    </xf>
    <xf numFmtId="165" fontId="33" fillId="0" borderId="9" xfId="38" applyFont="1" applyFill="1" applyBorder="1" applyAlignment="1">
      <alignment horizontal="center" vertical="center"/>
    </xf>
    <xf numFmtId="0" fontId="1" fillId="14" borderId="9" xfId="24" applyNumberFormat="1" applyFont="1" applyFill="1" applyBorder="1" applyAlignment="1">
      <alignment horizontal="center" vertical="center"/>
    </xf>
    <xf numFmtId="10" fontId="1" fillId="14" borderId="9" xfId="24" applyNumberFormat="1" applyFont="1" applyFill="1" applyBorder="1" applyAlignment="1">
      <alignment horizontal="center" vertical="center"/>
    </xf>
    <xf numFmtId="173" fontId="0" fillId="11" borderId="9" xfId="0" applyNumberFormat="1" applyFill="1" applyBorder="1" applyAlignment="1">
      <alignment horizontal="center" vertical="center"/>
    </xf>
    <xf numFmtId="165" fontId="29" fillId="11" borderId="9" xfId="38" quotePrefix="1" applyFont="1" applyFill="1" applyBorder="1" applyAlignment="1">
      <alignment horizontal="center" vertical="center"/>
    </xf>
    <xf numFmtId="10" fontId="29" fillId="11" borderId="9" xfId="29" applyNumberFormat="1" applyFont="1" applyFill="1" applyBorder="1" applyAlignment="1">
      <alignment horizontal="center" vertical="center"/>
    </xf>
    <xf numFmtId="165" fontId="29" fillId="11" borderId="9" xfId="38" applyFont="1" applyFill="1" applyBorder="1" applyAlignment="1">
      <alignment horizontal="center" vertical="center"/>
    </xf>
    <xf numFmtId="165" fontId="29" fillId="0" borderId="9" xfId="38" quotePrefix="1" applyFont="1" applyFill="1" applyBorder="1"/>
    <xf numFmtId="165" fontId="29" fillId="0" borderId="9" xfId="38" applyFont="1" applyFill="1" applyBorder="1"/>
    <xf numFmtId="165" fontId="0" fillId="11" borderId="9" xfId="38" quotePrefix="1" applyFont="1" applyFill="1" applyBorder="1"/>
    <xf numFmtId="10" fontId="0" fillId="11" borderId="9" xfId="29" applyNumberFormat="1" applyFont="1" applyFill="1" applyBorder="1" applyAlignment="1">
      <alignment horizontal="center"/>
    </xf>
    <xf numFmtId="165" fontId="0" fillId="11" borderId="9" xfId="38" applyFont="1" applyFill="1" applyBorder="1"/>
    <xf numFmtId="2" fontId="0" fillId="14" borderId="9" xfId="0" applyNumberFormat="1" applyFill="1" applyBorder="1"/>
    <xf numFmtId="10" fontId="0" fillId="14" borderId="9" xfId="24" applyNumberFormat="1" applyFont="1" applyFill="1" applyBorder="1"/>
    <xf numFmtId="165" fontId="8" fillId="0" borderId="9" xfId="38" quotePrefix="1" applyFont="1" applyFill="1" applyBorder="1"/>
    <xf numFmtId="10" fontId="39" fillId="0" borderId="9" xfId="29" applyNumberFormat="1" applyFont="1" applyFill="1" applyBorder="1" applyAlignment="1">
      <alignment horizontal="center"/>
    </xf>
    <xf numFmtId="165" fontId="8" fillId="0" borderId="9" xfId="38" applyFont="1" applyFill="1" applyBorder="1"/>
    <xf numFmtId="165" fontId="8" fillId="14" borderId="9" xfId="38" quotePrefix="1" applyFont="1" applyFill="1" applyBorder="1"/>
    <xf numFmtId="10" fontId="39" fillId="14" borderId="9" xfId="29" applyNumberFormat="1" applyFont="1" applyFill="1" applyBorder="1" applyAlignment="1">
      <alignment horizontal="center"/>
    </xf>
    <xf numFmtId="165" fontId="8" fillId="14" borderId="9" xfId="38" applyFont="1" applyFill="1" applyBorder="1"/>
    <xf numFmtId="165" fontId="8" fillId="0" borderId="9" xfId="38" quotePrefix="1" applyFont="1" applyBorder="1"/>
    <xf numFmtId="10" fontId="39" fillId="0" borderId="9" xfId="29" applyNumberFormat="1" applyFont="1" applyBorder="1" applyAlignment="1">
      <alignment horizontal="center"/>
    </xf>
    <xf numFmtId="165" fontId="8" fillId="0" borderId="9" xfId="38" applyFont="1" applyBorder="1"/>
    <xf numFmtId="0" fontId="1" fillId="0" borderId="9" xfId="24" applyNumberFormat="1" applyFont="1" applyBorder="1" applyAlignment="1">
      <alignment horizontal="center" vertical="center"/>
    </xf>
    <xf numFmtId="165" fontId="8" fillId="14" borderId="9" xfId="39" applyFont="1" applyFill="1" applyBorder="1" applyAlignment="1">
      <alignment horizontal="center"/>
    </xf>
    <xf numFmtId="165" fontId="8" fillId="0" borderId="9" xfId="39" applyFont="1" applyFill="1" applyBorder="1"/>
    <xf numFmtId="165" fontId="8" fillId="14" borderId="9" xfId="39" applyFont="1" applyFill="1" applyBorder="1"/>
    <xf numFmtId="165" fontId="8" fillId="0" borderId="9" xfId="39" applyFont="1" applyBorder="1"/>
    <xf numFmtId="165" fontId="8" fillId="14" borderId="9" xfId="40" applyFont="1" applyFill="1" applyBorder="1"/>
    <xf numFmtId="10" fontId="39" fillId="14" borderId="9" xfId="41" applyNumberFormat="1" applyFont="1" applyFill="1" applyBorder="1" applyAlignment="1">
      <alignment horizontal="center"/>
    </xf>
    <xf numFmtId="165" fontId="8" fillId="0" borderId="9" xfId="40" applyFont="1" applyFill="1" applyBorder="1"/>
    <xf numFmtId="10" fontId="39" fillId="0" borderId="9" xfId="41" applyNumberFormat="1" applyFont="1" applyFill="1" applyBorder="1" applyAlignment="1">
      <alignment horizontal="center"/>
    </xf>
    <xf numFmtId="165" fontId="8" fillId="0" borderId="9" xfId="40" applyFont="1" applyBorder="1"/>
    <xf numFmtId="10" fontId="39" fillId="0" borderId="9" xfId="41" applyNumberFormat="1" applyFont="1" applyBorder="1" applyAlignment="1">
      <alignment horizontal="center"/>
    </xf>
    <xf numFmtId="165" fontId="8" fillId="15" borderId="9" xfId="40" applyFont="1" applyFill="1" applyBorder="1"/>
    <xf numFmtId="10" fontId="39" fillId="15" borderId="9" xfId="41" applyNumberFormat="1" applyFont="1" applyFill="1" applyBorder="1" applyAlignment="1">
      <alignment horizontal="center"/>
    </xf>
    <xf numFmtId="0" fontId="8" fillId="6" borderId="9" xfId="5" applyFill="1" applyBorder="1" applyAlignment="1">
      <alignment horizontal="center" vertical="center"/>
    </xf>
    <xf numFmtId="0" fontId="15" fillId="6" borderId="9" xfId="10" applyFont="1" applyFill="1" applyBorder="1" applyAlignment="1">
      <alignment horizontal="center" vertical="center"/>
    </xf>
    <xf numFmtId="0" fontId="1" fillId="6" borderId="9" xfId="10" applyFill="1" applyBorder="1" applyAlignment="1">
      <alignment horizontal="center" vertical="center"/>
    </xf>
    <xf numFmtId="0" fontId="0" fillId="6" borderId="9" xfId="10" applyFont="1" applyFill="1" applyBorder="1" applyAlignment="1">
      <alignment horizontal="center" vertical="center" wrapText="1"/>
    </xf>
    <xf numFmtId="43" fontId="31" fillId="0" borderId="0" xfId="0" applyNumberFormat="1" applyFont="1" applyAlignment="1">
      <alignment vertical="center"/>
    </xf>
    <xf numFmtId="10" fontId="31" fillId="0" borderId="0" xfId="0" applyNumberFormat="1" applyFont="1" applyAlignment="1">
      <alignment vertical="center"/>
    </xf>
    <xf numFmtId="10" fontId="29" fillId="5" borderId="9" xfId="29" applyNumberFormat="1" applyFont="1" applyFill="1" applyBorder="1" applyAlignment="1">
      <alignment horizontal="center"/>
    </xf>
    <xf numFmtId="43" fontId="5" fillId="0" borderId="9" xfId="1" applyFont="1" applyBorder="1" applyAlignment="1">
      <alignment horizontal="center" vertical="center"/>
    </xf>
    <xf numFmtId="1" fontId="6" fillId="0" borderId="9" xfId="1" applyNumberFormat="1" applyFont="1" applyBorder="1" applyAlignment="1">
      <alignment horizontal="center" vertical="center"/>
    </xf>
    <xf numFmtId="43" fontId="19" fillId="0" borderId="9" xfId="1" applyFont="1" applyBorder="1"/>
    <xf numFmtId="43" fontId="6" fillId="0" borderId="9" xfId="1" applyFont="1" applyFill="1" applyBorder="1"/>
    <xf numFmtId="43" fontId="21" fillId="3" borderId="9" xfId="1" applyFont="1" applyFill="1" applyBorder="1"/>
    <xf numFmtId="43" fontId="6" fillId="3" borderId="9" xfId="1" applyFont="1" applyFill="1" applyBorder="1"/>
    <xf numFmtId="1" fontId="6" fillId="0" borderId="9" xfId="1" applyNumberFormat="1" applyFont="1" applyFill="1" applyBorder="1" applyAlignment="1">
      <alignment horizontal="center" vertical="center"/>
    </xf>
    <xf numFmtId="43" fontId="21" fillId="0" borderId="9" xfId="1" applyFont="1" applyFill="1" applyBorder="1"/>
    <xf numFmtId="43" fontId="21" fillId="9" borderId="9" xfId="1" applyFont="1" applyFill="1" applyBorder="1"/>
    <xf numFmtId="168" fontId="21" fillId="0" borderId="9" xfId="1" applyNumberFormat="1" applyFont="1" applyBorder="1"/>
    <xf numFmtId="1" fontId="6" fillId="5" borderId="9" xfId="1" applyNumberFormat="1" applyFont="1" applyFill="1" applyBorder="1" applyAlignment="1">
      <alignment horizontal="center" vertical="center"/>
    </xf>
    <xf numFmtId="168" fontId="21" fillId="3" borderId="9" xfId="1" applyNumberFormat="1" applyFont="1" applyFill="1" applyBorder="1"/>
    <xf numFmtId="168" fontId="21" fillId="0" borderId="9" xfId="1" applyNumberFormat="1" applyFont="1" applyFill="1" applyBorder="1"/>
    <xf numFmtId="168" fontId="21" fillId="9" borderId="9" xfId="1" applyNumberFormat="1" applyFont="1" applyFill="1" applyBorder="1"/>
    <xf numFmtId="43" fontId="6" fillId="0" borderId="6" xfId="1" applyFont="1" applyBorder="1" applyAlignment="1">
      <alignment vertical="center"/>
    </xf>
    <xf numFmtId="43" fontId="6" fillId="4" borderId="6" xfId="1" applyFont="1" applyFill="1" applyBorder="1" applyAlignment="1">
      <alignment vertical="center"/>
    </xf>
    <xf numFmtId="43" fontId="6" fillId="9" borderId="6" xfId="1" applyFont="1" applyFill="1" applyBorder="1" applyAlignment="1">
      <alignment vertical="center"/>
    </xf>
    <xf numFmtId="43" fontId="6" fillId="7" borderId="6" xfId="1" applyFont="1" applyFill="1" applyBorder="1" applyAlignment="1">
      <alignment vertical="center"/>
    </xf>
    <xf numFmtId="43" fontId="6" fillId="0" borderId="6" xfId="1" applyFont="1" applyFill="1" applyBorder="1" applyAlignment="1">
      <alignment vertical="center"/>
    </xf>
    <xf numFmtId="1" fontId="6" fillId="17" borderId="1" xfId="1" applyNumberFormat="1" applyFont="1" applyFill="1" applyBorder="1" applyAlignment="1">
      <alignment horizontal="center" vertical="center"/>
    </xf>
    <xf numFmtId="43" fontId="19" fillId="17" borderId="1" xfId="1" applyFont="1" applyFill="1" applyBorder="1"/>
    <xf numFmtId="43" fontId="21" fillId="17" borderId="1" xfId="1" applyFont="1" applyFill="1" applyBorder="1"/>
    <xf numFmtId="43" fontId="0" fillId="17" borderId="0" xfId="1" applyFont="1" applyFill="1"/>
    <xf numFmtId="174" fontId="6" fillId="17" borderId="1" xfId="1" applyNumberFormat="1" applyFont="1" applyFill="1" applyBorder="1" applyAlignment="1">
      <alignment horizontal="center"/>
    </xf>
    <xf numFmtId="43" fontId="6" fillId="17" borderId="1" xfId="1" applyFont="1" applyFill="1" applyBorder="1"/>
    <xf numFmtId="171" fontId="6" fillId="17" borderId="1" xfId="1" applyNumberFormat="1" applyFont="1" applyFill="1" applyBorder="1"/>
    <xf numFmtId="43" fontId="9" fillId="17" borderId="0" xfId="1" applyFont="1" applyFill="1" applyBorder="1" applyAlignment="1">
      <alignment vertical="center"/>
    </xf>
    <xf numFmtId="1" fontId="6" fillId="17" borderId="9" xfId="1" applyNumberFormat="1" applyFont="1" applyFill="1" applyBorder="1" applyAlignment="1">
      <alignment horizontal="center" vertical="center"/>
    </xf>
    <xf numFmtId="43" fontId="19" fillId="17" borderId="9" xfId="1" applyFont="1" applyFill="1" applyBorder="1"/>
    <xf numFmtId="169" fontId="21" fillId="17" borderId="1" xfId="25" applyNumberFormat="1" applyFont="1" applyFill="1" applyBorder="1"/>
    <xf numFmtId="43" fontId="6" fillId="17" borderId="9" xfId="1" applyFont="1" applyFill="1" applyBorder="1"/>
    <xf numFmtId="43" fontId="40" fillId="17" borderId="9" xfId="1" applyFont="1" applyFill="1" applyBorder="1"/>
    <xf numFmtId="43" fontId="0" fillId="17" borderId="0" xfId="1" applyFont="1" applyFill="1" applyAlignment="1">
      <alignment horizontal="center" vertical="center" wrapText="1"/>
    </xf>
    <xf numFmtId="43" fontId="19" fillId="0" borderId="0" xfId="1" applyFont="1" applyFill="1" applyBorder="1"/>
    <xf numFmtId="43" fontId="5" fillId="4" borderId="8" xfId="1" applyFont="1" applyFill="1" applyBorder="1" applyAlignment="1">
      <alignment horizontal="center" vertical="center" wrapText="1"/>
    </xf>
    <xf numFmtId="43" fontId="7" fillId="4" borderId="12" xfId="1" applyFont="1" applyFill="1" applyBorder="1" applyAlignment="1">
      <alignment horizontal="center" vertical="center" wrapText="1"/>
    </xf>
    <xf numFmtId="43" fontId="7" fillId="4" borderId="13" xfId="1" applyFont="1" applyFill="1" applyBorder="1" applyAlignment="1">
      <alignment horizontal="center" vertical="center" wrapText="1"/>
    </xf>
    <xf numFmtId="43" fontId="5" fillId="4" borderId="12" xfId="1" applyFont="1" applyFill="1" applyBorder="1" applyAlignment="1">
      <alignment horizontal="center" vertical="center" wrapText="1"/>
    </xf>
    <xf numFmtId="43" fontId="5" fillId="4" borderId="13" xfId="1" applyFont="1" applyFill="1" applyBorder="1" applyAlignment="1">
      <alignment horizontal="center" vertical="center" wrapText="1"/>
    </xf>
    <xf numFmtId="43" fontId="5" fillId="4" borderId="1" xfId="1" applyFont="1" applyFill="1" applyBorder="1" applyAlignment="1">
      <alignment horizontal="center" vertical="center"/>
    </xf>
    <xf numFmtId="43" fontId="5" fillId="4" borderId="1" xfId="1" applyFont="1" applyFill="1" applyBorder="1" applyAlignment="1">
      <alignment horizontal="center" vertical="center" wrapText="1"/>
    </xf>
    <xf numFmtId="43" fontId="5" fillId="0" borderId="1" xfId="1" applyFont="1" applyBorder="1" applyAlignment="1">
      <alignment horizontal="center" vertical="center" wrapText="1"/>
    </xf>
    <xf numFmtId="43" fontId="5" fillId="0" borderId="0" xfId="1" applyFont="1" applyBorder="1" applyAlignment="1">
      <alignment horizontal="center" vertical="center" wrapText="1"/>
    </xf>
    <xf numFmtId="43" fontId="22" fillId="0" borderId="1" xfId="1" applyFont="1" applyBorder="1" applyAlignment="1">
      <alignment horizontal="center" vertical="center" wrapText="1"/>
    </xf>
    <xf numFmtId="43" fontId="5" fillId="5" borderId="0" xfId="1" applyFont="1" applyFill="1" applyAlignment="1">
      <alignment horizontal="left" vertical="center"/>
    </xf>
    <xf numFmtId="43" fontId="5" fillId="0" borderId="1" xfId="1" applyFont="1" applyBorder="1" applyAlignment="1">
      <alignment horizontal="center" vertical="center"/>
    </xf>
    <xf numFmtId="43" fontId="5" fillId="5" borderId="1" xfId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43" fontId="5" fillId="0" borderId="9" xfId="1" applyFont="1" applyBorder="1" applyAlignment="1">
      <alignment horizontal="center" vertical="center" wrapText="1"/>
    </xf>
    <xf numFmtId="43" fontId="6" fillId="0" borderId="9" xfId="1" applyFont="1" applyBorder="1" applyAlignment="1">
      <alignment horizontal="center" vertical="center"/>
    </xf>
    <xf numFmtId="43" fontId="6" fillId="0" borderId="9" xfId="1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15" fillId="6" borderId="9" xfId="10" applyFont="1" applyFill="1" applyBorder="1" applyAlignment="1">
      <alignment horizontal="center" vertical="center" wrapText="1"/>
    </xf>
    <xf numFmtId="0" fontId="2" fillId="6" borderId="9" xfId="10" applyFont="1" applyFill="1" applyBorder="1" applyAlignment="1">
      <alignment horizontal="center" vertical="center"/>
    </xf>
    <xf numFmtId="0" fontId="12" fillId="6" borderId="9" xfId="10" applyFont="1" applyFill="1" applyBorder="1" applyAlignment="1">
      <alignment horizontal="center" vertical="center"/>
    </xf>
    <xf numFmtId="0" fontId="2" fillId="0" borderId="9" xfId="0" applyFont="1" applyBorder="1" applyAlignment="1">
      <alignment horizontal="right"/>
    </xf>
    <xf numFmtId="173" fontId="2" fillId="11" borderId="15" xfId="0" applyNumberFormat="1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172" fontId="2" fillId="11" borderId="15" xfId="24" applyNumberFormat="1" applyFont="1" applyFill="1" applyBorder="1" applyAlignment="1">
      <alignment horizontal="center" vertical="center"/>
    </xf>
    <xf numFmtId="173" fontId="2" fillId="11" borderId="15" xfId="0" applyNumberFormat="1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172" fontId="2" fillId="11" borderId="15" xfId="24" applyNumberFormat="1" applyFont="1" applyFill="1" applyBorder="1" applyAlignment="1">
      <alignment horizontal="center"/>
    </xf>
    <xf numFmtId="172" fontId="30" fillId="11" borderId="15" xfId="24" applyNumberFormat="1" applyFont="1" applyFill="1" applyBorder="1" applyAlignment="1">
      <alignment horizontal="center" vertical="center"/>
    </xf>
    <xf numFmtId="173" fontId="30" fillId="11" borderId="15" xfId="0" applyNumberFormat="1" applyFont="1" applyFill="1" applyBorder="1" applyAlignment="1">
      <alignment horizontal="center" vertical="center"/>
    </xf>
    <xf numFmtId="0" fontId="30" fillId="11" borderId="15" xfId="0" applyFont="1" applyFill="1" applyBorder="1" applyAlignment="1">
      <alignment horizontal="center" vertical="center"/>
    </xf>
  </cellXfs>
  <cellStyles count="42">
    <cellStyle name="Comma" xfId="1" builtinId="3"/>
    <cellStyle name="Comma [0]" xfId="25" builtinId="6"/>
    <cellStyle name="Comma [0] 2" xfId="4" xr:uid="{00000000-0005-0000-0000-000002000000}"/>
    <cellStyle name="Comma [0] 3" xfId="9" xr:uid="{00000000-0005-0000-0000-000003000000}"/>
    <cellStyle name="Comma [0] 4" xfId="27" xr:uid="{774D6EEE-FB6C-4D48-82A6-51A0D0D1202B}"/>
    <cellStyle name="Comma 10" xfId="19" xr:uid="{00000000-0005-0000-0000-000004000000}"/>
    <cellStyle name="Comma 10 2" xfId="32" xr:uid="{7E55B085-7BB7-4D1E-A0F1-3C45EBA1B532}"/>
    <cellStyle name="Comma 11" xfId="21" xr:uid="{00000000-0005-0000-0000-000005000000}"/>
    <cellStyle name="Comma 12" xfId="23" xr:uid="{00000000-0005-0000-0000-000006000000}"/>
    <cellStyle name="Comma 13" xfId="40" xr:uid="{EDD3C0DE-6A8E-42BD-8EBD-0DA9F8C2750C}"/>
    <cellStyle name="Comma 14" xfId="33" xr:uid="{701EC873-8544-4A50-9334-24072EA09ABC}"/>
    <cellStyle name="Comma 15" xfId="34" xr:uid="{BA4C9426-0C4B-4A9C-8ADC-4FE1C1FC1E18}"/>
    <cellStyle name="Comma 16" xfId="35" xr:uid="{49F2F956-C071-49D6-99E2-16B628B334A4}"/>
    <cellStyle name="Comma 17" xfId="36" xr:uid="{1B488091-5072-4B44-A13D-D15EDAE16090}"/>
    <cellStyle name="Comma 18" xfId="37" xr:uid="{9A989FB6-19B3-43AE-B857-FCFEADC77EF3}"/>
    <cellStyle name="Comma 2" xfId="3" xr:uid="{00000000-0005-0000-0000-000007000000}"/>
    <cellStyle name="Comma 2 2" xfId="26" xr:uid="{00000000-0005-0000-0000-000008000000}"/>
    <cellStyle name="Comma 2 2 2" xfId="39" xr:uid="{268D1B52-5195-4B2F-9640-FC21ED40F6F9}"/>
    <cellStyle name="Comma 2 3" xfId="30" xr:uid="{49CF6FCC-BA88-4249-A780-2CBB99811E12}"/>
    <cellStyle name="Comma 2 3 2" xfId="38" xr:uid="{F12DAA8A-3829-44A7-92BA-56B32DDA1993}"/>
    <cellStyle name="Comma 3" xfId="6" xr:uid="{00000000-0005-0000-0000-000009000000}"/>
    <cellStyle name="Comma 4" xfId="7" xr:uid="{00000000-0005-0000-0000-00000A000000}"/>
    <cellStyle name="Comma 5" xfId="8" xr:uid="{00000000-0005-0000-0000-00000B000000}"/>
    <cellStyle name="Comma 6" xfId="12" xr:uid="{00000000-0005-0000-0000-00000C000000}"/>
    <cellStyle name="Comma 7" xfId="16" xr:uid="{00000000-0005-0000-0000-00000D000000}"/>
    <cellStyle name="Comma 8" xfId="17" xr:uid="{00000000-0005-0000-0000-00000E000000}"/>
    <cellStyle name="Comma 8 2" xfId="28" xr:uid="{C9E64DE6-87E2-4A70-B716-A9CD6818A43D}"/>
    <cellStyle name="Comma 9" xfId="18" xr:uid="{00000000-0005-0000-0000-00000F000000}"/>
    <cellStyle name="Comma 9 2" xfId="31" xr:uid="{0DDE20DE-8CA4-42FF-8182-B58C9297749D}"/>
    <cellStyle name="Normal" xfId="0" builtinId="0"/>
    <cellStyle name="Normal 2" xfId="2" xr:uid="{00000000-0005-0000-0000-000011000000}"/>
    <cellStyle name="Normal 2 2" xfId="10" xr:uid="{00000000-0005-0000-0000-000012000000}"/>
    <cellStyle name="Normal 2 2 2" xfId="14" xr:uid="{00000000-0005-0000-0000-000013000000}"/>
    <cellStyle name="Normal 3" xfId="5" xr:uid="{00000000-0005-0000-0000-000014000000}"/>
    <cellStyle name="Normal 3 2" xfId="15" xr:uid="{00000000-0005-0000-0000-000015000000}"/>
    <cellStyle name="Normal 4" xfId="13" xr:uid="{00000000-0005-0000-0000-000016000000}"/>
    <cellStyle name="Normal 5" xfId="20" xr:uid="{00000000-0005-0000-0000-000017000000}"/>
    <cellStyle name="Normal 6" xfId="22" xr:uid="{00000000-0005-0000-0000-000018000000}"/>
    <cellStyle name="Percent" xfId="24" builtinId="5"/>
    <cellStyle name="Percent 2" xfId="11" xr:uid="{00000000-0005-0000-0000-00001A000000}"/>
    <cellStyle name="Percent 2 2" xfId="41" xr:uid="{499FEDC3-58D8-42B5-861C-BFAF7976E1C2}"/>
    <cellStyle name="Percent 3" xfId="29" xr:uid="{61E3E9BB-EFEC-40D5-B6C0-081C32115DBA}"/>
  </cellStyles>
  <dxfs count="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A2FE-418C-9FCF-A2D52C5AF4F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A2FE-418C-9FCF-A2D52C5AF4F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A2FE-418C-9FCF-A2D52C5AF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576656"/>
        <c:axId val="1277580464"/>
      </c:barChart>
      <c:catAx>
        <c:axId val="127757665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580464"/>
        <c:crosses val="autoZero"/>
        <c:auto val="1"/>
        <c:lblAlgn val="ctr"/>
        <c:lblOffset val="100"/>
        <c:noMultiLvlLbl val="0"/>
      </c:catAx>
      <c:valAx>
        <c:axId val="127758046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Persen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57665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sq" cmpd="sng" algn="ctr">
      <a:solidFill>
        <a:schemeClr val="dk1">
          <a:lumMod val="15000"/>
          <a:lumOff val="85000"/>
        </a:schemeClr>
      </a:solidFill>
      <a:beve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452437</xdr:colOff>
      <xdr:row>45</xdr:row>
      <xdr:rowOff>23812</xdr:rowOff>
    </xdr:from>
    <xdr:to>
      <xdr:col>45</xdr:col>
      <xdr:colOff>5953</xdr:colOff>
      <xdr:row>58</xdr:row>
      <xdr:rowOff>175022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LK%20Neraca%20Fisik%20&amp;%20Moneter%20Huta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2%20SISNERLING\SISNERLING%20Neraca%20Kayu\PDB%20Kehutanan\0.%20Olah%20Data%20PDB%20Kehutana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.%20Olah%20Data%20PDB%20Kehutan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Hutan Indonesia"/>
      <sheetName val="Data Penunjang"/>
      <sheetName val="1.luas kebakaran hutan"/>
      <sheetName val="2.realisasi reboisasi"/>
      <sheetName val="Rent Perhutani"/>
      <sheetName val="Rent Luar Jawa"/>
      <sheetName val="Jati Jawa"/>
      <sheetName val="Rimba Jawa"/>
      <sheetName val="Rimba Luar Jawa"/>
      <sheetName val="Indonesia"/>
      <sheetName val="Sheet1"/>
      <sheetName val="Jati Jawa Ha"/>
      <sheetName val="Rimba Jawa Ha"/>
      <sheetName val="Rimba Luar Jawa Ha"/>
      <sheetName val="Kayu Jati Jawa slh"/>
      <sheetName val="Kayu Rimba Jawa slh "/>
      <sheetName val="Kayu Rimba Luar Jawa slh "/>
      <sheetName val="Unit Rent Jati slh "/>
      <sheetName val="Hutan Indones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T8">
            <v>87707.888944026345</v>
          </cell>
          <cell r="U8">
            <v>91665.246316273682</v>
          </cell>
          <cell r="V8">
            <v>95691.986642409494</v>
          </cell>
          <cell r="W8">
            <v>99600.194186129389</v>
          </cell>
          <cell r="X8">
            <v>102983.39856506565</v>
          </cell>
          <cell r="Y8">
            <v>104859.16713362318</v>
          </cell>
        </row>
        <row r="9">
          <cell r="T9">
            <v>4732.2961999999998</v>
          </cell>
          <cell r="U9">
            <v>4755.957680999999</v>
          </cell>
          <cell r="V9">
            <v>4779.7360361795236</v>
          </cell>
          <cell r="W9">
            <v>4803.6347163604205</v>
          </cell>
          <cell r="X9">
            <v>4827.6543375357833</v>
          </cell>
          <cell r="Y9">
            <v>5459.4625128067619</v>
          </cell>
        </row>
        <row r="10">
          <cell r="T10">
            <v>32.015999999999998</v>
          </cell>
          <cell r="U10">
            <v>19.149999999999999</v>
          </cell>
          <cell r="V10">
            <v>19.324000000000002</v>
          </cell>
          <cell r="W10">
            <v>29.868000000000002</v>
          </cell>
          <cell r="X10">
            <v>24.529</v>
          </cell>
          <cell r="Y10">
            <v>16.232750000000003</v>
          </cell>
        </row>
        <row r="11">
          <cell r="T11">
            <v>329.24482775265534</v>
          </cell>
          <cell r="U11">
            <v>293.16735486418986</v>
          </cell>
          <cell r="V11">
            <v>440.82049245961599</v>
          </cell>
          <cell r="W11">
            <v>1014.8983374241651</v>
          </cell>
          <cell r="X11">
            <v>2572.9827689782574</v>
          </cell>
          <cell r="Y11">
            <v>1398.2410957587331</v>
          </cell>
        </row>
        <row r="12">
          <cell r="T12">
            <v>477.71</v>
          </cell>
          <cell r="U12">
            <v>455.2</v>
          </cell>
          <cell r="V12">
            <v>450.03199999999998</v>
          </cell>
          <cell r="W12">
            <v>435.4</v>
          </cell>
          <cell r="X12">
            <v>403.43200000000002</v>
          </cell>
          <cell r="Y12">
            <v>431.51659775999997</v>
          </cell>
        </row>
        <row r="14">
          <cell r="T14">
            <v>91665.246316273682</v>
          </cell>
          <cell r="U14">
            <v>95691.986642409494</v>
          </cell>
          <cell r="V14">
            <v>99600.194186129389</v>
          </cell>
          <cell r="W14">
            <v>102983.39856506565</v>
          </cell>
          <cell r="X14">
            <v>104859.16713362318</v>
          </cell>
          <cell r="Y14">
            <v>108505.10470291121</v>
          </cell>
        </row>
      </sheetData>
      <sheetData sheetId="7">
        <row r="8">
          <cell r="T8">
            <v>352874.60338069516</v>
          </cell>
          <cell r="U8">
            <v>368802.12089730537</v>
          </cell>
          <cell r="V8">
            <v>385178.90544335369</v>
          </cell>
          <cell r="W8">
            <v>401131.81134846597</v>
          </cell>
          <cell r="X8">
            <v>416754.42098844534</v>
          </cell>
          <cell r="Y8">
            <v>432600.57423280348</v>
          </cell>
          <cell r="Z8">
            <v>461659.5415089415</v>
          </cell>
          <cell r="AA8">
            <v>478966.43364292901</v>
          </cell>
          <cell r="AB8">
            <v>496202.79272168508</v>
          </cell>
          <cell r="AC8">
            <v>506255.26855662127</v>
          </cell>
          <cell r="AD8">
            <v>516268.30245273205</v>
          </cell>
          <cell r="AE8">
            <v>526531.8529480634</v>
          </cell>
          <cell r="AF8">
            <v>536724.94410797989</v>
          </cell>
          <cell r="AG8">
            <v>540570.75925023353</v>
          </cell>
          <cell r="AH8">
            <v>544677.65686340944</v>
          </cell>
          <cell r="AI8">
            <v>548492.44701176148</v>
          </cell>
          <cell r="AJ8">
            <v>565494.79045655299</v>
          </cell>
        </row>
        <row r="9">
          <cell r="T9">
            <v>16669.2775</v>
          </cell>
          <cell r="U9">
            <v>17077.825000000001</v>
          </cell>
          <cell r="V9">
            <v>16669.3</v>
          </cell>
          <cell r="W9">
            <v>17002.693650011126</v>
          </cell>
          <cell r="X9">
            <v>18588.711042301878</v>
          </cell>
          <cell r="Y9">
            <v>30769.211762130693</v>
          </cell>
          <cell r="Z9">
            <v>18645.346624693633</v>
          </cell>
          <cell r="AA9">
            <v>18669.686520233769</v>
          </cell>
          <cell r="AB9">
            <v>11115.134669966088</v>
          </cell>
          <cell r="AC9">
            <v>11264.080386647869</v>
          </cell>
          <cell r="AD9">
            <v>11671.290479044956</v>
          </cell>
          <cell r="AE9">
            <v>11477.648297340091</v>
          </cell>
          <cell r="AF9">
            <v>5004.99173111255</v>
          </cell>
          <cell r="AG9">
            <v>5004.9687810791656</v>
          </cell>
          <cell r="AH9">
            <v>4773.0653237129391</v>
          </cell>
          <cell r="AI9">
            <v>18200.447477467638</v>
          </cell>
          <cell r="AJ9">
            <v>18205.292484516009</v>
          </cell>
        </row>
        <row r="10">
          <cell r="T10">
            <v>151.19422500000002</v>
          </cell>
          <cell r="U10">
            <v>79.361100000000008</v>
          </cell>
          <cell r="V10">
            <v>108.28688325</v>
          </cell>
          <cell r="W10">
            <v>40.679275000000004</v>
          </cell>
          <cell r="X10">
            <v>31.572450000000003</v>
          </cell>
          <cell r="Y10">
            <v>35.806225000000005</v>
          </cell>
          <cell r="Z10">
            <v>37.262225000000008</v>
          </cell>
          <cell r="AA10">
            <v>38.833999750000011</v>
          </cell>
          <cell r="AB10">
            <v>9.4913000000000007</v>
          </cell>
          <cell r="AC10">
            <v>25.46861135</v>
          </cell>
          <cell r="AD10">
            <v>19.207825</v>
          </cell>
          <cell r="AE10">
            <v>29.652349999999998</v>
          </cell>
          <cell r="AF10">
            <v>41.400449999999999</v>
          </cell>
          <cell r="AG10">
            <v>44.605925000000006</v>
          </cell>
          <cell r="AH10">
            <v>27.557075000000005</v>
          </cell>
          <cell r="AI10">
            <v>20.950475000000001</v>
          </cell>
          <cell r="AJ10">
            <v>14.2415</v>
          </cell>
        </row>
        <row r="11">
          <cell r="T11">
            <v>287.74120838979786</v>
          </cell>
          <cell r="U11">
            <v>256.21155395168495</v>
          </cell>
          <cell r="V11">
            <v>385.25197813769665</v>
          </cell>
          <cell r="W11">
            <v>886.96328503180519</v>
          </cell>
          <cell r="X11">
            <v>2248.6402479437611</v>
          </cell>
          <cell r="Y11">
            <v>1221.983000492703</v>
          </cell>
          <cell r="Z11">
            <v>913.12498570618072</v>
          </cell>
          <cell r="AA11">
            <v>1073.5777352276577</v>
          </cell>
          <cell r="AB11">
            <v>774.3561350298927</v>
          </cell>
          <cell r="AC11">
            <v>946.4398188870789</v>
          </cell>
          <cell r="AD11">
            <v>1017.125808713615</v>
          </cell>
          <cell r="AE11">
            <v>936.76548742367368</v>
          </cell>
          <cell r="AF11">
            <v>786.88873885885482</v>
          </cell>
          <cell r="AG11">
            <v>451.25409290334858</v>
          </cell>
          <cell r="AH11">
            <v>560.54125036085316</v>
          </cell>
          <cell r="AI11">
            <v>765.90150767603041</v>
          </cell>
          <cell r="AJ11">
            <v>600.18275889184724</v>
          </cell>
        </row>
        <row r="12">
          <cell r="T12">
            <v>605.21299999999997</v>
          </cell>
          <cell r="U12">
            <v>524.19000000000005</v>
          </cell>
          <cell r="V12">
            <v>439.42899999999997</v>
          </cell>
          <cell r="W12">
            <v>533.79999999999995</v>
          </cell>
          <cell r="X12">
            <v>525.49</v>
          </cell>
          <cell r="Y12">
            <v>524.06771049999998</v>
          </cell>
          <cell r="Z12">
            <v>462.59172999999993</v>
          </cell>
          <cell r="AA12">
            <v>398.58370600000006</v>
          </cell>
          <cell r="AB12">
            <v>297.79399999999998</v>
          </cell>
          <cell r="AC12">
            <v>330.07528300000001</v>
          </cell>
          <cell r="AD12">
            <v>409.822</v>
          </cell>
          <cell r="AE12">
            <v>377.44400000000002</v>
          </cell>
          <cell r="AF12">
            <v>413.68829999999997</v>
          </cell>
          <cell r="AG12">
            <v>491.423</v>
          </cell>
          <cell r="AH12">
            <v>425.291</v>
          </cell>
          <cell r="AI12">
            <v>453.15300000000002</v>
          </cell>
          <cell r="AJ12">
            <v>408.12900000000002</v>
          </cell>
        </row>
        <row r="14">
          <cell r="T14">
            <v>368802.12089730537</v>
          </cell>
          <cell r="U14">
            <v>385178.90544335369</v>
          </cell>
          <cell r="V14">
            <v>401131.81134846597</v>
          </cell>
          <cell r="W14">
            <v>416754.42098844534</v>
          </cell>
          <cell r="X14">
            <v>432600.57423280348</v>
          </cell>
          <cell r="Y14">
            <v>461659.5415089415</v>
          </cell>
          <cell r="Z14">
            <v>478966.43364292901</v>
          </cell>
          <cell r="AA14">
            <v>496202.79272168508</v>
          </cell>
          <cell r="AB14">
            <v>506255.26855662127</v>
          </cell>
          <cell r="AC14">
            <v>516268.30245273205</v>
          </cell>
          <cell r="AD14">
            <v>526531.8529480634</v>
          </cell>
          <cell r="AE14">
            <v>536724.94410797989</v>
          </cell>
          <cell r="AF14">
            <v>540570.75925023353</v>
          </cell>
          <cell r="AG14">
            <v>544677.65686340944</v>
          </cell>
          <cell r="AH14">
            <v>548492.44701176148</v>
          </cell>
          <cell r="AI14">
            <v>565494.79045655299</v>
          </cell>
          <cell r="AJ14">
            <v>582706.01268217724</v>
          </cell>
        </row>
      </sheetData>
      <sheetData sheetId="8">
        <row r="8">
          <cell r="T8">
            <v>6500648.8226029677</v>
          </cell>
          <cell r="U8">
            <v>6282105.2385316044</v>
          </cell>
          <cell r="V8">
            <v>6039224.318214979</v>
          </cell>
          <cell r="W8">
            <v>5770970.0524127893</v>
          </cell>
          <cell r="X8">
            <v>5478994.8484336715</v>
          </cell>
          <cell r="Y8">
            <v>5132541.4995256364</v>
          </cell>
          <cell r="Z8">
            <v>5036128.4897454036</v>
          </cell>
          <cell r="AA8">
            <v>4833123.4864505986</v>
          </cell>
          <cell r="AB8">
            <v>4216414.9785331069</v>
          </cell>
          <cell r="AC8">
            <v>4020448.1825403962</v>
          </cell>
          <cell r="AD8">
            <v>3856490.2026474155</v>
          </cell>
          <cell r="AE8">
            <v>3716003.0175107354</v>
          </cell>
          <cell r="AF8">
            <v>3380213.0687514129</v>
          </cell>
          <cell r="AG8">
            <v>3296694.3454221291</v>
          </cell>
          <cell r="AH8">
            <v>3162430.7855759608</v>
          </cell>
          <cell r="AI8">
            <v>3083637.0777398562</v>
          </cell>
          <cell r="AJ8">
            <v>2815937.7899653669</v>
          </cell>
        </row>
        <row r="9">
          <cell r="T9">
            <v>28768.842950759998</v>
          </cell>
          <cell r="U9">
            <v>29427.551231494133</v>
          </cell>
          <cell r="V9">
            <v>29417.615158007069</v>
          </cell>
          <cell r="W9">
            <v>29641.821247985419</v>
          </cell>
          <cell r="X9">
            <v>29470.767849793789</v>
          </cell>
          <cell r="Y9">
            <v>22422.400566197779</v>
          </cell>
          <cell r="Z9">
            <v>23276.944523064743</v>
          </cell>
          <cell r="AA9">
            <v>23334.934443186987</v>
          </cell>
          <cell r="AB9">
            <v>23679.321060541522</v>
          </cell>
          <cell r="AC9">
            <v>23728.337103781352</v>
          </cell>
          <cell r="AD9">
            <v>23708.237402915915</v>
          </cell>
          <cell r="AE9">
            <v>23731.665256390424</v>
          </cell>
          <cell r="AF9">
            <v>23696.412297305927</v>
          </cell>
          <cell r="AG9">
            <v>23543.4291512411</v>
          </cell>
          <cell r="AH9">
            <v>23540.200208568473</v>
          </cell>
          <cell r="AI9">
            <v>23309.776398597503</v>
          </cell>
          <cell r="AJ9">
            <v>23297.341821189439</v>
          </cell>
        </row>
        <row r="10">
          <cell r="T10">
            <v>7954.0144035166131</v>
          </cell>
          <cell r="U10">
            <v>6050.4457817272396</v>
          </cell>
          <cell r="V10">
            <v>4452.6684139242016</v>
          </cell>
          <cell r="W10">
            <v>4825.045830800148</v>
          </cell>
          <cell r="X10">
            <v>6148.3529399184035</v>
          </cell>
          <cell r="Y10">
            <v>11054.912192862294</v>
          </cell>
          <cell r="Z10">
            <v>11134.353403775602</v>
          </cell>
          <cell r="AA10">
            <v>15628.693521395524</v>
          </cell>
          <cell r="AB10">
            <v>17100.81062688</v>
          </cell>
          <cell r="AC10">
            <v>7325.8898007830194</v>
          </cell>
          <cell r="AD10">
            <v>9085.3763361775891</v>
          </cell>
          <cell r="AE10">
            <v>12956.789117866147</v>
          </cell>
          <cell r="AF10">
            <v>10701.94742123783</v>
          </cell>
          <cell r="AG10">
            <v>4682.0450082777288</v>
          </cell>
          <cell r="AH10">
            <v>6591.1412798072479</v>
          </cell>
          <cell r="AI10">
            <v>4322.3928778424679</v>
          </cell>
          <cell r="AJ10">
            <v>7699.2765355714391</v>
          </cell>
        </row>
        <row r="11">
          <cell r="T11">
            <v>206743.81</v>
          </cell>
          <cell r="U11">
            <v>227447.8859018306</v>
          </cell>
          <cell r="V11">
            <v>248573.61358911431</v>
          </cell>
          <cell r="W11">
            <v>276481.40210216056</v>
          </cell>
          <cell r="X11">
            <v>333058.25109185395</v>
          </cell>
          <cell r="Y11">
            <v>89854.220317380546</v>
          </cell>
          <cell r="Z11">
            <v>192303.63800229388</v>
          </cell>
          <cell r="AA11">
            <v>611062.46808226639</v>
          </cell>
          <cell r="AB11">
            <v>192087.178269814</v>
          </cell>
          <cell r="AC11">
            <v>148297.99474921948</v>
          </cell>
          <cell r="AD11">
            <v>126820.66959306473</v>
          </cell>
          <cell r="AE11">
            <v>323896.68869440438</v>
          </cell>
          <cell r="AF11">
            <v>66782.842341754251</v>
          </cell>
          <cell r="AG11">
            <v>108661.98159303526</v>
          </cell>
          <cell r="AH11">
            <v>54795.275064801783</v>
          </cell>
          <cell r="AI11">
            <v>238112.68290016006</v>
          </cell>
          <cell r="AJ11">
            <v>95017.524095019035</v>
          </cell>
        </row>
        <row r="12">
          <cell r="T12">
            <v>48522.631425640371</v>
          </cell>
          <cell r="U12">
            <v>50911.031428016264</v>
          </cell>
          <cell r="V12">
            <v>53550.935785007052</v>
          </cell>
          <cell r="W12">
            <v>49960.668955743778</v>
          </cell>
          <cell r="X12">
            <v>49014.218605893555</v>
          </cell>
          <cell r="Y12">
            <v>40036.102221912457</v>
          </cell>
          <cell r="Z12">
            <v>45112.663219351198</v>
          </cell>
          <cell r="AA12">
            <v>44609.667799806826</v>
          </cell>
          <cell r="AB12">
            <v>44659.749410318356</v>
          </cell>
          <cell r="AC12">
            <v>46714.212048325615</v>
          </cell>
          <cell r="AD12">
            <v>46460.129282709138</v>
          </cell>
          <cell r="AE12">
            <v>48581.714439174735</v>
          </cell>
          <cell r="AF12">
            <v>51134.240706073819</v>
          </cell>
          <cell r="AG12">
            <v>53827.052412652039</v>
          </cell>
          <cell r="AH12">
            <v>54129.774259678721</v>
          </cell>
          <cell r="AI12">
            <v>57218.77415076855</v>
          </cell>
          <cell r="AJ12">
            <v>54503.682260901885</v>
          </cell>
        </row>
        <row r="14">
          <cell r="T14">
            <v>6282105.2385316044</v>
          </cell>
          <cell r="U14">
            <v>6039224.318214979</v>
          </cell>
          <cell r="V14">
            <v>5770970.0524127893</v>
          </cell>
          <cell r="W14">
            <v>5478994.8484336715</v>
          </cell>
          <cell r="X14">
            <v>5132541.4995256364</v>
          </cell>
          <cell r="Y14">
            <v>5036128.4897454036</v>
          </cell>
          <cell r="Z14">
            <v>4833123.4864505986</v>
          </cell>
          <cell r="AA14">
            <v>4216414.9785331069</v>
          </cell>
          <cell r="AB14">
            <v>4020448.1825403962</v>
          </cell>
          <cell r="AC14">
            <v>3856490.2026474155</v>
          </cell>
          <cell r="AD14">
            <v>3716003.0175107354</v>
          </cell>
          <cell r="AE14">
            <v>3380213.0687514129</v>
          </cell>
          <cell r="AF14">
            <v>3296694.3454221291</v>
          </cell>
          <cell r="AG14">
            <v>3162430.7855759608</v>
          </cell>
          <cell r="AH14">
            <v>3083637.0777398562</v>
          </cell>
          <cell r="AI14">
            <v>2815937.7899653669</v>
          </cell>
          <cell r="AJ14">
            <v>2697413.2019662075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4">
          <cell r="B4">
            <v>2544638.3066988862</v>
          </cell>
          <cell r="D4">
            <v>455.992302</v>
          </cell>
          <cell r="E4">
            <v>1830165.3108751574</v>
          </cell>
          <cell r="G4">
            <v>524.06799999999998</v>
          </cell>
          <cell r="H4">
            <v>2082476.1185298096</v>
          </cell>
          <cell r="J4">
            <v>11108.721695361977</v>
          </cell>
        </row>
        <row r="5">
          <cell r="B5">
            <v>3116120.1131154578</v>
          </cell>
          <cell r="D5">
            <v>392.65874300000002</v>
          </cell>
          <cell r="E5">
            <v>2267644.7144483216</v>
          </cell>
          <cell r="G5">
            <v>398.58593000000002</v>
          </cell>
          <cell r="H5">
            <v>2264231.2102817218</v>
          </cell>
          <cell r="J5">
            <v>14685.222913572987</v>
          </cell>
        </row>
        <row r="6">
          <cell r="B6">
            <v>3340763.7603995232</v>
          </cell>
          <cell r="D6">
            <v>250.601923</v>
          </cell>
          <cell r="E6">
            <v>2308238.770570111</v>
          </cell>
          <cell r="G6">
            <v>297.754256</v>
          </cell>
          <cell r="H6">
            <v>2307758.7860953487</v>
          </cell>
          <cell r="J6">
            <v>14054.589638298303</v>
          </cell>
        </row>
        <row r="7">
          <cell r="B7">
            <v>3380519.1712025069</v>
          </cell>
          <cell r="D7">
            <v>368.3193124</v>
          </cell>
          <cell r="E7">
            <v>2325895.1173787126</v>
          </cell>
          <cell r="G7">
            <v>433.27751540000008</v>
          </cell>
          <cell r="H7">
            <v>2328675.9179965425</v>
          </cell>
          <cell r="J7">
            <v>13667.239564342117</v>
          </cell>
        </row>
        <row r="8">
          <cell r="B8">
            <v>3559156.7853609156</v>
          </cell>
          <cell r="D8">
            <v>379.81765608000001</v>
          </cell>
          <cell r="E8">
            <v>2402908.361405768</v>
          </cell>
          <cell r="G8">
            <v>423.23532807999999</v>
          </cell>
          <cell r="H8">
            <v>2402840.0226341393</v>
          </cell>
          <cell r="J8">
            <v>16053.884510422691</v>
          </cell>
        </row>
        <row r="9">
          <cell r="B9">
            <v>3881085.7043578555</v>
          </cell>
          <cell r="D9">
            <v>369.47798729600004</v>
          </cell>
          <cell r="E9">
            <v>2566968.6609276221</v>
          </cell>
          <cell r="G9">
            <v>403.068793696</v>
          </cell>
          <cell r="H9">
            <v>2573854.8388449908</v>
          </cell>
          <cell r="J9">
            <v>15383.191800199183</v>
          </cell>
        </row>
        <row r="10">
          <cell r="B10">
            <v>3933314.1129807672</v>
          </cell>
          <cell r="D10">
            <v>352.17512435520001</v>
          </cell>
          <cell r="E10">
            <v>2676850.24132794</v>
          </cell>
          <cell r="G10">
            <v>391.18436463520004</v>
          </cell>
          <cell r="H10">
            <v>2669809.0847799391</v>
          </cell>
          <cell r="J10">
            <v>13090.148968463247</v>
          </cell>
        </row>
        <row r="11">
          <cell r="B11">
            <v>3961315.889822375</v>
          </cell>
          <cell r="D11">
            <v>344.07840062624001</v>
          </cell>
          <cell r="E11">
            <v>2745703.4078377495</v>
          </cell>
          <cell r="G11">
            <v>389.70405156224007</v>
          </cell>
          <cell r="H11">
            <v>2761113.3421701016</v>
          </cell>
          <cell r="J11">
            <v>15066.676594920635</v>
          </cell>
        </row>
        <row r="12">
          <cell r="B12">
            <v>4055822.6836181688</v>
          </cell>
          <cell r="D12">
            <v>362.77369615148802</v>
          </cell>
          <cell r="E12">
            <v>2957681.5747709256</v>
          </cell>
          <cell r="G12">
            <v>408.09401067468798</v>
          </cell>
          <cell r="H12">
            <v>3007338.4382516029</v>
          </cell>
          <cell r="J12">
            <v>13179.85953959289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K PDB"/>
    </sheetNames>
    <sheetDataSet>
      <sheetData sheetId="0">
        <row r="13">
          <cell r="B13">
            <v>4226858.3032109262</v>
          </cell>
          <cell r="D13">
            <v>361.66457290178562</v>
          </cell>
          <cell r="E13">
            <v>3267035.2711039316</v>
          </cell>
          <cell r="G13">
            <v>403.05730972962556</v>
          </cell>
          <cell r="H13">
            <v>3272877.1084539029</v>
          </cell>
          <cell r="J13">
            <v>11885.784338419222</v>
          </cell>
        </row>
        <row r="14">
          <cell r="B14">
            <v>4290053.5747032175</v>
          </cell>
          <cell r="D14">
            <v>358.03395626614275</v>
          </cell>
          <cell r="E14">
            <v>3330614.3649217673</v>
          </cell>
          <cell r="G14">
            <v>399.0217060595507</v>
          </cell>
          <cell r="H14">
            <v>3334392.2128417003</v>
          </cell>
          <cell r="J14">
            <v>14018.446670368134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AO33"/>
  <sheetViews>
    <sheetView showGridLines="0" view="pageBreakPreview" zoomScaleSheetLayoutView="100" workbookViewId="0">
      <pane xSplit="19" ySplit="5" topLeftCell="AF6" activePane="bottomRight" state="frozen"/>
      <selection activeCell="N11" sqref="N11"/>
      <selection pane="topRight" activeCell="N11" sqref="N11"/>
      <selection pane="bottomLeft" activeCell="N11" sqref="N11"/>
      <selection pane="bottomRight" activeCell="AH23" sqref="AH23"/>
    </sheetView>
  </sheetViews>
  <sheetFormatPr defaultColWidth="8.81640625" defaultRowHeight="14.5" x14ac:dyDescent="0.35"/>
  <cols>
    <col min="1" max="1" width="35" customWidth="1"/>
    <col min="2" max="19" width="9.1796875" hidden="1" customWidth="1"/>
    <col min="20" max="20" width="12.36328125" customWidth="1"/>
    <col min="21" max="21" width="13.6328125" customWidth="1"/>
    <col min="22" max="22" width="12.81640625" customWidth="1"/>
    <col min="23" max="25" width="13.6328125" customWidth="1"/>
    <col min="26" max="34" width="13.6328125" bestFit="1" customWidth="1"/>
    <col min="35" max="36" width="13.6328125" customWidth="1"/>
    <col min="37" max="37" width="12.36328125" bestFit="1" customWidth="1"/>
    <col min="38" max="38" width="13.36328125" bestFit="1" customWidth="1"/>
  </cols>
  <sheetData>
    <row r="1" spans="1:41" x14ac:dyDescent="0.35">
      <c r="A1" s="470" t="s">
        <v>33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470"/>
      <c r="Q1" s="470"/>
      <c r="R1" s="470"/>
      <c r="S1" s="470"/>
      <c r="T1" s="470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</row>
    <row r="2" spans="1:41" x14ac:dyDescent="0.35">
      <c r="A2" s="470" t="s">
        <v>34</v>
      </c>
      <c r="B2" s="470"/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</row>
    <row r="3" spans="1:41" ht="15" thickBot="1" x14ac:dyDescent="0.4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</row>
    <row r="4" spans="1:41" ht="15" thickTop="1" x14ac:dyDescent="0.35">
      <c r="A4" s="468" t="s">
        <v>35</v>
      </c>
      <c r="B4" s="468">
        <v>1990</v>
      </c>
      <c r="C4" s="468">
        <v>1991</v>
      </c>
      <c r="D4" s="468">
        <v>1992</v>
      </c>
      <c r="E4" s="468">
        <v>1993</v>
      </c>
      <c r="F4" s="468">
        <v>1994</v>
      </c>
      <c r="G4" s="468">
        <v>1995</v>
      </c>
      <c r="H4" s="468">
        <v>1996</v>
      </c>
      <c r="I4" s="468">
        <v>1997</v>
      </c>
      <c r="J4" s="468">
        <v>1998</v>
      </c>
      <c r="K4" s="468">
        <v>1999</v>
      </c>
      <c r="L4" s="468">
        <v>2000</v>
      </c>
      <c r="M4" s="468">
        <v>2001</v>
      </c>
      <c r="N4" s="468">
        <v>2002</v>
      </c>
      <c r="O4" s="468">
        <v>2003</v>
      </c>
      <c r="P4" s="468">
        <v>2004</v>
      </c>
      <c r="Q4" s="468">
        <v>2005</v>
      </c>
      <c r="R4" s="468">
        <v>2006</v>
      </c>
      <c r="S4" s="468">
        <v>2007</v>
      </c>
      <c r="T4" s="468">
        <v>2008</v>
      </c>
      <c r="U4" s="468">
        <v>2009</v>
      </c>
      <c r="V4" s="468">
        <v>2010</v>
      </c>
      <c r="W4" s="468">
        <v>2011</v>
      </c>
      <c r="X4" s="468">
        <v>2012</v>
      </c>
      <c r="Y4" s="468">
        <v>2013</v>
      </c>
      <c r="Z4" s="468">
        <v>2014</v>
      </c>
      <c r="AA4" s="468">
        <v>2015</v>
      </c>
      <c r="AB4" s="468">
        <v>2016</v>
      </c>
      <c r="AC4" s="468">
        <v>2017</v>
      </c>
      <c r="AD4" s="468">
        <v>2018</v>
      </c>
      <c r="AE4" s="468">
        <v>2019</v>
      </c>
      <c r="AF4" s="468">
        <v>2020</v>
      </c>
      <c r="AG4" s="468">
        <v>2021</v>
      </c>
      <c r="AH4" s="468">
        <v>2022</v>
      </c>
      <c r="AI4" s="468">
        <v>2023</v>
      </c>
      <c r="AJ4" s="468">
        <v>2024</v>
      </c>
    </row>
    <row r="5" spans="1:41" ht="15" thickBot="1" x14ac:dyDescent="0.4">
      <c r="A5" s="469"/>
      <c r="B5" s="469"/>
      <c r="C5" s="469"/>
      <c r="D5" s="469"/>
      <c r="E5" s="469"/>
      <c r="F5" s="469"/>
      <c r="G5" s="469"/>
      <c r="H5" s="469"/>
      <c r="I5" s="469"/>
      <c r="J5" s="469"/>
      <c r="K5" s="469"/>
      <c r="L5" s="469"/>
      <c r="M5" s="469"/>
      <c r="N5" s="469"/>
      <c r="O5" s="469"/>
      <c r="P5" s="469"/>
      <c r="Q5" s="469"/>
      <c r="R5" s="469"/>
      <c r="S5" s="469"/>
      <c r="T5" s="469"/>
      <c r="U5" s="469"/>
      <c r="V5" s="469"/>
      <c r="W5" s="469"/>
      <c r="X5" s="469"/>
      <c r="Y5" s="469"/>
      <c r="Z5" s="469"/>
      <c r="AA5" s="469"/>
      <c r="AB5" s="469"/>
      <c r="AC5" s="469"/>
      <c r="AD5" s="469"/>
      <c r="AE5" s="469"/>
      <c r="AF5" s="469"/>
      <c r="AG5" s="469"/>
      <c r="AH5" s="469"/>
      <c r="AI5" s="469"/>
      <c r="AJ5" s="469"/>
    </row>
    <row r="6" spans="1:41" ht="16" thickTop="1" x14ac:dyDescent="0.35">
      <c r="A6" s="39" t="s">
        <v>52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</row>
    <row r="7" spans="1:41" x14ac:dyDescent="0.3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</row>
    <row r="8" spans="1:41" x14ac:dyDescent="0.35">
      <c r="A8" s="32" t="s">
        <v>36</v>
      </c>
      <c r="B8" s="25">
        <v>8644424.6000000015</v>
      </c>
      <c r="C8" s="25">
        <v>8642977.8000000007</v>
      </c>
      <c r="D8" s="25">
        <v>8640252.7455536071</v>
      </c>
      <c r="E8" s="25">
        <v>8619007.1668181363</v>
      </c>
      <c r="F8" s="25">
        <v>8589076.0102068204</v>
      </c>
      <c r="G8" s="25">
        <v>8569181.9004384335</v>
      </c>
      <c r="H8" s="25">
        <v>8548707.6104384344</v>
      </c>
      <c r="I8" s="25">
        <v>8535616.3050000016</v>
      </c>
      <c r="J8" s="25">
        <v>8478434.2400000021</v>
      </c>
      <c r="K8" s="25">
        <v>8418105.0770000033</v>
      </c>
      <c r="L8" s="25">
        <v>8345375.3486639448</v>
      </c>
      <c r="M8" s="25">
        <v>8282251.7864561249</v>
      </c>
      <c r="N8" s="25">
        <v>8191498.894572394</v>
      </c>
      <c r="O8" s="25">
        <v>8068944.1353588831</v>
      </c>
      <c r="P8" s="25">
        <v>7925081.7233114932</v>
      </c>
      <c r="Q8" s="25">
        <v>7753143.3643644927</v>
      </c>
      <c r="R8" s="25">
        <v>7515887.7574744355</v>
      </c>
      <c r="S8" s="25">
        <v>7232311.7491272604</v>
      </c>
      <c r="T8" s="25">
        <f>'Rekap Transpose'!B3</f>
        <v>6941231.3149276897</v>
      </c>
      <c r="U8" s="25">
        <f t="shared" ref="U8:Z8" ca="1" si="0">T15</f>
        <v>6742572.6057451833</v>
      </c>
      <c r="V8" s="25">
        <f t="shared" ca="1" si="0"/>
        <v>6520095.2103007426</v>
      </c>
      <c r="W8" s="25">
        <f t="shared" ca="1" si="0"/>
        <v>6271702.0579473851</v>
      </c>
      <c r="X8" s="25">
        <f t="shared" ca="1" si="0"/>
        <v>5998732.6679871818</v>
      </c>
      <c r="Y8" s="25">
        <f t="shared" ca="1" si="0"/>
        <v>5670001.240892062</v>
      </c>
      <c r="Z8" s="25">
        <f t="shared" ca="1" si="0"/>
        <v>5606293.135957255</v>
      </c>
      <c r="AA8" s="25">
        <f t="shared" ref="AA8:AH8" ca="1" si="1">Z15</f>
        <v>5423882.4098763652</v>
      </c>
      <c r="AB8" s="25">
        <f t="shared" ca="1" si="1"/>
        <v>4827604.4524949323</v>
      </c>
      <c r="AC8" s="26">
        <f t="shared" ca="1" si="1"/>
        <v>4644893.8087344477</v>
      </c>
      <c r="AD8" s="26">
        <f t="shared" ca="1" si="1"/>
        <v>4493898.4906055126</v>
      </c>
      <c r="AE8" s="26">
        <f t="shared" ca="1" si="1"/>
        <v>4366432.4397125738</v>
      </c>
      <c r="AF8" s="26">
        <f t="shared" ca="1" si="1"/>
        <v>4043705.7230919283</v>
      </c>
      <c r="AG8" s="26">
        <f t="shared" ca="1" si="1"/>
        <v>3968297.7041478809</v>
      </c>
      <c r="AH8" s="26">
        <f t="shared" ca="1" si="1"/>
        <v>3842760.9381963518</v>
      </c>
      <c r="AI8" s="26">
        <f t="shared" ref="AI8" ca="1" si="2">AH15</f>
        <v>3772327.2768327761</v>
      </c>
      <c r="AJ8" s="26">
        <f t="shared" ref="AJ8" ca="1" si="3">AI15</f>
        <v>3525379.2393527976</v>
      </c>
      <c r="AK8" s="28"/>
      <c r="AL8" s="28"/>
      <c r="AM8" s="28"/>
      <c r="AN8" s="28"/>
      <c r="AO8" s="28"/>
    </row>
    <row r="9" spans="1:41" x14ac:dyDescent="0.35">
      <c r="A9" s="32" t="s">
        <v>41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>
        <f ca="1">SUM(T10:T11)</f>
        <v>58307.641279276613</v>
      </c>
      <c r="U9" s="25">
        <f t="shared" ref="U9:AF9" ca="1" si="4">SUM(U10:U11)</f>
        <v>57410.290794221371</v>
      </c>
      <c r="V9" s="38">
        <f t="shared" ca="1" si="4"/>
        <v>55446.930491360792</v>
      </c>
      <c r="W9" s="38">
        <f t="shared" ca="1" si="4"/>
        <v>56343.742720157112</v>
      </c>
      <c r="X9" s="38">
        <f t="shared" ca="1" si="4"/>
        <v>59091.587619549857</v>
      </c>
      <c r="Y9" s="38">
        <f t="shared" ca="1" si="4"/>
        <v>69758.02600899752</v>
      </c>
      <c r="Z9" s="38">
        <f t="shared" ca="1" si="4"/>
        <v>57882.120718577717</v>
      </c>
      <c r="AA9" s="38">
        <f t="shared" ca="1" si="4"/>
        <v>62487.426399886848</v>
      </c>
      <c r="AB9" s="38">
        <f t="shared" ca="1" si="4"/>
        <v>56245.120854305329</v>
      </c>
      <c r="AC9" s="334">
        <f t="shared" ca="1" si="4"/>
        <v>46682.574577356405</v>
      </c>
      <c r="AD9" s="334">
        <f t="shared" ca="1" si="4"/>
        <v>48805.643217022276</v>
      </c>
      <c r="AE9" s="334">
        <f t="shared" ca="1" si="4"/>
        <v>52543.855979983826</v>
      </c>
      <c r="AF9" s="334">
        <f t="shared" ca="1" si="4"/>
        <v>45042.84754135734</v>
      </c>
      <c r="AG9" s="334">
        <f t="shared" ref="AG9:AH9" ca="1" si="5">SUM(AG10:AG11)</f>
        <v>38906.047859744125</v>
      </c>
      <c r="AH9" s="334">
        <f t="shared" ca="1" si="5"/>
        <v>40619.089595467085</v>
      </c>
      <c r="AI9" s="334">
        <f t="shared" ref="AI9:AJ9" ca="1" si="6">SUM(AI10:AI11)</f>
        <v>50941.803760519593</v>
      </c>
      <c r="AJ9" s="334">
        <f t="shared" ca="1" si="6"/>
        <v>54326.981389370732</v>
      </c>
      <c r="AK9" s="28"/>
      <c r="AL9" s="28"/>
      <c r="AM9" s="28"/>
      <c r="AN9" s="28"/>
      <c r="AO9" s="28"/>
    </row>
    <row r="10" spans="1:41" x14ac:dyDescent="0.35">
      <c r="A10" s="31" t="s">
        <v>43</v>
      </c>
      <c r="B10" s="25">
        <v>41982.9</v>
      </c>
      <c r="C10" s="25">
        <v>43088.145553606788</v>
      </c>
      <c r="D10" s="25">
        <v>44320.021264527517</v>
      </c>
      <c r="E10" s="25">
        <v>45618.543388682301</v>
      </c>
      <c r="F10" s="25">
        <v>47003.130231614057</v>
      </c>
      <c r="G10" s="25">
        <v>48595.509999999995</v>
      </c>
      <c r="H10" s="25">
        <v>54426.460000000006</v>
      </c>
      <c r="I10" s="25">
        <v>55032.56</v>
      </c>
      <c r="J10" s="25">
        <v>56761.47</v>
      </c>
      <c r="K10" s="25">
        <v>60762.236570020184</v>
      </c>
      <c r="L10" s="25">
        <v>57911.826798800001</v>
      </c>
      <c r="M10" s="25">
        <v>57766.750116919859</v>
      </c>
      <c r="N10" s="25">
        <v>57353.360425551073</v>
      </c>
      <c r="O10" s="25">
        <v>54498.138918854827</v>
      </c>
      <c r="P10" s="25">
        <v>58396.027802999997</v>
      </c>
      <c r="Q10" s="25">
        <v>53842.346460999994</v>
      </c>
      <c r="R10" s="25">
        <v>52132.490530999996</v>
      </c>
      <c r="S10" s="25">
        <v>51780.126382999995</v>
      </c>
      <c r="T10" s="173">
        <f t="shared" ref="T10" ca="1" si="7">INDIRECT("'Rekap Transpose'!C"&amp;T32)</f>
        <v>50170.416650760002</v>
      </c>
      <c r="U10" s="173">
        <f t="shared" ref="U10:AF10" ca="1" si="8">INDIRECT("'Rekap Transpose'!C"&amp;U32)</f>
        <v>51261.333912494134</v>
      </c>
      <c r="V10" s="173">
        <f t="shared" ca="1" si="8"/>
        <v>50866.65119418659</v>
      </c>
      <c r="W10" s="173">
        <f t="shared" ca="1" si="8"/>
        <v>51448.149614356968</v>
      </c>
      <c r="X10" s="173">
        <f t="shared" ca="1" si="8"/>
        <v>52887.13322963145</v>
      </c>
      <c r="Y10" s="173">
        <f t="shared" ca="1" si="8"/>
        <v>58651.074841135232</v>
      </c>
      <c r="Z10" s="173">
        <f t="shared" ca="1" si="8"/>
        <v>46687.165089802118</v>
      </c>
      <c r="AA10" s="173">
        <f t="shared" ca="1" si="8"/>
        <v>46799.570508741323</v>
      </c>
      <c r="AB10" s="173">
        <f t="shared" ca="1" si="8"/>
        <v>39130.338927425328</v>
      </c>
      <c r="AC10" s="335">
        <f t="shared" ca="1" si="8"/>
        <v>39323.954805223388</v>
      </c>
      <c r="AD10" s="335">
        <f t="shared" ca="1" si="8"/>
        <v>39685.752055844685</v>
      </c>
      <c r="AE10" s="335">
        <f t="shared" ca="1" si="8"/>
        <v>39539.544512117682</v>
      </c>
      <c r="AF10" s="335">
        <f t="shared" ca="1" si="8"/>
        <v>34282.64867011951</v>
      </c>
      <c r="AG10" s="335">
        <f t="shared" ref="AG10:AH10" ca="1" si="9">INDIRECT("'Rekap Transpose'!C"&amp;AG32)</f>
        <v>34157.5529264664</v>
      </c>
      <c r="AH10" s="335">
        <f t="shared" ca="1" si="9"/>
        <v>33987.370240659839</v>
      </c>
      <c r="AI10" s="335">
        <f t="shared" ref="AI10:AJ10" ca="1" si="10">INDIRECT("'Rekap Transpose'!C"&amp;AI32)</f>
        <v>46581.601407677124</v>
      </c>
      <c r="AJ10" s="335">
        <f t="shared" ca="1" si="10"/>
        <v>46599.387353799291</v>
      </c>
    </row>
    <row r="11" spans="1:41" x14ac:dyDescent="0.35">
      <c r="A11" s="31" t="s">
        <v>42</v>
      </c>
      <c r="B11" s="25">
        <v>789.99999999999989</v>
      </c>
      <c r="C11" s="25">
        <v>1152.3</v>
      </c>
      <c r="D11" s="25">
        <v>1131.1999999999998</v>
      </c>
      <c r="E11" s="25">
        <v>1601.8</v>
      </c>
      <c r="F11" s="25">
        <v>1367.46</v>
      </c>
      <c r="G11" s="25">
        <v>1674.2</v>
      </c>
      <c r="H11" s="25">
        <v>2654.0299999999997</v>
      </c>
      <c r="I11" s="25">
        <v>2266.5899999999997</v>
      </c>
      <c r="J11" s="25">
        <v>1681.4900000000002</v>
      </c>
      <c r="K11" s="25">
        <v>1439.1996924109028</v>
      </c>
      <c r="L11" s="25">
        <v>3484.984845821662</v>
      </c>
      <c r="M11" s="25">
        <v>1406.3485546802056</v>
      </c>
      <c r="N11" s="25">
        <v>5053.5776562208221</v>
      </c>
      <c r="O11" s="25">
        <v>5971.3367500000004</v>
      </c>
      <c r="P11" s="25">
        <v>5670.3172500000001</v>
      </c>
      <c r="Q11" s="25">
        <v>5580.4384000000009</v>
      </c>
      <c r="R11" s="25">
        <v>7265.3378275000014</v>
      </c>
      <c r="S11" s="25">
        <v>6472.968113915751</v>
      </c>
      <c r="T11" s="173">
        <f t="shared" ref="T11" ca="1" si="11">INDIRECT("'Rekap Transpose'!D"&amp;T32)</f>
        <v>8137.2246285166129</v>
      </c>
      <c r="U11" s="173">
        <f t="shared" ref="U11:AF11" ca="1" si="12">INDIRECT("'Rekap Transpose'!D"&amp;U32)</f>
        <v>6148.9568817272393</v>
      </c>
      <c r="V11" s="173">
        <f t="shared" ca="1" si="12"/>
        <v>4580.2792971742019</v>
      </c>
      <c r="W11" s="173">
        <f t="shared" ca="1" si="12"/>
        <v>4895.5931058001479</v>
      </c>
      <c r="X11" s="173">
        <f t="shared" ca="1" si="12"/>
        <v>6204.4543899184036</v>
      </c>
      <c r="Y11" s="173">
        <f t="shared" ca="1" si="12"/>
        <v>11106.951167862293</v>
      </c>
      <c r="Z11" s="173">
        <f t="shared" ca="1" si="12"/>
        <v>11194.955628775602</v>
      </c>
      <c r="AA11" s="173">
        <f t="shared" ca="1" si="12"/>
        <v>15687.855891145524</v>
      </c>
      <c r="AB11" s="173">
        <f t="shared" ca="1" si="12"/>
        <v>17114.781926880001</v>
      </c>
      <c r="AC11" s="335">
        <f t="shared" ca="1" si="12"/>
        <v>7358.6197721330191</v>
      </c>
      <c r="AD11" s="335">
        <f t="shared" ca="1" si="12"/>
        <v>9119.8911611775893</v>
      </c>
      <c r="AE11" s="335">
        <f t="shared" ca="1" si="12"/>
        <v>13004.311467866146</v>
      </c>
      <c r="AF11" s="335">
        <f t="shared" ca="1" si="12"/>
        <v>10760.19887123783</v>
      </c>
      <c r="AG11" s="335">
        <f t="shared" ref="AG11:AH11" ca="1" si="13">INDIRECT("'Rekap Transpose'!D"&amp;AG32)</f>
        <v>4748.4949332777287</v>
      </c>
      <c r="AH11" s="335">
        <f t="shared" ca="1" si="13"/>
        <v>6631.7193548072482</v>
      </c>
      <c r="AI11" s="335">
        <f t="shared" ref="AI11:AJ11" ca="1" si="14">INDIRECT("'Rekap Transpose'!D"&amp;AI32)</f>
        <v>4360.2023528424679</v>
      </c>
      <c r="AJ11" s="335">
        <f t="shared" ca="1" si="14"/>
        <v>7727.5940355714392</v>
      </c>
    </row>
    <row r="12" spans="1:41" x14ac:dyDescent="0.35">
      <c r="A12" s="33" t="s">
        <v>44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>
        <f ca="1">SUM(T13:T14)</f>
        <v>256966.35046178283</v>
      </c>
      <c r="U12" s="25">
        <f t="shared" ref="U12:AF12" ca="1" si="15">SUM(U13:U14)</f>
        <v>279887.68623866275</v>
      </c>
      <c r="V12" s="38">
        <f t="shared" ca="1" si="15"/>
        <v>303840.08284471865</v>
      </c>
      <c r="W12" s="38">
        <f t="shared" ca="1" si="15"/>
        <v>329313.13268036034</v>
      </c>
      <c r="X12" s="38">
        <f t="shared" ca="1" si="15"/>
        <v>387823.01471466955</v>
      </c>
      <c r="Y12" s="38">
        <f t="shared" ca="1" si="15"/>
        <v>133466.13094380443</v>
      </c>
      <c r="Z12" s="38">
        <f t="shared" ca="1" si="15"/>
        <v>240292.84679946801</v>
      </c>
      <c r="AA12" s="38">
        <f t="shared" ca="1" si="15"/>
        <v>658765.38378131948</v>
      </c>
      <c r="AB12" s="38">
        <f t="shared" ca="1" si="15"/>
        <v>238955.76461478969</v>
      </c>
      <c r="AC12" s="334">
        <f t="shared" ca="1" si="15"/>
        <v>197677.8927062916</v>
      </c>
      <c r="AD12" s="334">
        <f t="shared" ca="1" si="15"/>
        <v>176271.6941099613</v>
      </c>
      <c r="AE12" s="334">
        <f t="shared" ca="1" si="15"/>
        <v>375270.57260062941</v>
      </c>
      <c r="AF12" s="334">
        <f t="shared" ca="1" si="15"/>
        <v>120450.86648540481</v>
      </c>
      <c r="AG12" s="334">
        <f t="shared" ref="AG12:AH12" ca="1" si="16">SUM(AG13:AG14)</f>
        <v>164442.81381127355</v>
      </c>
      <c r="AH12" s="334">
        <f t="shared" ca="1" si="16"/>
        <v>111052.75095904269</v>
      </c>
      <c r="AI12" s="334">
        <f t="shared" ref="AI12:AJ12" ca="1" si="17">SUM(AI13:AI14)</f>
        <v>297889.84124049824</v>
      </c>
      <c r="AJ12" s="334">
        <f t="shared" ca="1" si="17"/>
        <v>151611.77887496579</v>
      </c>
    </row>
    <row r="13" spans="1:41" x14ac:dyDescent="0.35">
      <c r="A13" s="31" t="s">
        <v>45</v>
      </c>
      <c r="B13" s="25">
        <v>15665.800000000001</v>
      </c>
      <c r="C13" s="25">
        <v>18825.8</v>
      </c>
      <c r="D13" s="25">
        <v>38007.4</v>
      </c>
      <c r="E13" s="25">
        <v>47597.7</v>
      </c>
      <c r="F13" s="25">
        <v>38563.299999999996</v>
      </c>
      <c r="G13" s="25">
        <v>41077.1</v>
      </c>
      <c r="H13" s="25">
        <v>40078.83</v>
      </c>
      <c r="I13" s="25">
        <v>80250.98</v>
      </c>
      <c r="J13" s="25">
        <v>93239.37999999999</v>
      </c>
      <c r="K13" s="25">
        <v>109191.15284669014</v>
      </c>
      <c r="L13" s="25">
        <v>98258.310368640392</v>
      </c>
      <c r="M13" s="25">
        <v>123847.91603265889</v>
      </c>
      <c r="N13" s="25">
        <v>159469.83513567722</v>
      </c>
      <c r="O13" s="25">
        <v>180187.66454722558</v>
      </c>
      <c r="P13" s="25">
        <v>211464.91700000002</v>
      </c>
      <c r="Q13" s="25">
        <v>253701.29476995883</v>
      </c>
      <c r="R13" s="25">
        <v>304112.88914633018</v>
      </c>
      <c r="S13" s="25">
        <v>293287.97084457043</v>
      </c>
      <c r="T13" s="174">
        <f t="shared" ref="T13" ca="1" si="18">INDIRECT("'Rekap Transpose'!E"&amp;T32)</f>
        <v>207360.79603614245</v>
      </c>
      <c r="U13" s="174">
        <f t="shared" ref="U13:AF13" ca="1" si="19">INDIRECT("'Rekap Transpose'!E"&amp;U32)</f>
        <v>227997.26481064648</v>
      </c>
      <c r="V13" s="174">
        <f t="shared" ca="1" si="19"/>
        <v>249399.68605971162</v>
      </c>
      <c r="W13" s="174">
        <f t="shared" ca="1" si="19"/>
        <v>278383.26372461655</v>
      </c>
      <c r="X13" s="174">
        <f t="shared" ca="1" si="19"/>
        <v>337879.87410877598</v>
      </c>
      <c r="Y13" s="174">
        <f t="shared" ca="1" si="19"/>
        <v>92474.44441363198</v>
      </c>
      <c r="Z13" s="174">
        <f t="shared" ca="1" si="19"/>
        <v>194261.59657411682</v>
      </c>
      <c r="AA13" s="174">
        <f t="shared" ca="1" si="19"/>
        <v>613364.47576151264</v>
      </c>
      <c r="AB13" s="174">
        <f t="shared" ca="1" si="19"/>
        <v>193747.58320447133</v>
      </c>
      <c r="AC13" s="336">
        <f t="shared" ca="1" si="19"/>
        <v>150327.38829896599</v>
      </c>
      <c r="AD13" s="336">
        <f t="shared" ca="1" si="19"/>
        <v>129001.63082725217</v>
      </c>
      <c r="AE13" s="336">
        <f t="shared" ca="1" si="19"/>
        <v>325905.33816145471</v>
      </c>
      <c r="AF13" s="336">
        <f t="shared" ca="1" si="19"/>
        <v>68470.120179331003</v>
      </c>
      <c r="AG13" s="336">
        <f t="shared" ref="AG13:AH13" ca="1" si="20">INDIRECT("'Rekap Transpose'!E"&amp;AG32)</f>
        <v>109629.57839862151</v>
      </c>
      <c r="AH13" s="336">
        <f t="shared" ca="1" si="20"/>
        <v>55997.209699363979</v>
      </c>
      <c r="AI13" s="336">
        <f t="shared" ref="AI13:AJ13" ca="1" si="21">INDIRECT("'Rekap Transpose'!E"&amp;AI32)</f>
        <v>239754.9590897297</v>
      </c>
      <c r="AJ13" s="336">
        <f t="shared" ca="1" si="21"/>
        <v>96304.459614063904</v>
      </c>
    </row>
    <row r="14" spans="1:41" x14ac:dyDescent="0.35">
      <c r="A14" s="31" t="s">
        <v>46</v>
      </c>
      <c r="B14" s="25">
        <v>28553.899999999998</v>
      </c>
      <c r="C14" s="25">
        <v>28139.699999999997</v>
      </c>
      <c r="D14" s="25">
        <v>28689.399999999998</v>
      </c>
      <c r="E14" s="25">
        <v>29553.8</v>
      </c>
      <c r="F14" s="25">
        <v>29701.4</v>
      </c>
      <c r="G14" s="25">
        <v>29666.9</v>
      </c>
      <c r="H14" s="25">
        <v>30092.97</v>
      </c>
      <c r="I14" s="25">
        <v>34230.234999999993</v>
      </c>
      <c r="J14" s="25">
        <v>25532.743000000002</v>
      </c>
      <c r="K14" s="25">
        <v>25740.011751800001</v>
      </c>
      <c r="L14" s="25">
        <v>26262.063483800757</v>
      </c>
      <c r="M14" s="25">
        <v>26078.074522671814</v>
      </c>
      <c r="N14" s="25">
        <v>25491.862159605022</v>
      </c>
      <c r="O14" s="25">
        <v>24144.223169018849</v>
      </c>
      <c r="P14" s="25">
        <v>24539.786999999997</v>
      </c>
      <c r="Q14" s="25">
        <v>42977.096981098759</v>
      </c>
      <c r="R14" s="25">
        <v>38860.94755934499</v>
      </c>
      <c r="S14" s="25">
        <v>56045.557851917423</v>
      </c>
      <c r="T14" s="174">
        <f t="shared" ref="T14" ca="1" si="22">INDIRECT("'Rekap Transpose'!F"&amp;T32)</f>
        <v>49605.554425640374</v>
      </c>
      <c r="U14" s="174">
        <f t="shared" ref="U14:AF14" ca="1" si="23">INDIRECT("'Rekap Transpose'!F"&amp;U32)</f>
        <v>51890.421428016263</v>
      </c>
      <c r="V14" s="174">
        <f t="shared" ca="1" si="23"/>
        <v>54440.396785007055</v>
      </c>
      <c r="W14" s="174">
        <f t="shared" ca="1" si="23"/>
        <v>50929.868955743776</v>
      </c>
      <c r="X14" s="174">
        <f t="shared" ca="1" si="23"/>
        <v>49943.140605893554</v>
      </c>
      <c r="Y14" s="174">
        <f t="shared" ca="1" si="23"/>
        <v>40991.686530172454</v>
      </c>
      <c r="Z14" s="174">
        <f t="shared" ca="1" si="23"/>
        <v>46031.250225351199</v>
      </c>
      <c r="AA14" s="174">
        <f t="shared" ca="1" si="23"/>
        <v>45400.908019806826</v>
      </c>
      <c r="AB14" s="174">
        <f t="shared" ca="1" si="23"/>
        <v>45208.181410318357</v>
      </c>
      <c r="AC14" s="336">
        <f t="shared" ca="1" si="23"/>
        <v>47350.504407325614</v>
      </c>
      <c r="AD14" s="336">
        <f t="shared" ca="1" si="23"/>
        <v>47270.063282709139</v>
      </c>
      <c r="AE14" s="336">
        <f t="shared" ca="1" si="23"/>
        <v>49365.234439174732</v>
      </c>
      <c r="AF14" s="336">
        <f t="shared" ca="1" si="23"/>
        <v>51980.746306073816</v>
      </c>
      <c r="AG14" s="336">
        <f t="shared" ref="AG14:AH14" ca="1" si="24">INDIRECT("'Rekap Transpose'!F"&amp;AG32)</f>
        <v>54813.235412652037</v>
      </c>
      <c r="AH14" s="336">
        <f t="shared" ca="1" si="24"/>
        <v>55055.541259678721</v>
      </c>
      <c r="AI14" s="336">
        <f t="shared" ref="AI14:AJ14" ca="1" si="25">INDIRECT("'Rekap Transpose'!F"&amp;AI32)</f>
        <v>58134.88215076855</v>
      </c>
      <c r="AJ14" s="336">
        <f t="shared" ca="1" si="25"/>
        <v>55307.319260901888</v>
      </c>
    </row>
    <row r="15" spans="1:41" x14ac:dyDescent="0.35">
      <c r="A15" s="32" t="s">
        <v>47</v>
      </c>
      <c r="B15" s="25">
        <v>8642977.8000000007</v>
      </c>
      <c r="C15" s="25">
        <v>8640252.7455536071</v>
      </c>
      <c r="D15" s="25">
        <v>8619007.1668181363</v>
      </c>
      <c r="E15" s="25">
        <v>8589076.0102068204</v>
      </c>
      <c r="F15" s="25">
        <v>8569181.9004384335</v>
      </c>
      <c r="G15" s="25">
        <v>8548707.6104384344</v>
      </c>
      <c r="H15" s="25">
        <v>8535616.3050000016</v>
      </c>
      <c r="I15" s="25">
        <v>8478434.2400000021</v>
      </c>
      <c r="J15" s="25">
        <v>8418105.0770000033</v>
      </c>
      <c r="K15" s="25">
        <v>8345375.3486639448</v>
      </c>
      <c r="L15" s="25">
        <v>8282251.7864561249</v>
      </c>
      <c r="M15" s="25">
        <v>8191498.894572394</v>
      </c>
      <c r="N15" s="25">
        <v>8068944.1353588831</v>
      </c>
      <c r="O15" s="25">
        <v>7925081.7233114932</v>
      </c>
      <c r="P15" s="25">
        <v>7753143.3643644927</v>
      </c>
      <c r="Q15" s="25">
        <v>7515887.7574744355</v>
      </c>
      <c r="R15" s="25">
        <v>7232311.7491272604</v>
      </c>
      <c r="S15" s="25">
        <v>6941231.3149276888</v>
      </c>
      <c r="T15" s="25">
        <f ca="1">T8+T9-T12</f>
        <v>6742572.6057451833</v>
      </c>
      <c r="U15" s="25">
        <f t="shared" ref="U15:Z15" ca="1" si="26">U8+U9-U12</f>
        <v>6520095.2103007426</v>
      </c>
      <c r="V15" s="25">
        <f t="shared" ca="1" si="26"/>
        <v>6271702.0579473851</v>
      </c>
      <c r="W15" s="25">
        <f t="shared" ca="1" si="26"/>
        <v>5998732.6679871818</v>
      </c>
      <c r="X15" s="25">
        <f t="shared" ca="1" si="26"/>
        <v>5670001.240892062</v>
      </c>
      <c r="Y15" s="25">
        <f t="shared" ca="1" si="26"/>
        <v>5606293.135957255</v>
      </c>
      <c r="Z15" s="25">
        <f t="shared" ca="1" si="26"/>
        <v>5423882.4098763652</v>
      </c>
      <c r="AA15" s="25">
        <f t="shared" ref="AA15:AB15" ca="1" si="27">AA8+AA9-AA12</f>
        <v>4827604.4524949323</v>
      </c>
      <c r="AB15" s="25">
        <f t="shared" ca="1" si="27"/>
        <v>4644893.8087344477</v>
      </c>
      <c r="AC15" s="26">
        <f t="shared" ref="AC15:AD15" ca="1" si="28">AC8+AC9-AC12</f>
        <v>4493898.4906055126</v>
      </c>
      <c r="AD15" s="26">
        <f t="shared" ca="1" si="28"/>
        <v>4366432.4397125738</v>
      </c>
      <c r="AE15" s="26">
        <f ca="1">AE8+AE9-AE12</f>
        <v>4043705.7230919283</v>
      </c>
      <c r="AF15" s="26">
        <f ca="1">AF8+AF9-AF12</f>
        <v>3968297.7041478809</v>
      </c>
      <c r="AG15" s="26">
        <f ca="1">AG8+AG9-AG12</f>
        <v>3842760.9381963518</v>
      </c>
      <c r="AH15" s="26">
        <f ca="1">AH8+AH9-AH12</f>
        <v>3772327.2768327761</v>
      </c>
      <c r="AI15" s="26">
        <f t="shared" ref="AI15:AJ15" ca="1" si="29">AI8+AI9-AI12</f>
        <v>3525379.2393527976</v>
      </c>
      <c r="AJ15" s="26">
        <f t="shared" ca="1" si="29"/>
        <v>3428094.4418672025</v>
      </c>
    </row>
    <row r="16" spans="1:41" x14ac:dyDescent="0.35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176">
        <f ca="1">U8-T15</f>
        <v>0</v>
      </c>
      <c r="V16" s="176">
        <f t="shared" ref="V16:AH16" ca="1" si="30">V8-U15</f>
        <v>0</v>
      </c>
      <c r="W16" s="176">
        <f t="shared" ca="1" si="30"/>
        <v>0</v>
      </c>
      <c r="X16" s="176">
        <f t="shared" ca="1" si="30"/>
        <v>0</v>
      </c>
      <c r="Y16" s="176">
        <f t="shared" ca="1" si="30"/>
        <v>0</v>
      </c>
      <c r="Z16" s="176">
        <f t="shared" ca="1" si="30"/>
        <v>0</v>
      </c>
      <c r="AA16" s="176">
        <f t="shared" ca="1" si="30"/>
        <v>0</v>
      </c>
      <c r="AB16" s="176">
        <f t="shared" ca="1" si="30"/>
        <v>0</v>
      </c>
      <c r="AC16" s="337">
        <f t="shared" ca="1" si="30"/>
        <v>0</v>
      </c>
      <c r="AD16" s="337">
        <f t="shared" ca="1" si="30"/>
        <v>0</v>
      </c>
      <c r="AE16" s="337">
        <f t="shared" ca="1" si="30"/>
        <v>0</v>
      </c>
      <c r="AF16" s="337">
        <f t="shared" ca="1" si="30"/>
        <v>0</v>
      </c>
      <c r="AG16" s="337">
        <f t="shared" ca="1" si="30"/>
        <v>0</v>
      </c>
      <c r="AH16" s="337">
        <f t="shared" ca="1" si="30"/>
        <v>0</v>
      </c>
      <c r="AI16" s="337">
        <f t="shared" ref="AI16" ca="1" si="31">AI8-AH15</f>
        <v>0</v>
      </c>
      <c r="AJ16" s="337">
        <f t="shared" ref="AJ16" ca="1" si="32">AJ8-AI15</f>
        <v>0</v>
      </c>
    </row>
    <row r="17" spans="1:36" x14ac:dyDescent="0.35">
      <c r="A17" s="24"/>
      <c r="B17" s="24"/>
      <c r="C17" s="25"/>
      <c r="D17" s="25"/>
      <c r="E17" s="25"/>
      <c r="F17" s="25"/>
      <c r="G17" s="25"/>
      <c r="H17" s="25"/>
      <c r="I17" s="25"/>
      <c r="J17" s="25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</row>
    <row r="18" spans="1:36" x14ac:dyDescent="0.35">
      <c r="A18" s="32" t="s">
        <v>37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6"/>
      <c r="AD18" s="26"/>
      <c r="AE18" s="26"/>
      <c r="AF18" s="26"/>
      <c r="AG18" s="26"/>
      <c r="AH18" s="26"/>
      <c r="AI18" s="26"/>
      <c r="AJ18" s="26"/>
    </row>
    <row r="19" spans="1:36" x14ac:dyDescent="0.35">
      <c r="A19" s="32" t="s">
        <v>38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6"/>
      <c r="AD19" s="26"/>
      <c r="AE19" s="26"/>
      <c r="AF19" s="26"/>
      <c r="AG19" s="26"/>
      <c r="AH19" s="26"/>
      <c r="AI19" s="26"/>
      <c r="AJ19" s="26"/>
    </row>
    <row r="20" spans="1:36" x14ac:dyDescent="0.3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6"/>
      <c r="AD20" s="26"/>
      <c r="AE20" s="26"/>
      <c r="AF20" s="26"/>
      <c r="AG20" s="26"/>
      <c r="AH20" s="26"/>
      <c r="AI20" s="26"/>
      <c r="AJ20" s="26"/>
    </row>
    <row r="21" spans="1:36" x14ac:dyDescent="0.35">
      <c r="A21" s="32" t="s">
        <v>36</v>
      </c>
      <c r="B21" s="25">
        <v>74108.901999999987</v>
      </c>
      <c r="C21" s="25">
        <v>83802.549727999984</v>
      </c>
      <c r="D21" s="25">
        <v>97018.889627658704</v>
      </c>
      <c r="E21" s="25">
        <v>92652.723639802221</v>
      </c>
      <c r="F21" s="25">
        <v>104769.10283511928</v>
      </c>
      <c r="G21" s="25">
        <v>128642.88767122281</v>
      </c>
      <c r="H21" s="25">
        <v>138837.70604356041</v>
      </c>
      <c r="I21" s="25">
        <v>149329.52311879012</v>
      </c>
      <c r="J21" s="25">
        <v>160216.10899131268</v>
      </c>
      <c r="K21" s="25">
        <v>197640.93133466129</v>
      </c>
      <c r="L21" s="25">
        <v>244516.24932857003</v>
      </c>
      <c r="M21" s="25">
        <v>255163.72132394946</v>
      </c>
      <c r="N21" s="25">
        <v>245748.7064499509</v>
      </c>
      <c r="O21" s="25">
        <v>251003.76130518134</v>
      </c>
      <c r="P21" s="25">
        <v>261590.3938212358</v>
      </c>
      <c r="Q21" s="25">
        <v>280224.9530131761</v>
      </c>
      <c r="R21" s="25">
        <v>308313.83951715706</v>
      </c>
      <c r="S21" s="25">
        <v>423393.60660448088</v>
      </c>
      <c r="T21" s="25"/>
      <c r="U21" s="25">
        <f>'Rekap Transpose'!B23</f>
        <v>6465702.8047922039</v>
      </c>
      <c r="V21" s="25">
        <f ca="1">U29</f>
        <v>6835195.2134174742</v>
      </c>
      <c r="W21" s="25">
        <f t="shared" ref="W21:AH21" ca="1" si="33">V29</f>
        <v>4757481.7191745322</v>
      </c>
      <c r="X21" s="25">
        <f t="shared" ca="1" si="33"/>
        <v>1381033.4520353377</v>
      </c>
      <c r="Y21" s="25">
        <f t="shared" ca="1" si="33"/>
        <v>924382.72176998947</v>
      </c>
      <c r="Z21" s="25">
        <f t="shared" ca="1" si="33"/>
        <v>701661.76437430608</v>
      </c>
      <c r="AA21" s="25">
        <f t="shared" ca="1" si="33"/>
        <v>719985.08593615424</v>
      </c>
      <c r="AB21" s="25">
        <f t="shared" ca="1" si="33"/>
        <v>628834.11034068733</v>
      </c>
      <c r="AC21" s="26">
        <f t="shared" ca="1" si="33"/>
        <v>681499.89064630575</v>
      </c>
      <c r="AD21" s="26">
        <f t="shared" ca="1" si="33"/>
        <v>749533.48946009087</v>
      </c>
      <c r="AE21" s="26">
        <f t="shared" ca="1" si="33"/>
        <v>740284.00334144756</v>
      </c>
      <c r="AF21" s="26">
        <f t="shared" ca="1" si="33"/>
        <v>818198.37655188492</v>
      </c>
      <c r="AG21" s="26">
        <f t="shared" ca="1" si="33"/>
        <v>952915.51878835238</v>
      </c>
      <c r="AH21" s="26">
        <f t="shared" ca="1" si="33"/>
        <v>1093973.5447518637</v>
      </c>
      <c r="AI21" s="26">
        <f t="shared" ref="AI21" ca="1" si="34">AH29</f>
        <v>1167849.6431089821</v>
      </c>
      <c r="AJ21" s="26">
        <f t="shared" ref="AJ21" ca="1" si="35">AI29</f>
        <v>1384227.433402847</v>
      </c>
    </row>
    <row r="22" spans="1:36" s="41" customFormat="1" x14ac:dyDescent="0.35">
      <c r="A22" s="40" t="s">
        <v>41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>
        <f t="shared" ref="U22:AE22" ca="1" si="36">SUM(U23:U24)</f>
        <v>60348.217636912377</v>
      </c>
      <c r="V22" s="38">
        <f t="shared" ca="1" si="36"/>
        <v>33359.222654012512</v>
      </c>
      <c r="W22" s="38">
        <f t="shared" ca="1" si="36"/>
        <v>9696.0602745900542</v>
      </c>
      <c r="X22" s="38">
        <f t="shared" ca="1" si="36"/>
        <v>7068.9023480155756</v>
      </c>
      <c r="Y22" s="38">
        <f t="shared" ca="1" si="36"/>
        <v>5569.019262019644</v>
      </c>
      <c r="Z22" s="38">
        <f t="shared" ca="1" si="36"/>
        <v>5639.7679600634838</v>
      </c>
      <c r="AA22" s="38">
        <f t="shared" ca="1" si="36"/>
        <v>6211.529038849465</v>
      </c>
      <c r="AB22" s="38">
        <f t="shared" ca="1" si="36"/>
        <v>7110.7939190519683</v>
      </c>
      <c r="AC22" s="334">
        <f t="shared" ca="1" si="36"/>
        <v>6302.8926409434725</v>
      </c>
      <c r="AD22" s="334">
        <f t="shared" ca="1" si="36"/>
        <v>6860.0527182731748</v>
      </c>
      <c r="AE22" s="334">
        <f t="shared" ca="1" si="36"/>
        <v>9184.7581752330443</v>
      </c>
      <c r="AF22" s="334">
        <f t="shared" ref="AF22:AG22" ca="1" si="37">SUM(AF23:AF24)</f>
        <v>10313.997296728568</v>
      </c>
      <c r="AG22" s="334">
        <f t="shared" ca="1" si="37"/>
        <v>10235.620593870099</v>
      </c>
      <c r="AH22" s="334">
        <f t="shared" ref="AH22:AJ22" ca="1" si="38">SUM(AH23:AH24)</f>
        <v>11850.156221307299</v>
      </c>
      <c r="AI22" s="334">
        <f t="shared" ca="1" si="38"/>
        <v>14210.21296423248</v>
      </c>
      <c r="AJ22" s="334">
        <f t="shared" ca="1" si="38"/>
        <v>15703.441930236742</v>
      </c>
    </row>
    <row r="23" spans="1:36" x14ac:dyDescent="0.35">
      <c r="A23" s="31" t="s">
        <v>43</v>
      </c>
      <c r="B23" s="25">
        <v>689.56158800000003</v>
      </c>
      <c r="C23" s="25">
        <v>686.14114605873829</v>
      </c>
      <c r="D23" s="25">
        <v>654.212509005892</v>
      </c>
      <c r="E23" s="25">
        <v>1036.6144875369409</v>
      </c>
      <c r="F23" s="25">
        <v>1466.4376696887882</v>
      </c>
      <c r="G23" s="25">
        <v>1626.381141739043</v>
      </c>
      <c r="H23" s="25">
        <v>2001.1504053938875</v>
      </c>
      <c r="I23" s="25">
        <v>2825.2509923126045</v>
      </c>
      <c r="J23" s="25">
        <v>3061.3911661659185</v>
      </c>
      <c r="K23" s="25">
        <v>4046.3159272737958</v>
      </c>
      <c r="L23" s="25">
        <v>4148.0219360651026</v>
      </c>
      <c r="M23" s="25">
        <v>3363.0885132369003</v>
      </c>
      <c r="N23" s="25">
        <v>3470.0660614083463</v>
      </c>
      <c r="O23" s="25">
        <v>3412.1884524579286</v>
      </c>
      <c r="P23" s="25">
        <v>3994.6146352811211</v>
      </c>
      <c r="Q23" s="25">
        <v>3863.6904637878724</v>
      </c>
      <c r="R23" s="25">
        <v>5493.5605722992468</v>
      </c>
      <c r="S23" s="25">
        <v>6518.4083816844468</v>
      </c>
      <c r="T23" s="25"/>
      <c r="U23" s="173">
        <f ca="1">INDIRECT("'Rekap Transpose'!C"&amp;U33)</f>
        <v>53904.97954962153</v>
      </c>
      <c r="V23" s="173">
        <f t="shared" ref="V23:AF23" ca="1" si="39">INDIRECT("'Rekap Transpose'!C"&amp;V33)</f>
        <v>29763.587077796212</v>
      </c>
      <c r="W23" s="173">
        <f t="shared" ca="1" si="39"/>
        <v>8498.6009993033877</v>
      </c>
      <c r="X23" s="173">
        <f t="shared" ca="1" si="39"/>
        <v>5979.9177908937709</v>
      </c>
      <c r="Y23" s="173">
        <f t="shared" ca="1" si="39"/>
        <v>4064.8881366232185</v>
      </c>
      <c r="Z23" s="173">
        <f t="shared" ca="1" si="39"/>
        <v>4013.4807842659384</v>
      </c>
      <c r="AA23" s="173">
        <f t="shared" ca="1" si="39"/>
        <v>3927.0238445242735</v>
      </c>
      <c r="AB23" s="173">
        <f t="shared" ca="1" si="39"/>
        <v>4254.0726440467788</v>
      </c>
      <c r="AC23" s="335">
        <f t="shared" ca="1" si="39"/>
        <v>4901.6472323862145</v>
      </c>
      <c r="AD23" s="335">
        <f t="shared" ca="1" si="39"/>
        <v>5087.042159051407</v>
      </c>
      <c r="AE23" s="335">
        <f t="shared" ca="1" si="39"/>
        <v>6109.5670075583485</v>
      </c>
      <c r="AF23" s="335">
        <f t="shared" ca="1" si="39"/>
        <v>7281.4543300466876</v>
      </c>
      <c r="AG23" s="335">
        <f t="shared" ref="AG23:AH23" ca="1" si="40">INDIRECT("'Rekap Transpose'!C"&amp;AG33)</f>
        <v>8648.7655446537447</v>
      </c>
      <c r="AH23" s="335">
        <f t="shared" ca="1" si="40"/>
        <v>9402.4751635568991</v>
      </c>
      <c r="AI23" s="335">
        <f t="shared" ref="AI23:AJ23" ca="1" si="41">INDIRECT("'Rekap Transpose'!C"&amp;AI33)</f>
        <v>12123.111081092109</v>
      </c>
      <c r="AJ23" s="335">
        <f t="shared" ca="1" si="41"/>
        <v>11987.893737752849</v>
      </c>
    </row>
    <row r="24" spans="1:36" x14ac:dyDescent="0.35">
      <c r="A24" s="31" t="s">
        <v>42</v>
      </c>
      <c r="B24" s="25">
        <v>9.748017599999999</v>
      </c>
      <c r="C24" s="25">
        <v>14.1281126</v>
      </c>
      <c r="D24" s="25">
        <v>12.86978675421588</v>
      </c>
      <c r="E24" s="25">
        <v>21.547157806552612</v>
      </c>
      <c r="F24" s="25">
        <v>23.634180710014935</v>
      </c>
      <c r="G24" s="25">
        <v>30.602330077182231</v>
      </c>
      <c r="H24" s="25">
        <v>45.79558658353664</v>
      </c>
      <c r="I24" s="25">
        <v>44.783644245901762</v>
      </c>
      <c r="J24" s="25">
        <v>41.357378738598257</v>
      </c>
      <c r="K24" s="25">
        <v>53.677050815569153</v>
      </c>
      <c r="L24" s="25">
        <v>116.11617413028107</v>
      </c>
      <c r="M24" s="25">
        <v>53.49145552352573</v>
      </c>
      <c r="N24" s="25">
        <v>156.99325376599185</v>
      </c>
      <c r="O24" s="25">
        <v>189.6357504740281</v>
      </c>
      <c r="P24" s="25">
        <v>195.59029392913885</v>
      </c>
      <c r="Q24" s="25">
        <v>220.39692739830195</v>
      </c>
      <c r="R24" s="25">
        <v>399.72037277514994</v>
      </c>
      <c r="S24" s="25">
        <v>436.70365544580443</v>
      </c>
      <c r="T24" s="25"/>
      <c r="U24" s="173">
        <f ca="1">INDIRECT("'Rekap Transpose'!D"&amp;U33)</f>
        <v>6443.2380872908507</v>
      </c>
      <c r="V24" s="173">
        <f t="shared" ref="V24:AF24" ca="1" si="42">INDIRECT("'Rekap Transpose'!D"&amp;V33)</f>
        <v>3595.6355762163025</v>
      </c>
      <c r="W24" s="173">
        <f t="shared" ca="1" si="42"/>
        <v>1197.4592752866656</v>
      </c>
      <c r="X24" s="173">
        <f t="shared" ca="1" si="42"/>
        <v>1088.9845571218048</v>
      </c>
      <c r="Y24" s="173">
        <f t="shared" ca="1" si="42"/>
        <v>1504.1311253964257</v>
      </c>
      <c r="Z24" s="173">
        <f t="shared" ca="1" si="42"/>
        <v>1626.2871757975449</v>
      </c>
      <c r="AA24" s="173">
        <f t="shared" ca="1" si="42"/>
        <v>2284.5051943251915</v>
      </c>
      <c r="AB24" s="173">
        <f t="shared" ca="1" si="42"/>
        <v>2856.7212750051899</v>
      </c>
      <c r="AC24" s="335">
        <f t="shared" ca="1" si="42"/>
        <v>1401.2454085572581</v>
      </c>
      <c r="AD24" s="335">
        <f t="shared" ca="1" si="42"/>
        <v>1773.0105592217681</v>
      </c>
      <c r="AE24" s="335">
        <f t="shared" ca="1" si="42"/>
        <v>3075.1911676746968</v>
      </c>
      <c r="AF24" s="335">
        <f t="shared" ca="1" si="42"/>
        <v>3032.5429666818818</v>
      </c>
      <c r="AG24" s="335">
        <f t="shared" ref="AG24:AH24" ca="1" si="43">INDIRECT("'Rekap Transpose'!D"&amp;AG33)</f>
        <v>1586.8550492163538</v>
      </c>
      <c r="AH24" s="335">
        <f t="shared" ca="1" si="43"/>
        <v>2447.6810577503998</v>
      </c>
      <c r="AI24" s="335">
        <f t="shared" ref="AI24:AJ24" ca="1" si="44">INDIRECT("'Rekap Transpose'!D"&amp;AI33)</f>
        <v>2087.1018831403708</v>
      </c>
      <c r="AJ24" s="335">
        <f t="shared" ca="1" si="44"/>
        <v>3715.5481924838928</v>
      </c>
    </row>
    <row r="25" spans="1:36" s="41" customFormat="1" x14ac:dyDescent="0.35">
      <c r="A25" s="42" t="s">
        <v>44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>
        <f t="shared" ref="U25" ca="1" si="45">SUM(U26:U27)</f>
        <v>293282.56238486618</v>
      </c>
      <c r="V25" s="38">
        <f t="shared" ref="V25:AF25" ca="1" si="46">SUM(V26:V27)</f>
        <v>242436.18328042922</v>
      </c>
      <c r="W25" s="38">
        <f t="shared" ca="1" si="46"/>
        <v>80899.769323728629</v>
      </c>
      <c r="X25" s="38">
        <f t="shared" ca="1" si="46"/>
        <v>67797.271564740309</v>
      </c>
      <c r="Y25" s="38">
        <f t="shared" ca="1" si="46"/>
        <v>17825.467749889882</v>
      </c>
      <c r="Z25" s="38">
        <f t="shared" ca="1" si="46"/>
        <v>34762.947338435777</v>
      </c>
      <c r="AA25" s="38">
        <f t="shared" ca="1" si="46"/>
        <v>95890.195660294819</v>
      </c>
      <c r="AB25" s="38">
        <f t="shared" ca="1" si="46"/>
        <v>39606.993764325642</v>
      </c>
      <c r="AC25" s="334">
        <f t="shared" ca="1" si="46"/>
        <v>37376.053997222327</v>
      </c>
      <c r="AD25" s="334">
        <f t="shared" ca="1" si="46"/>
        <v>33923.747922993083</v>
      </c>
      <c r="AE25" s="334">
        <f t="shared" ca="1" si="46"/>
        <v>88487.393986394207</v>
      </c>
      <c r="AF25" s="334">
        <f t="shared" ca="1" si="46"/>
        <v>33526.872705021204</v>
      </c>
      <c r="AG25" s="334">
        <f t="shared" ref="AG25:AH25" ca="1" si="47">SUM(AG26:AG27)</f>
        <v>55087.156998165388</v>
      </c>
      <c r="AH25" s="334">
        <f t="shared" ca="1" si="47"/>
        <v>40555.168536654855</v>
      </c>
      <c r="AI25" s="334">
        <f t="shared" ref="AI25:AJ25" ca="1" si="48">SUM(AI26:AI27)</f>
        <v>142618.17264784052</v>
      </c>
      <c r="AJ25" s="334">
        <f t="shared" ca="1" si="48"/>
        <v>72238.103824948266</v>
      </c>
    </row>
    <row r="26" spans="1:36" x14ac:dyDescent="0.35">
      <c r="A26" s="31" t="s">
        <v>45</v>
      </c>
      <c r="B26" s="25">
        <v>157.28270879999999</v>
      </c>
      <c r="C26" s="25">
        <v>214.51114239999998</v>
      </c>
      <c r="D26" s="25">
        <v>407.8112709809854</v>
      </c>
      <c r="E26" s="25">
        <v>579.81170038872961</v>
      </c>
      <c r="F26" s="25">
        <v>578.67353459360152</v>
      </c>
      <c r="G26" s="25">
        <v>660.4916980019965</v>
      </c>
      <c r="H26" s="25">
        <v>693.76421463738927</v>
      </c>
      <c r="I26" s="25">
        <v>1386.6881056711577</v>
      </c>
      <c r="J26" s="25">
        <v>2140.4004145915064</v>
      </c>
      <c r="K26" s="25">
        <v>3061.1595917775771</v>
      </c>
      <c r="L26" s="25">
        <v>2904.07298675108</v>
      </c>
      <c r="M26" s="25">
        <v>3510.4356586260765</v>
      </c>
      <c r="N26" s="25">
        <v>4595.9861568879414</v>
      </c>
      <c r="O26" s="25">
        <v>5460.4588386242931</v>
      </c>
      <c r="P26" s="25">
        <v>6918.4262066709034</v>
      </c>
      <c r="Q26" s="25">
        <v>9443.8927935409556</v>
      </c>
      <c r="R26" s="25">
        <v>15815.893237638662</v>
      </c>
      <c r="S26" s="25">
        <v>17965.878630425341</v>
      </c>
      <c r="T26" s="25"/>
      <c r="U26" s="174">
        <f ca="1">INDIRECT("'Rekap Transpose'!E"&amp;U33)</f>
        <v>238894.11879411482</v>
      </c>
      <c r="V26" s="174">
        <f t="shared" ref="V26:AF26" ca="1" si="49">INDIRECT("'Rekap Transpose'!E"&amp;V33)</f>
        <v>199226.16673787785</v>
      </c>
      <c r="W26" s="174">
        <f t="shared" ca="1" si="49"/>
        <v>68481.628605881473</v>
      </c>
      <c r="X26" s="174">
        <f t="shared" ca="1" si="49"/>
        <v>59094.500132306901</v>
      </c>
      <c r="Y26" s="174">
        <f t="shared" ca="1" si="49"/>
        <v>12341.656711714004</v>
      </c>
      <c r="Z26" s="174">
        <f t="shared" ca="1" si="49"/>
        <v>28141.491282574319</v>
      </c>
      <c r="AA26" s="174">
        <f t="shared" ca="1" si="49"/>
        <v>89344.513939402634</v>
      </c>
      <c r="AB26" s="174">
        <f t="shared" ca="1" si="49"/>
        <v>32133.042765703649</v>
      </c>
      <c r="AC26" s="336">
        <f t="shared" ca="1" si="49"/>
        <v>28424.100665131205</v>
      </c>
      <c r="AD26" s="336">
        <f t="shared" ca="1" si="49"/>
        <v>24829.202061341341</v>
      </c>
      <c r="AE26" s="336">
        <f t="shared" ca="1" si="49"/>
        <v>76926.655677805407</v>
      </c>
      <c r="AF26" s="336">
        <f t="shared" ca="1" si="49"/>
        <v>19002.634261692936</v>
      </c>
      <c r="AG26" s="336">
        <f t="shared" ref="AG26:AH26" ca="1" si="50">INDIRECT("'Rekap Transpose'!E"&amp;AG33)</f>
        <v>36818.486099310147</v>
      </c>
      <c r="AH26" s="336">
        <f t="shared" ca="1" si="50"/>
        <v>20409.483539717738</v>
      </c>
      <c r="AI26" s="336">
        <f t="shared" ref="AI26:AJ26" ca="1" si="51">INDIRECT("'Rekap Transpose'!E"&amp;AI33)</f>
        <v>114961.57463992061</v>
      </c>
      <c r="AJ26" s="336">
        <f t="shared" ca="1" si="51"/>
        <v>45904.979607452791</v>
      </c>
    </row>
    <row r="27" spans="1:36" x14ac:dyDescent="0.35">
      <c r="A27" s="31" t="s">
        <v>46</v>
      </c>
      <c r="B27" s="25">
        <v>349.11396880000001</v>
      </c>
      <c r="C27" s="25">
        <v>369.30280780000004</v>
      </c>
      <c r="D27" s="25">
        <v>347.5873317676411</v>
      </c>
      <c r="E27" s="25">
        <v>463.06348084774015</v>
      </c>
      <c r="F27" s="25">
        <v>602.22902818831449</v>
      </c>
      <c r="G27" s="25">
        <v>649.12249843713016</v>
      </c>
      <c r="H27" s="25">
        <v>666.73427518267158</v>
      </c>
      <c r="I27" s="25">
        <v>876.02303574428413</v>
      </c>
      <c r="J27" s="25">
        <v>804.41131013323866</v>
      </c>
      <c r="K27" s="25">
        <v>1023.0923685358252</v>
      </c>
      <c r="L27" s="25">
        <v>1050.2409582796754</v>
      </c>
      <c r="M27" s="25">
        <v>899.1432663539772</v>
      </c>
      <c r="N27" s="25">
        <v>916.83355739555066</v>
      </c>
      <c r="O27" s="25">
        <v>839.95020777826812</v>
      </c>
      <c r="P27" s="25">
        <v>951.2079293059337</v>
      </c>
      <c r="Q27" s="25">
        <v>1683.739993101253</v>
      </c>
      <c r="R27" s="25">
        <v>2231.8436590876804</v>
      </c>
      <c r="S27" s="25">
        <v>3712.0010726705891</v>
      </c>
      <c r="T27" s="25"/>
      <c r="U27" s="174">
        <f ca="1">INDIRECT("'Rekap Transpose'!F"&amp;U33)</f>
        <v>54388.443590751325</v>
      </c>
      <c r="V27" s="174">
        <f t="shared" ref="V27:AF27" ca="1" si="52">INDIRECT("'Rekap Transpose'!F"&amp;V33)</f>
        <v>43210.016542551355</v>
      </c>
      <c r="W27" s="174">
        <f t="shared" ca="1" si="52"/>
        <v>12418.140717847151</v>
      </c>
      <c r="X27" s="174">
        <f t="shared" ca="1" si="52"/>
        <v>8702.7714324334011</v>
      </c>
      <c r="Y27" s="174">
        <f t="shared" ca="1" si="52"/>
        <v>5483.8110381758788</v>
      </c>
      <c r="Z27" s="174">
        <f t="shared" ca="1" si="52"/>
        <v>6621.4560558614594</v>
      </c>
      <c r="AA27" s="174">
        <f t="shared" ca="1" si="52"/>
        <v>6545.6817208921921</v>
      </c>
      <c r="AB27" s="174">
        <f t="shared" ca="1" si="52"/>
        <v>7473.9509986219928</v>
      </c>
      <c r="AC27" s="336">
        <f t="shared" ca="1" si="52"/>
        <v>8951.9533320911232</v>
      </c>
      <c r="AD27" s="336">
        <f t="shared" ca="1" si="52"/>
        <v>9094.5458616517426</v>
      </c>
      <c r="AE27" s="336">
        <f t="shared" ca="1" si="52"/>
        <v>11560.7383085888</v>
      </c>
      <c r="AF27" s="336">
        <f t="shared" ca="1" si="52"/>
        <v>14524.238443328266</v>
      </c>
      <c r="AG27" s="336">
        <f t="shared" ref="AG27:AH27" ca="1" si="53">INDIRECT("'Rekap Transpose'!F"&amp;AG33)</f>
        <v>18268.670898855238</v>
      </c>
      <c r="AH27" s="336">
        <f t="shared" ca="1" si="53"/>
        <v>20145.684996937118</v>
      </c>
      <c r="AI27" s="336">
        <f t="shared" ref="AI27:AJ27" ca="1" si="54">INDIRECT("'Rekap Transpose'!F"&amp;AI33)</f>
        <v>27656.5980079199</v>
      </c>
      <c r="AJ27" s="336">
        <f t="shared" ca="1" si="54"/>
        <v>26333.124217495471</v>
      </c>
    </row>
    <row r="28" spans="1:36" x14ac:dyDescent="0.35">
      <c r="A28" s="32" t="s">
        <v>48</v>
      </c>
      <c r="B28" s="25">
        <v>9500.7348000000002</v>
      </c>
      <c r="C28" s="25">
        <v>13099.884591200002</v>
      </c>
      <c r="D28" s="25">
        <v>-4277.8496808679665</v>
      </c>
      <c r="E28" s="25">
        <v>12101.092731210041</v>
      </c>
      <c r="F28" s="25">
        <v>23564.615548486639</v>
      </c>
      <c r="G28" s="25">
        <v>9847.4490969605031</v>
      </c>
      <c r="H28" s="25">
        <v>9805.3695730723703</v>
      </c>
      <c r="I28" s="25">
        <v>10279.262377379444</v>
      </c>
      <c r="J28" s="25">
        <v>37266.885523168887</v>
      </c>
      <c r="K28" s="25">
        <v>46859.576976132783</v>
      </c>
      <c r="L28" s="25">
        <v>10337.647830214781</v>
      </c>
      <c r="M28" s="25">
        <v>-8422.0159177789137</v>
      </c>
      <c r="N28" s="25">
        <v>7140.8152543395927</v>
      </c>
      <c r="O28" s="25">
        <v>13285.217359525101</v>
      </c>
      <c r="P28" s="25">
        <v>22313.98839870685</v>
      </c>
      <c r="Q28" s="25">
        <v>35132.43189943699</v>
      </c>
      <c r="R28" s="25">
        <v>127234.22303897579</v>
      </c>
      <c r="S28" s="25">
        <v>75568.764068255172</v>
      </c>
      <c r="T28" s="25"/>
      <c r="U28" s="177">
        <f ca="1">INDIRECT("'Rekap Transpose'!G"&amp;U33)</f>
        <v>602426.75337322464</v>
      </c>
      <c r="V28" s="177">
        <f t="shared" ref="V28:AF28" ca="1" si="55">INDIRECT("'Rekap Transpose'!G"&amp;V33)</f>
        <v>-1868636.5336165256</v>
      </c>
      <c r="W28" s="177">
        <f t="shared" ca="1" si="55"/>
        <v>-3305244.5580900554</v>
      </c>
      <c r="X28" s="177">
        <f t="shared" ca="1" si="55"/>
        <v>-395922.36104862369</v>
      </c>
      <c r="Y28" s="177">
        <f t="shared" ca="1" si="55"/>
        <v>-210464.5089078132</v>
      </c>
      <c r="Z28" s="177">
        <f t="shared" ca="1" si="55"/>
        <v>47446.500940220416</v>
      </c>
      <c r="AA28" s="177">
        <f t="shared" ca="1" si="55"/>
        <v>-1472.3089740215557</v>
      </c>
      <c r="AB28" s="177">
        <f t="shared" ca="1" si="55"/>
        <v>85161.980150892065</v>
      </c>
      <c r="AC28" s="338">
        <f t="shared" ca="1" si="55"/>
        <v>99106.760170063993</v>
      </c>
      <c r="AD28" s="338">
        <f t="shared" ca="1" si="55"/>
        <v>17814.209086076611</v>
      </c>
      <c r="AE28" s="338">
        <f t="shared" ca="1" si="55"/>
        <v>157217.00902159844</v>
      </c>
      <c r="AF28" s="338">
        <f t="shared" ca="1" si="55"/>
        <v>157930.01764476002</v>
      </c>
      <c r="AG28" s="338">
        <f t="shared" ref="AG28:AH28" ca="1" si="56">INDIRECT("'Rekap Transpose'!G"&amp;AG33)</f>
        <v>185909.56236780668</v>
      </c>
      <c r="AH28" s="338">
        <f t="shared" ca="1" si="56"/>
        <v>102581.11067246601</v>
      </c>
      <c r="AI28" s="338">
        <f t="shared" ref="AI28:AJ28" ca="1" si="57">INDIRECT("'Rekap Transpose'!G"&amp;AI33)</f>
        <v>344785.74997747288</v>
      </c>
      <c r="AJ28" s="338">
        <f t="shared" ca="1" si="57"/>
        <v>-3776.6978620903396</v>
      </c>
    </row>
    <row r="29" spans="1:36" x14ac:dyDescent="0.35">
      <c r="A29" s="32" t="s">
        <v>49</v>
      </c>
      <c r="B29" s="25">
        <v>83802.549727999984</v>
      </c>
      <c r="C29" s="25">
        <v>97018.889627658704</v>
      </c>
      <c r="D29" s="25">
        <v>92652.723639802221</v>
      </c>
      <c r="E29" s="25">
        <v>104769.10283511928</v>
      </c>
      <c r="F29" s="25">
        <v>128642.88767122281</v>
      </c>
      <c r="G29" s="25">
        <v>138837.70604356041</v>
      </c>
      <c r="H29" s="25">
        <v>149329.52311879012</v>
      </c>
      <c r="I29" s="25">
        <v>160216.10899131268</v>
      </c>
      <c r="J29" s="25">
        <v>197640.93133466129</v>
      </c>
      <c r="K29" s="25">
        <v>244516.24932857003</v>
      </c>
      <c r="L29" s="25">
        <v>255163.72132394946</v>
      </c>
      <c r="M29" s="25">
        <v>245748.7064499509</v>
      </c>
      <c r="N29" s="25">
        <v>251003.76130518134</v>
      </c>
      <c r="O29" s="25">
        <v>261590.3938212358</v>
      </c>
      <c r="P29" s="25">
        <v>280224.9530131761</v>
      </c>
      <c r="Q29" s="25">
        <v>308313.83951715706</v>
      </c>
      <c r="R29" s="25">
        <v>423393.60660448088</v>
      </c>
      <c r="S29" s="25">
        <v>484239.60300677037</v>
      </c>
      <c r="T29" s="25"/>
      <c r="U29" s="25">
        <f ca="1">U21+U22-U25+U28</f>
        <v>6835195.2134174742</v>
      </c>
      <c r="V29" s="25">
        <f t="shared" ref="V29:AF29" ca="1" si="58">V21+V22-V25+V28</f>
        <v>4757481.7191745322</v>
      </c>
      <c r="W29" s="25">
        <f t="shared" ca="1" si="58"/>
        <v>1381033.4520353377</v>
      </c>
      <c r="X29" s="25">
        <f t="shared" ca="1" si="58"/>
        <v>924382.72176998947</v>
      </c>
      <c r="Y29" s="25">
        <f t="shared" ca="1" si="58"/>
        <v>701661.76437430608</v>
      </c>
      <c r="Z29" s="25">
        <f t="shared" ca="1" si="58"/>
        <v>719985.08593615424</v>
      </c>
      <c r="AA29" s="25">
        <f t="shared" ca="1" si="58"/>
        <v>628834.11034068733</v>
      </c>
      <c r="AB29" s="25">
        <f t="shared" ca="1" si="58"/>
        <v>681499.89064630575</v>
      </c>
      <c r="AC29" s="26">
        <f t="shared" ca="1" si="58"/>
        <v>749533.48946009087</v>
      </c>
      <c r="AD29" s="26">
        <f t="shared" ca="1" si="58"/>
        <v>740284.00334144756</v>
      </c>
      <c r="AE29" s="26">
        <f t="shared" ca="1" si="58"/>
        <v>818198.37655188492</v>
      </c>
      <c r="AF29" s="26">
        <f t="shared" ca="1" si="58"/>
        <v>952915.51878835238</v>
      </c>
      <c r="AG29" s="26">
        <f t="shared" ref="AG29:AH29" ca="1" si="59">AG21+AG22-AG25+AG28</f>
        <v>1093973.5447518637</v>
      </c>
      <c r="AH29" s="26">
        <f t="shared" ca="1" si="59"/>
        <v>1167849.6431089821</v>
      </c>
      <c r="AI29" s="26">
        <f t="shared" ref="AI29:AJ29" ca="1" si="60">AI21+AI22-AI25+AI28</f>
        <v>1384227.433402847</v>
      </c>
      <c r="AJ29" s="26">
        <f t="shared" ca="1" si="60"/>
        <v>1323916.0736460453</v>
      </c>
    </row>
    <row r="30" spans="1:36" ht="15" thickBot="1" x14ac:dyDescent="0.4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175">
        <f ca="1">U29-V21</f>
        <v>0</v>
      </c>
      <c r="W30" s="175">
        <f t="shared" ref="W30:AH30" ca="1" si="61">V29-W21</f>
        <v>0</v>
      </c>
      <c r="X30" s="175">
        <f t="shared" ca="1" si="61"/>
        <v>0</v>
      </c>
      <c r="Y30" s="175">
        <f t="shared" ca="1" si="61"/>
        <v>0</v>
      </c>
      <c r="Z30" s="175">
        <f t="shared" ca="1" si="61"/>
        <v>0</v>
      </c>
      <c r="AA30" s="175">
        <f t="shared" ca="1" si="61"/>
        <v>0</v>
      </c>
      <c r="AB30" s="175">
        <f t="shared" ca="1" si="61"/>
        <v>0</v>
      </c>
      <c r="AC30" s="339">
        <f t="shared" ca="1" si="61"/>
        <v>0</v>
      </c>
      <c r="AD30" s="339">
        <f t="shared" ca="1" si="61"/>
        <v>0</v>
      </c>
      <c r="AE30" s="339">
        <f t="shared" ca="1" si="61"/>
        <v>0</v>
      </c>
      <c r="AF30" s="339">
        <f t="shared" ca="1" si="61"/>
        <v>0</v>
      </c>
      <c r="AG30" s="339">
        <f t="shared" ca="1" si="61"/>
        <v>0</v>
      </c>
      <c r="AH30" s="339">
        <f t="shared" ca="1" si="61"/>
        <v>0</v>
      </c>
      <c r="AI30" s="339">
        <f t="shared" ref="AI30" ca="1" si="62">AH29-AI21</f>
        <v>0</v>
      </c>
      <c r="AJ30" s="339">
        <f t="shared" ref="AJ30" ca="1" si="63">AI29-AJ21</f>
        <v>0</v>
      </c>
    </row>
    <row r="31" spans="1:36" ht="15" thickTop="1" x14ac:dyDescent="0.35"/>
    <row r="32" spans="1:36" x14ac:dyDescent="0.35">
      <c r="A32" t="s">
        <v>112</v>
      </c>
      <c r="T32" s="259">
        <v>3</v>
      </c>
      <c r="U32">
        <f>T32+1</f>
        <v>4</v>
      </c>
      <c r="V32">
        <f t="shared" ref="V32:AH32" si="64">U32+1</f>
        <v>5</v>
      </c>
      <c r="W32">
        <f t="shared" si="64"/>
        <v>6</v>
      </c>
      <c r="X32">
        <f t="shared" si="64"/>
        <v>7</v>
      </c>
      <c r="Y32">
        <f t="shared" si="64"/>
        <v>8</v>
      </c>
      <c r="Z32">
        <f t="shared" si="64"/>
        <v>9</v>
      </c>
      <c r="AA32">
        <f t="shared" si="64"/>
        <v>10</v>
      </c>
      <c r="AB32">
        <f t="shared" si="64"/>
        <v>11</v>
      </c>
      <c r="AC32">
        <f t="shared" si="64"/>
        <v>12</v>
      </c>
      <c r="AD32">
        <f t="shared" si="64"/>
        <v>13</v>
      </c>
      <c r="AE32">
        <f t="shared" si="64"/>
        <v>14</v>
      </c>
      <c r="AF32">
        <f t="shared" si="64"/>
        <v>15</v>
      </c>
      <c r="AG32">
        <f t="shared" si="64"/>
        <v>16</v>
      </c>
      <c r="AH32">
        <f t="shared" si="64"/>
        <v>17</v>
      </c>
      <c r="AI32">
        <f t="shared" ref="AI32:AI33" si="65">AH32+1</f>
        <v>18</v>
      </c>
      <c r="AJ32">
        <f t="shared" ref="AJ32:AJ33" si="66">AI32+1</f>
        <v>19</v>
      </c>
    </row>
    <row r="33" spans="1:36" x14ac:dyDescent="0.35">
      <c r="A33" t="s">
        <v>113</v>
      </c>
      <c r="U33" s="259">
        <v>23</v>
      </c>
      <c r="V33">
        <f>U33+1</f>
        <v>24</v>
      </c>
      <c r="W33">
        <f t="shared" ref="W33:AH33" si="67">V33+1</f>
        <v>25</v>
      </c>
      <c r="X33">
        <f t="shared" si="67"/>
        <v>26</v>
      </c>
      <c r="Y33">
        <f t="shared" si="67"/>
        <v>27</v>
      </c>
      <c r="Z33">
        <f t="shared" si="67"/>
        <v>28</v>
      </c>
      <c r="AA33">
        <f t="shared" si="67"/>
        <v>29</v>
      </c>
      <c r="AB33">
        <f t="shared" si="67"/>
        <v>30</v>
      </c>
      <c r="AC33">
        <f t="shared" si="67"/>
        <v>31</v>
      </c>
      <c r="AD33">
        <f t="shared" si="67"/>
        <v>32</v>
      </c>
      <c r="AE33">
        <f t="shared" si="67"/>
        <v>33</v>
      </c>
      <c r="AF33">
        <f t="shared" si="67"/>
        <v>34</v>
      </c>
      <c r="AG33">
        <f t="shared" si="67"/>
        <v>35</v>
      </c>
      <c r="AH33">
        <f t="shared" si="67"/>
        <v>36</v>
      </c>
      <c r="AI33">
        <f t="shared" si="65"/>
        <v>37</v>
      </c>
      <c r="AJ33">
        <f t="shared" si="66"/>
        <v>38</v>
      </c>
    </row>
  </sheetData>
  <mergeCells count="38">
    <mergeCell ref="AI4:AI5"/>
    <mergeCell ref="AJ4:AJ5"/>
    <mergeCell ref="AH4:AH5"/>
    <mergeCell ref="AG4:AG5"/>
    <mergeCell ref="A1:T1"/>
    <mergeCell ref="A2:T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AF4:AF5"/>
    <mergeCell ref="AE4:AE5"/>
    <mergeCell ref="AC4:AC5"/>
    <mergeCell ref="Z4:Z5"/>
    <mergeCell ref="K4:K5"/>
    <mergeCell ref="L4:L5"/>
    <mergeCell ref="M4:M5"/>
    <mergeCell ref="O4:O5"/>
    <mergeCell ref="N4:N5"/>
    <mergeCell ref="P4:P5"/>
    <mergeCell ref="Q4:Q5"/>
    <mergeCell ref="R4:R5"/>
    <mergeCell ref="S4:S5"/>
    <mergeCell ref="T4:T5"/>
    <mergeCell ref="U4:U5"/>
    <mergeCell ref="V4:V5"/>
    <mergeCell ref="W4:W5"/>
    <mergeCell ref="AD4:AD5"/>
    <mergeCell ref="AA4:AA5"/>
    <mergeCell ref="AB4:AB5"/>
    <mergeCell ref="Y4:Y5"/>
    <mergeCell ref="X4:X5"/>
  </mergeCells>
  <pageMargins left="0.7" right="0.7" top="0.75" bottom="0.75" header="0.3" footer="0.3"/>
  <pageSetup scale="4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-0.249977111117893"/>
  </sheetPr>
  <dimension ref="A1:V33"/>
  <sheetViews>
    <sheetView showGridLines="0" view="pageBreakPreview" zoomScale="80" zoomScaleSheetLayoutView="80" workbookViewId="0">
      <pane xSplit="1" ySplit="5" topLeftCell="B6" activePane="bottomRight" state="frozen"/>
      <selection activeCell="AG11" sqref="AG11"/>
      <selection pane="topRight" activeCell="AG11" sqref="AG11"/>
      <selection pane="bottomLeft" activeCell="AG11" sqref="AG11"/>
      <selection pane="bottomRight" activeCell="D1" sqref="D1"/>
    </sheetView>
  </sheetViews>
  <sheetFormatPr defaultColWidth="8.81640625" defaultRowHeight="14.5" x14ac:dyDescent="0.35"/>
  <cols>
    <col min="1" max="1" width="35" customWidth="1"/>
    <col min="2" max="2" width="12.36328125" customWidth="1"/>
    <col min="3" max="3" width="13.6328125" customWidth="1"/>
    <col min="4" max="4" width="12.81640625" customWidth="1"/>
    <col min="5" max="7" width="13.6328125" customWidth="1"/>
    <col min="8" max="16" width="13.6328125" bestFit="1" customWidth="1"/>
    <col min="17" max="18" width="13.6328125" customWidth="1"/>
    <col min="19" max="19" width="13.36328125" bestFit="1" customWidth="1"/>
  </cols>
  <sheetData>
    <row r="1" spans="1:22" x14ac:dyDescent="0.35">
      <c r="A1" s="470" t="s">
        <v>33</v>
      </c>
      <c r="B1" s="47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22" x14ac:dyDescent="0.35">
      <c r="A2" s="470" t="s">
        <v>102</v>
      </c>
      <c r="B2" s="470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22" ht="15" thickBot="1" x14ac:dyDescent="0.4">
      <c r="A3" s="20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22" ht="15" thickTop="1" x14ac:dyDescent="0.35">
      <c r="A4" s="468" t="s">
        <v>35</v>
      </c>
      <c r="B4" s="468">
        <v>2008</v>
      </c>
      <c r="C4" s="468">
        <v>2009</v>
      </c>
      <c r="D4" s="468">
        <v>2010</v>
      </c>
      <c r="E4" s="468">
        <v>2011</v>
      </c>
      <c r="F4" s="468">
        <v>2012</v>
      </c>
      <c r="G4" s="468">
        <v>2013</v>
      </c>
      <c r="H4" s="468">
        <v>2014</v>
      </c>
      <c r="I4" s="468">
        <v>2015</v>
      </c>
      <c r="J4" s="468">
        <v>2016</v>
      </c>
      <c r="K4" s="468">
        <v>2017</v>
      </c>
      <c r="L4" s="468">
        <v>2018</v>
      </c>
      <c r="M4" s="468">
        <v>2019</v>
      </c>
      <c r="N4" s="468">
        <v>2020</v>
      </c>
      <c r="O4" s="468">
        <v>2021</v>
      </c>
      <c r="P4" s="468">
        <v>2022</v>
      </c>
      <c r="Q4" s="468">
        <v>2023</v>
      </c>
      <c r="R4" s="468">
        <v>2024</v>
      </c>
    </row>
    <row r="5" spans="1:22" ht="15" thickBot="1" x14ac:dyDescent="0.4">
      <c r="A5" s="469"/>
      <c r="B5" s="469"/>
      <c r="C5" s="469"/>
      <c r="D5" s="469"/>
      <c r="E5" s="469"/>
      <c r="F5" s="469"/>
      <c r="G5" s="469"/>
      <c r="H5" s="469"/>
      <c r="I5" s="469"/>
      <c r="J5" s="469"/>
      <c r="K5" s="469"/>
      <c r="L5" s="469"/>
      <c r="M5" s="469"/>
      <c r="N5" s="469"/>
      <c r="O5" s="469"/>
      <c r="P5" s="469"/>
      <c r="Q5" s="469"/>
      <c r="R5" s="469"/>
    </row>
    <row r="6" spans="1:22" ht="16" thickTop="1" x14ac:dyDescent="0.35">
      <c r="A6" s="39" t="s">
        <v>52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spans="1:22" x14ac:dyDescent="0.3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spans="1:22" x14ac:dyDescent="0.35">
      <c r="A8" s="32" t="s">
        <v>36</v>
      </c>
      <c r="B8" s="25">
        <f>'Jati Jawa'!B4</f>
        <v>87707.888944026345</v>
      </c>
      <c r="C8" s="25">
        <f t="shared" ref="C8:H8" ca="1" si="0">B15</f>
        <v>91665.246316273697</v>
      </c>
      <c r="D8" s="25">
        <f t="shared" ca="1" si="0"/>
        <v>95691.986642409494</v>
      </c>
      <c r="E8" s="25">
        <f t="shared" ca="1" si="0"/>
        <v>99600.194186129404</v>
      </c>
      <c r="F8" s="25">
        <f t="shared" ca="1" si="0"/>
        <v>102983.39856506567</v>
      </c>
      <c r="G8" s="25">
        <f t="shared" ca="1" si="0"/>
        <v>104859.1671336232</v>
      </c>
      <c r="H8" s="25">
        <f t="shared" ca="1" si="0"/>
        <v>108505.10470291122</v>
      </c>
      <c r="I8" s="25">
        <f t="shared" ref="I8:P8" ca="1" si="1">H15</f>
        <v>111792.48978283822</v>
      </c>
      <c r="J8" s="25">
        <f t="shared" ca="1" si="1"/>
        <v>114986.68124014021</v>
      </c>
      <c r="K8" s="340">
        <f t="shared" ca="1" si="1"/>
        <v>118190.3576374305</v>
      </c>
      <c r="L8" s="340">
        <f t="shared" ca="1" si="1"/>
        <v>121139.98550536523</v>
      </c>
      <c r="M8" s="340">
        <f t="shared" ca="1" si="1"/>
        <v>123897.5692537752</v>
      </c>
      <c r="N8" s="340">
        <f t="shared" ca="1" si="1"/>
        <v>126767.71023253571</v>
      </c>
      <c r="O8" s="340">
        <f t="shared" ca="1" si="1"/>
        <v>131032.59947551884</v>
      </c>
      <c r="P8" s="340">
        <f t="shared" ca="1" si="1"/>
        <v>135652.49575698207</v>
      </c>
      <c r="Q8" s="340">
        <f t="shared" ref="Q8" ca="1" si="2">P15</f>
        <v>140197.75208115912</v>
      </c>
      <c r="R8" s="340">
        <f t="shared" ref="R8" ca="1" si="3">Q15</f>
        <v>143946.65893087751</v>
      </c>
      <c r="S8" s="28"/>
      <c r="T8" s="28"/>
      <c r="U8" s="28"/>
      <c r="V8" s="28"/>
    </row>
    <row r="9" spans="1:22" x14ac:dyDescent="0.35">
      <c r="A9" s="32" t="s">
        <v>41</v>
      </c>
      <c r="B9" s="25">
        <f ca="1">SUM(B10:B11)</f>
        <v>4764.3121999999994</v>
      </c>
      <c r="C9" s="25">
        <f t="shared" ref="C9:L9" ca="1" si="4">SUM(C10:C11)</f>
        <v>4775.1076809999986</v>
      </c>
      <c r="D9" s="38">
        <f t="shared" ca="1" si="4"/>
        <v>4799.0600361795232</v>
      </c>
      <c r="E9" s="38">
        <f t="shared" ca="1" si="4"/>
        <v>4833.5027163604209</v>
      </c>
      <c r="F9" s="38">
        <f t="shared" ca="1" si="4"/>
        <v>4852.1833375357837</v>
      </c>
      <c r="G9" s="38">
        <f t="shared" ca="1" si="4"/>
        <v>5475.695262806762</v>
      </c>
      <c r="H9" s="38">
        <f t="shared" ca="1" si="4"/>
        <v>4788.2139420437425</v>
      </c>
      <c r="I9" s="38">
        <f t="shared" ca="1" si="4"/>
        <v>4815.2779153205684</v>
      </c>
      <c r="J9" s="38">
        <f t="shared" ca="1" si="4"/>
        <v>4340.3631969177195</v>
      </c>
      <c r="K9" s="341">
        <f t="shared" ca="1" si="4"/>
        <v>4338.798674794165</v>
      </c>
      <c r="L9" s="341">
        <f t="shared" ca="1" si="4"/>
        <v>4321.5311738838127</v>
      </c>
      <c r="M9" s="341">
        <f t="shared" ref="M9:N9" ca="1" si="5">SUM(M10:M11)</f>
        <v>4348.1009583871664</v>
      </c>
      <c r="N9" s="341">
        <f t="shared" ca="1" si="5"/>
        <v>5598.0956417010302</v>
      </c>
      <c r="O9" s="341">
        <f t="shared" ref="O9:P9" ca="1" si="6">SUM(O10:O11)</f>
        <v>5630.9989941461326</v>
      </c>
      <c r="P9" s="341">
        <f t="shared" ca="1" si="6"/>
        <v>5687.1257083784276</v>
      </c>
      <c r="Q9" s="341">
        <f t="shared" ref="Q9:R9" ca="1" si="7">SUM(Q10:Q11)</f>
        <v>5088.2365316119876</v>
      </c>
      <c r="R9" s="341">
        <f t="shared" ca="1" si="7"/>
        <v>5110.8290480938485</v>
      </c>
      <c r="S9" s="28"/>
      <c r="T9" s="28"/>
      <c r="U9" s="28"/>
      <c r="V9" s="28"/>
    </row>
    <row r="10" spans="1:22" x14ac:dyDescent="0.35">
      <c r="A10" s="31" t="s">
        <v>43</v>
      </c>
      <c r="B10" s="173">
        <f t="shared" ref="B10:L10" ca="1" si="8">INDIRECT("'Jati Jawa'!C"&amp;B32)</f>
        <v>4732.2961999999998</v>
      </c>
      <c r="C10" s="173">
        <f t="shared" ca="1" si="8"/>
        <v>4755.957680999999</v>
      </c>
      <c r="D10" s="173">
        <f t="shared" ca="1" si="8"/>
        <v>4779.7360361795236</v>
      </c>
      <c r="E10" s="173">
        <f t="shared" ca="1" si="8"/>
        <v>4803.6347163604205</v>
      </c>
      <c r="F10" s="173">
        <f t="shared" ca="1" si="8"/>
        <v>4827.6543375357833</v>
      </c>
      <c r="G10" s="173">
        <f t="shared" ca="1" si="8"/>
        <v>5459.4625128067619</v>
      </c>
      <c r="H10" s="173">
        <f t="shared" ca="1" si="8"/>
        <v>4764.8739420437423</v>
      </c>
      <c r="I10" s="173">
        <f t="shared" ca="1" si="8"/>
        <v>4794.9495453205682</v>
      </c>
      <c r="J10" s="173">
        <f t="shared" ca="1" si="8"/>
        <v>4335.8831969177199</v>
      </c>
      <c r="K10" s="342">
        <f t="shared" ca="1" si="8"/>
        <v>4331.5373147941646</v>
      </c>
      <c r="L10" s="342">
        <f t="shared" ca="1" si="8"/>
        <v>4306.2241738838129</v>
      </c>
      <c r="M10" s="342">
        <f t="shared" ref="M10:N10" ca="1" si="9">INDIRECT("'Jati Jawa'!C"&amp;M32)</f>
        <v>4330.2309583871665</v>
      </c>
      <c r="N10" s="342">
        <f t="shared" ca="1" si="9"/>
        <v>5581.2446417010306</v>
      </c>
      <c r="O10" s="342">
        <f t="shared" ref="O10:P10" ca="1" si="10">INDIRECT("'Jati Jawa'!C"&amp;O32)</f>
        <v>5609.1549941461326</v>
      </c>
      <c r="P10" s="342">
        <f t="shared" ca="1" si="10"/>
        <v>5674.1047083784279</v>
      </c>
      <c r="Q10" s="342">
        <f t="shared" ref="Q10:R10" ca="1" si="11">INDIRECT("'Jati Jawa'!C"&amp;Q32)</f>
        <v>5071.3775316119873</v>
      </c>
      <c r="R10" s="342">
        <f t="shared" ca="1" si="11"/>
        <v>5096.7530480938485</v>
      </c>
    </row>
    <row r="11" spans="1:22" x14ac:dyDescent="0.35">
      <c r="A11" s="31" t="s">
        <v>42</v>
      </c>
      <c r="B11" s="173">
        <f t="shared" ref="B11:L11" ca="1" si="12">INDIRECT("'Jati Jawa'!D"&amp;B32)</f>
        <v>32.015999999999998</v>
      </c>
      <c r="C11" s="173">
        <f t="shared" ca="1" si="12"/>
        <v>19.149999999999999</v>
      </c>
      <c r="D11" s="173">
        <f t="shared" ca="1" si="12"/>
        <v>19.324000000000002</v>
      </c>
      <c r="E11" s="173">
        <f t="shared" ca="1" si="12"/>
        <v>29.868000000000002</v>
      </c>
      <c r="F11" s="173">
        <f t="shared" ca="1" si="12"/>
        <v>24.529</v>
      </c>
      <c r="G11" s="173">
        <f t="shared" ca="1" si="12"/>
        <v>16.232750000000003</v>
      </c>
      <c r="H11" s="173">
        <f t="shared" ca="1" si="12"/>
        <v>23.340000000000007</v>
      </c>
      <c r="I11" s="173">
        <f t="shared" ca="1" si="12"/>
        <v>20.328370000000003</v>
      </c>
      <c r="J11" s="173">
        <f t="shared" ca="1" si="12"/>
        <v>4.4800000000000013</v>
      </c>
      <c r="K11" s="342">
        <f t="shared" ca="1" si="12"/>
        <v>7.2613600000000034</v>
      </c>
      <c r="L11" s="342">
        <f t="shared" ca="1" si="12"/>
        <v>15.307000000000006</v>
      </c>
      <c r="M11" s="342">
        <f t="shared" ref="M11:N11" ca="1" si="13">INDIRECT("'Jati Jawa'!D"&amp;M32)</f>
        <v>17.870000000000008</v>
      </c>
      <c r="N11" s="342">
        <f t="shared" ca="1" si="13"/>
        <v>16.851000000000006</v>
      </c>
      <c r="O11" s="342">
        <f t="shared" ref="O11:P11" ca="1" si="14">INDIRECT("'Jati Jawa'!D"&amp;O32)</f>
        <v>21.844000000000008</v>
      </c>
      <c r="P11" s="342">
        <f t="shared" ca="1" si="14"/>
        <v>13.021000000000006</v>
      </c>
      <c r="Q11" s="342">
        <f t="shared" ref="Q11:R11" ca="1" si="15">INDIRECT("'Jati Jawa'!D"&amp;Q32)</f>
        <v>16.859000000000009</v>
      </c>
      <c r="R11" s="342">
        <f t="shared" ca="1" si="15"/>
        <v>14.076000000000008</v>
      </c>
    </row>
    <row r="12" spans="1:22" x14ac:dyDescent="0.35">
      <c r="A12" s="33" t="s">
        <v>44</v>
      </c>
      <c r="B12" s="25">
        <f ca="1">SUM(B13:B14)</f>
        <v>806.95482775265532</v>
      </c>
      <c r="C12" s="25">
        <f t="shared" ref="C12:H12" ca="1" si="16">SUM(C13:C14)</f>
        <v>748.36735486418979</v>
      </c>
      <c r="D12" s="38">
        <f t="shared" ca="1" si="16"/>
        <v>890.85249245961597</v>
      </c>
      <c r="E12" s="38">
        <f t="shared" ca="1" si="16"/>
        <v>1450.2983374241651</v>
      </c>
      <c r="F12" s="38">
        <f t="shared" ca="1" si="16"/>
        <v>2976.4147689782576</v>
      </c>
      <c r="G12" s="38">
        <f t="shared" ca="1" si="16"/>
        <v>1829.757693518733</v>
      </c>
      <c r="H12" s="38">
        <f t="shared" ca="1" si="16"/>
        <v>1500.8288621167421</v>
      </c>
      <c r="I12" s="38">
        <f ca="1">SUM(I13:I14)</f>
        <v>1621.086458018573</v>
      </c>
      <c r="J12" s="38">
        <f t="shared" ref="J12:L12" ca="1" si="17">SUM(J13:J14)</f>
        <v>1136.6867996274379</v>
      </c>
      <c r="K12" s="341">
        <f t="shared" ca="1" si="17"/>
        <v>1389.1708068594239</v>
      </c>
      <c r="L12" s="341">
        <f t="shared" ca="1" si="17"/>
        <v>1563.94742547383</v>
      </c>
      <c r="M12" s="341">
        <f t="shared" ref="M12:N12" ca="1" si="18">SUM(M13:M14)</f>
        <v>1477.9599796266564</v>
      </c>
      <c r="N12" s="341">
        <f t="shared" ca="1" si="18"/>
        <v>1333.2063987178938</v>
      </c>
      <c r="O12" s="341">
        <f t="shared" ref="O12:P12" ca="1" si="19">SUM(O13:O14)</f>
        <v>1011.1027126828994</v>
      </c>
      <c r="P12" s="341">
        <f t="shared" ca="1" si="19"/>
        <v>1141.8693842013458</v>
      </c>
      <c r="Q12" s="341">
        <f t="shared" ref="Q12:R12" ca="1" si="20">SUM(Q13:Q14)</f>
        <v>1339.3296818936153</v>
      </c>
      <c r="R12" s="341">
        <f t="shared" ca="1" si="20"/>
        <v>1082.2607601530221</v>
      </c>
    </row>
    <row r="13" spans="1:22" x14ac:dyDescent="0.35">
      <c r="A13" s="31" t="s">
        <v>45</v>
      </c>
      <c r="B13" s="174">
        <f t="shared" ref="B13:L13" ca="1" si="21">INDIRECT("'Jati Jawa'!E"&amp;B32)</f>
        <v>329.24482775265534</v>
      </c>
      <c r="C13" s="174">
        <f t="shared" ca="1" si="21"/>
        <v>293.16735486418986</v>
      </c>
      <c r="D13" s="174">
        <f t="shared" ca="1" si="21"/>
        <v>440.82049245961599</v>
      </c>
      <c r="E13" s="174">
        <f t="shared" ca="1" si="21"/>
        <v>1014.8983374241651</v>
      </c>
      <c r="F13" s="174">
        <f t="shared" ca="1" si="21"/>
        <v>2572.9827689782574</v>
      </c>
      <c r="G13" s="174">
        <f t="shared" ca="1" si="21"/>
        <v>1398.2410957587331</v>
      </c>
      <c r="H13" s="174">
        <f t="shared" ca="1" si="21"/>
        <v>1044.833586116742</v>
      </c>
      <c r="I13" s="174">
        <f t="shared" ca="1" si="21"/>
        <v>1228.429944018573</v>
      </c>
      <c r="J13" s="174">
        <f t="shared" ca="1" si="21"/>
        <v>886.04879962743803</v>
      </c>
      <c r="K13" s="343">
        <f t="shared" ca="1" si="21"/>
        <v>1082.9537308594238</v>
      </c>
      <c r="L13" s="343">
        <f t="shared" ca="1" si="21"/>
        <v>1163.8354254738299</v>
      </c>
      <c r="M13" s="343">
        <f t="shared" ref="M13:N13" ca="1" si="22">INDIRECT("'Jati Jawa'!E"&amp;M32)</f>
        <v>1071.8839796266564</v>
      </c>
      <c r="N13" s="343">
        <f t="shared" ca="1" si="22"/>
        <v>900.38909871789383</v>
      </c>
      <c r="O13" s="343">
        <f t="shared" ref="O13:P13" ca="1" si="23">INDIRECT("'Jati Jawa'!E"&amp;O32)</f>
        <v>516.34271268289945</v>
      </c>
      <c r="P13" s="343">
        <f t="shared" ca="1" si="23"/>
        <v>641.39338420134573</v>
      </c>
      <c r="Q13" s="343">
        <f t="shared" ref="Q13:R13" ca="1" si="24">INDIRECT("'Jati Jawa'!E"&amp;Q32)</f>
        <v>876.37468189361539</v>
      </c>
      <c r="R13" s="343">
        <f t="shared" ca="1" si="24"/>
        <v>686.75276015302222</v>
      </c>
    </row>
    <row r="14" spans="1:22" x14ac:dyDescent="0.35">
      <c r="A14" s="31" t="s">
        <v>46</v>
      </c>
      <c r="B14" s="174">
        <f t="shared" ref="B14:L14" ca="1" si="25">INDIRECT("'Jati Jawa'!F"&amp;B32)</f>
        <v>477.71</v>
      </c>
      <c r="C14" s="174">
        <f t="shared" ca="1" si="25"/>
        <v>455.2</v>
      </c>
      <c r="D14" s="174">
        <f t="shared" ca="1" si="25"/>
        <v>450.03199999999998</v>
      </c>
      <c r="E14" s="174">
        <f t="shared" ca="1" si="25"/>
        <v>435.4</v>
      </c>
      <c r="F14" s="174">
        <f t="shared" ca="1" si="25"/>
        <v>403.43200000000002</v>
      </c>
      <c r="G14" s="174">
        <f t="shared" ca="1" si="25"/>
        <v>431.51659775999997</v>
      </c>
      <c r="H14" s="174">
        <f t="shared" ca="1" si="25"/>
        <v>455.99527599999999</v>
      </c>
      <c r="I14" s="174">
        <f t="shared" ca="1" si="25"/>
        <v>392.65651400000002</v>
      </c>
      <c r="J14" s="174">
        <f t="shared" ca="1" si="25"/>
        <v>250.63800000000001</v>
      </c>
      <c r="K14" s="343">
        <f t="shared" ca="1" si="25"/>
        <v>306.21707600000002</v>
      </c>
      <c r="L14" s="343">
        <f t="shared" ca="1" si="25"/>
        <v>400.11200000000002</v>
      </c>
      <c r="M14" s="343">
        <f t="shared" ref="M14:N14" ca="1" si="26">INDIRECT("'Jati Jawa'!F"&amp;M32)</f>
        <v>406.07600000000002</v>
      </c>
      <c r="N14" s="343">
        <f t="shared" ca="1" si="26"/>
        <v>432.81729999999999</v>
      </c>
      <c r="O14" s="343">
        <f t="shared" ref="O14:P14" ca="1" si="27">INDIRECT("'Jati Jawa'!F"&amp;O32)</f>
        <v>494.76</v>
      </c>
      <c r="P14" s="343">
        <f t="shared" ca="1" si="27"/>
        <v>500.476</v>
      </c>
      <c r="Q14" s="343">
        <f t="shared" ref="Q14:R14" ca="1" si="28">INDIRECT("'Jati Jawa'!F"&amp;Q32)</f>
        <v>462.95499999999998</v>
      </c>
      <c r="R14" s="343">
        <f t="shared" ca="1" si="28"/>
        <v>395.50799999999998</v>
      </c>
    </row>
    <row r="15" spans="1:22" x14ac:dyDescent="0.35">
      <c r="A15" s="32" t="s">
        <v>47</v>
      </c>
      <c r="B15" s="25">
        <f ca="1">B8+B9-B12</f>
        <v>91665.246316273697</v>
      </c>
      <c r="C15" s="25">
        <f t="shared" ref="C15:L15" ca="1" si="29">C8+C9-C12</f>
        <v>95691.986642409494</v>
      </c>
      <c r="D15" s="25">
        <f t="shared" ca="1" si="29"/>
        <v>99600.194186129404</v>
      </c>
      <c r="E15" s="25">
        <f t="shared" ca="1" si="29"/>
        <v>102983.39856506567</v>
      </c>
      <c r="F15" s="25">
        <f t="shared" ca="1" si="29"/>
        <v>104859.1671336232</v>
      </c>
      <c r="G15" s="25">
        <f t="shared" ca="1" si="29"/>
        <v>108505.10470291122</v>
      </c>
      <c r="H15" s="25">
        <f ca="1">H8+H9-H12</f>
        <v>111792.48978283822</v>
      </c>
      <c r="I15" s="25">
        <f t="shared" ca="1" si="29"/>
        <v>114986.68124014021</v>
      </c>
      <c r="J15" s="25">
        <f t="shared" ca="1" si="29"/>
        <v>118190.3576374305</v>
      </c>
      <c r="K15" s="340">
        <f t="shared" ca="1" si="29"/>
        <v>121139.98550536523</v>
      </c>
      <c r="L15" s="340">
        <f t="shared" ca="1" si="29"/>
        <v>123897.5692537752</v>
      </c>
      <c r="M15" s="340">
        <f t="shared" ref="M15:N15" ca="1" si="30">M8+M9-M12</f>
        <v>126767.71023253571</v>
      </c>
      <c r="N15" s="340">
        <f t="shared" ca="1" si="30"/>
        <v>131032.59947551884</v>
      </c>
      <c r="O15" s="340">
        <f t="shared" ref="O15:P15" ca="1" si="31">O8+O9-O12</f>
        <v>135652.49575698207</v>
      </c>
      <c r="P15" s="340">
        <f t="shared" ca="1" si="31"/>
        <v>140197.75208115912</v>
      </c>
      <c r="Q15" s="340">
        <f t="shared" ref="Q15:R15" ca="1" si="32">Q8+Q9-Q12</f>
        <v>143946.65893087751</v>
      </c>
      <c r="R15" s="340">
        <f t="shared" ca="1" si="32"/>
        <v>147975.22721881833</v>
      </c>
    </row>
    <row r="16" spans="1:22" x14ac:dyDescent="0.35">
      <c r="A16" s="24"/>
      <c r="B16" s="25"/>
      <c r="C16" s="176">
        <f ca="1">C15-INDIRECT("'Jati Jawa'!G"&amp;C32)</f>
        <v>0</v>
      </c>
      <c r="D16" s="176">
        <f t="shared" ref="D16:N16" ca="1" si="33">D15-INDIRECT("'Jati Jawa'!G"&amp;D32)</f>
        <v>0</v>
      </c>
      <c r="E16" s="176">
        <f t="shared" ca="1" si="33"/>
        <v>0</v>
      </c>
      <c r="F16" s="176">
        <f t="shared" ca="1" si="33"/>
        <v>0</v>
      </c>
      <c r="G16" s="176">
        <f t="shared" ca="1" si="33"/>
        <v>0</v>
      </c>
      <c r="H16" s="176">
        <f t="shared" ca="1" si="33"/>
        <v>0</v>
      </c>
      <c r="I16" s="176">
        <f t="shared" ca="1" si="33"/>
        <v>0</v>
      </c>
      <c r="J16" s="176">
        <f t="shared" ca="1" si="33"/>
        <v>0</v>
      </c>
      <c r="K16" s="344">
        <f t="shared" ca="1" si="33"/>
        <v>0</v>
      </c>
      <c r="L16" s="344">
        <f t="shared" ca="1" si="33"/>
        <v>0</v>
      </c>
      <c r="M16" s="344">
        <f t="shared" ca="1" si="33"/>
        <v>0</v>
      </c>
      <c r="N16" s="344">
        <f t="shared" ca="1" si="33"/>
        <v>0</v>
      </c>
      <c r="O16" s="344">
        <f t="shared" ref="O16:P16" ca="1" si="34">O15-INDIRECT("'Jati Jawa'!G"&amp;O32)</f>
        <v>0</v>
      </c>
      <c r="P16" s="344">
        <f t="shared" ca="1" si="34"/>
        <v>0</v>
      </c>
      <c r="Q16" s="344">
        <f t="shared" ref="Q16:R16" ca="1" si="35">Q15-INDIRECT("'Jati Jawa'!G"&amp;Q32)</f>
        <v>0</v>
      </c>
      <c r="R16" s="344">
        <f t="shared" ca="1" si="35"/>
        <v>0</v>
      </c>
    </row>
    <row r="17" spans="1:18" x14ac:dyDescent="0.35">
      <c r="A17" s="24"/>
      <c r="B17" s="26"/>
      <c r="C17" s="26"/>
      <c r="D17" s="26"/>
      <c r="E17" s="26"/>
      <c r="F17" s="26"/>
      <c r="G17" s="26"/>
      <c r="H17" s="26"/>
      <c r="I17" s="26"/>
      <c r="J17" s="26"/>
      <c r="K17" s="340"/>
      <c r="L17" s="340"/>
      <c r="M17" s="340"/>
      <c r="N17" s="340"/>
      <c r="O17" s="340"/>
      <c r="P17" s="340"/>
      <c r="Q17" s="340"/>
      <c r="R17" s="340"/>
    </row>
    <row r="18" spans="1:18" x14ac:dyDescent="0.35">
      <c r="A18" s="32" t="s">
        <v>37</v>
      </c>
      <c r="B18" s="24"/>
      <c r="C18" s="24"/>
      <c r="D18" s="24"/>
      <c r="E18" s="24"/>
      <c r="F18" s="24"/>
      <c r="G18" s="24"/>
      <c r="H18" s="24"/>
      <c r="I18" s="24"/>
      <c r="J18" s="24"/>
      <c r="K18" s="340"/>
      <c r="L18" s="340"/>
      <c r="M18" s="340"/>
      <c r="N18" s="340"/>
      <c r="O18" s="340"/>
      <c r="P18" s="340"/>
      <c r="Q18" s="340"/>
      <c r="R18" s="340"/>
    </row>
    <row r="19" spans="1:18" x14ac:dyDescent="0.35">
      <c r="A19" s="32" t="s">
        <v>38</v>
      </c>
      <c r="B19" s="24"/>
      <c r="C19" s="24"/>
      <c r="D19" s="24"/>
      <c r="E19" s="24"/>
      <c r="F19" s="24"/>
      <c r="G19" s="24"/>
      <c r="H19" s="24"/>
      <c r="I19" s="24"/>
      <c r="J19" s="24"/>
      <c r="K19" s="340"/>
      <c r="L19" s="340"/>
      <c r="M19" s="340"/>
      <c r="N19" s="340"/>
      <c r="O19" s="340"/>
      <c r="P19" s="340"/>
      <c r="Q19" s="340"/>
      <c r="R19" s="340"/>
    </row>
    <row r="20" spans="1:18" x14ac:dyDescent="0.3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340"/>
      <c r="L20" s="340"/>
      <c r="M20" s="340"/>
      <c r="N20" s="340"/>
      <c r="O20" s="340"/>
      <c r="P20" s="340"/>
      <c r="Q20" s="340"/>
      <c r="R20" s="340"/>
    </row>
    <row r="21" spans="1:18" x14ac:dyDescent="0.35">
      <c r="A21" s="32" t="s">
        <v>36</v>
      </c>
      <c r="B21" s="25"/>
      <c r="C21" s="25">
        <f>'Jati Jawa'!B47</f>
        <v>92293.684684850479</v>
      </c>
      <c r="D21" s="25">
        <f ca="1">C29</f>
        <v>104925.0389131938</v>
      </c>
      <c r="E21" s="25">
        <f t="shared" ref="E21:P21" ca="1" si="36">D29</f>
        <v>61836.338579726726</v>
      </c>
      <c r="F21" s="25">
        <f t="shared" ca="1" si="36"/>
        <v>12389.187865730026</v>
      </c>
      <c r="G21" s="25">
        <f t="shared" ca="1" si="36"/>
        <v>7737.4453114404605</v>
      </c>
      <c r="H21" s="25">
        <f t="shared" ca="1" si="36"/>
        <v>8404.6549053495764</v>
      </c>
      <c r="I21" s="25">
        <f t="shared" ca="1" si="36"/>
        <v>8707.7924267470789</v>
      </c>
      <c r="J21" s="25">
        <f t="shared" ca="1" si="36"/>
        <v>7463.7389395697983</v>
      </c>
      <c r="K21" s="340">
        <f t="shared" ca="1" si="36"/>
        <v>5461.6171251783126</v>
      </c>
      <c r="L21" s="340">
        <f t="shared" ca="1" si="36"/>
        <v>7032.5499198449625</v>
      </c>
      <c r="M21" s="340">
        <f t="shared" ca="1" si="36"/>
        <v>9263.8485253573945</v>
      </c>
      <c r="N21" s="340">
        <f t="shared" ca="1" si="36"/>
        <v>10153.124039471026</v>
      </c>
      <c r="O21" s="340">
        <f t="shared" ca="1" si="36"/>
        <v>11753.012051047661</v>
      </c>
      <c r="P21" s="340">
        <f t="shared" ca="1" si="36"/>
        <v>14369.062831927899</v>
      </c>
      <c r="Q21" s="340">
        <f t="shared" ref="Q21" ca="1" si="37">P29</f>
        <v>14543.752728685477</v>
      </c>
      <c r="R21" s="340">
        <f t="shared" ref="R21" ca="1" si="38">Q29</f>
        <v>14758.996512372387</v>
      </c>
    </row>
    <row r="22" spans="1:18" s="41" customFormat="1" x14ac:dyDescent="0.35">
      <c r="A22" s="40" t="s">
        <v>41</v>
      </c>
      <c r="B22" s="38"/>
      <c r="C22" s="38">
        <f t="shared" ref="C22:M22" ca="1" si="39">SUM(C23:C24)</f>
        <v>5235.8444716578388</v>
      </c>
      <c r="D22" s="38">
        <f t="shared" ca="1" si="39"/>
        <v>2979.4751273984944</v>
      </c>
      <c r="E22" s="38">
        <f t="shared" ca="1" si="39"/>
        <v>581.4837540506204</v>
      </c>
      <c r="F22" s="38">
        <f t="shared" ca="1" si="39"/>
        <v>358.03739664862775</v>
      </c>
      <c r="G22" s="38">
        <f t="shared" ca="1" si="39"/>
        <v>424.13975984591218</v>
      </c>
      <c r="H22" s="38">
        <f t="shared" ca="1" si="39"/>
        <v>372.96577957219864</v>
      </c>
      <c r="I22" s="38">
        <f t="shared" ca="1" si="39"/>
        <v>312.55774054710707</v>
      </c>
      <c r="J22" s="38">
        <f t="shared" ca="1" si="39"/>
        <v>200.56967793007274</v>
      </c>
      <c r="K22" s="341">
        <f t="shared" ca="1" si="39"/>
        <v>251.88064985607724</v>
      </c>
      <c r="L22" s="341">
        <f t="shared" ca="1" si="39"/>
        <v>323.1218371239334</v>
      </c>
      <c r="M22" s="341">
        <f t="shared" ca="1" si="39"/>
        <v>348.2496314374323</v>
      </c>
      <c r="N22" s="341">
        <f t="shared" ref="N22:O22" ca="1" si="40">SUM(N23:N24)</f>
        <v>502.12302742358537</v>
      </c>
      <c r="O22" s="341">
        <f t="shared" ca="1" si="40"/>
        <v>596.46656629422182</v>
      </c>
      <c r="P22" s="341">
        <f t="shared" ref="P22:R22" ca="1" si="41">SUM(P23:P24)</f>
        <v>589.9677335177588</v>
      </c>
      <c r="Q22" s="341">
        <f t="shared" ca="1" si="41"/>
        <v>521.70203728207719</v>
      </c>
      <c r="R22" s="341">
        <f t="shared" ca="1" si="41"/>
        <v>435.17464335485522</v>
      </c>
    </row>
    <row r="23" spans="1:18" x14ac:dyDescent="0.35">
      <c r="A23" s="31" t="s">
        <v>43</v>
      </c>
      <c r="B23" s="25"/>
      <c r="C23" s="173">
        <f ca="1">INDIRECT("'Jati Jawa'!C"&amp;C33)</f>
        <v>5214.846741694344</v>
      </c>
      <c r="D23" s="173">
        <f t="shared" ref="D23:N23" ca="1" si="42">INDIRECT("'Jati Jawa'!C"&amp;D33)</f>
        <v>2967.4779077496892</v>
      </c>
      <c r="E23" s="173">
        <f t="shared" ca="1" si="42"/>
        <v>577.89055098750896</v>
      </c>
      <c r="F23" s="173">
        <f t="shared" ca="1" si="42"/>
        <v>356.22742808572212</v>
      </c>
      <c r="G23" s="173">
        <f t="shared" ca="1" si="42"/>
        <v>422.88239354698675</v>
      </c>
      <c r="H23" s="173">
        <f t="shared" ca="1" si="42"/>
        <v>371.14776947478441</v>
      </c>
      <c r="I23" s="173">
        <f t="shared" ca="1" si="42"/>
        <v>311.23823427811476</v>
      </c>
      <c r="J23" s="173">
        <f t="shared" ca="1" si="42"/>
        <v>200.36265558738842</v>
      </c>
      <c r="K23" s="342">
        <f t="shared" ca="1" si="42"/>
        <v>251.45910550412003</v>
      </c>
      <c r="L23" s="342">
        <f t="shared" ca="1" si="42"/>
        <v>321.97732936456646</v>
      </c>
      <c r="M23" s="342">
        <f t="shared" ca="1" si="42"/>
        <v>346.81838111152098</v>
      </c>
      <c r="N23" s="342">
        <f t="shared" ca="1" si="42"/>
        <v>500.61157144343287</v>
      </c>
      <c r="O23" s="342">
        <f t="shared" ref="O23:P23" ca="1" si="43">INDIRECT("'Jati Jawa'!C"&amp;O33)</f>
        <v>594.15272896488193</v>
      </c>
      <c r="P23" s="342">
        <f t="shared" ca="1" si="43"/>
        <v>588.61696860556117</v>
      </c>
      <c r="Q23" s="342">
        <f t="shared" ref="Q23:R23" ca="1" si="44">INDIRECT("'Jati Jawa'!C"&amp;Q33)</f>
        <v>519.9734669626954</v>
      </c>
      <c r="R23" s="342">
        <f t="shared" ca="1" si="44"/>
        <v>433.97610624429632</v>
      </c>
    </row>
    <row r="24" spans="1:18" x14ac:dyDescent="0.35">
      <c r="A24" s="31" t="s">
        <v>42</v>
      </c>
      <c r="B24" s="25"/>
      <c r="C24" s="173">
        <f ca="1">INDIRECT("'Jati Jawa'!D"&amp;C33)</f>
        <v>20.997729963494749</v>
      </c>
      <c r="D24" s="173">
        <f t="shared" ref="D24:N24" ca="1" si="45">INDIRECT("'Jati Jawa'!D"&amp;D33)</f>
        <v>11.997219648805146</v>
      </c>
      <c r="E24" s="173">
        <f t="shared" ca="1" si="45"/>
        <v>3.5932030631114826</v>
      </c>
      <c r="F24" s="173">
        <f t="shared" ca="1" si="45"/>
        <v>1.8099685629056106</v>
      </c>
      <c r="G24" s="173">
        <f t="shared" ca="1" si="45"/>
        <v>1.2573662989254089</v>
      </c>
      <c r="H24" s="173">
        <f t="shared" ca="1" si="45"/>
        <v>1.8180100974142304</v>
      </c>
      <c r="I24" s="173">
        <f t="shared" ca="1" si="45"/>
        <v>1.3195062689922858</v>
      </c>
      <c r="J24" s="173">
        <f t="shared" ca="1" si="45"/>
        <v>0.20702234268432351</v>
      </c>
      <c r="K24" s="342">
        <f t="shared" ca="1" si="45"/>
        <v>0.42154435195721424</v>
      </c>
      <c r="L24" s="342">
        <f t="shared" ca="1" si="45"/>
        <v>1.144507759366918</v>
      </c>
      <c r="M24" s="342">
        <f t="shared" ca="1" si="45"/>
        <v>1.4312503259113114</v>
      </c>
      <c r="N24" s="342">
        <f t="shared" ca="1" si="45"/>
        <v>1.5114559801525307</v>
      </c>
      <c r="O24" s="342">
        <f t="shared" ref="O24:P24" ca="1" si="46">INDIRECT("'Jati Jawa'!D"&amp;O33)</f>
        <v>2.3138373293399419</v>
      </c>
      <c r="P24" s="342">
        <f t="shared" ca="1" si="46"/>
        <v>1.3507649121976422</v>
      </c>
      <c r="Q24" s="342">
        <f t="shared" ref="Q24:R24" ca="1" si="47">INDIRECT("'Jati Jawa'!D"&amp;Q33)</f>
        <v>1.7285703193817743</v>
      </c>
      <c r="R24" s="342">
        <f t="shared" ca="1" si="47"/>
        <v>1.19853711055891</v>
      </c>
    </row>
    <row r="25" spans="1:18" s="41" customFormat="1" x14ac:dyDescent="0.35">
      <c r="A25" s="42" t="s">
        <v>44</v>
      </c>
      <c r="B25" s="38"/>
      <c r="C25" s="38">
        <f t="shared" ref="C25:M25" ca="1" si="48">SUM(C26:C27)</f>
        <v>820.57522876935286</v>
      </c>
      <c r="D25" s="38">
        <f t="shared" ca="1" si="48"/>
        <v>553.08181674205866</v>
      </c>
      <c r="E25" s="38">
        <f t="shared" ca="1" si="48"/>
        <v>174.47490385891257</v>
      </c>
      <c r="F25" s="38">
        <f t="shared" ca="1" si="48"/>
        <v>219.62644877567823</v>
      </c>
      <c r="G25" s="38">
        <f t="shared" ca="1" si="48"/>
        <v>141.73049292510152</v>
      </c>
      <c r="H25" s="38">
        <f t="shared" ca="1" si="48"/>
        <v>116.9032573187209</v>
      </c>
      <c r="I25" s="38">
        <f t="shared" ca="1" si="48"/>
        <v>105.22406587119414</v>
      </c>
      <c r="J25" s="38">
        <f t="shared" ca="1" si="48"/>
        <v>52.526688427950532</v>
      </c>
      <c r="K25" s="341">
        <f t="shared" ca="1" si="48"/>
        <v>80.645651439322108</v>
      </c>
      <c r="L25" s="341">
        <f t="shared" ca="1" si="48"/>
        <v>116.93669325777175</v>
      </c>
      <c r="M25" s="341">
        <f t="shared" ca="1" si="48"/>
        <v>118.37329057216151</v>
      </c>
      <c r="N25" s="341">
        <f t="shared" ref="N25:O25" ca="1" si="49">SUM(N26:N27)</f>
        <v>119.58238585957979</v>
      </c>
      <c r="O25" s="341">
        <f t="shared" ca="1" si="49"/>
        <v>107.10159313324345</v>
      </c>
      <c r="P25" s="341">
        <f t="shared" ref="P25:R25" ca="1" si="50">SUM(P26:P27)</f>
        <v>118.45458094554226</v>
      </c>
      <c r="Q25" s="341">
        <f t="shared" ca="1" si="50"/>
        <v>137.32282673873513</v>
      </c>
      <c r="R25" s="341">
        <f t="shared" ca="1" si="50"/>
        <v>92.151867316360622</v>
      </c>
    </row>
    <row r="26" spans="1:18" x14ac:dyDescent="0.35">
      <c r="A26" s="31" t="s">
        <v>45</v>
      </c>
      <c r="B26" s="25"/>
      <c r="C26" s="174">
        <f ca="1">INDIRECT("'Jati Jawa'!E"&amp;C33)</f>
        <v>321.45425334466307</v>
      </c>
      <c r="D26" s="174">
        <f t="shared" ref="D26:N26" ca="1" si="51">INDIRECT("'Jati Jawa'!E"&amp;D33)</f>
        <v>273.68144658106314</v>
      </c>
      <c r="E26" s="174">
        <f t="shared" ca="1" si="51"/>
        <v>122.095078839536</v>
      </c>
      <c r="F26" s="174">
        <f t="shared" ca="1" si="51"/>
        <v>189.85763483013881</v>
      </c>
      <c r="G26" s="174">
        <f t="shared" ca="1" si="51"/>
        <v>108.30581580937094</v>
      </c>
      <c r="H26" s="174">
        <f t="shared" ca="1" si="51"/>
        <v>81.384661939921045</v>
      </c>
      <c r="I26" s="174">
        <f t="shared" ca="1" si="51"/>
        <v>79.736890471314211</v>
      </c>
      <c r="J26" s="174">
        <f t="shared" ca="1" si="51"/>
        <v>40.944620140960922</v>
      </c>
      <c r="K26" s="343">
        <f t="shared" ca="1" si="51"/>
        <v>62.868805385600353</v>
      </c>
      <c r="L26" s="343">
        <f t="shared" ca="1" si="51"/>
        <v>87.020230945377676</v>
      </c>
      <c r="M26" s="343">
        <f t="shared" ca="1" si="51"/>
        <v>85.849708739774186</v>
      </c>
      <c r="N26" s="343">
        <f t="shared" ca="1" si="51"/>
        <v>80.760695965895636</v>
      </c>
      <c r="O26" s="343">
        <f t="shared" ref="O26:P26" ca="1" si="52">INDIRECT("'Jati Jawa'!E"&amp;O33)</f>
        <v>54.693876732207499</v>
      </c>
      <c r="P26" s="343">
        <f t="shared" ca="1" si="52"/>
        <v>66.536493225933413</v>
      </c>
      <c r="Q26" s="343">
        <f t="shared" ref="Q26:R26" ca="1" si="53">INDIRECT("'Jati Jawa'!E"&amp;Q33)</f>
        <v>89.855582405774172</v>
      </c>
      <c r="R26" s="343">
        <f t="shared" ca="1" si="53"/>
        <v>58.475324582421074</v>
      </c>
    </row>
    <row r="27" spans="1:18" x14ac:dyDescent="0.35">
      <c r="A27" s="31" t="s">
        <v>46</v>
      </c>
      <c r="B27" s="25"/>
      <c r="C27" s="174">
        <f ca="1">INDIRECT("'Jati Jawa'!F"&amp;C33)</f>
        <v>499.12097542468985</v>
      </c>
      <c r="D27" s="174">
        <f t="shared" ref="D27:N27" ca="1" si="54">INDIRECT("'Jati Jawa'!F"&amp;D33)</f>
        <v>279.40037016099546</v>
      </c>
      <c r="E27" s="174">
        <f t="shared" ca="1" si="54"/>
        <v>52.379825019376568</v>
      </c>
      <c r="F27" s="174">
        <f t="shared" ca="1" si="54"/>
        <v>29.768813945539414</v>
      </c>
      <c r="G27" s="174">
        <f t="shared" ca="1" si="54"/>
        <v>33.424677115730574</v>
      </c>
      <c r="H27" s="174">
        <f t="shared" ca="1" si="54"/>
        <v>35.518595378799859</v>
      </c>
      <c r="I27" s="174">
        <f t="shared" ca="1" si="54"/>
        <v>25.487175399879931</v>
      </c>
      <c r="J27" s="174">
        <f t="shared" ca="1" si="54"/>
        <v>11.582068286989612</v>
      </c>
      <c r="K27" s="343">
        <f t="shared" ca="1" si="54"/>
        <v>17.776846053721748</v>
      </c>
      <c r="L27" s="343">
        <f t="shared" ca="1" si="54"/>
        <v>29.916462312394074</v>
      </c>
      <c r="M27" s="343">
        <f t="shared" ca="1" si="54"/>
        <v>32.523581832387322</v>
      </c>
      <c r="N27" s="343">
        <f t="shared" ca="1" si="54"/>
        <v>38.821689893684152</v>
      </c>
      <c r="O27" s="343">
        <f t="shared" ref="O27:P27" ca="1" si="55">INDIRECT("'Jati Jawa'!F"&amp;O33)</f>
        <v>52.407716401035948</v>
      </c>
      <c r="P27" s="343">
        <f t="shared" ca="1" si="55"/>
        <v>51.918087719608849</v>
      </c>
      <c r="Q27" s="343">
        <f t="shared" ref="Q27:R27" ca="1" si="56">INDIRECT("'Jati Jawa'!F"&amp;Q33)</f>
        <v>47.467244332960966</v>
      </c>
      <c r="R27" s="343">
        <f t="shared" ca="1" si="56"/>
        <v>33.676542733939549</v>
      </c>
    </row>
    <row r="28" spans="1:18" x14ac:dyDescent="0.35">
      <c r="A28" s="32" t="s">
        <v>48</v>
      </c>
      <c r="B28" s="25"/>
      <c r="C28" s="177">
        <f ca="1">INDIRECT("'Jati Jawa'!G"&amp;C33)</f>
        <v>8216.0849854548251</v>
      </c>
      <c r="D28" s="177">
        <f t="shared" ref="D28:N28" ca="1" si="57">INDIRECT("'Jati Jawa'!G"&amp;D33)</f>
        <v>-45515.093644123495</v>
      </c>
      <c r="E28" s="177">
        <f t="shared" ca="1" si="57"/>
        <v>-49854.159564188405</v>
      </c>
      <c r="F28" s="177">
        <f t="shared" ca="1" si="57"/>
        <v>-4790.153502162515</v>
      </c>
      <c r="G28" s="177">
        <f t="shared" ca="1" si="57"/>
        <v>384.80032698830553</v>
      </c>
      <c r="H28" s="177">
        <f t="shared" ca="1" si="57"/>
        <v>47.074999144026741</v>
      </c>
      <c r="I28" s="177">
        <f t="shared" ca="1" si="57"/>
        <v>-1451.3871618531928</v>
      </c>
      <c r="J28" s="177">
        <f t="shared" ca="1" si="57"/>
        <v>-2150.1648038936069</v>
      </c>
      <c r="K28" s="345">
        <f t="shared" ca="1" si="57"/>
        <v>1399.6977962498952</v>
      </c>
      <c r="L28" s="345">
        <f t="shared" ca="1" si="57"/>
        <v>2025.1134616462689</v>
      </c>
      <c r="M28" s="345">
        <f t="shared" ca="1" si="57"/>
        <v>659.39917324836006</v>
      </c>
      <c r="N28" s="345">
        <f t="shared" ca="1" si="57"/>
        <v>1217.3473700126285</v>
      </c>
      <c r="O28" s="345">
        <f t="shared" ref="O28:P28" ca="1" si="58">INDIRECT("'Jati Jawa'!G"&amp;O33)</f>
        <v>2126.6858077192587</v>
      </c>
      <c r="P28" s="345">
        <f t="shared" ca="1" si="58"/>
        <v>-296.82325581463652</v>
      </c>
      <c r="Q28" s="345">
        <f t="shared" ref="Q28:R28" ca="1" si="59">INDIRECT("'Jati Jawa'!G"&amp;Q33)</f>
        <v>-169.13542685643185</v>
      </c>
      <c r="R28" s="345">
        <f t="shared" ca="1" si="59"/>
        <v>-2502.2891615893041</v>
      </c>
    </row>
    <row r="29" spans="1:18" x14ac:dyDescent="0.35">
      <c r="A29" s="32" t="s">
        <v>49</v>
      </c>
      <c r="B29" s="25"/>
      <c r="C29" s="25">
        <f ca="1">C21+C22-C25+C28</f>
        <v>104925.0389131938</v>
      </c>
      <c r="D29" s="25">
        <f t="shared" ref="D29:L29" ca="1" si="60">D21+D22-D25+D28</f>
        <v>61836.338579726726</v>
      </c>
      <c r="E29" s="25">
        <f t="shared" ca="1" si="60"/>
        <v>12389.187865730026</v>
      </c>
      <c r="F29" s="25">
        <f t="shared" ca="1" si="60"/>
        <v>7737.4453114404605</v>
      </c>
      <c r="G29" s="25">
        <f t="shared" ca="1" si="60"/>
        <v>8404.6549053495764</v>
      </c>
      <c r="H29" s="25">
        <f t="shared" ca="1" si="60"/>
        <v>8707.7924267470789</v>
      </c>
      <c r="I29" s="25">
        <f t="shared" ca="1" si="60"/>
        <v>7463.7389395697983</v>
      </c>
      <c r="J29" s="25">
        <f t="shared" ca="1" si="60"/>
        <v>5461.6171251783126</v>
      </c>
      <c r="K29" s="340">
        <f t="shared" ca="1" si="60"/>
        <v>7032.5499198449625</v>
      </c>
      <c r="L29" s="340">
        <f t="shared" ca="1" si="60"/>
        <v>9263.8485253573945</v>
      </c>
      <c r="M29" s="340">
        <f t="shared" ref="M29:N29" ca="1" si="61">M21+M22-M25+M28</f>
        <v>10153.124039471026</v>
      </c>
      <c r="N29" s="340">
        <f t="shared" ca="1" si="61"/>
        <v>11753.012051047661</v>
      </c>
      <c r="O29" s="340">
        <f t="shared" ref="O29:P29" ca="1" si="62">O21+O22-O25+O28</f>
        <v>14369.062831927899</v>
      </c>
      <c r="P29" s="340">
        <f t="shared" ca="1" si="62"/>
        <v>14543.752728685477</v>
      </c>
      <c r="Q29" s="340">
        <f t="shared" ref="Q29:R29" ca="1" si="63">Q21+Q22-Q25+Q28</f>
        <v>14758.996512372387</v>
      </c>
      <c r="R29" s="340">
        <f t="shared" ca="1" si="63"/>
        <v>12599.730126821578</v>
      </c>
    </row>
    <row r="30" spans="1:18" ht="15" thickBot="1" x14ac:dyDescent="0.4">
      <c r="A30" s="27"/>
      <c r="B30" s="27"/>
      <c r="C30" s="175">
        <f ca="1">C29-INDIRECT("'Jati Jawa'!H"&amp;C33)</f>
        <v>0</v>
      </c>
      <c r="D30" s="175">
        <f ca="1">D29-INDIRECT("'Jati Jawa'!H"&amp;D33)</f>
        <v>0</v>
      </c>
      <c r="E30" s="175">
        <f t="shared" ref="E30:N30" ca="1" si="64">E29-INDIRECT("'Jati Jawa'!H"&amp;E33)</f>
        <v>0</v>
      </c>
      <c r="F30" s="175">
        <f t="shared" ca="1" si="64"/>
        <v>0</v>
      </c>
      <c r="G30" s="175">
        <f t="shared" ca="1" si="64"/>
        <v>0</v>
      </c>
      <c r="H30" s="175">
        <f t="shared" ca="1" si="64"/>
        <v>0</v>
      </c>
      <c r="I30" s="175">
        <f t="shared" ca="1" si="64"/>
        <v>-8.1854523159563541E-12</v>
      </c>
      <c r="J30" s="175">
        <f t="shared" ca="1" si="64"/>
        <v>-1.0004441719502211E-11</v>
      </c>
      <c r="K30" s="346">
        <f t="shared" ca="1" si="64"/>
        <v>-1.0004441719502211E-11</v>
      </c>
      <c r="L30" s="346">
        <f t="shared" ca="1" si="64"/>
        <v>0</v>
      </c>
      <c r="M30" s="346">
        <f t="shared" ca="1" si="64"/>
        <v>0</v>
      </c>
      <c r="N30" s="346">
        <f t="shared" ca="1" si="64"/>
        <v>0</v>
      </c>
      <c r="O30" s="346">
        <f t="shared" ref="O30:P30" ca="1" si="65">O29-INDIRECT("'Jati Jawa'!H"&amp;O33)</f>
        <v>0</v>
      </c>
      <c r="P30" s="346">
        <f t="shared" ca="1" si="65"/>
        <v>0</v>
      </c>
      <c r="Q30" s="346">
        <f t="shared" ref="Q30:R30" ca="1" si="66">Q29-INDIRECT("'Jati Jawa'!H"&amp;Q33)</f>
        <v>-1.4551915228366852E-11</v>
      </c>
      <c r="R30" s="346">
        <f t="shared" ca="1" si="66"/>
        <v>0</v>
      </c>
    </row>
    <row r="31" spans="1:18" ht="15" thickTop="1" x14ac:dyDescent="0.35"/>
    <row r="32" spans="1:18" x14ac:dyDescent="0.35">
      <c r="A32" t="s">
        <v>112</v>
      </c>
      <c r="B32" s="259">
        <v>4</v>
      </c>
      <c r="C32">
        <f>B32+1</f>
        <v>5</v>
      </c>
      <c r="D32">
        <f t="shared" ref="D32:P32" si="67">C32+1</f>
        <v>6</v>
      </c>
      <c r="E32">
        <f t="shared" si="67"/>
        <v>7</v>
      </c>
      <c r="F32">
        <f t="shared" si="67"/>
        <v>8</v>
      </c>
      <c r="G32">
        <f t="shared" si="67"/>
        <v>9</v>
      </c>
      <c r="H32">
        <f t="shared" si="67"/>
        <v>10</v>
      </c>
      <c r="I32">
        <f t="shared" si="67"/>
        <v>11</v>
      </c>
      <c r="J32">
        <f t="shared" si="67"/>
        <v>12</v>
      </c>
      <c r="K32">
        <f t="shared" si="67"/>
        <v>13</v>
      </c>
      <c r="L32">
        <f t="shared" si="67"/>
        <v>14</v>
      </c>
      <c r="M32">
        <f t="shared" si="67"/>
        <v>15</v>
      </c>
      <c r="N32">
        <f t="shared" si="67"/>
        <v>16</v>
      </c>
      <c r="O32">
        <f t="shared" si="67"/>
        <v>17</v>
      </c>
      <c r="P32">
        <f t="shared" si="67"/>
        <v>18</v>
      </c>
      <c r="Q32">
        <f t="shared" ref="Q32:Q33" si="68">P32+1</f>
        <v>19</v>
      </c>
      <c r="R32">
        <f t="shared" ref="R32:R33" si="69">Q32+1</f>
        <v>20</v>
      </c>
    </row>
    <row r="33" spans="1:18" x14ac:dyDescent="0.35">
      <c r="A33" t="s">
        <v>113</v>
      </c>
      <c r="C33" s="259">
        <v>47</v>
      </c>
      <c r="D33">
        <f>C33+1</f>
        <v>48</v>
      </c>
      <c r="E33">
        <f t="shared" ref="E33:P33" si="70">D33+1</f>
        <v>49</v>
      </c>
      <c r="F33">
        <f t="shared" si="70"/>
        <v>50</v>
      </c>
      <c r="G33">
        <f t="shared" si="70"/>
        <v>51</v>
      </c>
      <c r="H33">
        <f t="shared" si="70"/>
        <v>52</v>
      </c>
      <c r="I33">
        <f t="shared" si="70"/>
        <v>53</v>
      </c>
      <c r="J33">
        <f t="shared" si="70"/>
        <v>54</v>
      </c>
      <c r="K33">
        <f t="shared" si="70"/>
        <v>55</v>
      </c>
      <c r="L33">
        <f t="shared" si="70"/>
        <v>56</v>
      </c>
      <c r="M33">
        <f t="shared" si="70"/>
        <v>57</v>
      </c>
      <c r="N33">
        <f t="shared" si="70"/>
        <v>58</v>
      </c>
      <c r="O33">
        <f t="shared" si="70"/>
        <v>59</v>
      </c>
      <c r="P33">
        <f t="shared" si="70"/>
        <v>60</v>
      </c>
      <c r="Q33">
        <f t="shared" si="68"/>
        <v>61</v>
      </c>
      <c r="R33">
        <f t="shared" si="69"/>
        <v>62</v>
      </c>
    </row>
  </sheetData>
  <mergeCells count="20">
    <mergeCell ref="Q4:Q5"/>
    <mergeCell ref="R4:R5"/>
    <mergeCell ref="M4:M5"/>
    <mergeCell ref="B4:B5"/>
    <mergeCell ref="K4:K5"/>
    <mergeCell ref="L4:L5"/>
    <mergeCell ref="P4:P5"/>
    <mergeCell ref="O4:O5"/>
    <mergeCell ref="N4:N5"/>
    <mergeCell ref="A1:B1"/>
    <mergeCell ref="A2:B2"/>
    <mergeCell ref="A4:A5"/>
    <mergeCell ref="I4:I5"/>
    <mergeCell ref="J4:J5"/>
    <mergeCell ref="C4:C5"/>
    <mergeCell ref="D4:D5"/>
    <mergeCell ref="E4:E5"/>
    <mergeCell ref="F4:F5"/>
    <mergeCell ref="G4:G5"/>
    <mergeCell ref="H4:H5"/>
  </mergeCells>
  <pageMargins left="0.7" right="0.7" top="0.75" bottom="0.75" header="0.3" footer="0.3"/>
  <pageSetup scale="4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U33"/>
  <sheetViews>
    <sheetView showGridLines="0" view="pageBreakPreview" zoomScale="62" zoomScaleSheetLayoutView="90" workbookViewId="0">
      <pane xSplit="1" ySplit="5" topLeftCell="M6" activePane="bottomRight" state="frozen"/>
      <selection activeCell="N11" sqref="N11"/>
      <selection pane="topRight" activeCell="N11" sqref="N11"/>
      <selection pane="bottomLeft" activeCell="N11" sqref="N11"/>
      <selection pane="bottomRight" activeCell="P28" sqref="P28:R28"/>
    </sheetView>
  </sheetViews>
  <sheetFormatPr defaultColWidth="8.81640625" defaultRowHeight="14.5" x14ac:dyDescent="0.35"/>
  <cols>
    <col min="1" max="1" width="27.36328125" customWidth="1"/>
    <col min="2" max="2" width="12.36328125" customWidth="1"/>
    <col min="3" max="3" width="13.6328125" customWidth="1"/>
    <col min="4" max="4" width="12.81640625" customWidth="1"/>
    <col min="5" max="7" width="13.6328125" customWidth="1"/>
    <col min="8" max="16" width="13.6328125" bestFit="1" customWidth="1"/>
    <col min="17" max="18" width="13.6328125" customWidth="1"/>
  </cols>
  <sheetData>
    <row r="1" spans="1:21" x14ac:dyDescent="0.35">
      <c r="A1" s="470" t="s">
        <v>33</v>
      </c>
      <c r="B1" s="47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21" x14ac:dyDescent="0.35">
      <c r="A2" s="470" t="s">
        <v>103</v>
      </c>
      <c r="B2" s="470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21" ht="15" thickBot="1" x14ac:dyDescent="0.4">
      <c r="A3" s="20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21" ht="15" thickTop="1" x14ac:dyDescent="0.35">
      <c r="A4" s="468" t="s">
        <v>35</v>
      </c>
      <c r="B4" s="468">
        <v>2008</v>
      </c>
      <c r="C4" s="468">
        <v>2009</v>
      </c>
      <c r="D4" s="468">
        <v>2010</v>
      </c>
      <c r="E4" s="468">
        <v>2011</v>
      </c>
      <c r="F4" s="468">
        <v>2012</v>
      </c>
      <c r="G4" s="468">
        <v>2013</v>
      </c>
      <c r="H4" s="468">
        <v>2014</v>
      </c>
      <c r="I4" s="468">
        <v>2015</v>
      </c>
      <c r="J4" s="468">
        <v>2016</v>
      </c>
      <c r="K4" s="468">
        <v>2017</v>
      </c>
      <c r="L4" s="468">
        <v>2018</v>
      </c>
      <c r="M4" s="468">
        <v>2019</v>
      </c>
      <c r="N4" s="468">
        <v>2020</v>
      </c>
      <c r="O4" s="468">
        <v>2021</v>
      </c>
      <c r="P4" s="468">
        <v>2022</v>
      </c>
      <c r="Q4" s="468">
        <v>2023</v>
      </c>
      <c r="R4" s="468">
        <v>2024</v>
      </c>
    </row>
    <row r="5" spans="1:21" ht="15" thickBot="1" x14ac:dyDescent="0.4">
      <c r="A5" s="469"/>
      <c r="B5" s="469"/>
      <c r="C5" s="469"/>
      <c r="D5" s="469"/>
      <c r="E5" s="469"/>
      <c r="F5" s="469"/>
      <c r="G5" s="469"/>
      <c r="H5" s="469"/>
      <c r="I5" s="469"/>
      <c r="J5" s="469"/>
      <c r="K5" s="469"/>
      <c r="L5" s="469"/>
      <c r="M5" s="469"/>
      <c r="N5" s="469"/>
      <c r="O5" s="469"/>
      <c r="P5" s="469"/>
      <c r="Q5" s="469"/>
      <c r="R5" s="469"/>
    </row>
    <row r="6" spans="1:21" ht="16" thickTop="1" x14ac:dyDescent="0.35">
      <c r="A6" s="39" t="s">
        <v>52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spans="1:21" x14ac:dyDescent="0.3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spans="1:21" x14ac:dyDescent="0.35">
      <c r="A8" s="32" t="s">
        <v>36</v>
      </c>
      <c r="B8" s="25">
        <f>'Rimba Jawa'!B4</f>
        <v>352874.60338069516</v>
      </c>
      <c r="C8" s="25">
        <f t="shared" ref="C8:H8" ca="1" si="0">B15</f>
        <v>368802.12089730537</v>
      </c>
      <c r="D8" s="25">
        <f t="shared" ca="1" si="0"/>
        <v>385178.90544335369</v>
      </c>
      <c r="E8" s="25">
        <f t="shared" ca="1" si="0"/>
        <v>401131.81134846597</v>
      </c>
      <c r="F8" s="25">
        <f t="shared" ca="1" si="0"/>
        <v>416754.42098844529</v>
      </c>
      <c r="G8" s="25">
        <f t="shared" ca="1" si="0"/>
        <v>432600.57423280342</v>
      </c>
      <c r="H8" s="25">
        <f t="shared" ca="1" si="0"/>
        <v>461659.54150894139</v>
      </c>
      <c r="I8" s="25">
        <f t="shared" ref="I8:P8" ca="1" si="1">H15</f>
        <v>478966.43364292884</v>
      </c>
      <c r="J8" s="25">
        <f t="shared" ca="1" si="1"/>
        <v>496202.79272168496</v>
      </c>
      <c r="K8" s="26">
        <f ca="1">J15</f>
        <v>506255.26855662122</v>
      </c>
      <c r="L8" s="26">
        <f t="shared" ca="1" si="1"/>
        <v>516268.30245273205</v>
      </c>
      <c r="M8" s="26">
        <f t="shared" ca="1" si="1"/>
        <v>526531.8529480634</v>
      </c>
      <c r="N8" s="26">
        <f t="shared" ca="1" si="1"/>
        <v>536724.94410797989</v>
      </c>
      <c r="O8" s="26">
        <f t="shared" ca="1" si="1"/>
        <v>540570.75925023353</v>
      </c>
      <c r="P8" s="25">
        <f t="shared" ca="1" si="1"/>
        <v>544677.65686340944</v>
      </c>
      <c r="Q8" s="26">
        <f t="shared" ref="Q8" ca="1" si="2">P15</f>
        <v>548492.44701176148</v>
      </c>
      <c r="R8" s="435">
        <f t="shared" ref="R8" ca="1" si="3">Q15</f>
        <v>565494.79045655311</v>
      </c>
      <c r="S8" s="28"/>
      <c r="T8" s="28"/>
      <c r="U8" s="28"/>
    </row>
    <row r="9" spans="1:21" x14ac:dyDescent="0.35">
      <c r="A9" s="32" t="s">
        <v>41</v>
      </c>
      <c r="B9" s="25">
        <f ca="1">SUM(B10:B11)</f>
        <v>16820.471724999999</v>
      </c>
      <c r="C9" s="25">
        <f t="shared" ref="C9:L9" ca="1" si="4">SUM(C10:C11)</f>
        <v>17157.186099999999</v>
      </c>
      <c r="D9" s="38">
        <f t="shared" ca="1" si="4"/>
        <v>16777.586883249998</v>
      </c>
      <c r="E9" s="38">
        <f t="shared" ca="1" si="4"/>
        <v>17043.372925011125</v>
      </c>
      <c r="F9" s="38">
        <f t="shared" ca="1" si="4"/>
        <v>18620.283492301878</v>
      </c>
      <c r="G9" s="38">
        <f t="shared" ca="1" si="4"/>
        <v>30805.017987130694</v>
      </c>
      <c r="H9" s="38">
        <f t="shared" ca="1" si="4"/>
        <v>18682.608849693632</v>
      </c>
      <c r="I9" s="38">
        <f t="shared" ca="1" si="4"/>
        <v>18708.520519983769</v>
      </c>
      <c r="J9" s="38">
        <f t="shared" ca="1" si="4"/>
        <v>11124.625969966088</v>
      </c>
      <c r="K9" s="334">
        <f t="shared" ca="1" si="4"/>
        <v>11289.548997997868</v>
      </c>
      <c r="L9" s="334">
        <f t="shared" ca="1" si="4"/>
        <v>11690.498304044955</v>
      </c>
      <c r="M9" s="334">
        <f t="shared" ref="M9:N9" ca="1" si="5">SUM(M10:M11)</f>
        <v>11507.300647340091</v>
      </c>
      <c r="N9" s="334">
        <f t="shared" ca="1" si="5"/>
        <v>5046.3921811125501</v>
      </c>
      <c r="O9" s="334">
        <f t="shared" ref="O9:P9" ca="1" si="6">SUM(O10:O11)</f>
        <v>5049.5747060791655</v>
      </c>
      <c r="P9" s="38">
        <f t="shared" ca="1" si="6"/>
        <v>4800.6223987129388</v>
      </c>
      <c r="Q9" s="334">
        <f t="shared" ref="Q9:R9" ca="1" si="7">SUM(Q10:Q11)</f>
        <v>18221.39795246764</v>
      </c>
      <c r="R9" s="436">
        <f t="shared" ca="1" si="7"/>
        <v>18219.533984516009</v>
      </c>
      <c r="S9" s="28"/>
      <c r="T9" s="28"/>
      <c r="U9" s="28"/>
    </row>
    <row r="10" spans="1:21" x14ac:dyDescent="0.35">
      <c r="A10" s="31" t="s">
        <v>43</v>
      </c>
      <c r="B10" s="173">
        <f t="shared" ref="B10:L10" ca="1" si="8">INDIRECT("'Rimba Jawa'!C"&amp;B32)</f>
        <v>16669.2775</v>
      </c>
      <c r="C10" s="173">
        <f t="shared" ca="1" si="8"/>
        <v>17077.825000000001</v>
      </c>
      <c r="D10" s="173">
        <f t="shared" ca="1" si="8"/>
        <v>16669.3</v>
      </c>
      <c r="E10" s="173">
        <f t="shared" ca="1" si="8"/>
        <v>17002.693650011126</v>
      </c>
      <c r="F10" s="173">
        <f t="shared" ca="1" si="8"/>
        <v>18588.711042301878</v>
      </c>
      <c r="G10" s="173">
        <f t="shared" ca="1" si="8"/>
        <v>30769.211762130693</v>
      </c>
      <c r="H10" s="173">
        <f t="shared" ca="1" si="8"/>
        <v>18645.346624693633</v>
      </c>
      <c r="I10" s="173">
        <f t="shared" ca="1" si="8"/>
        <v>18669.686520233769</v>
      </c>
      <c r="J10" s="173">
        <f t="shared" ca="1" si="8"/>
        <v>11115.134669966088</v>
      </c>
      <c r="K10" s="335">
        <f t="shared" ca="1" si="8"/>
        <v>11264.080386647869</v>
      </c>
      <c r="L10" s="335">
        <f t="shared" ca="1" si="8"/>
        <v>11671.290479044956</v>
      </c>
      <c r="M10" s="335">
        <f t="shared" ref="M10:N10" ca="1" si="9">INDIRECT("'Rimba Jawa'!C"&amp;M32)</f>
        <v>11477.648297340091</v>
      </c>
      <c r="N10" s="335">
        <f t="shared" ca="1" si="9"/>
        <v>5004.99173111255</v>
      </c>
      <c r="O10" s="335">
        <f t="shared" ref="O10:P10" ca="1" si="10">INDIRECT("'Rimba Jawa'!C"&amp;O32)</f>
        <v>5004.9687810791656</v>
      </c>
      <c r="P10" s="173">
        <f t="shared" ca="1" si="10"/>
        <v>4773.0653237129391</v>
      </c>
      <c r="Q10" s="335">
        <f t="shared" ref="Q10:R10" ca="1" si="11">INDIRECT("'Rimba Jawa'!C"&amp;Q32)</f>
        <v>18200.447477467638</v>
      </c>
      <c r="R10" s="437">
        <f t="shared" ca="1" si="11"/>
        <v>18205.292484516009</v>
      </c>
    </row>
    <row r="11" spans="1:21" x14ac:dyDescent="0.35">
      <c r="A11" s="31" t="s">
        <v>42</v>
      </c>
      <c r="B11" s="173">
        <f t="shared" ref="B11:L11" ca="1" si="12">INDIRECT("'Rimba Jawa'!D"&amp;B32)</f>
        <v>151.19422500000002</v>
      </c>
      <c r="C11" s="173">
        <f t="shared" ca="1" si="12"/>
        <v>79.361100000000008</v>
      </c>
      <c r="D11" s="173">
        <f t="shared" ca="1" si="12"/>
        <v>108.28688325</v>
      </c>
      <c r="E11" s="173">
        <f t="shared" ca="1" si="12"/>
        <v>40.679275000000004</v>
      </c>
      <c r="F11" s="173">
        <f t="shared" ca="1" si="12"/>
        <v>31.572450000000003</v>
      </c>
      <c r="G11" s="173">
        <f t="shared" ca="1" si="12"/>
        <v>35.806225000000005</v>
      </c>
      <c r="H11" s="173">
        <f t="shared" ca="1" si="12"/>
        <v>37.262225000000008</v>
      </c>
      <c r="I11" s="173">
        <f t="shared" ca="1" si="12"/>
        <v>38.833999750000011</v>
      </c>
      <c r="J11" s="173">
        <f t="shared" ca="1" si="12"/>
        <v>9.4913000000000007</v>
      </c>
      <c r="K11" s="335">
        <f t="shared" ca="1" si="12"/>
        <v>25.46861135</v>
      </c>
      <c r="L11" s="335">
        <f t="shared" ca="1" si="12"/>
        <v>19.207825</v>
      </c>
      <c r="M11" s="335">
        <f t="shared" ref="M11:N11" ca="1" si="13">INDIRECT("'Rimba Jawa'!D"&amp;M32)</f>
        <v>29.652349999999998</v>
      </c>
      <c r="N11" s="335">
        <f t="shared" ca="1" si="13"/>
        <v>41.400449999999999</v>
      </c>
      <c r="O11" s="335">
        <f t="shared" ref="O11:P11" ca="1" si="14">INDIRECT("'Rimba Jawa'!D"&amp;O32)</f>
        <v>44.605925000000006</v>
      </c>
      <c r="P11" s="173">
        <f t="shared" ca="1" si="14"/>
        <v>27.557075000000005</v>
      </c>
      <c r="Q11" s="335">
        <f t="shared" ref="Q11:R11" ca="1" si="15">INDIRECT("'Rimba Jawa'!D"&amp;Q32)</f>
        <v>20.950475000000001</v>
      </c>
      <c r="R11" s="437">
        <f t="shared" ca="1" si="15"/>
        <v>14.2415</v>
      </c>
    </row>
    <row r="12" spans="1:21" x14ac:dyDescent="0.35">
      <c r="A12" s="33" t="s">
        <v>44</v>
      </c>
      <c r="B12" s="25">
        <f ca="1">SUM(B13:B14)</f>
        <v>892.95420838979783</v>
      </c>
      <c r="C12" s="25">
        <f t="shared" ref="C12:H12" ca="1" si="16">SUM(C13:C14)</f>
        <v>780.40155395168495</v>
      </c>
      <c r="D12" s="38">
        <f t="shared" ca="1" si="16"/>
        <v>824.68097813769668</v>
      </c>
      <c r="E12" s="38">
        <f t="shared" ca="1" si="16"/>
        <v>1420.763285031805</v>
      </c>
      <c r="F12" s="38">
        <f t="shared" ca="1" si="16"/>
        <v>2774.1302479437609</v>
      </c>
      <c r="G12" s="38">
        <f t="shared" ca="1" si="16"/>
        <v>1746.050710992703</v>
      </c>
      <c r="H12" s="38">
        <f t="shared" ca="1" si="16"/>
        <v>1375.7167157061806</v>
      </c>
      <c r="I12" s="38">
        <f ca="1">SUM(I13:I14)</f>
        <v>1472.1614412276579</v>
      </c>
      <c r="J12" s="38">
        <f t="shared" ref="J12:L12" ca="1" si="17">SUM(J13:J14)</f>
        <v>1072.1501350298927</v>
      </c>
      <c r="K12" s="334">
        <f t="shared" ca="1" si="17"/>
        <v>1276.5151018870788</v>
      </c>
      <c r="L12" s="334">
        <f t="shared" ca="1" si="17"/>
        <v>1426.9478087136149</v>
      </c>
      <c r="M12" s="334">
        <f t="shared" ref="M12:N12" ca="1" si="18">SUM(M13:M14)</f>
        <v>1314.2094874236736</v>
      </c>
      <c r="N12" s="334">
        <f t="shared" ca="1" si="18"/>
        <v>1200.5770388588548</v>
      </c>
      <c r="O12" s="334">
        <f t="shared" ref="O12:P12" ca="1" si="19">SUM(O13:O14)</f>
        <v>942.67709290334858</v>
      </c>
      <c r="P12" s="38">
        <f t="shared" ca="1" si="19"/>
        <v>985.8322503608531</v>
      </c>
      <c r="Q12" s="334">
        <f t="shared" ref="Q12:R12" ca="1" si="20">SUM(Q13:Q14)</f>
        <v>1219.0545076760304</v>
      </c>
      <c r="R12" s="436">
        <f t="shared" ca="1" si="20"/>
        <v>1008.3117588918473</v>
      </c>
    </row>
    <row r="13" spans="1:21" x14ac:dyDescent="0.35">
      <c r="A13" s="31" t="s">
        <v>45</v>
      </c>
      <c r="B13" s="174">
        <f t="shared" ref="B13:L13" ca="1" si="21">INDIRECT("'Rimba Jawa'!E"&amp;B32)</f>
        <v>287.74120838979786</v>
      </c>
      <c r="C13" s="174">
        <f t="shared" ca="1" si="21"/>
        <v>256.21155395168495</v>
      </c>
      <c r="D13" s="174">
        <f t="shared" ca="1" si="21"/>
        <v>385.25197813769665</v>
      </c>
      <c r="E13" s="174">
        <f t="shared" ca="1" si="21"/>
        <v>886.96328503180519</v>
      </c>
      <c r="F13" s="174">
        <f t="shared" ca="1" si="21"/>
        <v>2248.6402479437611</v>
      </c>
      <c r="G13" s="174">
        <f t="shared" ca="1" si="21"/>
        <v>1221.983000492703</v>
      </c>
      <c r="H13" s="174">
        <f t="shared" ca="1" si="21"/>
        <v>913.12498570618072</v>
      </c>
      <c r="I13" s="174">
        <f t="shared" ca="1" si="21"/>
        <v>1073.5777352276577</v>
      </c>
      <c r="J13" s="174">
        <f t="shared" ca="1" si="21"/>
        <v>774.3561350298927</v>
      </c>
      <c r="K13" s="336">
        <f t="shared" ca="1" si="21"/>
        <v>946.4398188870789</v>
      </c>
      <c r="L13" s="336">
        <f t="shared" ca="1" si="21"/>
        <v>1017.125808713615</v>
      </c>
      <c r="M13" s="336">
        <f t="shared" ref="M13:N13" ca="1" si="22">INDIRECT("'Rimba Jawa'!E"&amp;M32)</f>
        <v>936.76548742367368</v>
      </c>
      <c r="N13" s="336">
        <f t="shared" ca="1" si="22"/>
        <v>786.88873885885482</v>
      </c>
      <c r="O13" s="336">
        <f t="shared" ref="O13:P13" ca="1" si="23">INDIRECT("'Rimba Jawa'!E"&amp;O32)</f>
        <v>451.25409290334858</v>
      </c>
      <c r="P13" s="174">
        <f t="shared" ca="1" si="23"/>
        <v>560.54125036085316</v>
      </c>
      <c r="Q13" s="336">
        <f t="shared" ref="Q13:R13" ca="1" si="24">INDIRECT("'Rimba Jawa'!E"&amp;Q32)</f>
        <v>765.90150767603041</v>
      </c>
      <c r="R13" s="438">
        <f t="shared" ca="1" si="24"/>
        <v>600.18275889184724</v>
      </c>
    </row>
    <row r="14" spans="1:21" x14ac:dyDescent="0.35">
      <c r="A14" s="31" t="s">
        <v>46</v>
      </c>
      <c r="B14" s="174">
        <f t="shared" ref="B14:L14" ca="1" si="25">INDIRECT("'Rimba Jawa'!F"&amp;B32)</f>
        <v>605.21299999999997</v>
      </c>
      <c r="C14" s="174">
        <f t="shared" ca="1" si="25"/>
        <v>524.19000000000005</v>
      </c>
      <c r="D14" s="174">
        <f t="shared" ca="1" si="25"/>
        <v>439.42899999999997</v>
      </c>
      <c r="E14" s="174">
        <f t="shared" ca="1" si="25"/>
        <v>533.79999999999995</v>
      </c>
      <c r="F14" s="174">
        <f t="shared" ca="1" si="25"/>
        <v>525.49</v>
      </c>
      <c r="G14" s="174">
        <f t="shared" ca="1" si="25"/>
        <v>524.06771049999998</v>
      </c>
      <c r="H14" s="174">
        <f t="shared" ca="1" si="25"/>
        <v>462.59172999999993</v>
      </c>
      <c r="I14" s="174">
        <f t="shared" ca="1" si="25"/>
        <v>398.58370600000006</v>
      </c>
      <c r="J14" s="174">
        <f t="shared" ca="1" si="25"/>
        <v>297.79399999999998</v>
      </c>
      <c r="K14" s="336">
        <f t="shared" ca="1" si="25"/>
        <v>330.07528300000001</v>
      </c>
      <c r="L14" s="336">
        <f t="shared" ca="1" si="25"/>
        <v>409.822</v>
      </c>
      <c r="M14" s="336">
        <f t="shared" ref="M14:N14" ca="1" si="26">INDIRECT("'Rimba Jawa'!F"&amp;M32)</f>
        <v>377.44400000000002</v>
      </c>
      <c r="N14" s="336">
        <f t="shared" ca="1" si="26"/>
        <v>413.68829999999997</v>
      </c>
      <c r="O14" s="336">
        <f t="shared" ref="O14:P14" ca="1" si="27">INDIRECT("'Rimba Jawa'!F"&amp;O32)</f>
        <v>491.423</v>
      </c>
      <c r="P14" s="174">
        <f t="shared" ca="1" si="27"/>
        <v>425.291</v>
      </c>
      <c r="Q14" s="336">
        <f t="shared" ref="Q14:R14" ca="1" si="28">INDIRECT("'Rimba Jawa'!F"&amp;Q32)</f>
        <v>453.15300000000002</v>
      </c>
      <c r="R14" s="438">
        <f t="shared" ca="1" si="28"/>
        <v>408.12900000000002</v>
      </c>
    </row>
    <row r="15" spans="1:21" x14ac:dyDescent="0.35">
      <c r="A15" s="32" t="s">
        <v>47</v>
      </c>
      <c r="B15" s="25">
        <f ca="1">B8+B9-B12</f>
        <v>368802.12089730537</v>
      </c>
      <c r="C15" s="25">
        <f t="shared" ref="C15:L15" ca="1" si="29">C8+C9-C12</f>
        <v>385178.90544335369</v>
      </c>
      <c r="D15" s="25">
        <f t="shared" ca="1" si="29"/>
        <v>401131.81134846597</v>
      </c>
      <c r="E15" s="25">
        <f t="shared" ca="1" si="29"/>
        <v>416754.42098844529</v>
      </c>
      <c r="F15" s="25">
        <f t="shared" ca="1" si="29"/>
        <v>432600.57423280342</v>
      </c>
      <c r="G15" s="25">
        <f t="shared" ca="1" si="29"/>
        <v>461659.54150894139</v>
      </c>
      <c r="H15" s="25">
        <f t="shared" ca="1" si="29"/>
        <v>478966.43364292884</v>
      </c>
      <c r="I15" s="25">
        <f t="shared" ca="1" si="29"/>
        <v>496202.79272168496</v>
      </c>
      <c r="J15" s="25">
        <f t="shared" ca="1" si="29"/>
        <v>506255.26855662122</v>
      </c>
      <c r="K15" s="26">
        <f t="shared" ca="1" si="29"/>
        <v>516268.30245273205</v>
      </c>
      <c r="L15" s="26">
        <f t="shared" ca="1" si="29"/>
        <v>526531.8529480634</v>
      </c>
      <c r="M15" s="26">
        <f t="shared" ref="M15:N15" ca="1" si="30">M8+M9-M12</f>
        <v>536724.94410797989</v>
      </c>
      <c r="N15" s="26">
        <f t="shared" ca="1" si="30"/>
        <v>540570.75925023353</v>
      </c>
      <c r="O15" s="26">
        <f t="shared" ref="O15:P15" ca="1" si="31">O8+O9-O12</f>
        <v>544677.65686340944</v>
      </c>
      <c r="P15" s="25">
        <f t="shared" ca="1" si="31"/>
        <v>548492.44701176148</v>
      </c>
      <c r="Q15" s="26">
        <f t="shared" ref="Q15:R15" ca="1" si="32">Q8+Q9-Q12</f>
        <v>565494.79045655311</v>
      </c>
      <c r="R15" s="439">
        <f t="shared" ca="1" si="32"/>
        <v>582706.01268217736</v>
      </c>
    </row>
    <row r="16" spans="1:21" x14ac:dyDescent="0.35">
      <c r="A16" s="24"/>
      <c r="B16" s="25"/>
      <c r="C16" s="176">
        <f ca="1">C15-INDIRECT("'Rimba Jawa'!G"&amp;C32)</f>
        <v>0</v>
      </c>
      <c r="D16" s="176">
        <f t="shared" ref="D16:N16" ca="1" si="33">D15-INDIRECT("'Rimba Jawa'!G"&amp;D32)</f>
        <v>0</v>
      </c>
      <c r="E16" s="176">
        <f t="shared" ca="1" si="33"/>
        <v>0</v>
      </c>
      <c r="F16" s="176">
        <f t="shared" ca="1" si="33"/>
        <v>0</v>
      </c>
      <c r="G16" s="176">
        <f t="shared" ca="1" si="33"/>
        <v>0</v>
      </c>
      <c r="H16" s="176">
        <f t="shared" ca="1" si="33"/>
        <v>0</v>
      </c>
      <c r="I16" s="176">
        <f t="shared" ca="1" si="33"/>
        <v>0</v>
      </c>
      <c r="J16" s="176">
        <f t="shared" ca="1" si="33"/>
        <v>0</v>
      </c>
      <c r="K16" s="337">
        <f t="shared" ca="1" si="33"/>
        <v>0</v>
      </c>
      <c r="L16" s="337">
        <f t="shared" ca="1" si="33"/>
        <v>0</v>
      </c>
      <c r="M16" s="337">
        <f t="shared" ca="1" si="33"/>
        <v>0</v>
      </c>
      <c r="N16" s="337">
        <f t="shared" ca="1" si="33"/>
        <v>0</v>
      </c>
      <c r="O16" s="337">
        <f t="shared" ref="O16:P16" ca="1" si="34">O15-INDIRECT("'Rimba Jawa'!G"&amp;O32)</f>
        <v>0</v>
      </c>
      <c r="P16" s="176">
        <f t="shared" ca="1" si="34"/>
        <v>0</v>
      </c>
      <c r="Q16" s="337">
        <f t="shared" ref="Q16:R16" ca="1" si="35">Q15-INDIRECT("'Rimba Jawa'!G"&amp;Q32)</f>
        <v>0</v>
      </c>
      <c r="R16" s="176">
        <f t="shared" ca="1" si="35"/>
        <v>0</v>
      </c>
    </row>
    <row r="17" spans="1:18" x14ac:dyDescent="0.35">
      <c r="A17" s="24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x14ac:dyDescent="0.35">
      <c r="A18" s="32" t="s">
        <v>37</v>
      </c>
      <c r="B18" s="24"/>
      <c r="C18" s="24"/>
      <c r="D18" s="24"/>
      <c r="E18" s="24"/>
      <c r="F18" s="24"/>
      <c r="G18" s="24"/>
      <c r="H18" s="24"/>
      <c r="I18" s="24"/>
      <c r="J18" s="24"/>
      <c r="K18" s="26"/>
      <c r="L18" s="26"/>
      <c r="M18" s="26"/>
      <c r="N18" s="26"/>
      <c r="O18" s="26"/>
      <c r="P18" s="24"/>
      <c r="Q18" s="26"/>
      <c r="R18" s="24"/>
    </row>
    <row r="19" spans="1:18" x14ac:dyDescent="0.35">
      <c r="A19" s="32" t="s">
        <v>38</v>
      </c>
      <c r="B19" s="24"/>
      <c r="C19" s="24"/>
      <c r="D19" s="24"/>
      <c r="E19" s="24"/>
      <c r="F19" s="24"/>
      <c r="G19" s="24"/>
      <c r="H19" s="24"/>
      <c r="I19" s="24"/>
      <c r="J19" s="24"/>
      <c r="K19" s="26"/>
      <c r="L19" s="26"/>
      <c r="M19" s="26"/>
      <c r="N19" s="26"/>
      <c r="O19" s="26"/>
      <c r="P19" s="24"/>
      <c r="Q19" s="26"/>
      <c r="R19" s="24"/>
    </row>
    <row r="20" spans="1:18" x14ac:dyDescent="0.3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6"/>
      <c r="L20" s="26"/>
      <c r="M20" s="26"/>
      <c r="N20" s="26"/>
      <c r="O20" s="26"/>
      <c r="P20" s="24"/>
      <c r="Q20" s="26"/>
      <c r="R20" s="24"/>
    </row>
    <row r="21" spans="1:18" x14ac:dyDescent="0.35">
      <c r="A21" s="32" t="s">
        <v>36</v>
      </c>
      <c r="B21" s="25"/>
      <c r="C21" s="25">
        <f>'Rimba Jawa'!B46</f>
        <v>351327.5831834522</v>
      </c>
      <c r="D21" s="25">
        <f ca="1">C29</f>
        <v>402773.06753648241</v>
      </c>
      <c r="E21" s="25">
        <f t="shared" ref="E21:P21" ca="1" si="36">D29</f>
        <v>78445.539459184394</v>
      </c>
      <c r="F21" s="25">
        <f t="shared" ca="1" si="36"/>
        <v>14587.808788517672</v>
      </c>
      <c r="G21" s="25">
        <f t="shared" ca="1" si="36"/>
        <v>9679.9897974664273</v>
      </c>
      <c r="H21" s="25">
        <f t="shared" ca="1" si="36"/>
        <v>8929.8893506854329</v>
      </c>
      <c r="I21" s="25">
        <f t="shared" ca="1" si="36"/>
        <v>6353.4533888476781</v>
      </c>
      <c r="J21" s="25">
        <f t="shared" ca="1" si="36"/>
        <v>5513.457070990662</v>
      </c>
      <c r="K21" s="26">
        <f t="shared" ca="1" si="36"/>
        <v>4483.58331158907</v>
      </c>
      <c r="L21" s="26">
        <f t="shared" ca="1" si="36"/>
        <v>5215.5864283283063</v>
      </c>
      <c r="M21" s="26">
        <f t="shared" ca="1" si="36"/>
        <v>6406.1223047111462</v>
      </c>
      <c r="N21" s="26">
        <f t="shared" ca="1" si="36"/>
        <v>6241.8342068028442</v>
      </c>
      <c r="O21" s="26">
        <f t="shared" ca="1" si="36"/>
        <v>7645.1014508659409</v>
      </c>
      <c r="P21" s="25">
        <f t="shared" ca="1" si="36"/>
        <v>9892.4415277353946</v>
      </c>
      <c r="Q21" s="26">
        <f t="shared" ref="Q21" ca="1" si="37">P29</f>
        <v>9012.6369259471394</v>
      </c>
      <c r="R21" s="25">
        <f t="shared" ref="R21" ca="1" si="38">Q29</f>
        <v>11166.036550185616</v>
      </c>
    </row>
    <row r="22" spans="1:18" s="41" customFormat="1" x14ac:dyDescent="0.35">
      <c r="A22" s="40" t="s">
        <v>41</v>
      </c>
      <c r="B22" s="38"/>
      <c r="C22" s="38">
        <f t="shared" ref="C22" ca="1" si="39">SUM(C23:C24)</f>
        <v>17940.890267178929</v>
      </c>
      <c r="D22" s="38">
        <f t="shared" ref="D22:M22" ca="1" si="40">SUM(D23:D24)</f>
        <v>3281.0333577272768</v>
      </c>
      <c r="E22" s="38">
        <f t="shared" ca="1" si="40"/>
        <v>596.57547183729696</v>
      </c>
      <c r="F22" s="38">
        <f t="shared" ca="1" si="40"/>
        <v>416.65260049889878</v>
      </c>
      <c r="G22" s="38">
        <f t="shared" ca="1" si="40"/>
        <v>595.86205274092299</v>
      </c>
      <c r="H22" s="38">
        <f t="shared" ca="1" si="40"/>
        <v>247.82338838610974</v>
      </c>
      <c r="I22" s="38">
        <f t="shared" ca="1" si="40"/>
        <v>207.87594560462944</v>
      </c>
      <c r="J22" s="38">
        <f t="shared" ca="1" si="40"/>
        <v>98.523789172243795</v>
      </c>
      <c r="K22" s="334">
        <f t="shared" ca="1" si="40"/>
        <v>114.05236048032607</v>
      </c>
      <c r="L22" s="334">
        <f t="shared" ca="1" si="40"/>
        <v>142.23405767270313</v>
      </c>
      <c r="M22" s="334">
        <f t="shared" ca="1" si="40"/>
        <v>133.82396998131969</v>
      </c>
      <c r="N22" s="334">
        <f t="shared" ref="N22:O22" ca="1" si="41">SUM(N23:N24)</f>
        <v>71.369343467583008</v>
      </c>
      <c r="O22" s="334">
        <f t="shared" ca="1" si="41"/>
        <v>91.710430729760077</v>
      </c>
      <c r="P22" s="38">
        <f t="shared" ref="P22:Q22" ca="1" si="42">SUM(P23:P24)</f>
        <v>78.882155869033056</v>
      </c>
      <c r="Q22" s="334">
        <f t="shared" ca="1" si="42"/>
        <v>359.79251969494976</v>
      </c>
      <c r="R22" s="38">
        <f t="shared" ref="R22" ca="1" si="43">SUM(R23:R24)</f>
        <v>315.6115047769494</v>
      </c>
    </row>
    <row r="23" spans="1:18" x14ac:dyDescent="0.35">
      <c r="A23" s="31" t="s">
        <v>43</v>
      </c>
      <c r="B23" s="25"/>
      <c r="C23" s="173">
        <f ca="1">INDIRECT("'Rimba Jawa'!C"&amp;C33)</f>
        <v>17857.904119084247</v>
      </c>
      <c r="D23" s="173">
        <f t="shared" ref="D23:N23" ca="1" si="44">INDIRECT("'Rimba Jawa'!C"&amp;D33)</f>
        <v>3259.8567201917394</v>
      </c>
      <c r="E23" s="173">
        <f t="shared" ca="1" si="44"/>
        <v>595.15156016301148</v>
      </c>
      <c r="F23" s="173">
        <f t="shared" ca="1" si="44"/>
        <v>415.94612664730249</v>
      </c>
      <c r="G23" s="173">
        <f t="shared" ca="1" si="44"/>
        <v>595.16945224517531</v>
      </c>
      <c r="H23" s="173">
        <f t="shared" ca="1" si="44"/>
        <v>247.32910779967779</v>
      </c>
      <c r="I23" s="173">
        <f t="shared" ca="1" si="44"/>
        <v>207.44444946301746</v>
      </c>
      <c r="J23" s="173">
        <f t="shared" ca="1" si="44"/>
        <v>98.439730720058961</v>
      </c>
      <c r="K23" s="335">
        <f t="shared" ca="1" si="44"/>
        <v>113.79506452960752</v>
      </c>
      <c r="L23" s="335">
        <f t="shared" ca="1" si="44"/>
        <v>142.00036302447143</v>
      </c>
      <c r="M23" s="335">
        <f t="shared" ca="1" si="44"/>
        <v>133.47912844828886</v>
      </c>
      <c r="N23" s="335">
        <f t="shared" ca="1" si="44"/>
        <v>70.783831515733269</v>
      </c>
      <c r="O23" s="335">
        <f t="shared" ref="O23:P23" ca="1" si="45">INDIRECT("'Rimba Jawa'!C"&amp;O33)</f>
        <v>90.90029743478685</v>
      </c>
      <c r="P23" s="335">
        <f t="shared" ca="1" si="45"/>
        <v>78.429347606915329</v>
      </c>
      <c r="Q23" s="335">
        <f t="shared" ref="Q23:R23" ca="1" si="46">INDIRECT("'Rimba Jawa'!C"&amp;Q33)</f>
        <v>359.37883989888144</v>
      </c>
      <c r="R23" s="335">
        <f t="shared" ca="1" si="46"/>
        <v>315.3648035578567</v>
      </c>
    </row>
    <row r="24" spans="1:18" x14ac:dyDescent="0.35">
      <c r="A24" s="31" t="s">
        <v>42</v>
      </c>
      <c r="B24" s="25"/>
      <c r="C24" s="173">
        <f ca="1">INDIRECT("'Rimba Jawa'!D"&amp;C33)</f>
        <v>82.986148094681667</v>
      </c>
      <c r="D24" s="173">
        <f t="shared" ref="D24:N24" ca="1" si="47">INDIRECT("'Rimba Jawa'!D"&amp;D33)</f>
        <v>21.176637535537235</v>
      </c>
      <c r="E24" s="173">
        <f t="shared" ca="1" si="47"/>
        <v>1.4239116742854652</v>
      </c>
      <c r="F24" s="173">
        <f t="shared" ca="1" si="47"/>
        <v>0.70647385159629728</v>
      </c>
      <c r="G24" s="173">
        <f t="shared" ca="1" si="47"/>
        <v>0.69260049574769444</v>
      </c>
      <c r="H24" s="173">
        <f t="shared" ca="1" si="47"/>
        <v>0.49428058643196615</v>
      </c>
      <c r="I24" s="173">
        <f t="shared" ca="1" si="47"/>
        <v>0.43149614161196098</v>
      </c>
      <c r="J24" s="173">
        <f t="shared" ca="1" si="47"/>
        <v>8.4058452184830462E-2</v>
      </c>
      <c r="K24" s="335">
        <f t="shared" ca="1" si="47"/>
        <v>0.25729595071855077</v>
      </c>
      <c r="L24" s="335">
        <f t="shared" ca="1" si="47"/>
        <v>0.2336946482317101</v>
      </c>
      <c r="M24" s="335">
        <f t="shared" ca="1" si="47"/>
        <v>0.34484153303084442</v>
      </c>
      <c r="N24" s="335">
        <f t="shared" ca="1" si="47"/>
        <v>0.58551195184974436</v>
      </c>
      <c r="O24" s="335">
        <f t="shared" ref="O24:P24" ca="1" si="48">INDIRECT("'Rimba Jawa'!D"&amp;O33)</f>
        <v>0.81013329497322606</v>
      </c>
      <c r="P24" s="335">
        <f t="shared" ca="1" si="48"/>
        <v>0.45280826211772585</v>
      </c>
      <c r="Q24" s="335">
        <f t="shared" ref="Q24:R24" ca="1" si="49">INDIRECT("'Rimba Jawa'!D"&amp;Q33)</f>
        <v>0.41367979606829458</v>
      </c>
      <c r="R24" s="335">
        <f t="shared" ca="1" si="49"/>
        <v>0.2467012190926971</v>
      </c>
    </row>
    <row r="25" spans="1:18" s="41" customFormat="1" x14ac:dyDescent="0.35">
      <c r="A25" s="42" t="s">
        <v>44</v>
      </c>
      <c r="B25" s="38"/>
      <c r="C25" s="38">
        <f t="shared" ref="C25" ca="1" si="50">SUM(C26:C27)</f>
        <v>816.04865519195459</v>
      </c>
      <c r="D25" s="38">
        <f t="shared" ref="D25:N25" ca="1" si="51">SUM(D26:D27)</f>
        <v>161.27502826132275</v>
      </c>
      <c r="E25" s="38">
        <f t="shared" ca="1" si="51"/>
        <v>49.731501555840289</v>
      </c>
      <c r="F25" s="38">
        <f t="shared" ca="1" si="51"/>
        <v>62.074703771630631</v>
      </c>
      <c r="G25" s="38">
        <f t="shared" ca="1" si="51"/>
        <v>33.773892333921275</v>
      </c>
      <c r="H25" s="38">
        <f t="shared" ca="1" si="51"/>
        <v>18.248777817307186</v>
      </c>
      <c r="I25" s="38">
        <f t="shared" ca="1" si="51"/>
        <v>16.357624396380594</v>
      </c>
      <c r="J25" s="38">
        <f t="shared" ca="1" si="51"/>
        <v>9.4953568910865478</v>
      </c>
      <c r="K25" s="334">
        <f t="shared" ca="1" si="51"/>
        <v>12.895958960346837</v>
      </c>
      <c r="L25" s="334">
        <f t="shared" ca="1" si="51"/>
        <v>17.361157038984778</v>
      </c>
      <c r="M25" s="334">
        <f t="shared" ca="1" si="51"/>
        <v>15.283578345961111</v>
      </c>
      <c r="N25" s="334">
        <f t="shared" ca="1" si="51"/>
        <v>16.979337310783684</v>
      </c>
      <c r="O25" s="334">
        <f t="shared" ref="O25:P25" ca="1" si="52">SUM(O26:O27)</f>
        <v>17.120911613638135</v>
      </c>
      <c r="P25" s="334">
        <f t="shared" ca="1" si="52"/>
        <v>16.198852310178228</v>
      </c>
      <c r="Q25" s="334">
        <f t="shared" ref="Q25:R25" ca="1" si="53">SUM(Q26:Q27)</f>
        <v>24.070968325613403</v>
      </c>
      <c r="R25" s="334">
        <f t="shared" ca="1" si="53"/>
        <v>17.466681188366422</v>
      </c>
    </row>
    <row r="26" spans="1:18" x14ac:dyDescent="0.35">
      <c r="A26" s="31" t="s">
        <v>45</v>
      </c>
      <c r="B26" s="25"/>
      <c r="C26" s="174">
        <f ca="1">INDIRECT("'Rimba Jawa'!E"&amp;C33)</f>
        <v>267.91475873952157</v>
      </c>
      <c r="D26" s="174">
        <f t="shared" ref="D26:N26" ca="1" si="54">INDIRECT("'Rimba Jawa'!E"&amp;D33)</f>
        <v>75.340071262700391</v>
      </c>
      <c r="E26" s="174">
        <f t="shared" ca="1" si="54"/>
        <v>31.046703173037717</v>
      </c>
      <c r="F26" s="174">
        <f t="shared" ca="1" si="54"/>
        <v>50.316194556307202</v>
      </c>
      <c r="G26" s="174">
        <f t="shared" ca="1" si="54"/>
        <v>23.636840575528449</v>
      </c>
      <c r="H26" s="174">
        <f t="shared" ca="1" si="54"/>
        <v>12.112533629447293</v>
      </c>
      <c r="I26" s="174">
        <f t="shared" ca="1" si="54"/>
        <v>11.928842083057429</v>
      </c>
      <c r="J26" s="174">
        <f t="shared" ca="1" si="54"/>
        <v>6.8579834322421958</v>
      </c>
      <c r="K26" s="336">
        <f t="shared" ca="1" si="54"/>
        <v>9.5613824268610532</v>
      </c>
      <c r="L26" s="336">
        <f t="shared" ca="1" si="54"/>
        <v>12.375001233857656</v>
      </c>
      <c r="M26" s="336">
        <f t="shared" ca="1" si="54"/>
        <v>10.894099347052286</v>
      </c>
      <c r="N26" s="336">
        <f t="shared" ca="1" si="54"/>
        <v>11.128689697281837</v>
      </c>
      <c r="O26" s="336">
        <f t="shared" ref="O26:P26" ca="1" si="55">INDIRECT("'Rimba Jawa'!E"&amp;O33)</f>
        <v>8.1956817430407281</v>
      </c>
      <c r="P26" s="336">
        <f t="shared" ca="1" si="55"/>
        <v>9.2106186676632031</v>
      </c>
      <c r="Q26" s="336">
        <f t="shared" ref="Q26:R26" ca="1" si="56">INDIRECT("'Rimba Jawa'!E"&amp;Q33)</f>
        <v>15.123188352713703</v>
      </c>
      <c r="R26" s="336">
        <f t="shared" ca="1" si="56"/>
        <v>10.396785331393254</v>
      </c>
    </row>
    <row r="27" spans="1:18" x14ac:dyDescent="0.35">
      <c r="A27" s="31" t="s">
        <v>46</v>
      </c>
      <c r="B27" s="25"/>
      <c r="C27" s="174">
        <f ca="1">INDIRECT("'Rimba Jawa'!F"&amp;C33)</f>
        <v>548.13389645243296</v>
      </c>
      <c r="D27" s="174">
        <f t="shared" ref="D27:N27" ca="1" si="57">INDIRECT("'Rimba Jawa'!F"&amp;D33)</f>
        <v>85.934956998622368</v>
      </c>
      <c r="E27" s="174">
        <f t="shared" ca="1" si="57"/>
        <v>18.684798382802573</v>
      </c>
      <c r="F27" s="174">
        <f t="shared" ca="1" si="57"/>
        <v>11.758509215323429</v>
      </c>
      <c r="G27" s="174">
        <f t="shared" ca="1" si="57"/>
        <v>10.137051758392825</v>
      </c>
      <c r="H27" s="174">
        <f t="shared" ca="1" si="57"/>
        <v>6.1362441878598943</v>
      </c>
      <c r="I27" s="174">
        <f t="shared" ca="1" si="57"/>
        <v>4.4287823133231656</v>
      </c>
      <c r="J27" s="174">
        <f t="shared" ca="1" si="57"/>
        <v>2.637373458844352</v>
      </c>
      <c r="K27" s="336">
        <f t="shared" ca="1" si="57"/>
        <v>3.3345765334857842</v>
      </c>
      <c r="L27" s="336">
        <f t="shared" ca="1" si="57"/>
        <v>4.9861558051271233</v>
      </c>
      <c r="M27" s="336">
        <f t="shared" ca="1" si="57"/>
        <v>4.3894789989088236</v>
      </c>
      <c r="N27" s="336">
        <f t="shared" ca="1" si="57"/>
        <v>5.8506476135018479</v>
      </c>
      <c r="O27" s="336">
        <f t="shared" ref="O27:P27" ca="1" si="58">INDIRECT("'Rimba Jawa'!F"&amp;O33)</f>
        <v>8.9252298705974074</v>
      </c>
      <c r="P27" s="336">
        <f t="shared" ca="1" si="58"/>
        <v>6.9882336425150244</v>
      </c>
      <c r="Q27" s="336">
        <f t="shared" ref="Q27:R27" ca="1" si="59">INDIRECT("'Rimba Jawa'!F"&amp;Q33)</f>
        <v>8.947779972899701</v>
      </c>
      <c r="R27" s="336">
        <f t="shared" ca="1" si="59"/>
        <v>7.0698958569731687</v>
      </c>
    </row>
    <row r="28" spans="1:18" x14ac:dyDescent="0.35">
      <c r="A28" s="32" t="s">
        <v>48</v>
      </c>
      <c r="B28" s="25"/>
      <c r="C28" s="177">
        <f ca="1">INDIRECT("'Rimba Jawa'!G"&amp;C33)</f>
        <v>34320.642741043215</v>
      </c>
      <c r="D28" s="177">
        <f t="shared" ref="D28:N28" ca="1" si="60">INDIRECT("'Rimba Jawa'!G"&amp;D33)</f>
        <v>-327447.286406764</v>
      </c>
      <c r="E28" s="177">
        <f t="shared" ca="1" si="60"/>
        <v>-64404.574640948173</v>
      </c>
      <c r="F28" s="177">
        <f t="shared" ca="1" si="60"/>
        <v>-5262.3968877785128</v>
      </c>
      <c r="G28" s="177">
        <f t="shared" ca="1" si="60"/>
        <v>-1312.1886071879946</v>
      </c>
      <c r="H28" s="177">
        <f t="shared" ca="1" si="60"/>
        <v>-2806.0105724065579</v>
      </c>
      <c r="I28" s="177">
        <f t="shared" ca="1" si="60"/>
        <v>-1031.5146390652649</v>
      </c>
      <c r="J28" s="177">
        <f t="shared" ca="1" si="60"/>
        <v>-1118.9021916827485</v>
      </c>
      <c r="K28" s="338">
        <f t="shared" ca="1" si="60"/>
        <v>630.84671521925657</v>
      </c>
      <c r="L28" s="338">
        <f t="shared" ca="1" si="60"/>
        <v>1065.6629757491216</v>
      </c>
      <c r="M28" s="338">
        <f t="shared" ca="1" si="60"/>
        <v>-282.82848954366023</v>
      </c>
      <c r="N28" s="338">
        <f t="shared" ca="1" si="60"/>
        <v>1348.8772379062973</v>
      </c>
      <c r="O28" s="338">
        <f t="shared" ref="O28:P28" ca="1" si="61">INDIRECT("'Rimba Jawa'!G"&amp;O33)</f>
        <v>2172.7505577533307</v>
      </c>
      <c r="P28" s="338">
        <f t="shared" ca="1" si="61"/>
        <v>-942.48790534710918</v>
      </c>
      <c r="Q28" s="338">
        <f t="shared" ref="Q28:R28" ca="1" si="62">INDIRECT("'Rimba Jawa'!G"&amp;Q33)</f>
        <v>1817.6780728691417</v>
      </c>
      <c r="R28" s="338">
        <f t="shared" ca="1" si="62"/>
        <v>-1370.1404580463714</v>
      </c>
    </row>
    <row r="29" spans="1:18" x14ac:dyDescent="0.35">
      <c r="A29" s="32" t="s">
        <v>49</v>
      </c>
      <c r="B29" s="25"/>
      <c r="C29" s="25">
        <f ca="1">C21+C22-C25+C28</f>
        <v>402773.06753648241</v>
      </c>
      <c r="D29" s="25">
        <f t="shared" ref="D29:M29" ca="1" si="63">D21+D22-D25+D28</f>
        <v>78445.539459184394</v>
      </c>
      <c r="E29" s="25">
        <f t="shared" ca="1" si="63"/>
        <v>14587.808788517672</v>
      </c>
      <c r="F29" s="25">
        <f t="shared" ca="1" si="63"/>
        <v>9679.9897974664273</v>
      </c>
      <c r="G29" s="25">
        <f t="shared" ca="1" si="63"/>
        <v>8929.8893506854329</v>
      </c>
      <c r="H29" s="25">
        <f t="shared" ca="1" si="63"/>
        <v>6353.4533888476781</v>
      </c>
      <c r="I29" s="25">
        <f t="shared" ca="1" si="63"/>
        <v>5513.457070990662</v>
      </c>
      <c r="J29" s="25">
        <f t="shared" ca="1" si="63"/>
        <v>4483.58331158907</v>
      </c>
      <c r="K29" s="26">
        <f t="shared" ca="1" si="63"/>
        <v>5215.5864283283063</v>
      </c>
      <c r="L29" s="26">
        <f t="shared" ca="1" si="63"/>
        <v>6406.1223047111462</v>
      </c>
      <c r="M29" s="26">
        <f t="shared" ca="1" si="63"/>
        <v>6241.8342068028442</v>
      </c>
      <c r="N29" s="26">
        <f t="shared" ref="N29:O29" ca="1" si="64">N21+N22-N25+N28</f>
        <v>7645.1014508659409</v>
      </c>
      <c r="O29" s="26">
        <f t="shared" ca="1" si="64"/>
        <v>9892.4415277353946</v>
      </c>
      <c r="P29" s="26">
        <f t="shared" ref="P29:Q29" ca="1" si="65">P21+P22-P25+P28</f>
        <v>9012.6369259471394</v>
      </c>
      <c r="Q29" s="26">
        <f t="shared" ca="1" si="65"/>
        <v>11166.036550185616</v>
      </c>
      <c r="R29" s="26">
        <f t="shared" ref="R29" ca="1" si="66">R21+R22-R25+R28</f>
        <v>10094.040915727826</v>
      </c>
    </row>
    <row r="30" spans="1:18" ht="15" thickBot="1" x14ac:dyDescent="0.4">
      <c r="A30" s="27"/>
      <c r="B30" s="27"/>
      <c r="C30" s="27"/>
      <c r="D30" s="175">
        <f ca="1">D29-INDIRECT("'Rimba Jawa'!H"&amp;D33)</f>
        <v>0</v>
      </c>
      <c r="E30" s="175">
        <f t="shared" ref="E30:N30" ca="1" si="67">E29-INDIRECT("'Rimba Jawa'!H"&amp;E33)</f>
        <v>0</v>
      </c>
      <c r="F30" s="175">
        <f t="shared" ca="1" si="67"/>
        <v>0</v>
      </c>
      <c r="G30" s="175">
        <f t="shared" ca="1" si="67"/>
        <v>0</v>
      </c>
      <c r="H30" s="175">
        <f t="shared" ca="1" si="67"/>
        <v>1.0004441719502211E-11</v>
      </c>
      <c r="I30" s="175">
        <f t="shared" ca="1" si="67"/>
        <v>1.0004441719502211E-11</v>
      </c>
      <c r="J30" s="175">
        <f t="shared" ca="1" si="67"/>
        <v>1.0004441719502211E-11</v>
      </c>
      <c r="K30" s="175">
        <f t="shared" ca="1" si="67"/>
        <v>1.0004441719502211E-11</v>
      </c>
      <c r="L30" s="175">
        <f t="shared" ca="1" si="67"/>
        <v>9.0949470177292824E-12</v>
      </c>
      <c r="M30" s="175">
        <f t="shared" ca="1" si="67"/>
        <v>9.0949470177292824E-12</v>
      </c>
      <c r="N30" s="175">
        <f t="shared" ca="1" si="67"/>
        <v>9.0949470177292824E-12</v>
      </c>
      <c r="O30" s="175">
        <f t="shared" ref="O30:P30" ca="1" si="68">O29-INDIRECT("'Rimba Jawa'!H"&amp;O33)</f>
        <v>0</v>
      </c>
      <c r="P30" s="175">
        <f t="shared" ca="1" si="68"/>
        <v>0</v>
      </c>
      <c r="Q30" s="175">
        <f t="shared" ref="Q30:R30" ca="1" si="69">Q29-INDIRECT("'Rimba Jawa'!H"&amp;Q33)</f>
        <v>0</v>
      </c>
      <c r="R30" s="175">
        <f t="shared" ca="1" si="69"/>
        <v>0</v>
      </c>
    </row>
    <row r="31" spans="1:18" ht="15" thickTop="1" x14ac:dyDescent="0.35"/>
    <row r="32" spans="1:18" x14ac:dyDescent="0.35">
      <c r="A32" t="s">
        <v>112</v>
      </c>
      <c r="B32" s="259">
        <v>4</v>
      </c>
      <c r="C32">
        <f>B32+1</f>
        <v>5</v>
      </c>
      <c r="D32">
        <f t="shared" ref="D32:P33" si="70">C32+1</f>
        <v>6</v>
      </c>
      <c r="E32">
        <f t="shared" si="70"/>
        <v>7</v>
      </c>
      <c r="F32">
        <f t="shared" si="70"/>
        <v>8</v>
      </c>
      <c r="G32">
        <f t="shared" si="70"/>
        <v>9</v>
      </c>
      <c r="H32">
        <f t="shared" si="70"/>
        <v>10</v>
      </c>
      <c r="I32">
        <f t="shared" si="70"/>
        <v>11</v>
      </c>
      <c r="J32">
        <f t="shared" si="70"/>
        <v>12</v>
      </c>
      <c r="K32">
        <f t="shared" si="70"/>
        <v>13</v>
      </c>
      <c r="L32">
        <f t="shared" si="70"/>
        <v>14</v>
      </c>
      <c r="M32">
        <f t="shared" si="70"/>
        <v>15</v>
      </c>
      <c r="N32">
        <f t="shared" si="70"/>
        <v>16</v>
      </c>
      <c r="O32">
        <f t="shared" si="70"/>
        <v>17</v>
      </c>
      <c r="P32">
        <f t="shared" si="70"/>
        <v>18</v>
      </c>
      <c r="Q32">
        <f t="shared" ref="Q32:Q33" si="71">P32+1</f>
        <v>19</v>
      </c>
      <c r="R32">
        <f t="shared" ref="R32:R33" si="72">Q32+1</f>
        <v>20</v>
      </c>
    </row>
    <row r="33" spans="1:18" x14ac:dyDescent="0.35">
      <c r="A33" t="s">
        <v>113</v>
      </c>
      <c r="C33" s="259">
        <v>46</v>
      </c>
      <c r="D33">
        <f>C33+1</f>
        <v>47</v>
      </c>
      <c r="E33">
        <f t="shared" si="70"/>
        <v>48</v>
      </c>
      <c r="F33">
        <f t="shared" si="70"/>
        <v>49</v>
      </c>
      <c r="G33">
        <f t="shared" si="70"/>
        <v>50</v>
      </c>
      <c r="H33">
        <f t="shared" si="70"/>
        <v>51</v>
      </c>
      <c r="I33">
        <f t="shared" si="70"/>
        <v>52</v>
      </c>
      <c r="J33">
        <f t="shared" si="70"/>
        <v>53</v>
      </c>
      <c r="K33">
        <f t="shared" si="70"/>
        <v>54</v>
      </c>
      <c r="L33">
        <f t="shared" si="70"/>
        <v>55</v>
      </c>
      <c r="M33">
        <f t="shared" si="70"/>
        <v>56</v>
      </c>
      <c r="N33">
        <f t="shared" si="70"/>
        <v>57</v>
      </c>
      <c r="O33">
        <f t="shared" si="70"/>
        <v>58</v>
      </c>
      <c r="P33">
        <f t="shared" si="70"/>
        <v>59</v>
      </c>
      <c r="Q33">
        <f t="shared" si="71"/>
        <v>60</v>
      </c>
      <c r="R33">
        <f t="shared" si="72"/>
        <v>61</v>
      </c>
    </row>
  </sheetData>
  <mergeCells count="20">
    <mergeCell ref="Q4:Q5"/>
    <mergeCell ref="R4:R5"/>
    <mergeCell ref="P4:P5"/>
    <mergeCell ref="J4:J5"/>
    <mergeCell ref="O4:O5"/>
    <mergeCell ref="N4:N5"/>
    <mergeCell ref="M4:M5"/>
    <mergeCell ref="D4:D5"/>
    <mergeCell ref="K4:K5"/>
    <mergeCell ref="L4:L5"/>
    <mergeCell ref="E4:E5"/>
    <mergeCell ref="A1:B1"/>
    <mergeCell ref="A2:B2"/>
    <mergeCell ref="A4:A5"/>
    <mergeCell ref="B4:B5"/>
    <mergeCell ref="C4:C5"/>
    <mergeCell ref="F4:F5"/>
    <mergeCell ref="G4:G5"/>
    <mergeCell ref="H4:H5"/>
    <mergeCell ref="I4:I5"/>
  </mergeCells>
  <pageMargins left="0.7" right="0.7" top="0.75" bottom="0.75" header="0.3" footer="0.3"/>
  <pageSetup scale="4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V33"/>
  <sheetViews>
    <sheetView showGridLines="0" view="pageBreakPreview" zoomScale="84" zoomScaleSheetLayoutView="90" workbookViewId="0">
      <pane xSplit="1" ySplit="5" topLeftCell="B17" activePane="bottomRight" state="frozen"/>
      <selection pane="topRight" activeCell="B1" sqref="B1"/>
      <selection pane="bottomLeft" activeCell="A6" sqref="A6"/>
      <selection pane="bottomRight" activeCell="A38" sqref="A38"/>
    </sheetView>
  </sheetViews>
  <sheetFormatPr defaultColWidth="8.81640625" defaultRowHeight="14.5" x14ac:dyDescent="0.35"/>
  <cols>
    <col min="1" max="1" width="35" customWidth="1"/>
    <col min="2" max="2" width="12.36328125" customWidth="1"/>
    <col min="3" max="3" width="13.6328125" customWidth="1"/>
    <col min="4" max="4" width="12.81640625" customWidth="1"/>
    <col min="5" max="7" width="13.6328125" customWidth="1"/>
    <col min="8" max="16" width="13.6328125" bestFit="1" customWidth="1"/>
    <col min="17" max="18" width="13.6328125" customWidth="1"/>
    <col min="19" max="19" width="13.36328125" bestFit="1" customWidth="1"/>
  </cols>
  <sheetData>
    <row r="1" spans="1:22" x14ac:dyDescent="0.35">
      <c r="A1" s="470" t="s">
        <v>33</v>
      </c>
      <c r="B1" s="47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22" x14ac:dyDescent="0.35">
      <c r="A2" s="470" t="s">
        <v>104</v>
      </c>
      <c r="B2" s="470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22" ht="15" thickBot="1" x14ac:dyDescent="0.4">
      <c r="A3" s="20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22" ht="15" thickTop="1" x14ac:dyDescent="0.35">
      <c r="A4" s="468" t="s">
        <v>35</v>
      </c>
      <c r="B4" s="468">
        <v>2008</v>
      </c>
      <c r="C4" s="468">
        <v>2009</v>
      </c>
      <c r="D4" s="468">
        <v>2010</v>
      </c>
      <c r="E4" s="468">
        <v>2011</v>
      </c>
      <c r="F4" s="468">
        <v>2012</v>
      </c>
      <c r="G4" s="468">
        <v>2013</v>
      </c>
      <c r="H4" s="468">
        <v>2014</v>
      </c>
      <c r="I4" s="468">
        <v>2015</v>
      </c>
      <c r="J4" s="468">
        <v>2016</v>
      </c>
      <c r="K4" s="468">
        <v>2017</v>
      </c>
      <c r="L4" s="468">
        <v>2018</v>
      </c>
      <c r="M4" s="468">
        <v>2019</v>
      </c>
      <c r="N4" s="468">
        <v>2020</v>
      </c>
      <c r="O4" s="468">
        <v>2021</v>
      </c>
      <c r="P4" s="468">
        <v>2022</v>
      </c>
      <c r="Q4" s="468">
        <v>2023</v>
      </c>
      <c r="R4" s="468">
        <v>2024</v>
      </c>
    </row>
    <row r="5" spans="1:22" ht="15" thickBot="1" x14ac:dyDescent="0.4">
      <c r="A5" s="469"/>
      <c r="B5" s="469"/>
      <c r="C5" s="469"/>
      <c r="D5" s="469"/>
      <c r="E5" s="469"/>
      <c r="F5" s="469"/>
      <c r="G5" s="469"/>
      <c r="H5" s="469"/>
      <c r="I5" s="469"/>
      <c r="J5" s="469"/>
      <c r="K5" s="469"/>
      <c r="L5" s="469"/>
      <c r="M5" s="469"/>
      <c r="N5" s="469"/>
      <c r="O5" s="469"/>
      <c r="P5" s="469"/>
      <c r="Q5" s="469"/>
      <c r="R5" s="469"/>
    </row>
    <row r="6" spans="1:22" ht="16" thickTop="1" x14ac:dyDescent="0.35">
      <c r="A6" s="39" t="s">
        <v>52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spans="1:22" x14ac:dyDescent="0.3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spans="1:22" x14ac:dyDescent="0.35">
      <c r="A8" s="32" t="s">
        <v>36</v>
      </c>
      <c r="B8" s="25">
        <f>'Rimba Luar Jawa'!B4</f>
        <v>6500648.8226029677</v>
      </c>
      <c r="C8" s="25">
        <f t="shared" ref="C8:H8" ca="1" si="0">B15</f>
        <v>6282105.2385316044</v>
      </c>
      <c r="D8" s="25">
        <f t="shared" ca="1" si="0"/>
        <v>6039224.318214979</v>
      </c>
      <c r="E8" s="25">
        <f t="shared" ca="1" si="0"/>
        <v>5770970.0524127893</v>
      </c>
      <c r="F8" s="25">
        <f t="shared" ca="1" si="0"/>
        <v>5478994.8484336706</v>
      </c>
      <c r="G8" s="25">
        <f t="shared" ca="1" si="0"/>
        <v>5132541.4995256355</v>
      </c>
      <c r="H8" s="25">
        <f t="shared" ca="1" si="0"/>
        <v>5036128.4897454027</v>
      </c>
      <c r="I8" s="25">
        <f t="shared" ref="I8:P8" ca="1" si="1">H15</f>
        <v>4833123.4864505976</v>
      </c>
      <c r="J8" s="25">
        <f t="shared" ca="1" si="1"/>
        <v>4216414.9785331069</v>
      </c>
      <c r="K8" s="25">
        <f t="shared" ca="1" si="1"/>
        <v>4020448.1825403958</v>
      </c>
      <c r="L8" s="25">
        <f t="shared" ca="1" si="1"/>
        <v>3856490.202647415</v>
      </c>
      <c r="M8" s="25">
        <f t="shared" ca="1" si="1"/>
        <v>3716003.0175107345</v>
      </c>
      <c r="N8" s="25">
        <f t="shared" ca="1" si="1"/>
        <v>3380213.068751412</v>
      </c>
      <c r="O8" s="25">
        <f t="shared" ca="1" si="1"/>
        <v>3296694.3454221277</v>
      </c>
      <c r="P8" s="25">
        <f t="shared" ca="1" si="1"/>
        <v>3162430.7855759594</v>
      </c>
      <c r="Q8" s="25">
        <f t="shared" ref="Q8" ca="1" si="2">P15</f>
        <v>3083637.0777398548</v>
      </c>
      <c r="R8" s="25">
        <f t="shared" ref="R8" ca="1" si="3">Q15</f>
        <v>2815937.789965366</v>
      </c>
      <c r="S8" s="28"/>
      <c r="T8" s="28"/>
      <c r="U8" s="28"/>
      <c r="V8" s="28"/>
    </row>
    <row r="9" spans="1:22" x14ac:dyDescent="0.35">
      <c r="A9" s="32" t="s">
        <v>41</v>
      </c>
      <c r="B9" s="25">
        <f ca="1">SUM(B10:B11)</f>
        <v>36722.85735427661</v>
      </c>
      <c r="C9" s="25">
        <f t="shared" ref="C9:L9" ca="1" si="4">SUM(C10:C11)</f>
        <v>35477.997013221371</v>
      </c>
      <c r="D9" s="38">
        <f t="shared" ca="1" si="4"/>
        <v>33870.283571931272</v>
      </c>
      <c r="E9" s="38">
        <f t="shared" ca="1" si="4"/>
        <v>34466.867078785566</v>
      </c>
      <c r="F9" s="38">
        <f t="shared" ca="1" si="4"/>
        <v>35619.120789712193</v>
      </c>
      <c r="G9" s="38">
        <f t="shared" ca="1" si="4"/>
        <v>33477.312759060071</v>
      </c>
      <c r="H9" s="38">
        <f t="shared" ca="1" si="4"/>
        <v>34411.297926840343</v>
      </c>
      <c r="I9" s="38">
        <f t="shared" ca="1" si="4"/>
        <v>38963.627964582513</v>
      </c>
      <c r="J9" s="38">
        <f t="shared" ca="1" si="4"/>
        <v>40780.131687421526</v>
      </c>
      <c r="K9" s="38">
        <f t="shared" ca="1" si="4"/>
        <v>31054.22690456437</v>
      </c>
      <c r="L9" s="38">
        <f t="shared" ca="1" si="4"/>
        <v>32793.613739093504</v>
      </c>
      <c r="M9" s="38">
        <f t="shared" ref="M9:N9" ca="1" si="5">SUM(M10:M11)</f>
        <v>36688.454374256573</v>
      </c>
      <c r="N9" s="38">
        <f t="shared" ca="1" si="5"/>
        <v>34398.359718543754</v>
      </c>
      <c r="O9" s="38">
        <f t="shared" ref="O9:P9" ca="1" si="6">SUM(O10:O11)</f>
        <v>28225.474159518828</v>
      </c>
      <c r="P9" s="38">
        <f t="shared" ca="1" si="6"/>
        <v>30131.341488375721</v>
      </c>
      <c r="Q9" s="38">
        <f t="shared" ref="Q9:R9" ca="1" si="7">SUM(Q10:Q11)</f>
        <v>27632.16927643997</v>
      </c>
      <c r="R9" s="38">
        <f t="shared" ca="1" si="7"/>
        <v>30996.618356760879</v>
      </c>
      <c r="S9" s="28"/>
      <c r="T9" s="28"/>
      <c r="U9" s="28"/>
      <c r="V9" s="28"/>
    </row>
    <row r="10" spans="1:22" x14ac:dyDescent="0.35">
      <c r="A10" s="31" t="s">
        <v>43</v>
      </c>
      <c r="B10" s="173">
        <f t="shared" ref="B10:L10" ca="1" si="8">INDIRECT("'Rimba Luar Jawa'!C"&amp;B32)</f>
        <v>28768.842950759998</v>
      </c>
      <c r="C10" s="173">
        <f t="shared" ca="1" si="8"/>
        <v>29427.551231494133</v>
      </c>
      <c r="D10" s="173">
        <f t="shared" ca="1" si="8"/>
        <v>29417.615158007069</v>
      </c>
      <c r="E10" s="173">
        <f t="shared" ca="1" si="8"/>
        <v>29641.821247985419</v>
      </c>
      <c r="F10" s="173">
        <f t="shared" ca="1" si="8"/>
        <v>29470.767849793789</v>
      </c>
      <c r="G10" s="173">
        <f t="shared" ca="1" si="8"/>
        <v>22422.400566197779</v>
      </c>
      <c r="H10" s="173">
        <f t="shared" ca="1" si="8"/>
        <v>23276.944523064743</v>
      </c>
      <c r="I10" s="173">
        <f t="shared" ca="1" si="8"/>
        <v>23334.934443186987</v>
      </c>
      <c r="J10" s="173">
        <f t="shared" ca="1" si="8"/>
        <v>23679.321060541522</v>
      </c>
      <c r="K10" s="173">
        <f t="shared" ca="1" si="8"/>
        <v>23728.337103781352</v>
      </c>
      <c r="L10" s="173">
        <f t="shared" ca="1" si="8"/>
        <v>23708.237402915915</v>
      </c>
      <c r="M10" s="173">
        <f t="shared" ref="M10:N10" ca="1" si="9">INDIRECT("'Rimba Luar Jawa'!C"&amp;M32)</f>
        <v>23731.665256390424</v>
      </c>
      <c r="N10" s="173">
        <f t="shared" ca="1" si="9"/>
        <v>23696.412297305927</v>
      </c>
      <c r="O10" s="173">
        <f t="shared" ref="O10:P10" ca="1" si="10">INDIRECT("'Rimba Luar Jawa'!C"&amp;O32)</f>
        <v>23543.4291512411</v>
      </c>
      <c r="P10" s="173">
        <f t="shared" ca="1" si="10"/>
        <v>23540.200208568473</v>
      </c>
      <c r="Q10" s="173">
        <f t="shared" ref="Q10:R10" ca="1" si="11">INDIRECT("'Rimba Luar Jawa'!C"&amp;Q32)</f>
        <v>23309.776398597503</v>
      </c>
      <c r="R10" s="173">
        <f t="shared" ca="1" si="11"/>
        <v>23297.341821189439</v>
      </c>
    </row>
    <row r="11" spans="1:22" x14ac:dyDescent="0.35">
      <c r="A11" s="31" t="s">
        <v>42</v>
      </c>
      <c r="B11" s="173">
        <f t="shared" ref="B11:L11" ca="1" si="12">INDIRECT("'Rimba Luar Jawa'!D"&amp;B32)</f>
        <v>7954.0144035166131</v>
      </c>
      <c r="C11" s="173">
        <f t="shared" ca="1" si="12"/>
        <v>6050.4457817272396</v>
      </c>
      <c r="D11" s="173">
        <f t="shared" ca="1" si="12"/>
        <v>4452.6684139242016</v>
      </c>
      <c r="E11" s="173">
        <f t="shared" ca="1" si="12"/>
        <v>4825.045830800148</v>
      </c>
      <c r="F11" s="173">
        <f t="shared" ca="1" si="12"/>
        <v>6148.3529399184035</v>
      </c>
      <c r="G11" s="173">
        <f t="shared" ca="1" si="12"/>
        <v>11054.912192862294</v>
      </c>
      <c r="H11" s="173">
        <f t="shared" ca="1" si="12"/>
        <v>11134.353403775602</v>
      </c>
      <c r="I11" s="173">
        <f t="shared" ca="1" si="12"/>
        <v>15628.693521395524</v>
      </c>
      <c r="J11" s="173">
        <f t="shared" ca="1" si="12"/>
        <v>17100.81062688</v>
      </c>
      <c r="K11" s="173">
        <f t="shared" ca="1" si="12"/>
        <v>7325.8898007830194</v>
      </c>
      <c r="L11" s="173">
        <f t="shared" ca="1" si="12"/>
        <v>9085.3763361775891</v>
      </c>
      <c r="M11" s="173">
        <f t="shared" ref="M11:N11" ca="1" si="13">INDIRECT("'Rimba Luar Jawa'!D"&amp;M32)</f>
        <v>12956.789117866147</v>
      </c>
      <c r="N11" s="173">
        <f t="shared" ca="1" si="13"/>
        <v>10701.94742123783</v>
      </c>
      <c r="O11" s="173">
        <f t="shared" ref="O11:P11" ca="1" si="14">INDIRECT("'Rimba Luar Jawa'!D"&amp;O32)</f>
        <v>4682.0450082777288</v>
      </c>
      <c r="P11" s="173">
        <f t="shared" ca="1" si="14"/>
        <v>6591.1412798072479</v>
      </c>
      <c r="Q11" s="173">
        <f t="shared" ref="Q11:R11" ca="1" si="15">INDIRECT("'Rimba Luar Jawa'!D"&amp;Q32)</f>
        <v>4322.3928778424679</v>
      </c>
      <c r="R11" s="173">
        <f t="shared" ca="1" si="15"/>
        <v>7699.2765355714391</v>
      </c>
    </row>
    <row r="12" spans="1:22" x14ac:dyDescent="0.35">
      <c r="A12" s="33" t="s">
        <v>44</v>
      </c>
      <c r="B12" s="25">
        <f ca="1">SUM(B13:B14)</f>
        <v>255266.44142564037</v>
      </c>
      <c r="C12" s="25">
        <f t="shared" ref="C12:H12" ca="1" si="16">SUM(C13:C14)</f>
        <v>278358.91732984688</v>
      </c>
      <c r="D12" s="38">
        <f t="shared" ca="1" si="16"/>
        <v>302124.54937412136</v>
      </c>
      <c r="E12" s="38">
        <f t="shared" ca="1" si="16"/>
        <v>326442.07105790434</v>
      </c>
      <c r="F12" s="38">
        <f t="shared" ca="1" si="16"/>
        <v>382072.4696977475</v>
      </c>
      <c r="G12" s="38">
        <f t="shared" ca="1" si="16"/>
        <v>129890.322539293</v>
      </c>
      <c r="H12" s="38">
        <f t="shared" ca="1" si="16"/>
        <v>237416.30122164509</v>
      </c>
      <c r="I12" s="38">
        <f ca="1">SUM(I13:I14)</f>
        <v>655672.1358820732</v>
      </c>
      <c r="J12" s="38">
        <f t="shared" ref="J12:L12" ca="1" si="17">SUM(J13:J14)</f>
        <v>236746.92768013236</v>
      </c>
      <c r="K12" s="38">
        <f t="shared" ca="1" si="17"/>
        <v>195012.20679754508</v>
      </c>
      <c r="L12" s="38">
        <f t="shared" ca="1" si="17"/>
        <v>173280.79887577385</v>
      </c>
      <c r="M12" s="38">
        <f t="shared" ref="M12:N12" ca="1" si="18">SUM(M13:M14)</f>
        <v>372478.40313357912</v>
      </c>
      <c r="N12" s="38">
        <f t="shared" ca="1" si="18"/>
        <v>117917.08304782807</v>
      </c>
      <c r="O12" s="38">
        <f t="shared" ref="O12:P12" ca="1" si="19">SUM(O13:O14)</f>
        <v>162489.03400568731</v>
      </c>
      <c r="P12" s="38">
        <f t="shared" ca="1" si="19"/>
        <v>108925.0493244805</v>
      </c>
      <c r="Q12" s="38">
        <f t="shared" ref="Q12:R12" ca="1" si="20">SUM(Q13:Q14)</f>
        <v>295331.45705092861</v>
      </c>
      <c r="R12" s="38">
        <f t="shared" ca="1" si="20"/>
        <v>149521.20635592093</v>
      </c>
    </row>
    <row r="13" spans="1:22" x14ac:dyDescent="0.35">
      <c r="A13" s="31" t="s">
        <v>45</v>
      </c>
      <c r="B13" s="174">
        <f t="shared" ref="B13:L13" ca="1" si="21">INDIRECT("'Rimba Luar Jawa'!E"&amp;B32)</f>
        <v>206743.81</v>
      </c>
      <c r="C13" s="174">
        <f t="shared" ca="1" si="21"/>
        <v>227447.8859018306</v>
      </c>
      <c r="D13" s="174">
        <f t="shared" ca="1" si="21"/>
        <v>248573.61358911431</v>
      </c>
      <c r="E13" s="174">
        <f t="shared" ca="1" si="21"/>
        <v>276481.40210216056</v>
      </c>
      <c r="F13" s="174">
        <f t="shared" ca="1" si="21"/>
        <v>333058.25109185395</v>
      </c>
      <c r="G13" s="174">
        <f t="shared" ca="1" si="21"/>
        <v>89854.220317380546</v>
      </c>
      <c r="H13" s="174">
        <f t="shared" ca="1" si="21"/>
        <v>192303.63800229388</v>
      </c>
      <c r="I13" s="174">
        <f t="shared" ca="1" si="21"/>
        <v>611062.46808226639</v>
      </c>
      <c r="J13" s="174">
        <f t="shared" ca="1" si="21"/>
        <v>192087.178269814</v>
      </c>
      <c r="K13" s="174">
        <f t="shared" ca="1" si="21"/>
        <v>148297.99474921948</v>
      </c>
      <c r="L13" s="174">
        <f t="shared" ca="1" si="21"/>
        <v>126820.66959306473</v>
      </c>
      <c r="M13" s="174">
        <f t="shared" ref="M13:N13" ca="1" si="22">INDIRECT("'Rimba Luar Jawa'!E"&amp;M32)</f>
        <v>323896.68869440438</v>
      </c>
      <c r="N13" s="174">
        <f t="shared" ca="1" si="22"/>
        <v>66782.842341754251</v>
      </c>
      <c r="O13" s="174">
        <f t="shared" ref="O13:P13" ca="1" si="23">INDIRECT("'Rimba Luar Jawa'!E"&amp;O32)</f>
        <v>108661.98159303526</v>
      </c>
      <c r="P13" s="174">
        <f t="shared" ca="1" si="23"/>
        <v>54795.275064801783</v>
      </c>
      <c r="Q13" s="174">
        <f t="shared" ref="Q13:R13" ca="1" si="24">INDIRECT("'Rimba Luar Jawa'!E"&amp;Q32)</f>
        <v>238112.68290016006</v>
      </c>
      <c r="R13" s="174">
        <f t="shared" ca="1" si="24"/>
        <v>95017.524095019035</v>
      </c>
    </row>
    <row r="14" spans="1:22" x14ac:dyDescent="0.35">
      <c r="A14" s="31" t="s">
        <v>46</v>
      </c>
      <c r="B14" s="174">
        <f t="shared" ref="B14:L14" ca="1" si="25">INDIRECT("'Rimba Luar Jawa'!F"&amp;B32)</f>
        <v>48522.631425640371</v>
      </c>
      <c r="C14" s="174">
        <f t="shared" ca="1" si="25"/>
        <v>50911.031428016264</v>
      </c>
      <c r="D14" s="174">
        <f t="shared" ca="1" si="25"/>
        <v>53550.935785007052</v>
      </c>
      <c r="E14" s="174">
        <f t="shared" ca="1" si="25"/>
        <v>49960.668955743778</v>
      </c>
      <c r="F14" s="174">
        <f t="shared" ca="1" si="25"/>
        <v>49014.218605893555</v>
      </c>
      <c r="G14" s="174">
        <f t="shared" ca="1" si="25"/>
        <v>40036.102221912457</v>
      </c>
      <c r="H14" s="174">
        <f t="shared" ca="1" si="25"/>
        <v>45112.663219351198</v>
      </c>
      <c r="I14" s="174">
        <f t="shared" ca="1" si="25"/>
        <v>44609.667799806826</v>
      </c>
      <c r="J14" s="174">
        <f t="shared" ca="1" si="25"/>
        <v>44659.749410318356</v>
      </c>
      <c r="K14" s="174">
        <f t="shared" ca="1" si="25"/>
        <v>46714.212048325615</v>
      </c>
      <c r="L14" s="174">
        <f t="shared" ca="1" si="25"/>
        <v>46460.129282709138</v>
      </c>
      <c r="M14" s="174">
        <f t="shared" ref="M14:N14" ca="1" si="26">INDIRECT("'Rimba Luar Jawa'!F"&amp;M32)</f>
        <v>48581.714439174735</v>
      </c>
      <c r="N14" s="174">
        <f t="shared" ca="1" si="26"/>
        <v>51134.240706073819</v>
      </c>
      <c r="O14" s="174">
        <f t="shared" ref="O14:P14" ca="1" si="27">INDIRECT("'Rimba Luar Jawa'!F"&amp;O32)</f>
        <v>53827.052412652039</v>
      </c>
      <c r="P14" s="174">
        <f t="shared" ca="1" si="27"/>
        <v>54129.774259678721</v>
      </c>
      <c r="Q14" s="174">
        <f t="shared" ref="Q14:R14" ca="1" si="28">INDIRECT("'Rimba Luar Jawa'!F"&amp;Q32)</f>
        <v>57218.77415076855</v>
      </c>
      <c r="R14" s="174">
        <f t="shared" ca="1" si="28"/>
        <v>54503.682260901885</v>
      </c>
    </row>
    <row r="15" spans="1:22" x14ac:dyDescent="0.35">
      <c r="A15" s="32" t="s">
        <v>47</v>
      </c>
      <c r="B15" s="25">
        <f ca="1">B8+B9-B12</f>
        <v>6282105.2385316044</v>
      </c>
      <c r="C15" s="25">
        <f t="shared" ref="C15:L15" ca="1" si="29">C8+C9-C12</f>
        <v>6039224.318214979</v>
      </c>
      <c r="D15" s="25">
        <f t="shared" ca="1" si="29"/>
        <v>5770970.0524127893</v>
      </c>
      <c r="E15" s="25">
        <f t="shared" ca="1" si="29"/>
        <v>5478994.8484336706</v>
      </c>
      <c r="F15" s="25">
        <f t="shared" ca="1" si="29"/>
        <v>5132541.4995256355</v>
      </c>
      <c r="G15" s="25">
        <f t="shared" ca="1" si="29"/>
        <v>5036128.4897454027</v>
      </c>
      <c r="H15" s="25">
        <f t="shared" ca="1" si="29"/>
        <v>4833123.4864505976</v>
      </c>
      <c r="I15" s="25">
        <f t="shared" ca="1" si="29"/>
        <v>4216414.9785331069</v>
      </c>
      <c r="J15" s="25">
        <f t="shared" ca="1" si="29"/>
        <v>4020448.1825403958</v>
      </c>
      <c r="K15" s="25">
        <f t="shared" ca="1" si="29"/>
        <v>3856490.202647415</v>
      </c>
      <c r="L15" s="25">
        <f t="shared" ca="1" si="29"/>
        <v>3716003.0175107345</v>
      </c>
      <c r="M15" s="25">
        <f t="shared" ref="M15:N15" ca="1" si="30">M8+M9-M12</f>
        <v>3380213.068751412</v>
      </c>
      <c r="N15" s="25">
        <f t="shared" ca="1" si="30"/>
        <v>3296694.3454221277</v>
      </c>
      <c r="O15" s="25">
        <f t="shared" ref="O15:P15" ca="1" si="31">O8+O9-O12</f>
        <v>3162430.7855759594</v>
      </c>
      <c r="P15" s="25">
        <f t="shared" ca="1" si="31"/>
        <v>3083637.0777398548</v>
      </c>
      <c r="Q15" s="25">
        <f t="shared" ref="Q15:R15" ca="1" si="32">Q8+Q9-Q12</f>
        <v>2815937.789965366</v>
      </c>
      <c r="R15" s="25">
        <f t="shared" ca="1" si="32"/>
        <v>2697413.2019662061</v>
      </c>
    </row>
    <row r="16" spans="1:22" x14ac:dyDescent="0.35">
      <c r="A16" s="24"/>
      <c r="B16" s="25"/>
      <c r="C16" s="176">
        <f ca="1">C15-INDIRECT("'Rimba Luar Jawa'!G"&amp;C32)</f>
        <v>0</v>
      </c>
      <c r="D16" s="176">
        <f t="shared" ref="D16:N16" ca="1" si="33">D15-INDIRECT("'Rimba Luar Jawa'!G"&amp;D32)</f>
        <v>0</v>
      </c>
      <c r="E16" s="176">
        <f t="shared" ca="1" si="33"/>
        <v>0</v>
      </c>
      <c r="F16" s="176">
        <f t="shared" ca="1" si="33"/>
        <v>0</v>
      </c>
      <c r="G16" s="176">
        <f t="shared" ca="1" si="33"/>
        <v>0</v>
      </c>
      <c r="H16" s="176">
        <f t="shared" ca="1" si="33"/>
        <v>0</v>
      </c>
      <c r="I16" s="176">
        <f t="shared" ca="1" si="33"/>
        <v>0</v>
      </c>
      <c r="J16" s="176">
        <f t="shared" ca="1" si="33"/>
        <v>0</v>
      </c>
      <c r="K16" s="176">
        <f t="shared" ca="1" si="33"/>
        <v>0</v>
      </c>
      <c r="L16" s="176">
        <f t="shared" ca="1" si="33"/>
        <v>0</v>
      </c>
      <c r="M16" s="176">
        <f t="shared" ca="1" si="33"/>
        <v>0</v>
      </c>
      <c r="N16" s="176">
        <f t="shared" ca="1" si="33"/>
        <v>0</v>
      </c>
      <c r="O16" s="176">
        <f t="shared" ref="O16:P16" ca="1" si="34">O15-INDIRECT("'Rimba Luar Jawa'!G"&amp;O32)</f>
        <v>0</v>
      </c>
      <c r="P16" s="176">
        <f t="shared" ca="1" si="34"/>
        <v>0</v>
      </c>
      <c r="Q16" s="176">
        <f t="shared" ref="Q16:R16" ca="1" si="35">Q15-INDIRECT("'Rimba Luar Jawa'!G"&amp;Q32)</f>
        <v>0</v>
      </c>
      <c r="R16" s="176">
        <f t="shared" ca="1" si="35"/>
        <v>0</v>
      </c>
    </row>
    <row r="17" spans="1:18" x14ac:dyDescent="0.35">
      <c r="A17" s="24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x14ac:dyDescent="0.35">
      <c r="A18" s="32" t="s">
        <v>37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1:18" x14ac:dyDescent="0.35">
      <c r="A19" s="32" t="s">
        <v>38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x14ac:dyDescent="0.3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x14ac:dyDescent="0.35">
      <c r="A21" s="32" t="s">
        <v>36</v>
      </c>
      <c r="B21" s="25"/>
      <c r="C21" s="25">
        <f>'Rimba Luar Jawa'!B46</f>
        <v>6022081.5369239012</v>
      </c>
      <c r="D21" s="25">
        <f ca="1">C29</f>
        <v>6327497.1069677994</v>
      </c>
      <c r="E21" s="25">
        <f t="shared" ref="E21:P21" ca="1" si="36">D29</f>
        <v>4617199.8411356211</v>
      </c>
      <c r="F21" s="25">
        <f t="shared" ca="1" si="36"/>
        <v>1354056.4553810903</v>
      </c>
      <c r="G21" s="25">
        <f t="shared" ca="1" si="36"/>
        <v>906965.28666108288</v>
      </c>
      <c r="H21" s="25">
        <f t="shared" ca="1" si="36"/>
        <v>684327.2201182713</v>
      </c>
      <c r="I21" s="25">
        <f t="shared" ca="1" si="36"/>
        <v>704923.84012055967</v>
      </c>
      <c r="J21" s="25">
        <f t="shared" ca="1" si="36"/>
        <v>615856.91433012707</v>
      </c>
      <c r="K21" s="25">
        <f t="shared" ca="1" si="36"/>
        <v>671554.69020953844</v>
      </c>
      <c r="L21" s="26">
        <f t="shared" ca="1" si="36"/>
        <v>737285.35311191774</v>
      </c>
      <c r="M21" s="26">
        <f t="shared" ca="1" si="36"/>
        <v>724614.03251137922</v>
      </c>
      <c r="N21" s="26">
        <f t="shared" ca="1" si="36"/>
        <v>801803.41830561124</v>
      </c>
      <c r="O21" s="26">
        <f t="shared" ca="1" si="36"/>
        <v>933517.40528643888</v>
      </c>
      <c r="P21" s="26">
        <f t="shared" ca="1" si="36"/>
        <v>1069712.0403922005</v>
      </c>
      <c r="Q21" s="26">
        <f t="shared" ref="Q21" ca="1" si="37">P29</f>
        <v>1144293.2534543495</v>
      </c>
      <c r="R21" s="26">
        <f t="shared" ref="R21" ca="1" si="38">Q29</f>
        <v>1358302.4003402889</v>
      </c>
    </row>
    <row r="22" spans="1:18" s="41" customFormat="1" x14ac:dyDescent="0.35">
      <c r="A22" s="40" t="s">
        <v>41</v>
      </c>
      <c r="B22" s="38"/>
      <c r="C22" s="38">
        <f t="shared" ref="C22" ca="1" si="39">SUM(C23:C24)</f>
        <v>37171.482898075614</v>
      </c>
      <c r="D22" s="38">
        <f t="shared" ref="D22" ca="1" si="40">SUM(D23:D24)</f>
        <v>27098.714168886741</v>
      </c>
      <c r="E22" s="38">
        <f t="shared" ref="E22:M22" ca="1" si="41">SUM(E23:E24)</f>
        <v>8518.0010487021354</v>
      </c>
      <c r="F22" s="38">
        <f t="shared" ca="1" si="41"/>
        <v>6294.2123508680488</v>
      </c>
      <c r="G22" s="38">
        <f t="shared" ca="1" si="41"/>
        <v>4549.0174494328094</v>
      </c>
      <c r="H22" s="38">
        <f t="shared" ca="1" si="41"/>
        <v>5018.9787921051748</v>
      </c>
      <c r="I22" s="38">
        <f t="shared" ca="1" si="41"/>
        <v>5691.0953526977282</v>
      </c>
      <c r="J22" s="38">
        <f t="shared" ca="1" si="41"/>
        <v>6811.7004519496513</v>
      </c>
      <c r="K22" s="38">
        <f t="shared" ca="1" si="41"/>
        <v>5936.9596306070689</v>
      </c>
      <c r="L22" s="334">
        <f t="shared" ca="1" si="41"/>
        <v>6394.6968234765391</v>
      </c>
      <c r="M22" s="334">
        <f t="shared" ca="1" si="41"/>
        <v>8702.6845738142947</v>
      </c>
      <c r="N22" s="334">
        <f t="shared" ref="N22:O22" ca="1" si="42">SUM(N23:N24)</f>
        <v>9740.504925837402</v>
      </c>
      <c r="O22" s="334">
        <f t="shared" ca="1" si="42"/>
        <v>9547.4435968461166</v>
      </c>
      <c r="P22" s="334">
        <f t="shared" ref="P22:R22" ca="1" si="43">SUM(P23:P24)</f>
        <v>11181.306331920507</v>
      </c>
      <c r="Q22" s="334">
        <f t="shared" ca="1" si="43"/>
        <v>13328.718407255452</v>
      </c>
      <c r="R22" s="334">
        <f t="shared" ca="1" si="43"/>
        <v>14952.655782104937</v>
      </c>
    </row>
    <row r="23" spans="1:18" x14ac:dyDescent="0.35">
      <c r="A23" s="31" t="s">
        <v>43</v>
      </c>
      <c r="B23" s="25"/>
      <c r="C23" s="173">
        <f ca="1">INDIRECT("'Rimba Luar Jawa'!C"&amp;C33)</f>
        <v>30832.228688842937</v>
      </c>
      <c r="D23" s="173">
        <f t="shared" ref="D23:M23" ca="1" si="44">INDIRECT("'Rimba Luar Jawa'!C"&amp;D33)</f>
        <v>23536.252449854783</v>
      </c>
      <c r="E23" s="173">
        <f t="shared" ca="1" si="44"/>
        <v>7325.5588881528665</v>
      </c>
      <c r="F23" s="173">
        <f t="shared" ca="1" si="44"/>
        <v>5207.7442361607464</v>
      </c>
      <c r="G23" s="173">
        <f t="shared" ca="1" si="44"/>
        <v>3046.8362908310564</v>
      </c>
      <c r="H23" s="173">
        <f t="shared" ca="1" si="44"/>
        <v>3395.003906991476</v>
      </c>
      <c r="I23" s="173">
        <f t="shared" ca="1" si="44"/>
        <v>3408.3411607831413</v>
      </c>
      <c r="J23" s="173">
        <f t="shared" ca="1" si="44"/>
        <v>3955.2702577393311</v>
      </c>
      <c r="K23" s="173">
        <f t="shared" ca="1" si="44"/>
        <v>4536.3930623524866</v>
      </c>
      <c r="L23" s="335">
        <f t="shared" ca="1" si="44"/>
        <v>4623.0644666623693</v>
      </c>
      <c r="M23" s="335">
        <f t="shared" ca="1" si="44"/>
        <v>5629.269497998539</v>
      </c>
      <c r="N23" s="335">
        <f t="shared" ref="N23:O23" ca="1" si="45">INDIRECT("'Rimba Luar Jawa'!C"&amp;N33)</f>
        <v>6710.0589270875216</v>
      </c>
      <c r="O23" s="335">
        <f t="shared" ca="1" si="45"/>
        <v>7963.7125182540758</v>
      </c>
      <c r="P23" s="335">
        <f t="shared" ref="P23:R23" ca="1" si="46">INDIRECT("'Rimba Luar Jawa'!C"&amp;P33)</f>
        <v>8735.428847344423</v>
      </c>
      <c r="Q23" s="335">
        <f t="shared" ca="1" si="46"/>
        <v>11243.758774230531</v>
      </c>
      <c r="R23" s="335">
        <f t="shared" ca="1" si="46"/>
        <v>11238.552827950696</v>
      </c>
    </row>
    <row r="24" spans="1:18" x14ac:dyDescent="0.35">
      <c r="A24" s="31" t="s">
        <v>42</v>
      </c>
      <c r="B24" s="25"/>
      <c r="C24" s="173">
        <f ca="1">INDIRECT("'Rimba Luar Jawa'!D"&amp;C33)</f>
        <v>6339.2542092326739</v>
      </c>
      <c r="D24" s="173">
        <f t="shared" ref="D24:M24" ca="1" si="47">INDIRECT("'Rimba Luar Jawa'!D"&amp;D33)</f>
        <v>3562.46171903196</v>
      </c>
      <c r="E24" s="173">
        <f t="shared" ca="1" si="47"/>
        <v>1192.4421605492687</v>
      </c>
      <c r="F24" s="173">
        <f t="shared" ca="1" si="47"/>
        <v>1086.4681147073029</v>
      </c>
      <c r="G24" s="173">
        <f t="shared" ca="1" si="47"/>
        <v>1502.1811586017525</v>
      </c>
      <c r="H24" s="173">
        <f t="shared" ca="1" si="47"/>
        <v>1623.9748851136987</v>
      </c>
      <c r="I24" s="173">
        <f t="shared" ca="1" si="47"/>
        <v>2282.7541919145874</v>
      </c>
      <c r="J24" s="173">
        <f t="shared" ca="1" si="47"/>
        <v>2856.4301942103207</v>
      </c>
      <c r="K24" s="173">
        <f t="shared" ca="1" si="47"/>
        <v>1400.5665682545823</v>
      </c>
      <c r="L24" s="335">
        <f t="shared" ca="1" si="47"/>
        <v>1771.6323568141695</v>
      </c>
      <c r="M24" s="335">
        <f t="shared" ca="1" si="47"/>
        <v>3073.4150758157548</v>
      </c>
      <c r="N24" s="335">
        <f t="shared" ref="N24:O24" ca="1" si="48">INDIRECT("'Rimba Luar Jawa'!D"&amp;N33)</f>
        <v>3030.4459987498794</v>
      </c>
      <c r="O24" s="335">
        <f t="shared" ca="1" si="48"/>
        <v>1583.7310785920406</v>
      </c>
      <c r="P24" s="335">
        <f t="shared" ref="P24:R24" ca="1" si="49">INDIRECT("'Rimba Luar Jawa'!D"&amp;P33)</f>
        <v>2445.8774845760845</v>
      </c>
      <c r="Q24" s="335">
        <f t="shared" ca="1" si="49"/>
        <v>2084.9596330249205</v>
      </c>
      <c r="R24" s="335">
        <f t="shared" ca="1" si="49"/>
        <v>3714.1029541542412</v>
      </c>
    </row>
    <row r="25" spans="1:18" s="41" customFormat="1" x14ac:dyDescent="0.35">
      <c r="A25" s="42" t="s">
        <v>44</v>
      </c>
      <c r="B25" s="38"/>
      <c r="C25" s="38">
        <f t="shared" ref="C25" ca="1" si="50">SUM(C26:C27)</f>
        <v>291645.93850090483</v>
      </c>
      <c r="D25" s="38">
        <f t="shared" ref="D25:M25" ca="1" si="51">SUM(D26:D27)</f>
        <v>241721.82643542581</v>
      </c>
      <c r="E25" s="38">
        <f t="shared" ca="1" si="51"/>
        <v>80675.562918313866</v>
      </c>
      <c r="F25" s="38">
        <f t="shared" ca="1" si="51"/>
        <v>67515.570412192988</v>
      </c>
      <c r="G25" s="38">
        <f t="shared" ca="1" si="51"/>
        <v>17649.963364630861</v>
      </c>
      <c r="H25" s="38">
        <f t="shared" ca="1" si="51"/>
        <v>34627.795303299747</v>
      </c>
      <c r="I25" s="38">
        <f t="shared" ca="1" si="51"/>
        <v>95768.613970027247</v>
      </c>
      <c r="J25" s="38">
        <f t="shared" ca="1" si="51"/>
        <v>39544.9717190066</v>
      </c>
      <c r="K25" s="38">
        <f t="shared" ca="1" si="51"/>
        <v>37282.512386822658</v>
      </c>
      <c r="L25" s="334">
        <f t="shared" ca="1" si="51"/>
        <v>33789.450072696331</v>
      </c>
      <c r="M25" s="334">
        <f t="shared" ca="1" si="51"/>
        <v>88353.737117476077</v>
      </c>
      <c r="N25" s="334">
        <f t="shared" ref="N25:O25" ca="1" si="52">SUM(N26:N27)</f>
        <v>33390.310981850838</v>
      </c>
      <c r="O25" s="334">
        <f t="shared" ca="1" si="52"/>
        <v>54962.934493418506</v>
      </c>
      <c r="P25" s="334">
        <f t="shared" ref="P25:R25" ca="1" si="53">SUM(P26:P27)</f>
        <v>40420.515103399135</v>
      </c>
      <c r="Q25" s="334">
        <f t="shared" ca="1" si="53"/>
        <v>142456.77885277616</v>
      </c>
      <c r="R25" s="334">
        <f t="shared" ca="1" si="53"/>
        <v>72128.485276443535</v>
      </c>
    </row>
    <row r="26" spans="1:18" x14ac:dyDescent="0.35">
      <c r="A26" s="31" t="s">
        <v>45</v>
      </c>
      <c r="B26" s="25"/>
      <c r="C26" s="174">
        <f ca="1">INDIRECT("'Rimba Luar Jawa'!E"&amp;C33)</f>
        <v>238304.74978203065</v>
      </c>
      <c r="D26" s="174">
        <f t="shared" ref="D26:M26" ca="1" si="54">INDIRECT("'Rimba Luar Jawa'!E"&amp;D33)</f>
        <v>198877.14522003409</v>
      </c>
      <c r="E26" s="174">
        <f t="shared" ca="1" si="54"/>
        <v>68328.486823868894</v>
      </c>
      <c r="F26" s="174">
        <f t="shared" ca="1" si="54"/>
        <v>58854.326302920454</v>
      </c>
      <c r="G26" s="174">
        <f t="shared" ca="1" si="54"/>
        <v>12209.714055329105</v>
      </c>
      <c r="H26" s="174">
        <f t="shared" ca="1" si="54"/>
        <v>28047.99408700495</v>
      </c>
      <c r="I26" s="174">
        <f t="shared" ca="1" si="54"/>
        <v>89252.848206848255</v>
      </c>
      <c r="J26" s="174">
        <f t="shared" ca="1" si="54"/>
        <v>32085.240162130445</v>
      </c>
      <c r="K26" s="174">
        <f t="shared" ca="1" si="54"/>
        <v>28351.670477318745</v>
      </c>
      <c r="L26" s="336">
        <f t="shared" ca="1" si="54"/>
        <v>24729.806829162106</v>
      </c>
      <c r="M26" s="336">
        <f t="shared" ca="1" si="54"/>
        <v>76829.911869718577</v>
      </c>
      <c r="N26" s="336">
        <f t="shared" ref="N26:O26" ca="1" si="55">INDIRECT("'Rimba Luar Jawa'!E"&amp;N33)</f>
        <v>18910.744876029759</v>
      </c>
      <c r="O26" s="336">
        <f t="shared" ca="1" si="55"/>
        <v>36755.5965408349</v>
      </c>
      <c r="P26" s="336">
        <f t="shared" ref="P26:R26" ca="1" si="56">INDIRECT("'Rimba Luar Jawa'!E"&amp;P33)</f>
        <v>20333.73642782414</v>
      </c>
      <c r="Q26" s="336">
        <f t="shared" ca="1" si="56"/>
        <v>114856.59586916212</v>
      </c>
      <c r="R26" s="336">
        <f t="shared" ca="1" si="56"/>
        <v>45836.107497538978</v>
      </c>
    </row>
    <row r="27" spans="1:18" x14ac:dyDescent="0.35">
      <c r="A27" s="31" t="s">
        <v>46</v>
      </c>
      <c r="B27" s="25"/>
      <c r="C27" s="174">
        <f ca="1">INDIRECT("'Rimba Luar Jawa'!F"&amp;C33)</f>
        <v>53341.188718874204</v>
      </c>
      <c r="D27" s="174">
        <f t="shared" ref="D27:M27" ca="1" si="57">INDIRECT("'Rimba Luar Jawa'!F"&amp;D33)</f>
        <v>42844.681215391734</v>
      </c>
      <c r="E27" s="174">
        <f t="shared" ca="1" si="57"/>
        <v>12347.076094444972</v>
      </c>
      <c r="F27" s="174">
        <f t="shared" ca="1" si="57"/>
        <v>8661.2441092725385</v>
      </c>
      <c r="G27" s="174">
        <f t="shared" ca="1" si="57"/>
        <v>5440.2493093017556</v>
      </c>
      <c r="H27" s="174">
        <f t="shared" ca="1" si="57"/>
        <v>6579.8012162947998</v>
      </c>
      <c r="I27" s="174">
        <f t="shared" ca="1" si="57"/>
        <v>6515.7657631789889</v>
      </c>
      <c r="J27" s="174">
        <f t="shared" ca="1" si="57"/>
        <v>7459.7315568761587</v>
      </c>
      <c r="K27" s="174">
        <f t="shared" ca="1" si="57"/>
        <v>8930.8419095039153</v>
      </c>
      <c r="L27" s="336">
        <f t="shared" ca="1" si="57"/>
        <v>9059.6432435342213</v>
      </c>
      <c r="M27" s="336">
        <f t="shared" ca="1" si="57"/>
        <v>11523.825247757504</v>
      </c>
      <c r="N27" s="336">
        <f t="shared" ref="N27:O27" ca="1" si="58">INDIRECT("'Rimba Luar Jawa'!F"&amp;N33)</f>
        <v>14479.566105821081</v>
      </c>
      <c r="O27" s="336">
        <f t="shared" ca="1" si="58"/>
        <v>18207.337952583606</v>
      </c>
      <c r="P27" s="336">
        <f t="shared" ref="P27:R27" ca="1" si="59">INDIRECT("'Rimba Luar Jawa'!F"&amp;P33)</f>
        <v>20086.778675574995</v>
      </c>
      <c r="Q27" s="336">
        <f t="shared" ca="1" si="59"/>
        <v>27600.182983614039</v>
      </c>
      <c r="R27" s="336">
        <f t="shared" ca="1" si="59"/>
        <v>26292.37777890456</v>
      </c>
    </row>
    <row r="28" spans="1:18" x14ac:dyDescent="0.35">
      <c r="A28" s="32" t="s">
        <v>48</v>
      </c>
      <c r="B28" s="25"/>
      <c r="C28" s="177">
        <f ca="1">INDIRECT("'Rimba Luar Jawa'!G"&amp;C33)</f>
        <v>559890.0256467266</v>
      </c>
      <c r="D28" s="177">
        <f t="shared" ref="D28:M28" ca="1" si="60">INDIRECT("'Rimba Luar Jawa'!G"&amp;D33)</f>
        <v>-1495674.1535656382</v>
      </c>
      <c r="E28" s="177">
        <f t="shared" ca="1" si="60"/>
        <v>-3190985.8238849188</v>
      </c>
      <c r="F28" s="177">
        <f t="shared" ca="1" si="60"/>
        <v>-385869.81065868266</v>
      </c>
      <c r="G28" s="177">
        <f t="shared" ca="1" si="60"/>
        <v>-209537.12062761351</v>
      </c>
      <c r="H28" s="177">
        <f t="shared" ca="1" si="60"/>
        <v>50205.43651348295</v>
      </c>
      <c r="I28" s="177">
        <f t="shared" ca="1" si="60"/>
        <v>1010.5928268969017</v>
      </c>
      <c r="J28" s="177">
        <f t="shared" ca="1" si="60"/>
        <v>88431.047146468423</v>
      </c>
      <c r="K28" s="177">
        <f t="shared" ca="1" si="60"/>
        <v>97076.21565859484</v>
      </c>
      <c r="L28" s="338">
        <f t="shared" ca="1" si="60"/>
        <v>14723.432648681219</v>
      </c>
      <c r="M28" s="338">
        <f t="shared" ca="1" si="60"/>
        <v>156840.43833789375</v>
      </c>
      <c r="N28" s="338">
        <f t="shared" ref="N28:O28" ca="1" si="61">INDIRECT("'Rimba Luar Jawa'!G"&amp;N33)</f>
        <v>155363.79303684109</v>
      </c>
      <c r="O28" s="338">
        <f t="shared" ca="1" si="61"/>
        <v>181610.12600233409</v>
      </c>
      <c r="P28" s="338">
        <f t="shared" ref="P28:R28" ca="1" si="62">INDIRECT("'Rimba Luar Jawa'!G"&amp;P33)</f>
        <v>103820.42183362776</v>
      </c>
      <c r="Q28" s="338">
        <f t="shared" ca="1" si="62"/>
        <v>343137.20733146014</v>
      </c>
      <c r="R28" s="338">
        <f t="shared" ca="1" si="62"/>
        <v>95.731757545335583</v>
      </c>
    </row>
    <row r="29" spans="1:18" x14ac:dyDescent="0.35">
      <c r="A29" s="32" t="s">
        <v>49</v>
      </c>
      <c r="B29" s="25"/>
      <c r="C29" s="25">
        <f ca="1">C21+C22-C25+C28</f>
        <v>6327497.1069677994</v>
      </c>
      <c r="D29" s="25">
        <f t="shared" ref="D29:L29" ca="1" si="63">D21+D22-D25+D28</f>
        <v>4617199.8411356211</v>
      </c>
      <c r="E29" s="25">
        <f t="shared" ca="1" si="63"/>
        <v>1354056.4553810903</v>
      </c>
      <c r="F29" s="25">
        <f t="shared" ca="1" si="63"/>
        <v>906965.28666108288</v>
      </c>
      <c r="G29" s="25">
        <f t="shared" ca="1" si="63"/>
        <v>684327.2201182713</v>
      </c>
      <c r="H29" s="25">
        <f t="shared" ca="1" si="63"/>
        <v>704923.84012055967</v>
      </c>
      <c r="I29" s="25">
        <f t="shared" ca="1" si="63"/>
        <v>615856.91433012707</v>
      </c>
      <c r="J29" s="25">
        <f t="shared" ca="1" si="63"/>
        <v>671554.69020953844</v>
      </c>
      <c r="K29" s="25">
        <f t="shared" ca="1" si="63"/>
        <v>737285.35311191774</v>
      </c>
      <c r="L29" s="26">
        <f t="shared" ca="1" si="63"/>
        <v>724614.03251137922</v>
      </c>
      <c r="M29" s="26">
        <f t="shared" ref="M29:N29" ca="1" si="64">M21+M22-M25+M28</f>
        <v>801803.41830561124</v>
      </c>
      <c r="N29" s="26">
        <f t="shared" ca="1" si="64"/>
        <v>933517.40528643888</v>
      </c>
      <c r="O29" s="26">
        <f t="shared" ref="O29:P29" ca="1" si="65">O21+O22-O25+O28</f>
        <v>1069712.0403922005</v>
      </c>
      <c r="P29" s="26">
        <f t="shared" ca="1" si="65"/>
        <v>1144293.2534543495</v>
      </c>
      <c r="Q29" s="26">
        <f t="shared" ref="Q29:R29" ca="1" si="66">Q21+Q22-Q25+Q28</f>
        <v>1358302.4003402889</v>
      </c>
      <c r="R29" s="26">
        <f t="shared" ca="1" si="66"/>
        <v>1301222.3026034958</v>
      </c>
    </row>
    <row r="30" spans="1:18" ht="15" thickBot="1" x14ac:dyDescent="0.4">
      <c r="A30" s="27"/>
      <c r="B30" s="27"/>
      <c r="C30" s="27"/>
      <c r="D30" s="175">
        <f ca="1">D29-INDIRECT("'Rimba Luar Jawa'!H"&amp;D33)</f>
        <v>0</v>
      </c>
      <c r="E30" s="175">
        <f t="shared" ref="E30:N30" ca="1" si="67">E29-INDIRECT("'Rimba Luar Jawa'!H"&amp;E33)</f>
        <v>0</v>
      </c>
      <c r="F30" s="175">
        <f t="shared" ca="1" si="67"/>
        <v>0</v>
      </c>
      <c r="G30" s="175">
        <f t="shared" ca="1" si="67"/>
        <v>0</v>
      </c>
      <c r="H30" s="175">
        <f t="shared" ca="1" si="67"/>
        <v>0</v>
      </c>
      <c r="I30" s="175">
        <f t="shared" ca="1" si="67"/>
        <v>0</v>
      </c>
      <c r="J30" s="175">
        <f t="shared" ca="1" si="67"/>
        <v>0</v>
      </c>
      <c r="K30" s="175">
        <f t="shared" ca="1" si="67"/>
        <v>0</v>
      </c>
      <c r="L30" s="175">
        <f t="shared" ca="1" si="67"/>
        <v>0</v>
      </c>
      <c r="M30" s="175">
        <f t="shared" ca="1" si="67"/>
        <v>0</v>
      </c>
      <c r="N30" s="175">
        <f t="shared" ca="1" si="67"/>
        <v>0</v>
      </c>
      <c r="O30" s="175">
        <f t="shared" ref="O30:P30" ca="1" si="68">O29-INDIRECT("'Rimba Luar Jawa'!H"&amp;O33)</f>
        <v>0</v>
      </c>
      <c r="P30" s="175">
        <f t="shared" ca="1" si="68"/>
        <v>0</v>
      </c>
      <c r="Q30" s="175">
        <f t="shared" ref="Q30:R30" ca="1" si="69">Q29-INDIRECT("'Rimba Luar Jawa'!H"&amp;Q33)</f>
        <v>0</v>
      </c>
      <c r="R30" s="175">
        <f t="shared" ca="1" si="69"/>
        <v>0</v>
      </c>
    </row>
    <row r="31" spans="1:18" ht="15" thickTop="1" x14ac:dyDescent="0.35"/>
    <row r="32" spans="1:18" x14ac:dyDescent="0.35">
      <c r="A32" t="s">
        <v>112</v>
      </c>
      <c r="B32" s="259">
        <v>4</v>
      </c>
      <c r="C32">
        <f>B32+1</f>
        <v>5</v>
      </c>
      <c r="D32">
        <f t="shared" ref="D32:P33" si="70">C32+1</f>
        <v>6</v>
      </c>
      <c r="E32">
        <f t="shared" si="70"/>
        <v>7</v>
      </c>
      <c r="F32">
        <f t="shared" si="70"/>
        <v>8</v>
      </c>
      <c r="G32">
        <f t="shared" si="70"/>
        <v>9</v>
      </c>
      <c r="H32">
        <f t="shared" si="70"/>
        <v>10</v>
      </c>
      <c r="I32">
        <f t="shared" si="70"/>
        <v>11</v>
      </c>
      <c r="J32">
        <f t="shared" si="70"/>
        <v>12</v>
      </c>
      <c r="K32">
        <f t="shared" si="70"/>
        <v>13</v>
      </c>
      <c r="L32">
        <f t="shared" si="70"/>
        <v>14</v>
      </c>
      <c r="M32">
        <f t="shared" si="70"/>
        <v>15</v>
      </c>
      <c r="N32">
        <f t="shared" si="70"/>
        <v>16</v>
      </c>
      <c r="O32">
        <f t="shared" si="70"/>
        <v>17</v>
      </c>
      <c r="P32">
        <f t="shared" si="70"/>
        <v>18</v>
      </c>
      <c r="Q32">
        <f t="shared" ref="Q32:Q33" si="71">P32+1</f>
        <v>19</v>
      </c>
      <c r="R32">
        <f t="shared" ref="R32:R33" si="72">Q32+1</f>
        <v>20</v>
      </c>
    </row>
    <row r="33" spans="1:18" x14ac:dyDescent="0.35">
      <c r="A33" t="s">
        <v>113</v>
      </c>
      <c r="C33" s="259">
        <v>46</v>
      </c>
      <c r="D33">
        <f>C33+1</f>
        <v>47</v>
      </c>
      <c r="E33">
        <f t="shared" si="70"/>
        <v>48</v>
      </c>
      <c r="F33">
        <f t="shared" si="70"/>
        <v>49</v>
      </c>
      <c r="G33">
        <f t="shared" si="70"/>
        <v>50</v>
      </c>
      <c r="H33">
        <f t="shared" si="70"/>
        <v>51</v>
      </c>
      <c r="I33">
        <f t="shared" si="70"/>
        <v>52</v>
      </c>
      <c r="J33">
        <f t="shared" si="70"/>
        <v>53</v>
      </c>
      <c r="K33">
        <f t="shared" si="70"/>
        <v>54</v>
      </c>
      <c r="L33">
        <f t="shared" si="70"/>
        <v>55</v>
      </c>
      <c r="M33">
        <f t="shared" si="70"/>
        <v>56</v>
      </c>
      <c r="N33">
        <f t="shared" si="70"/>
        <v>57</v>
      </c>
      <c r="O33">
        <f t="shared" si="70"/>
        <v>58</v>
      </c>
      <c r="P33">
        <f t="shared" si="70"/>
        <v>59</v>
      </c>
      <c r="Q33">
        <f t="shared" si="71"/>
        <v>60</v>
      </c>
      <c r="R33">
        <f t="shared" si="72"/>
        <v>61</v>
      </c>
    </row>
  </sheetData>
  <mergeCells count="20">
    <mergeCell ref="Q4:Q5"/>
    <mergeCell ref="R4:R5"/>
    <mergeCell ref="P4:P5"/>
    <mergeCell ref="J4:J5"/>
    <mergeCell ref="O4:O5"/>
    <mergeCell ref="N4:N5"/>
    <mergeCell ref="M4:M5"/>
    <mergeCell ref="D4:D5"/>
    <mergeCell ref="K4:K5"/>
    <mergeCell ref="L4:L5"/>
    <mergeCell ref="E4:E5"/>
    <mergeCell ref="A1:B1"/>
    <mergeCell ref="A2:B2"/>
    <mergeCell ref="A4:A5"/>
    <mergeCell ref="B4:B5"/>
    <mergeCell ref="C4:C5"/>
    <mergeCell ref="F4:F5"/>
    <mergeCell ref="G4:G5"/>
    <mergeCell ref="H4:H5"/>
    <mergeCell ref="I4:I5"/>
  </mergeCells>
  <pageMargins left="0.7" right="0.7" top="0.75" bottom="0.75" header="0.3" footer="0.3"/>
  <pageSetup scale="4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46"/>
  <sheetViews>
    <sheetView showGridLines="0" zoomScale="90" zoomScaleNormal="90" zoomScaleSheetLayoutView="55" workbookViewId="0">
      <pane xSplit="1" ySplit="2" topLeftCell="B3" activePane="bottomRight" state="frozen"/>
      <selection activeCell="C14" sqref="C14"/>
      <selection pane="topRight" activeCell="C14" sqref="C14"/>
      <selection pane="bottomLeft" activeCell="C14" sqref="C14"/>
      <selection pane="bottomRight" activeCell="C1" sqref="C1"/>
    </sheetView>
  </sheetViews>
  <sheetFormatPr defaultColWidth="9.1796875" defaultRowHeight="14.5" x14ac:dyDescent="0.35"/>
  <cols>
    <col min="1" max="1" width="9.1796875" style="47"/>
    <col min="2" max="2" width="16.6328125" style="47" customWidth="1"/>
    <col min="3" max="3" width="15" style="47" customWidth="1"/>
    <col min="4" max="4" width="14.81640625" style="47" customWidth="1"/>
    <col min="5" max="5" width="15" style="47" customWidth="1"/>
    <col min="6" max="6" width="15.453125" style="47" customWidth="1"/>
    <col min="7" max="7" width="14.81640625" style="47" customWidth="1"/>
    <col min="8" max="8" width="14.453125" style="47" customWidth="1"/>
    <col min="9" max="9" width="15.6328125" style="47" customWidth="1"/>
    <col min="10" max="10" width="14.1796875" bestFit="1" customWidth="1"/>
    <col min="11" max="11" width="10" bestFit="1" customWidth="1"/>
    <col min="12" max="17" width="8.6328125"/>
    <col min="18" max="18" width="5.453125" style="47" customWidth="1"/>
    <col min="19" max="19" width="9.1796875" style="47"/>
    <col min="20" max="43" width="8.6328125" customWidth="1"/>
    <col min="44" max="16384" width="9.1796875" style="47"/>
  </cols>
  <sheetData>
    <row r="1" spans="1:18" x14ac:dyDescent="0.35">
      <c r="A1" s="46" t="s">
        <v>39</v>
      </c>
    </row>
    <row r="2" spans="1:18" ht="40.5" customHeight="1" x14ac:dyDescent="0.35">
      <c r="A2" s="15" t="s">
        <v>8</v>
      </c>
      <c r="B2" s="17" t="s">
        <v>22</v>
      </c>
      <c r="C2" s="17" t="s">
        <v>23</v>
      </c>
      <c r="D2" s="17" t="s">
        <v>24</v>
      </c>
      <c r="E2" s="17" t="s">
        <v>25</v>
      </c>
      <c r="F2" s="17" t="s">
        <v>26</v>
      </c>
      <c r="G2" s="17" t="s">
        <v>27</v>
      </c>
      <c r="H2" s="73" t="s">
        <v>15</v>
      </c>
      <c r="I2" s="101" t="s">
        <v>71</v>
      </c>
      <c r="J2" s="101" t="s">
        <v>70</v>
      </c>
      <c r="R2" s="46"/>
    </row>
    <row r="3" spans="1:18" x14ac:dyDescent="0.35">
      <c r="A3" s="12">
        <v>2008</v>
      </c>
      <c r="B3" s="48">
        <f>'Jati Jawa'!B4+'Rimba Jawa'!B4+'Rimba Luar Jawa'!B4</f>
        <v>6941231.3149276897</v>
      </c>
      <c r="C3" s="48">
        <f>'Jati Jawa'!C4+'Rimba Jawa'!C4+'Rimba Luar Jawa'!C4</f>
        <v>50170.416650760002</v>
      </c>
      <c r="D3" s="48">
        <f>'Jati Jawa'!D4+'Rimba Jawa'!D4+'Rimba Luar Jawa'!D4</f>
        <v>8137.2246285166129</v>
      </c>
      <c r="E3" s="48">
        <f>'Jati Jawa'!E4+'Rimba Jawa'!E4+'Rimba Luar Jawa'!E4</f>
        <v>207360.79603614245</v>
      </c>
      <c r="F3" s="48">
        <f>'Jati Jawa'!F4+'Rimba Jawa'!F4+'Rimba Luar Jawa'!F4</f>
        <v>49605.554425640374</v>
      </c>
      <c r="G3" s="48">
        <f>'Jati Jawa'!G4+'Rimba Jawa'!G4+'Rimba Luar Jawa'!G4</f>
        <v>6742572.6057451833</v>
      </c>
      <c r="H3" s="74">
        <f t="shared" ref="H3:H11" si="0">G3/F3</f>
        <v>135.92374248840264</v>
      </c>
      <c r="I3" s="2"/>
      <c r="J3" s="2">
        <f t="shared" ref="J3:J8" si="1">B3+C3+D3-E3-F3-G3</f>
        <v>0</v>
      </c>
    </row>
    <row r="4" spans="1:18" x14ac:dyDescent="0.35">
      <c r="A4" s="12">
        <v>2009</v>
      </c>
      <c r="B4" s="48">
        <f>'Jati Jawa'!B5+'Rimba Jawa'!B5+'Rimba Luar Jawa'!B5</f>
        <v>6742572.6057451833</v>
      </c>
      <c r="C4" s="48">
        <f>'Jati Jawa'!C5+'Rimba Jawa'!C5+'Rimba Luar Jawa'!C5</f>
        <v>51261.333912494134</v>
      </c>
      <c r="D4" s="48">
        <f>'Jati Jawa'!D5+'Rimba Jawa'!D5+'Rimba Luar Jawa'!D5</f>
        <v>6148.9568817272393</v>
      </c>
      <c r="E4" s="48">
        <f>'Jati Jawa'!E5+'Rimba Jawa'!E5+'Rimba Luar Jawa'!E5</f>
        <v>227997.26481064648</v>
      </c>
      <c r="F4" s="48">
        <f>'Jati Jawa'!F5+'Rimba Jawa'!F5+'Rimba Luar Jawa'!F5</f>
        <v>51890.421428016263</v>
      </c>
      <c r="G4" s="48">
        <f>'Jati Jawa'!G5+'Rimba Jawa'!G5+'Rimba Luar Jawa'!G5</f>
        <v>6520095.2103007417</v>
      </c>
      <c r="H4" s="74">
        <f t="shared" si="0"/>
        <v>125.65122870211387</v>
      </c>
      <c r="I4" s="2">
        <f t="shared" ref="I4:I12" si="2">G4/G3*100-100</f>
        <v>-3.2995921357209284</v>
      </c>
      <c r="J4" s="2">
        <f t="shared" si="1"/>
        <v>0</v>
      </c>
    </row>
    <row r="5" spans="1:18" x14ac:dyDescent="0.35">
      <c r="A5" s="12">
        <v>2010</v>
      </c>
      <c r="B5" s="48">
        <f>'Jati Jawa'!B6+'Rimba Jawa'!B6+'Rimba Luar Jawa'!B6</f>
        <v>6520095.2103007417</v>
      </c>
      <c r="C5" s="48">
        <f>'Jati Jawa'!C6+'Rimba Jawa'!C6+'Rimba Luar Jawa'!C6</f>
        <v>50866.65119418659</v>
      </c>
      <c r="D5" s="48">
        <f>'Jati Jawa'!D6+'Rimba Jawa'!D6+'Rimba Luar Jawa'!D6</f>
        <v>4580.2792971742019</v>
      </c>
      <c r="E5" s="48">
        <f>'Jati Jawa'!E6+'Rimba Jawa'!E6+'Rimba Luar Jawa'!E6</f>
        <v>249399.68605971162</v>
      </c>
      <c r="F5" s="48">
        <f>'Jati Jawa'!F6+'Rimba Jawa'!F6+'Rimba Luar Jawa'!F6</f>
        <v>54440.396785007055</v>
      </c>
      <c r="G5" s="48">
        <f>'Jati Jawa'!G6+'Rimba Jawa'!G6+'Rimba Luar Jawa'!G6</f>
        <v>6271702.0579473842</v>
      </c>
      <c r="H5" s="74">
        <f t="shared" si="0"/>
        <v>115.20309234179972</v>
      </c>
      <c r="I5" s="2">
        <f t="shared" si="2"/>
        <v>-3.8096552940045285</v>
      </c>
      <c r="J5" s="2">
        <f t="shared" si="1"/>
        <v>0</v>
      </c>
    </row>
    <row r="6" spans="1:18" x14ac:dyDescent="0.35">
      <c r="A6" s="12">
        <v>2011</v>
      </c>
      <c r="B6" s="48">
        <f>'Jati Jawa'!B7+'Rimba Jawa'!B7+'Rimba Luar Jawa'!B7</f>
        <v>6271702.0579473842</v>
      </c>
      <c r="C6" s="48">
        <f>'Jati Jawa'!C7+'Rimba Jawa'!C7+'Rimba Luar Jawa'!C7</f>
        <v>51448.149614356968</v>
      </c>
      <c r="D6" s="48">
        <f>'Jati Jawa'!D7+'Rimba Jawa'!D7+'Rimba Luar Jawa'!D7</f>
        <v>4895.5931058001479</v>
      </c>
      <c r="E6" s="48">
        <f>'Jati Jawa'!E7+'Rimba Jawa'!E7+'Rimba Luar Jawa'!E7</f>
        <v>278383.26372461655</v>
      </c>
      <c r="F6" s="48">
        <f>'Jati Jawa'!F7+'Rimba Jawa'!F7+'Rimba Luar Jawa'!F7</f>
        <v>50929.868955743776</v>
      </c>
      <c r="G6" s="48">
        <f>'Jati Jawa'!G7+'Rimba Jawa'!G7+'Rimba Luar Jawa'!G7</f>
        <v>5998732.6679871827</v>
      </c>
      <c r="H6" s="74">
        <f t="shared" si="0"/>
        <v>117.7841763779103</v>
      </c>
      <c r="I6" s="2">
        <f t="shared" si="2"/>
        <v>-4.3523972828763391</v>
      </c>
      <c r="J6" s="2">
        <f t="shared" si="1"/>
        <v>0</v>
      </c>
    </row>
    <row r="7" spans="1:18" x14ac:dyDescent="0.35">
      <c r="A7" s="12">
        <v>2012</v>
      </c>
      <c r="B7" s="48">
        <f>'Jati Jawa'!B8+'Rimba Jawa'!B8+'Rimba Luar Jawa'!B8</f>
        <v>5998732.6679871827</v>
      </c>
      <c r="C7" s="48">
        <f>'Jati Jawa'!C8+'Rimba Jawa'!C8+'Rimba Luar Jawa'!C8</f>
        <v>52887.13322963145</v>
      </c>
      <c r="D7" s="48">
        <f>'Jati Jawa'!D8+'Rimba Jawa'!D8+'Rimba Luar Jawa'!D8</f>
        <v>6204.4543899184036</v>
      </c>
      <c r="E7" s="48">
        <f>'Jati Jawa'!E8+'Rimba Jawa'!E8+'Rimba Luar Jawa'!E8</f>
        <v>337879.87410877598</v>
      </c>
      <c r="F7" s="48">
        <f>'Jati Jawa'!F8+'Rimba Jawa'!F8+'Rimba Luar Jawa'!F8</f>
        <v>49943.140605893554</v>
      </c>
      <c r="G7" s="48">
        <f>'Jati Jawa'!G8+'Rimba Jawa'!G8+'Rimba Luar Jawa'!G8</f>
        <v>5670001.2408920629</v>
      </c>
      <c r="H7" s="74">
        <f t="shared" si="0"/>
        <v>113.52912876734413</v>
      </c>
      <c r="I7" s="2">
        <f t="shared" si="2"/>
        <v>-5.4800146179113369</v>
      </c>
      <c r="J7" s="2">
        <f>B7+C7+D7-E7-F7-G7</f>
        <v>0</v>
      </c>
    </row>
    <row r="8" spans="1:18" x14ac:dyDescent="0.35">
      <c r="A8" s="155">
        <v>2013</v>
      </c>
      <c r="B8" s="169">
        <f>'Jati Jawa'!B9+'Rimba Jawa'!B9+'Rimba Luar Jawa'!B9</f>
        <v>5670001.2408920629</v>
      </c>
      <c r="C8" s="169">
        <f>'Jati Jawa'!C9+'Rimba Jawa'!C9+'Rimba Luar Jawa'!C9</f>
        <v>58651.074841135232</v>
      </c>
      <c r="D8" s="169">
        <f>'Jati Jawa'!D9+'Rimba Jawa'!D9+'Rimba Luar Jawa'!D9</f>
        <v>11106.951167862293</v>
      </c>
      <c r="E8" s="169">
        <f>'Jati Jawa'!E9+'Rimba Jawa'!E9+'Rimba Luar Jawa'!E9</f>
        <v>92474.44441363198</v>
      </c>
      <c r="F8" s="169">
        <f>'Jati Jawa'!F9+'Rimba Jawa'!F9+'Rimba Luar Jawa'!F9</f>
        <v>40991.686530172454</v>
      </c>
      <c r="G8" s="169">
        <f>'Jati Jawa'!G9+'Rimba Jawa'!G9+'Rimba Luar Jawa'!G9</f>
        <v>5606293.135957256</v>
      </c>
      <c r="H8" s="74">
        <f t="shared" si="0"/>
        <v>136.7665888016262</v>
      </c>
      <c r="I8" s="158">
        <f t="shared" si="2"/>
        <v>-1.1235994883977014</v>
      </c>
      <c r="J8" s="158">
        <f t="shared" si="1"/>
        <v>0</v>
      </c>
      <c r="K8">
        <f>G8/G7*100-100</f>
        <v>-1.1235994883977014</v>
      </c>
    </row>
    <row r="9" spans="1:18" x14ac:dyDescent="0.35">
      <c r="A9" s="155">
        <v>2014</v>
      </c>
      <c r="B9" s="169">
        <f>'Jati Jawa'!B10+'Rimba Jawa'!B10+'Rimba Luar Jawa'!B10</f>
        <v>5606293.135957256</v>
      </c>
      <c r="C9" s="169">
        <f>'Jati Jawa'!C10+'Rimba Jawa'!C10+'Rimba Luar Jawa'!C10</f>
        <v>46687.165089802118</v>
      </c>
      <c r="D9" s="169">
        <f>'Jati Jawa'!D10+'Rimba Jawa'!D10+'Rimba Luar Jawa'!D10</f>
        <v>11194.955628775602</v>
      </c>
      <c r="E9" s="169">
        <f>'Jati Jawa'!E10+'Rimba Jawa'!E10+'Rimba Luar Jawa'!E10</f>
        <v>194261.59657411682</v>
      </c>
      <c r="F9" s="169">
        <f>'Jati Jawa'!F10+'Rimba Jawa'!F10+'Rimba Luar Jawa'!F10</f>
        <v>46031.250225351199</v>
      </c>
      <c r="G9" s="169">
        <f>'Jati Jawa'!G10+'Rimba Jawa'!G10+'Rimba Luar Jawa'!G10</f>
        <v>5423882.4098763661</v>
      </c>
      <c r="H9" s="74">
        <f t="shared" si="0"/>
        <v>117.83043874157525</v>
      </c>
      <c r="I9" s="158">
        <f t="shared" si="2"/>
        <v>-3.2536779946620413</v>
      </c>
      <c r="J9" s="158">
        <f>B9+C9+D9-E9-F9-G9</f>
        <v>0</v>
      </c>
      <c r="K9">
        <f t="shared" ref="K9:K11" si="3">G9/G8*100-100</f>
        <v>-3.2536779946620413</v>
      </c>
    </row>
    <row r="10" spans="1:18" x14ac:dyDescent="0.35">
      <c r="A10" s="102">
        <v>2015</v>
      </c>
      <c r="B10" s="121">
        <f>'Jati Jawa'!B11+'Rimba Jawa'!B11+'Rimba Luar Jawa'!B11</f>
        <v>5423882.4098763661</v>
      </c>
      <c r="C10" s="121">
        <f>'Jati Jawa'!C11+'Rimba Jawa'!C11+'Rimba Luar Jawa'!C11</f>
        <v>46799.570508741323</v>
      </c>
      <c r="D10" s="121">
        <f>'Jati Jawa'!D11+'Rimba Jawa'!D11+'Rimba Luar Jawa'!D11</f>
        <v>15687.855891145524</v>
      </c>
      <c r="E10" s="121">
        <f>'Jati Jawa'!E11+'Rimba Jawa'!E11+'Rimba Luar Jawa'!E11</f>
        <v>613364.47576151264</v>
      </c>
      <c r="F10" s="121">
        <f>'Jati Jawa'!F11+'Rimba Jawa'!F11+'Rimba Luar Jawa'!F11</f>
        <v>45400.908019806826</v>
      </c>
      <c r="G10" s="121">
        <f>'Jati Jawa'!G11+'Rimba Jawa'!G11+'Rimba Luar Jawa'!G11</f>
        <v>4827604.4524949323</v>
      </c>
      <c r="H10" s="123">
        <f t="shared" si="0"/>
        <v>106.33277313283729</v>
      </c>
      <c r="I10" s="105">
        <f t="shared" si="2"/>
        <v>-10.993563508966744</v>
      </c>
      <c r="J10" s="105">
        <f>B10+C10+D10-E10-F10-G10</f>
        <v>0</v>
      </c>
      <c r="K10">
        <f t="shared" si="3"/>
        <v>-10.993563508966744</v>
      </c>
    </row>
    <row r="11" spans="1:18" x14ac:dyDescent="0.35">
      <c r="A11" s="102">
        <v>2016</v>
      </c>
      <c r="B11" s="121">
        <f>'Jati Jawa'!B12+'Rimba Jawa'!B12+'Rimba Luar Jawa'!B12</f>
        <v>4827604.4524949323</v>
      </c>
      <c r="C11" s="121">
        <f>'Jati Jawa'!C12+'Rimba Jawa'!C12+'Rimba Luar Jawa'!C12</f>
        <v>39130.338927425328</v>
      </c>
      <c r="D11" s="121">
        <f>'Jati Jawa'!D12+'Rimba Jawa'!D12+'Rimba Luar Jawa'!D12</f>
        <v>17114.781926880001</v>
      </c>
      <c r="E11" s="121">
        <f>'Jati Jawa'!E12+'Rimba Jawa'!E12+'Rimba Luar Jawa'!E12</f>
        <v>193747.58320447133</v>
      </c>
      <c r="F11" s="121">
        <f>'Jati Jawa'!F12+'Rimba Jawa'!F12+'Rimba Luar Jawa'!F12</f>
        <v>45208.181410318357</v>
      </c>
      <c r="G11" s="121">
        <f>'Jati Jawa'!G12+'Rimba Jawa'!G12+'Rimba Luar Jawa'!G12</f>
        <v>4644893.8087344477</v>
      </c>
      <c r="H11" s="123">
        <f t="shared" si="0"/>
        <v>102.74454012154297</v>
      </c>
      <c r="I11" s="105">
        <f t="shared" si="2"/>
        <v>-3.7847061738055032</v>
      </c>
      <c r="J11" s="105">
        <f>B11+C11+D11-E11-F11-G11</f>
        <v>0</v>
      </c>
      <c r="K11">
        <f t="shared" si="3"/>
        <v>-3.7847061738055032</v>
      </c>
    </row>
    <row r="12" spans="1:18" x14ac:dyDescent="0.35">
      <c r="A12" s="106">
        <v>2017</v>
      </c>
      <c r="B12" s="121">
        <f>'Jati Jawa'!B13+'Rimba Jawa'!B13+'Rimba Luar Jawa'!B13</f>
        <v>4644893.8087344477</v>
      </c>
      <c r="C12" s="121">
        <f>'Jati Jawa'!C13+'Rimba Jawa'!C13+'Rimba Luar Jawa'!C13</f>
        <v>39323.954805223388</v>
      </c>
      <c r="D12" s="121">
        <f>'Jati Jawa'!D13+'Rimba Jawa'!D13+'Rimba Luar Jawa'!D13</f>
        <v>7358.6197721330191</v>
      </c>
      <c r="E12" s="121">
        <f>'Jati Jawa'!E13+'Rimba Jawa'!E13+'Rimba Luar Jawa'!E13</f>
        <v>150327.38829896599</v>
      </c>
      <c r="F12" s="121">
        <f>'Jati Jawa'!F13+'Rimba Jawa'!F13+'Rimba Luar Jawa'!F13</f>
        <v>47350.504407325614</v>
      </c>
      <c r="G12" s="121">
        <f>'Jati Jawa'!G13+'Rimba Jawa'!G13+'Rimba Luar Jawa'!G13</f>
        <v>4493898.4906055126</v>
      </c>
      <c r="H12" s="123">
        <f t="shared" ref="H12" si="4">G12/F12</f>
        <v>94.907088041711759</v>
      </c>
      <c r="I12" s="105">
        <f t="shared" si="2"/>
        <v>-3.2507808433638985</v>
      </c>
      <c r="J12" s="105">
        <f>B12+C12+D12-E12-F12-G12</f>
        <v>0</v>
      </c>
      <c r="K12">
        <f t="shared" ref="K12:K17" si="5">G12/G11*100-100</f>
        <v>-3.2507808433638985</v>
      </c>
    </row>
    <row r="13" spans="1:18" x14ac:dyDescent="0.35">
      <c r="A13" s="106">
        <v>2018</v>
      </c>
      <c r="B13" s="121">
        <f>'Jati Jawa'!B14+'Rimba Jawa'!B14+'Rimba Luar Jawa'!B14</f>
        <v>4493898.4906055126</v>
      </c>
      <c r="C13" s="121">
        <f>'Jati Jawa'!C14+'Rimba Jawa'!C14+'Rimba Luar Jawa'!C14</f>
        <v>39685.752055844685</v>
      </c>
      <c r="D13" s="121">
        <f>'Jati Jawa'!D14+'Rimba Jawa'!D14+'Rimba Luar Jawa'!D14</f>
        <v>9119.8911611775893</v>
      </c>
      <c r="E13" s="121">
        <f>'Jati Jawa'!E14+'Rimba Jawa'!E14+'Rimba Luar Jawa'!E14</f>
        <v>129001.63082725217</v>
      </c>
      <c r="F13" s="121">
        <f>'Jati Jawa'!F14+'Rimba Jawa'!F14+'Rimba Luar Jawa'!F14</f>
        <v>47270.063282709139</v>
      </c>
      <c r="G13" s="121">
        <f>'Jati Jawa'!G14+'Rimba Jawa'!G14+'Rimba Luar Jawa'!G14</f>
        <v>4366432.4397125738</v>
      </c>
      <c r="H13" s="123">
        <f t="shared" ref="H13" si="6">G13/F13</f>
        <v>92.37204557138314</v>
      </c>
      <c r="I13" s="105">
        <f t="shared" ref="I13" si="7">G13/G12*100-100</f>
        <v>-2.8364247915124565</v>
      </c>
      <c r="J13" s="105">
        <f t="shared" ref="J13" si="8">B13+C13+D13-E13-F13-G13</f>
        <v>0</v>
      </c>
      <c r="K13">
        <f t="shared" si="5"/>
        <v>-2.8364247915124565</v>
      </c>
    </row>
    <row r="14" spans="1:18" x14ac:dyDescent="0.35">
      <c r="A14" s="106">
        <v>2019</v>
      </c>
      <c r="B14" s="121">
        <f>'Jati Jawa'!B15+'Rimba Jawa'!B15+'Rimba Luar Jawa'!B15</f>
        <v>4366432.4397125738</v>
      </c>
      <c r="C14" s="121">
        <f>'Jati Jawa'!C15+'Rimba Jawa'!C15+'Rimba Luar Jawa'!C15</f>
        <v>39539.544512117682</v>
      </c>
      <c r="D14" s="121">
        <f>'Jati Jawa'!D15+'Rimba Jawa'!D15+'Rimba Luar Jawa'!D15</f>
        <v>13004.311467866146</v>
      </c>
      <c r="E14" s="121">
        <f>'Jati Jawa'!E15+'Rimba Jawa'!E15+'Rimba Luar Jawa'!E15</f>
        <v>325905.33816145471</v>
      </c>
      <c r="F14" s="121">
        <f>'Jati Jawa'!F15+'Rimba Jawa'!F15+'Rimba Luar Jawa'!F15</f>
        <v>49365.234439174732</v>
      </c>
      <c r="G14" s="121">
        <f>'Jati Jawa'!G15+'Rimba Jawa'!G15+'Rimba Luar Jawa'!G15</f>
        <v>4043705.7230919283</v>
      </c>
      <c r="H14" s="123">
        <f t="shared" ref="H14" si="9">G14/F14</f>
        <v>81.914038675829076</v>
      </c>
      <c r="I14" s="105">
        <f t="shared" ref="I14" si="10">G14/G13*100-100</f>
        <v>-7.3910846228938567</v>
      </c>
      <c r="J14" s="105">
        <f t="shared" ref="J14:J19" si="11">B14+C14+D14-E14-F14-G14</f>
        <v>0</v>
      </c>
      <c r="K14">
        <f t="shared" si="5"/>
        <v>-7.3910846228938567</v>
      </c>
    </row>
    <row r="15" spans="1:18" x14ac:dyDescent="0.35">
      <c r="A15" s="106">
        <v>2020</v>
      </c>
      <c r="B15" s="121">
        <f>'Jati Jawa'!B16+'Rimba Jawa'!B16+'Rimba Luar Jawa'!B16</f>
        <v>4043705.7230919283</v>
      </c>
      <c r="C15" s="121">
        <f>'Jati Jawa'!C16+'Rimba Jawa'!C16+'Rimba Luar Jawa'!C16</f>
        <v>34282.64867011951</v>
      </c>
      <c r="D15" s="121">
        <f>'Jati Jawa'!D16+'Rimba Jawa'!D16+'Rimba Luar Jawa'!D16</f>
        <v>10760.19887123783</v>
      </c>
      <c r="E15" s="121">
        <f>'Jati Jawa'!E16+'Rimba Jawa'!E16+'Rimba Luar Jawa'!E16</f>
        <v>68470.120179331003</v>
      </c>
      <c r="F15" s="121">
        <f>'Jati Jawa'!F16+'Rimba Jawa'!F16+'Rimba Luar Jawa'!F16</f>
        <v>51980.746306073816</v>
      </c>
      <c r="G15" s="121">
        <f>'Jati Jawa'!G16+'Rimba Jawa'!G16+'Rimba Luar Jawa'!G16</f>
        <v>3968297.7041478818</v>
      </c>
      <c r="H15" s="123">
        <f t="shared" ref="H15" si="12">G15/F15</f>
        <v>76.341683914688161</v>
      </c>
      <c r="I15" s="105">
        <f t="shared" ref="I15" si="13">G15/G14*100-100</f>
        <v>-1.8648245967411157</v>
      </c>
      <c r="J15" s="105">
        <f t="shared" si="11"/>
        <v>0</v>
      </c>
      <c r="K15">
        <f t="shared" si="5"/>
        <v>-1.8648245967411157</v>
      </c>
    </row>
    <row r="16" spans="1:18" x14ac:dyDescent="0.35">
      <c r="A16" s="106">
        <v>2021</v>
      </c>
      <c r="B16" s="121">
        <f>'Jati Jawa'!B17+'Rimba Jawa'!B17+'Rimba Luar Jawa'!B17</f>
        <v>3968297.7041478818</v>
      </c>
      <c r="C16" s="121">
        <f>'Jati Jawa'!C17+'Rimba Jawa'!C17+'Rimba Luar Jawa'!C17</f>
        <v>34157.5529264664</v>
      </c>
      <c r="D16" s="121">
        <f>'Jati Jawa'!D17+'Rimba Jawa'!D17+'Rimba Luar Jawa'!D17</f>
        <v>4748.4949332777287</v>
      </c>
      <c r="E16" s="121">
        <f>'Jati Jawa'!E17+'Rimba Jawa'!E17+'Rimba Luar Jawa'!E17</f>
        <v>109629.57839862151</v>
      </c>
      <c r="F16" s="121">
        <f>'Jati Jawa'!F17+'Rimba Jawa'!F17+'Rimba Luar Jawa'!F17</f>
        <v>54813.235412652037</v>
      </c>
      <c r="G16" s="121">
        <f>'Jati Jawa'!G17+'Rimba Jawa'!G17+'Rimba Luar Jawa'!G17</f>
        <v>3842760.9381963522</v>
      </c>
      <c r="H16" s="123">
        <f t="shared" ref="H16" si="14">G16/F16</f>
        <v>70.106442527371101</v>
      </c>
      <c r="I16" s="105">
        <f t="shared" ref="I16" si="15">G16/G15*100-100</f>
        <v>-3.1634916357286329</v>
      </c>
      <c r="J16" s="105">
        <f t="shared" si="11"/>
        <v>0</v>
      </c>
      <c r="K16">
        <f t="shared" si="5"/>
        <v>-3.1634916357286329</v>
      </c>
    </row>
    <row r="17" spans="1:11" x14ac:dyDescent="0.35">
      <c r="A17" s="106">
        <v>2022</v>
      </c>
      <c r="B17" s="121">
        <f>'Jati Jawa'!B18+'Rimba Jawa'!B18+'Rimba Luar Jawa'!B18</f>
        <v>3842760.9381963522</v>
      </c>
      <c r="C17" s="121">
        <f>'Jati Jawa'!C18+'Rimba Jawa'!C18+'Rimba Luar Jawa'!C18</f>
        <v>33987.370240659839</v>
      </c>
      <c r="D17" s="121">
        <f>'Jati Jawa'!D18+'Rimba Jawa'!D18+'Rimba Luar Jawa'!D18</f>
        <v>6631.7193548072482</v>
      </c>
      <c r="E17" s="121">
        <f>'Jati Jawa'!E18+'Rimba Jawa'!E18+'Rimba Luar Jawa'!E18</f>
        <v>55997.209699363979</v>
      </c>
      <c r="F17" s="121">
        <f>'Jati Jawa'!F18+'Rimba Jawa'!F18+'Rimba Luar Jawa'!F18</f>
        <v>55055.541259678721</v>
      </c>
      <c r="G17" s="121">
        <f>'Jati Jawa'!G18+'Rimba Jawa'!G18+'Rimba Luar Jawa'!G18</f>
        <v>3772327.2768327771</v>
      </c>
      <c r="H17" s="123">
        <f t="shared" ref="H17:H18" si="16">G17/F17</f>
        <v>68.518575796756963</v>
      </c>
      <c r="I17" s="105">
        <f t="shared" ref="I17:I18" si="17">G17/G16*100-100</f>
        <v>-1.8328920923359391</v>
      </c>
      <c r="J17" s="105">
        <f t="shared" si="11"/>
        <v>0</v>
      </c>
      <c r="K17">
        <f t="shared" si="5"/>
        <v>-1.8328920923359391</v>
      </c>
    </row>
    <row r="18" spans="1:11" x14ac:dyDescent="0.35">
      <c r="A18" s="106">
        <v>2023</v>
      </c>
      <c r="B18" s="121">
        <f>'Jati Jawa'!B19+'Rimba Jawa'!B19+'Rimba Luar Jawa'!B19</f>
        <v>3772327.2768327771</v>
      </c>
      <c r="C18" s="121">
        <f>'Jati Jawa'!C19+'Rimba Jawa'!C19+'Rimba Luar Jawa'!C19</f>
        <v>46581.601407677124</v>
      </c>
      <c r="D18" s="121">
        <f>'Jati Jawa'!D19+'Rimba Jawa'!D19+'Rimba Luar Jawa'!D19</f>
        <v>4360.2023528424679</v>
      </c>
      <c r="E18" s="121">
        <f>'Jati Jawa'!E19+'Rimba Jawa'!E19+'Rimba Luar Jawa'!E19</f>
        <v>239754.9590897297</v>
      </c>
      <c r="F18" s="121">
        <f>'Jati Jawa'!F19+'Rimba Jawa'!F19+'Rimba Luar Jawa'!F19</f>
        <v>58134.88215076855</v>
      </c>
      <c r="G18" s="121">
        <f>'Jati Jawa'!G19+'Rimba Jawa'!G19+'Rimba Luar Jawa'!G19</f>
        <v>3525379.2393527976</v>
      </c>
      <c r="H18" s="123">
        <f t="shared" si="16"/>
        <v>60.641375864665648</v>
      </c>
      <c r="I18" s="105">
        <f t="shared" si="17"/>
        <v>-6.5463046909152496</v>
      </c>
      <c r="J18" s="105">
        <f t="shared" si="11"/>
        <v>0</v>
      </c>
      <c r="K18">
        <f t="shared" ref="K18:K19" si="18">G18/G17*100-100</f>
        <v>-6.5463046909152496</v>
      </c>
    </row>
    <row r="19" spans="1:11" x14ac:dyDescent="0.35">
      <c r="A19" s="106">
        <v>2024</v>
      </c>
      <c r="B19" s="121">
        <f>'Jati Jawa'!B20+'Rimba Jawa'!B20+'Rimba Luar Jawa'!B20</f>
        <v>3525379.2393527976</v>
      </c>
      <c r="C19" s="121">
        <f>'Jati Jawa'!C20+'Rimba Jawa'!C20+'Rimba Luar Jawa'!C20</f>
        <v>46599.387353799291</v>
      </c>
      <c r="D19" s="121">
        <f>'Jati Jawa'!D20+'Rimba Jawa'!D20+'Rimba Luar Jawa'!D20</f>
        <v>7727.5940355714392</v>
      </c>
      <c r="E19" s="121">
        <f>'Jati Jawa'!E20+'Rimba Jawa'!E20+'Rimba Luar Jawa'!E20</f>
        <v>96304.459614063904</v>
      </c>
      <c r="F19" s="121">
        <f>'Jati Jawa'!F20+'Rimba Jawa'!F20+'Rimba Luar Jawa'!F20</f>
        <v>55307.319260901888</v>
      </c>
      <c r="G19" s="121">
        <f>'Jati Jawa'!G20+'Rimba Jawa'!G20+'Rimba Luar Jawa'!G20</f>
        <v>3428094.441867203</v>
      </c>
      <c r="H19" s="123">
        <f t="shared" ref="H19" si="19">G19/F19</f>
        <v>61.982654152804109</v>
      </c>
      <c r="I19" s="105">
        <f t="shared" ref="I19" si="20">G19/G18*100-100</f>
        <v>-2.7595555224139332</v>
      </c>
      <c r="J19" s="105">
        <f t="shared" si="11"/>
        <v>0</v>
      </c>
      <c r="K19">
        <f t="shared" si="18"/>
        <v>-2.7595555224139332</v>
      </c>
    </row>
    <row r="20" spans="1:11" x14ac:dyDescent="0.35">
      <c r="F20" s="51">
        <f>G12/1000</f>
        <v>4493.898490605513</v>
      </c>
      <c r="G20" s="146">
        <f>(G12-G8)/1000</f>
        <v>-1112.3946453517433</v>
      </c>
      <c r="I20" s="146">
        <f>(G10-G9)/1000</f>
        <v>-596.27795738143379</v>
      </c>
    </row>
    <row r="21" spans="1:11" x14ac:dyDescent="0.35">
      <c r="A21" s="46" t="s">
        <v>40</v>
      </c>
      <c r="F21" s="51">
        <f>F12/1000</f>
        <v>47.350504407325616</v>
      </c>
      <c r="G21" s="146">
        <f>G12/G8*100-100</f>
        <v>-19.841892287385818</v>
      </c>
    </row>
    <row r="22" spans="1:11" ht="38.25" customHeight="1" x14ac:dyDescent="0.35">
      <c r="A22" s="15" t="s">
        <v>8</v>
      </c>
      <c r="B22" s="17" t="s">
        <v>22</v>
      </c>
      <c r="C22" s="17" t="s">
        <v>23</v>
      </c>
      <c r="D22" s="17" t="s">
        <v>24</v>
      </c>
      <c r="E22" s="17" t="s">
        <v>25</v>
      </c>
      <c r="F22" s="17" t="s">
        <v>26</v>
      </c>
      <c r="G22" s="29" t="s">
        <v>20</v>
      </c>
      <c r="H22" s="29" t="s">
        <v>11</v>
      </c>
    </row>
    <row r="23" spans="1:11" x14ac:dyDescent="0.35">
      <c r="A23" s="12">
        <v>2009</v>
      </c>
      <c r="B23" s="48">
        <f>'Jati Jawa'!B47+'Rimba Jawa'!B46+'Rimba Luar Jawa'!B46</f>
        <v>6465702.8047922039</v>
      </c>
      <c r="C23" s="48">
        <f>'Jati Jawa'!C47+'Rimba Jawa'!C46+'Rimba Luar Jawa'!C46</f>
        <v>53904.97954962153</v>
      </c>
      <c r="D23" s="48">
        <f>'Jati Jawa'!D47+'Rimba Jawa'!D46+'Rimba Luar Jawa'!D46</f>
        <v>6443.2380872908507</v>
      </c>
      <c r="E23" s="48">
        <f>'Jati Jawa'!E47+'Rimba Jawa'!E46+'Rimba Luar Jawa'!E46</f>
        <v>238894.11879411482</v>
      </c>
      <c r="F23" s="48">
        <f>'Jati Jawa'!F47+'Rimba Jawa'!F46+'Rimba Luar Jawa'!F46</f>
        <v>54388.443590751325</v>
      </c>
      <c r="G23" s="48">
        <f>'Jati Jawa'!G47+'Rimba Jawa'!G46+'Rimba Luar Jawa'!G46</f>
        <v>602426.75337322464</v>
      </c>
      <c r="H23" s="48">
        <f>'Jati Jawa'!H47+'Rimba Jawa'!H46+'Rimba Luar Jawa'!H46</f>
        <v>6835195.2134174742</v>
      </c>
    </row>
    <row r="24" spans="1:11" x14ac:dyDescent="0.35">
      <c r="A24" s="12">
        <v>2010</v>
      </c>
      <c r="B24" s="48">
        <f>'Jati Jawa'!B48+'Rimba Jawa'!B47+'Rimba Luar Jawa'!B47</f>
        <v>6835195.2134174742</v>
      </c>
      <c r="C24" s="48">
        <f>'Jati Jawa'!C48+'Rimba Jawa'!C47+'Rimba Luar Jawa'!C47</f>
        <v>29763.587077796212</v>
      </c>
      <c r="D24" s="48">
        <f>'Jati Jawa'!D48+'Rimba Jawa'!D47+'Rimba Luar Jawa'!D47</f>
        <v>3595.6355762163025</v>
      </c>
      <c r="E24" s="48">
        <f>'Jati Jawa'!E48+'Rimba Jawa'!E47+'Rimba Luar Jawa'!E47</f>
        <v>199226.16673787785</v>
      </c>
      <c r="F24" s="48">
        <f>'Jati Jawa'!F48+'Rimba Jawa'!F47+'Rimba Luar Jawa'!F47</f>
        <v>43210.016542551355</v>
      </c>
      <c r="G24" s="48">
        <f>'Jati Jawa'!G48+'Rimba Jawa'!G47+'Rimba Luar Jawa'!G47</f>
        <v>-1868636.5336165256</v>
      </c>
      <c r="H24" s="48">
        <f>'Jati Jawa'!H48+'Rimba Jawa'!H47+'Rimba Luar Jawa'!H47</f>
        <v>4757481.7191745332</v>
      </c>
    </row>
    <row r="25" spans="1:11" x14ac:dyDescent="0.35">
      <c r="A25" s="12">
        <v>2011</v>
      </c>
      <c r="B25" s="48">
        <f>'Jati Jawa'!B49+'Rimba Jawa'!B48+'Rimba Luar Jawa'!B48</f>
        <v>4757481.7191745332</v>
      </c>
      <c r="C25" s="48">
        <f>'Jati Jawa'!C49+'Rimba Jawa'!C48+'Rimba Luar Jawa'!C48</f>
        <v>8498.6009993033877</v>
      </c>
      <c r="D25" s="48">
        <f>'Jati Jawa'!D49+'Rimba Jawa'!D48+'Rimba Luar Jawa'!D48</f>
        <v>1197.4592752866656</v>
      </c>
      <c r="E25" s="48">
        <f>'Jati Jawa'!E49+'Rimba Jawa'!E48+'Rimba Luar Jawa'!E48</f>
        <v>68481.628605881473</v>
      </c>
      <c r="F25" s="48">
        <f>'Jati Jawa'!F49+'Rimba Jawa'!F48+'Rimba Luar Jawa'!F48</f>
        <v>12418.140717847151</v>
      </c>
      <c r="G25" s="48">
        <f>'Jati Jawa'!G49+'Rimba Jawa'!G48+'Rimba Luar Jawa'!G48</f>
        <v>-3305244.5580900554</v>
      </c>
      <c r="H25" s="48">
        <f>'Jati Jawa'!H49+'Rimba Jawa'!H48+'Rimba Luar Jawa'!H48</f>
        <v>1381033.4520353389</v>
      </c>
    </row>
    <row r="26" spans="1:11" x14ac:dyDescent="0.35">
      <c r="A26" s="13">
        <v>2012</v>
      </c>
      <c r="B26" s="122">
        <f>'Jati Jawa'!B50+'Rimba Jawa'!B49+'Rimba Luar Jawa'!B49</f>
        <v>1381033.4520353389</v>
      </c>
      <c r="C26" s="122">
        <f>'Jati Jawa'!C50+'Rimba Jawa'!C49+'Rimba Luar Jawa'!C49</f>
        <v>5979.9177908937709</v>
      </c>
      <c r="D26" s="122">
        <f>'Jati Jawa'!D50+'Rimba Jawa'!D49+'Rimba Luar Jawa'!D49</f>
        <v>1088.9845571218048</v>
      </c>
      <c r="E26" s="122">
        <f>'Jati Jawa'!E50+'Rimba Jawa'!E49+'Rimba Luar Jawa'!E49</f>
        <v>59094.500132306901</v>
      </c>
      <c r="F26" s="122">
        <f>'Jati Jawa'!F50+'Rimba Jawa'!F49+'Rimba Luar Jawa'!F49</f>
        <v>8702.7714324334011</v>
      </c>
      <c r="G26" s="122">
        <f>'Jati Jawa'!G50+'Rimba Jawa'!G49+'Rimba Luar Jawa'!G49</f>
        <v>-395922.36104862369</v>
      </c>
      <c r="H26" s="122">
        <f>'Jati Jawa'!H50+'Rimba Jawa'!H49+'Rimba Luar Jawa'!H49</f>
        <v>924382.72176999063</v>
      </c>
      <c r="J26" s="28"/>
      <c r="K26" s="28">
        <f>B26+C26+D26-E26-F26+G26-H26</f>
        <v>0</v>
      </c>
    </row>
    <row r="27" spans="1:11" x14ac:dyDescent="0.35">
      <c r="A27" s="155">
        <v>2013</v>
      </c>
      <c r="B27" s="169">
        <f>'Jati Jawa'!B51+'Rimba Jawa'!B50+'Rimba Luar Jawa'!B50</f>
        <v>924382.72176999063</v>
      </c>
      <c r="C27" s="169">
        <f>'Jati Jawa'!C51+'Rimba Jawa'!C50+'Rimba Luar Jawa'!C50</f>
        <v>4064.8881366232185</v>
      </c>
      <c r="D27" s="169">
        <f>'Jati Jawa'!D51+'Rimba Jawa'!D50+'Rimba Luar Jawa'!D50</f>
        <v>1504.1311253964257</v>
      </c>
      <c r="E27" s="169">
        <f>'Jati Jawa'!E51+'Rimba Jawa'!E50+'Rimba Luar Jawa'!E50</f>
        <v>12341.656711714004</v>
      </c>
      <c r="F27" s="169">
        <f>'Jati Jawa'!F51+'Rimba Jawa'!F50+'Rimba Luar Jawa'!F50</f>
        <v>5483.8110381758788</v>
      </c>
      <c r="G27" s="169">
        <f>'Jati Jawa'!G51+'Rimba Jawa'!G50+'Rimba Luar Jawa'!G50</f>
        <v>-210464.5089078132</v>
      </c>
      <c r="H27" s="163">
        <f>'Jati Jawa'!H51+'Rimba Jawa'!H50+'Rimba Luar Jawa'!H50</f>
        <v>701661.76437430712</v>
      </c>
      <c r="K27" s="28">
        <f t="shared" ref="K27:K32" si="21">B27+C27+D27-E27-F27+G27-H27</f>
        <v>0</v>
      </c>
    </row>
    <row r="28" spans="1:11" x14ac:dyDescent="0.35">
      <c r="A28" s="155">
        <v>2014</v>
      </c>
      <c r="B28" s="169">
        <f>'Jati Jawa'!B52+'Rimba Jawa'!B51+'Rimba Luar Jawa'!B51</f>
        <v>701661.76437430712</v>
      </c>
      <c r="C28" s="169">
        <f>'Jati Jawa'!C52+'Rimba Jawa'!C51+'Rimba Luar Jawa'!C51</f>
        <v>4013.4807842659384</v>
      </c>
      <c r="D28" s="169">
        <f>'Jati Jawa'!D52+'Rimba Jawa'!D51+'Rimba Luar Jawa'!D51</f>
        <v>1626.2871757975449</v>
      </c>
      <c r="E28" s="169">
        <f>'Jati Jawa'!E52+'Rimba Jawa'!E51+'Rimba Luar Jawa'!E51</f>
        <v>28141.491282574319</v>
      </c>
      <c r="F28" s="169">
        <f>'Jati Jawa'!F52+'Rimba Jawa'!F51+'Rimba Luar Jawa'!F51</f>
        <v>6621.4560558614594</v>
      </c>
      <c r="G28" s="169">
        <f>'Jati Jawa'!G52+'Rimba Jawa'!G51+'Rimba Luar Jawa'!G51</f>
        <v>47446.500940220416</v>
      </c>
      <c r="H28" s="163">
        <f>'Jati Jawa'!H52+'Rimba Jawa'!H51+'Rimba Luar Jawa'!H51</f>
        <v>719985.08593615517</v>
      </c>
      <c r="J28" s="172">
        <f>H28/H27*100-100</f>
        <v>2.6114179925690308</v>
      </c>
      <c r="K28" s="28">
        <f t="shared" si="21"/>
        <v>0</v>
      </c>
    </row>
    <row r="29" spans="1:11" x14ac:dyDescent="0.35">
      <c r="A29" s="102">
        <v>2015</v>
      </c>
      <c r="B29" s="121">
        <f>'Jati Jawa'!B53+'Rimba Jawa'!B52+'Rimba Luar Jawa'!B52</f>
        <v>719985.08593615517</v>
      </c>
      <c r="C29" s="121">
        <f>'Jati Jawa'!C53+'Rimba Jawa'!C52+'Rimba Luar Jawa'!C52</f>
        <v>3927.0238445242735</v>
      </c>
      <c r="D29" s="121">
        <f>'Jati Jawa'!D53+'Rimba Jawa'!D52+'Rimba Luar Jawa'!D52</f>
        <v>2284.5051943251915</v>
      </c>
      <c r="E29" s="121">
        <f>'Jati Jawa'!E53+'Rimba Jawa'!E52+'Rimba Luar Jawa'!E52</f>
        <v>89344.513939402634</v>
      </c>
      <c r="F29" s="121">
        <f>'Jati Jawa'!F53+'Rimba Jawa'!F52+'Rimba Luar Jawa'!F52</f>
        <v>6545.6817208921921</v>
      </c>
      <c r="G29" s="121">
        <f>'Jati Jawa'!G53+'Rimba Jawa'!G52+'Rimba Luar Jawa'!G52</f>
        <v>-1472.3089740215557</v>
      </c>
      <c r="H29" s="113">
        <f>'Jati Jawa'!H53+'Rimba Jawa'!H52+'Rimba Luar Jawa'!H52</f>
        <v>628834.11034068814</v>
      </c>
      <c r="J29" s="84">
        <f>H29/H28*100-100</f>
        <v>-12.660119963033495</v>
      </c>
      <c r="K29" s="28">
        <f t="shared" si="21"/>
        <v>0</v>
      </c>
    </row>
    <row r="30" spans="1:11" x14ac:dyDescent="0.35">
      <c r="A30" s="102">
        <v>2016</v>
      </c>
      <c r="B30" s="121">
        <f>'Jati Jawa'!B54+'Rimba Jawa'!B53+'Rimba Luar Jawa'!B53</f>
        <v>628834.11034068814</v>
      </c>
      <c r="C30" s="121">
        <f>'Jati Jawa'!C54+'Rimba Jawa'!C53+'Rimba Luar Jawa'!C53</f>
        <v>4254.0726440467788</v>
      </c>
      <c r="D30" s="121">
        <f>'Jati Jawa'!D54+'Rimba Jawa'!D53+'Rimba Luar Jawa'!D53</f>
        <v>2856.7212750051899</v>
      </c>
      <c r="E30" s="121">
        <f>'Jati Jawa'!E54+'Rimba Jawa'!E53+'Rimba Luar Jawa'!E53</f>
        <v>32133.042765703649</v>
      </c>
      <c r="F30" s="121">
        <f>'Jati Jawa'!F54+'Rimba Jawa'!F53+'Rimba Luar Jawa'!F53</f>
        <v>7473.9509986219928</v>
      </c>
      <c r="G30" s="121">
        <f>'Jati Jawa'!G54+'Rimba Jawa'!G53+'Rimba Luar Jawa'!G53</f>
        <v>85161.980150892065</v>
      </c>
      <c r="H30" s="113">
        <f>'Jati Jawa'!H54+'Rimba Jawa'!H53+'Rimba Luar Jawa'!H53</f>
        <v>681499.89064630657</v>
      </c>
      <c r="J30" s="84">
        <f t="shared" ref="J30:J31" si="22">H30/H29*100-100</f>
        <v>8.3751468693524345</v>
      </c>
      <c r="K30" s="28">
        <f t="shared" si="21"/>
        <v>0</v>
      </c>
    </row>
    <row r="31" spans="1:11" x14ac:dyDescent="0.35">
      <c r="A31" s="106">
        <v>2017</v>
      </c>
      <c r="B31" s="121">
        <f>'Jati Jawa'!B55+'Rimba Jawa'!B54+'Rimba Luar Jawa'!B54</f>
        <v>681499.89064630657</v>
      </c>
      <c r="C31" s="121">
        <f>'Jati Jawa'!C55+'Rimba Jawa'!C54+'Rimba Luar Jawa'!C54</f>
        <v>4901.6472323862145</v>
      </c>
      <c r="D31" s="121">
        <f>'Jati Jawa'!D55+'Rimba Jawa'!D54+'Rimba Luar Jawa'!D54</f>
        <v>1401.2454085572581</v>
      </c>
      <c r="E31" s="121">
        <f>'Jati Jawa'!E55+'Rimba Jawa'!E54+'Rimba Luar Jawa'!E54</f>
        <v>28424.100665131205</v>
      </c>
      <c r="F31" s="121">
        <f>'Jati Jawa'!F55+'Rimba Jawa'!F54+'Rimba Luar Jawa'!F54</f>
        <v>8951.9533320911232</v>
      </c>
      <c r="G31" s="121">
        <f>'Jati Jawa'!G55+'Rimba Jawa'!G54+'Rimba Luar Jawa'!G54</f>
        <v>99106.760170063993</v>
      </c>
      <c r="H31" s="113">
        <f>'Jati Jawa'!H55+'Rimba Jawa'!H54+'Rimba Luar Jawa'!H54</f>
        <v>749533.48946009157</v>
      </c>
      <c r="I31" s="146">
        <f t="shared" ref="I31:I36" si="23">H31/H27*100-100</f>
        <v>6.8226213136286731</v>
      </c>
      <c r="J31" s="84">
        <f t="shared" si="22"/>
        <v>9.9829214571501552</v>
      </c>
      <c r="K31" s="28">
        <f t="shared" si="21"/>
        <v>0</v>
      </c>
    </row>
    <row r="32" spans="1:11" ht="14" customHeight="1" x14ac:dyDescent="0.35">
      <c r="A32" s="106">
        <v>2018</v>
      </c>
      <c r="B32" s="121">
        <f>'Jati Jawa'!B56+'Rimba Jawa'!B55+'Rimba Luar Jawa'!B55</f>
        <v>749533.48946009157</v>
      </c>
      <c r="C32" s="121">
        <f>'Jati Jawa'!C56+'Rimba Jawa'!C55+'Rimba Luar Jawa'!C55</f>
        <v>5087.042159051407</v>
      </c>
      <c r="D32" s="121">
        <f>'Jati Jawa'!D56+'Rimba Jawa'!D55+'Rimba Luar Jawa'!D55</f>
        <v>1773.0105592217681</v>
      </c>
      <c r="E32" s="121">
        <f>'Jati Jawa'!E56+'Rimba Jawa'!E55+'Rimba Luar Jawa'!E55</f>
        <v>24829.202061341341</v>
      </c>
      <c r="F32" s="121">
        <f>'Jati Jawa'!F56+'Rimba Jawa'!F55+'Rimba Luar Jawa'!F55</f>
        <v>9094.5458616517426</v>
      </c>
      <c r="G32" s="121">
        <f>'Jati Jawa'!G56+'Rimba Jawa'!G55+'Rimba Luar Jawa'!G55</f>
        <v>17814.209086076611</v>
      </c>
      <c r="H32" s="113">
        <f>'Jati Jawa'!H56+'Rimba Jawa'!H55+'Rimba Luar Jawa'!H55</f>
        <v>740284.00334144849</v>
      </c>
      <c r="I32" s="146">
        <f t="shared" si="23"/>
        <v>2.8193524840726099</v>
      </c>
      <c r="J32" s="84">
        <f t="shared" ref="J32" si="24">H32/H31*100-100</f>
        <v>-1.2340324013148063</v>
      </c>
      <c r="K32" s="28">
        <f t="shared" si="21"/>
        <v>0</v>
      </c>
    </row>
    <row r="33" spans="1:11" ht="14" customHeight="1" x14ac:dyDescent="0.35">
      <c r="A33" s="106">
        <v>2019</v>
      </c>
      <c r="B33" s="121">
        <f>'Jati Jawa'!B57+'Rimba Jawa'!B56+'Rimba Luar Jawa'!B56</f>
        <v>740284.00334144849</v>
      </c>
      <c r="C33" s="121">
        <f>'Jati Jawa'!C57+'Rimba Jawa'!C56+'Rimba Luar Jawa'!C56</f>
        <v>6109.5670075583485</v>
      </c>
      <c r="D33" s="121">
        <f>'Jati Jawa'!D57+'Rimba Jawa'!D56+'Rimba Luar Jawa'!D56</f>
        <v>3075.1911676746968</v>
      </c>
      <c r="E33" s="121">
        <f>'Jati Jawa'!E57+'Rimba Jawa'!E56+'Rimba Luar Jawa'!E56</f>
        <v>76926.655677805407</v>
      </c>
      <c r="F33" s="121">
        <f>'Jati Jawa'!F57+'Rimba Jawa'!F56+'Rimba Luar Jawa'!F56</f>
        <v>11560.7383085888</v>
      </c>
      <c r="G33" s="121">
        <f>'Jati Jawa'!G57+'Rimba Jawa'!G56+'Rimba Luar Jawa'!G56</f>
        <v>157217.00902159844</v>
      </c>
      <c r="H33" s="113">
        <f>'Jati Jawa'!H57+'Rimba Jawa'!H56+'Rimba Luar Jawa'!H56</f>
        <v>818198.37655188586</v>
      </c>
      <c r="I33" s="146">
        <f t="shared" si="23"/>
        <v>30.113548724099019</v>
      </c>
      <c r="J33" s="84">
        <f t="shared" ref="J33" si="25">H33/H32*100-100</f>
        <v>10.524930007774344</v>
      </c>
      <c r="K33" s="28">
        <f t="shared" ref="K33" si="26">B33+C33+D33-E33-F33+G33-H33</f>
        <v>0</v>
      </c>
    </row>
    <row r="34" spans="1:11" ht="14" customHeight="1" x14ac:dyDescent="0.35">
      <c r="A34" s="106">
        <v>2020</v>
      </c>
      <c r="B34" s="121">
        <f>'Jati Jawa'!B58+'Rimba Jawa'!B57+'Rimba Luar Jawa'!B57</f>
        <v>818198.37655188586</v>
      </c>
      <c r="C34" s="121">
        <f>'Jati Jawa'!C58+'Rimba Jawa'!C57+'Rimba Luar Jawa'!C57</f>
        <v>7281.4543300466876</v>
      </c>
      <c r="D34" s="121">
        <f>'Jati Jawa'!D58+'Rimba Jawa'!D57+'Rimba Luar Jawa'!D57</f>
        <v>3032.5429666818818</v>
      </c>
      <c r="E34" s="121">
        <f>'Jati Jawa'!E58+'Rimba Jawa'!E57+'Rimba Luar Jawa'!E57</f>
        <v>19002.634261692936</v>
      </c>
      <c r="F34" s="121">
        <f>'Jati Jawa'!F58+'Rimba Jawa'!F57+'Rimba Luar Jawa'!F57</f>
        <v>14524.238443328266</v>
      </c>
      <c r="G34" s="121">
        <f>'Jati Jawa'!G58+'Rimba Jawa'!G57+'Rimba Luar Jawa'!G57</f>
        <v>157930.01764476002</v>
      </c>
      <c r="H34" s="113">
        <f>'Jati Jawa'!H58+'Rimba Jawa'!H57+'Rimba Luar Jawa'!H57</f>
        <v>952915.51878835331</v>
      </c>
      <c r="I34" s="146">
        <f t="shared" si="23"/>
        <v>39.826217416505727</v>
      </c>
      <c r="J34" s="84">
        <f t="shared" ref="J34" si="27">H34/H33*100-100</f>
        <v>16.465095274840664</v>
      </c>
      <c r="K34" s="28">
        <f t="shared" ref="K34" si="28">B34+C34+D34-E34-F34+G34-H34</f>
        <v>0</v>
      </c>
    </row>
    <row r="35" spans="1:11" ht="14" customHeight="1" x14ac:dyDescent="0.35">
      <c r="A35" s="106">
        <v>2021</v>
      </c>
      <c r="B35" s="121">
        <f>'Jati Jawa'!B59+'Rimba Jawa'!B58+'Rimba Luar Jawa'!B58</f>
        <v>952915.51878835331</v>
      </c>
      <c r="C35" s="121">
        <f>'Jati Jawa'!C59+'Rimba Jawa'!C58+'Rimba Luar Jawa'!C58</f>
        <v>8648.7655446537447</v>
      </c>
      <c r="D35" s="121">
        <f>'Jati Jawa'!D59+'Rimba Jawa'!D58+'Rimba Luar Jawa'!D58</f>
        <v>1586.8550492163538</v>
      </c>
      <c r="E35" s="121">
        <f>'Jati Jawa'!E59+'Rimba Jawa'!E58+'Rimba Luar Jawa'!E58</f>
        <v>36818.486099310147</v>
      </c>
      <c r="F35" s="121">
        <f>'Jati Jawa'!F59+'Rimba Jawa'!F58+'Rimba Luar Jawa'!F58</f>
        <v>18268.670898855238</v>
      </c>
      <c r="G35" s="121">
        <f>'Jati Jawa'!G59+'Rimba Jawa'!G58+'Rimba Luar Jawa'!G58</f>
        <v>185909.56236780668</v>
      </c>
      <c r="H35" s="113">
        <f>'Jati Jawa'!H59+'Rimba Jawa'!H58+'Rimba Luar Jawa'!H58</f>
        <v>1093973.5447518646</v>
      </c>
      <c r="I35" s="146">
        <f t="shared" si="23"/>
        <v>45.953924692528716</v>
      </c>
      <c r="J35" s="84">
        <f t="shared" ref="J35" si="29">H35/H34*100-100</f>
        <v>14.802784001552283</v>
      </c>
      <c r="K35" s="28">
        <f t="shared" ref="K35" si="30">B35+C35+D35-E35-F35+G35-H35</f>
        <v>0</v>
      </c>
    </row>
    <row r="36" spans="1:11" ht="14" customHeight="1" x14ac:dyDescent="0.35">
      <c r="A36" s="106">
        <v>2022</v>
      </c>
      <c r="B36" s="121">
        <f>'Jati Jawa'!B60+'Rimba Jawa'!B59+'Rimba Luar Jawa'!B59</f>
        <v>1093973.5447518646</v>
      </c>
      <c r="C36" s="121">
        <f>'Jati Jawa'!C60+'Rimba Jawa'!C59+'Rimba Luar Jawa'!C59</f>
        <v>9402.4751635568991</v>
      </c>
      <c r="D36" s="121">
        <f>'Jati Jawa'!D60+'Rimba Jawa'!D59+'Rimba Luar Jawa'!D59</f>
        <v>2447.6810577503998</v>
      </c>
      <c r="E36" s="121">
        <f>'Jati Jawa'!E60+'Rimba Jawa'!E59+'Rimba Luar Jawa'!E59</f>
        <v>20409.483539717738</v>
      </c>
      <c r="F36" s="121">
        <f>'Jati Jawa'!F60+'Rimba Jawa'!F59+'Rimba Luar Jawa'!F59</f>
        <v>20145.684996937118</v>
      </c>
      <c r="G36" s="121">
        <f>'Jati Jawa'!G60+'Rimba Jawa'!G59+'Rimba Luar Jawa'!G59</f>
        <v>102581.11067246601</v>
      </c>
      <c r="H36" s="113">
        <f>'Jati Jawa'!H60+'Rimba Jawa'!H59+'Rimba Luar Jawa'!H59</f>
        <v>1167849.6431089833</v>
      </c>
      <c r="I36" s="146">
        <f t="shared" si="23"/>
        <v>57.756974058282395</v>
      </c>
      <c r="J36" s="84">
        <f t="shared" ref="J36:J37" si="31">H36/H35*100-100</f>
        <v>6.7530059306758972</v>
      </c>
      <c r="K36" s="28">
        <f t="shared" ref="K36:K37" si="32">B36+C36+D36-E36-F36+G36-H36</f>
        <v>0</v>
      </c>
    </row>
    <row r="37" spans="1:11" ht="14" customHeight="1" x14ac:dyDescent="0.35">
      <c r="A37" s="106">
        <v>2023</v>
      </c>
      <c r="B37" s="121">
        <f>'Jati Jawa'!B61+'Rimba Jawa'!B60+'Rimba Luar Jawa'!B60</f>
        <v>1167849.6431089833</v>
      </c>
      <c r="C37" s="121">
        <f>'Jati Jawa'!C61+'Rimba Jawa'!C60+'Rimba Luar Jawa'!C60</f>
        <v>12123.111081092109</v>
      </c>
      <c r="D37" s="121">
        <f>'Jati Jawa'!D61+'Rimba Jawa'!D60+'Rimba Luar Jawa'!D60</f>
        <v>2087.1018831403708</v>
      </c>
      <c r="E37" s="121">
        <f>'Jati Jawa'!E61+'Rimba Jawa'!E60+'Rimba Luar Jawa'!E60</f>
        <v>114961.57463992061</v>
      </c>
      <c r="F37" s="121">
        <f>'Jati Jawa'!F61+'Rimba Jawa'!F60+'Rimba Luar Jawa'!F60</f>
        <v>27656.5980079199</v>
      </c>
      <c r="G37" s="121">
        <f>'Jati Jawa'!G61+'Rimba Jawa'!G60+'Rimba Luar Jawa'!G60</f>
        <v>344785.74997747288</v>
      </c>
      <c r="H37" s="113">
        <f>'Jati Jawa'!H61+'Rimba Jawa'!H60+'Rimba Luar Jawa'!H60</f>
        <v>1384227.4334028477</v>
      </c>
      <c r="I37" s="146">
        <f t="shared" ref="I37:I38" si="33">H37/H33*100-100</f>
        <v>69.179929106724046</v>
      </c>
      <c r="J37" s="84">
        <f t="shared" si="31"/>
        <v>18.527880842420402</v>
      </c>
      <c r="K37" s="28">
        <f t="shared" si="32"/>
        <v>0</v>
      </c>
    </row>
    <row r="38" spans="1:11" ht="14" customHeight="1" x14ac:dyDescent="0.35">
      <c r="A38" s="106">
        <v>2024</v>
      </c>
      <c r="B38" s="121">
        <f>'Jati Jawa'!B62+'Rimba Jawa'!B61+'Rimba Luar Jawa'!B61</f>
        <v>1384227.4334028477</v>
      </c>
      <c r="C38" s="121">
        <f>'Jati Jawa'!C62+'Rimba Jawa'!C61+'Rimba Luar Jawa'!C61</f>
        <v>11987.893737752849</v>
      </c>
      <c r="D38" s="121">
        <f>'Jati Jawa'!D62+'Rimba Jawa'!D61+'Rimba Luar Jawa'!D61</f>
        <v>3715.5481924838928</v>
      </c>
      <c r="E38" s="121">
        <f>'Jati Jawa'!E62+'Rimba Jawa'!E61+'Rimba Luar Jawa'!E61</f>
        <v>45904.979607452791</v>
      </c>
      <c r="F38" s="121">
        <f>'Jati Jawa'!F62+'Rimba Jawa'!F61+'Rimba Luar Jawa'!F61</f>
        <v>26333.124217495471</v>
      </c>
      <c r="G38" s="121">
        <f>'Jati Jawa'!G62+'Rimba Jawa'!G61+'Rimba Luar Jawa'!G61</f>
        <v>-3776.6978620903396</v>
      </c>
      <c r="H38" s="113">
        <f>'Jati Jawa'!H62+'Rimba Jawa'!H61+'Rimba Luar Jawa'!H61</f>
        <v>1323916.0736460462</v>
      </c>
      <c r="I38" s="146">
        <f t="shared" si="33"/>
        <v>38.933205257211654</v>
      </c>
      <c r="J38" s="84">
        <f t="shared" ref="J38" si="34">H38/H37*100-100</f>
        <v>-4.3570412131291221</v>
      </c>
      <c r="K38" s="28">
        <f t="shared" ref="K38" si="35">B38+C38+D38-E38-F38+G38-H38</f>
        <v>0</v>
      </c>
    </row>
    <row r="39" spans="1:11" x14ac:dyDescent="0.35">
      <c r="H39" s="51">
        <f>H31/1000</f>
        <v>749.53348946009157</v>
      </c>
    </row>
    <row r="40" spans="1:11" x14ac:dyDescent="0.35">
      <c r="H40" s="51">
        <f t="shared" ref="H40:H44" si="36">H24-B25</f>
        <v>0</v>
      </c>
    </row>
    <row r="41" spans="1:11" x14ac:dyDescent="0.35">
      <c r="H41" s="51">
        <f t="shared" si="36"/>
        <v>0</v>
      </c>
    </row>
    <row r="42" spans="1:11" x14ac:dyDescent="0.35">
      <c r="H42" s="51">
        <f t="shared" si="36"/>
        <v>0</v>
      </c>
    </row>
    <row r="43" spans="1:11" x14ac:dyDescent="0.35">
      <c r="H43" s="51">
        <f t="shared" si="36"/>
        <v>0</v>
      </c>
    </row>
    <row r="44" spans="1:11" x14ac:dyDescent="0.35">
      <c r="H44" s="51">
        <f t="shared" si="36"/>
        <v>0</v>
      </c>
    </row>
    <row r="45" spans="1:11" x14ac:dyDescent="0.35">
      <c r="H45" s="51"/>
    </row>
    <row r="46" spans="1:11" x14ac:dyDescent="0.35">
      <c r="H46" s="51"/>
    </row>
  </sheetData>
  <conditionalFormatting sqref="H27:H31">
    <cfRule type="top10" dxfId="74" priority="8" rank="1"/>
  </conditionalFormatting>
  <conditionalFormatting sqref="H32">
    <cfRule type="top10" dxfId="73" priority="7" rank="1"/>
  </conditionalFormatting>
  <conditionalFormatting sqref="H33">
    <cfRule type="top10" dxfId="72" priority="6" rank="1"/>
  </conditionalFormatting>
  <conditionalFormatting sqref="H34">
    <cfRule type="top10" dxfId="71" priority="5" rank="1"/>
  </conditionalFormatting>
  <conditionalFormatting sqref="H35">
    <cfRule type="top10" dxfId="70" priority="4" rank="1"/>
  </conditionalFormatting>
  <conditionalFormatting sqref="H36">
    <cfRule type="top10" dxfId="69" priority="3" rank="1"/>
  </conditionalFormatting>
  <conditionalFormatting sqref="H37">
    <cfRule type="top10" dxfId="68" priority="2" rank="1"/>
  </conditionalFormatting>
  <conditionalFormatting sqref="H38">
    <cfRule type="top10" dxfId="67" priority="1" rank="1"/>
  </conditionalFormatting>
  <pageMargins left="1.2" right="0.7" top="1" bottom="0.75" header="0.3" footer="0.3"/>
  <pageSetup scale="76" orientation="landscape" r:id="rId1"/>
  <colBreaks count="1" manualBreakCount="1">
    <brk id="18" max="2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0"/>
  <sheetViews>
    <sheetView showGridLines="0" tabSelected="1" zoomScale="72" zoomScaleNormal="90" workbookViewId="0">
      <pane xSplit="1" ySplit="3" topLeftCell="B23" activePane="bottomRight" state="frozen"/>
      <selection activeCell="B32" sqref="B32"/>
      <selection pane="topRight" activeCell="B32" sqref="B32"/>
      <selection pane="bottomLeft" activeCell="B32" sqref="B32"/>
      <selection pane="bottomRight" activeCell="B11" sqref="B11"/>
    </sheetView>
  </sheetViews>
  <sheetFormatPr defaultColWidth="9.1796875" defaultRowHeight="14.5" x14ac:dyDescent="0.35"/>
  <cols>
    <col min="1" max="1" width="9.36328125" style="2" customWidth="1"/>
    <col min="2" max="2" width="15.453125" style="2" customWidth="1"/>
    <col min="3" max="4" width="15.36328125" style="2" customWidth="1"/>
    <col min="5" max="5" width="13.81640625" style="2" customWidth="1"/>
    <col min="6" max="6" width="16.36328125" style="2" customWidth="1"/>
    <col min="7" max="7" width="15.36328125" style="2" bestFit="1" customWidth="1"/>
    <col min="8" max="8" width="14.6328125" style="2" customWidth="1"/>
    <col min="9" max="9" width="19.81640625" style="2" customWidth="1"/>
    <col min="10" max="10" width="20.81640625" style="2" customWidth="1"/>
    <col min="11" max="11" width="15" style="2" customWidth="1"/>
    <col min="12" max="12" width="9.1796875" style="2"/>
    <col min="13" max="13" width="22.81640625" style="2" bestFit="1" customWidth="1"/>
    <col min="14" max="16384" width="9.1796875" style="2"/>
  </cols>
  <sheetData>
    <row r="1" spans="1:11" x14ac:dyDescent="0.35">
      <c r="A1" s="16" t="s">
        <v>28</v>
      </c>
      <c r="K1" s="44"/>
    </row>
    <row r="2" spans="1:11" x14ac:dyDescent="0.35">
      <c r="A2" s="1"/>
      <c r="C2" s="11" t="s">
        <v>136</v>
      </c>
      <c r="D2" s="11" t="s">
        <v>137</v>
      </c>
      <c r="E2" s="11" t="s">
        <v>138</v>
      </c>
      <c r="F2" s="11" t="s">
        <v>139</v>
      </c>
      <c r="G2" s="11"/>
      <c r="H2" s="11"/>
      <c r="I2" s="11"/>
      <c r="K2" s="45"/>
    </row>
    <row r="3" spans="1:11" ht="31.5" customHeight="1" x14ac:dyDescent="0.35">
      <c r="A3" s="15" t="s">
        <v>8</v>
      </c>
      <c r="B3" s="17" t="s">
        <v>22</v>
      </c>
      <c r="C3" s="17" t="s">
        <v>23</v>
      </c>
      <c r="D3" s="17" t="s">
        <v>24</v>
      </c>
      <c r="E3" s="17" t="s">
        <v>25</v>
      </c>
      <c r="F3" s="17" t="s">
        <v>26</v>
      </c>
      <c r="G3" s="17" t="s">
        <v>27</v>
      </c>
      <c r="H3" s="17" t="s">
        <v>15</v>
      </c>
      <c r="I3" s="453" t="s">
        <v>71</v>
      </c>
      <c r="J3" s="101" t="s">
        <v>70</v>
      </c>
    </row>
    <row r="4" spans="1:11" hidden="1" x14ac:dyDescent="0.35">
      <c r="A4" s="12">
        <v>2008</v>
      </c>
      <c r="B4" s="18">
        <f>'[1]Jati Jawa'!$T$8</f>
        <v>87707.888944026345</v>
      </c>
      <c r="C4" s="18">
        <f>'[1]Jati Jawa'!$T$9</f>
        <v>4732.2961999999998</v>
      </c>
      <c r="D4" s="18">
        <f>'[1]Jati Jawa'!$T$10</f>
        <v>32.015999999999998</v>
      </c>
      <c r="E4" s="18">
        <f>'[1]Jati Jawa'!$T$11</f>
        <v>329.24482775265534</v>
      </c>
      <c r="F4" s="18">
        <f>'[1]Jati Jawa'!$T$12</f>
        <v>477.71</v>
      </c>
      <c r="G4" s="18">
        <f>'[1]Jati Jawa'!$T$14</f>
        <v>91665.246316273682</v>
      </c>
      <c r="H4" s="53">
        <f>G4/F4</f>
        <v>191.88471314453054</v>
      </c>
      <c r="I4" s="443"/>
      <c r="J4" s="2">
        <f t="shared" ref="J4:J13" si="0">B4+C4+D4-E4-F4-G4</f>
        <v>0</v>
      </c>
    </row>
    <row r="5" spans="1:11" hidden="1" x14ac:dyDescent="0.35">
      <c r="A5" s="12">
        <v>2009</v>
      </c>
      <c r="B5" s="18">
        <f>'[1]Jati Jawa'!$U$8</f>
        <v>91665.246316273682</v>
      </c>
      <c r="C5" s="18">
        <f>'[1]Jati Jawa'!$U$9</f>
        <v>4755.957680999999</v>
      </c>
      <c r="D5" s="18">
        <f>'[1]Jati Jawa'!$U$10</f>
        <v>19.149999999999999</v>
      </c>
      <c r="E5" s="18">
        <f>'[1]Jati Jawa'!$U$11</f>
        <v>293.16735486418986</v>
      </c>
      <c r="F5" s="18">
        <f>'[1]Jati Jawa'!$U$12</f>
        <v>455.2</v>
      </c>
      <c r="G5" s="18">
        <f>'[1]Jati Jawa'!$U$14</f>
        <v>95691.986642409494</v>
      </c>
      <c r="H5" s="53">
        <f t="shared" ref="H5:H11" si="1">G5/F5</f>
        <v>210.21965431109291</v>
      </c>
      <c r="I5" s="443">
        <f t="shared" ref="I5:I13" si="2">G5/G4*100-100</f>
        <v>4.3928756949414662</v>
      </c>
      <c r="J5" s="2">
        <f t="shared" si="0"/>
        <v>0</v>
      </c>
    </row>
    <row r="6" spans="1:11" hidden="1" x14ac:dyDescent="0.35">
      <c r="A6" s="12">
        <v>2010</v>
      </c>
      <c r="B6" s="18">
        <f>'[1]Jati Jawa'!$V$8</f>
        <v>95691.986642409494</v>
      </c>
      <c r="C6" s="18">
        <f>'[1]Jati Jawa'!$V$9</f>
        <v>4779.7360361795236</v>
      </c>
      <c r="D6" s="18">
        <f>'[1]Jati Jawa'!$V$10</f>
        <v>19.324000000000002</v>
      </c>
      <c r="E6" s="18">
        <f>'[1]Jati Jawa'!$V$11</f>
        <v>440.82049245961599</v>
      </c>
      <c r="F6" s="18">
        <f>'[1]Jati Jawa'!$V$12</f>
        <v>450.03199999999998</v>
      </c>
      <c r="G6" s="18">
        <f>'[1]Jati Jawa'!$V$14</f>
        <v>99600.194186129389</v>
      </c>
      <c r="H6" s="53">
        <f t="shared" si="1"/>
        <v>221.31802668727866</v>
      </c>
      <c r="I6" s="443">
        <f t="shared" si="2"/>
        <v>4.0841534185348678</v>
      </c>
      <c r="J6" s="2">
        <f t="shared" si="0"/>
        <v>0</v>
      </c>
    </row>
    <row r="7" spans="1:11" hidden="1" x14ac:dyDescent="0.35">
      <c r="A7" s="12">
        <v>2011</v>
      </c>
      <c r="B7" s="18">
        <f>'[1]Jati Jawa'!$W$8</f>
        <v>99600.194186129389</v>
      </c>
      <c r="C7" s="18">
        <f>'[1]Jati Jawa'!$W$9</f>
        <v>4803.6347163604205</v>
      </c>
      <c r="D7" s="18">
        <f>'[1]Jati Jawa'!$W$10</f>
        <v>29.868000000000002</v>
      </c>
      <c r="E7" s="18">
        <f>'[1]Jati Jawa'!$W$11</f>
        <v>1014.8983374241651</v>
      </c>
      <c r="F7" s="18">
        <f>'[1]Jati Jawa'!$W$12</f>
        <v>435.4</v>
      </c>
      <c r="G7" s="18">
        <f>'[1]Jati Jawa'!$W$14</f>
        <v>102983.39856506565</v>
      </c>
      <c r="H7" s="53">
        <f t="shared" si="1"/>
        <v>236.52594985086279</v>
      </c>
      <c r="I7" s="443">
        <f t="shared" si="2"/>
        <v>3.3967849225412721</v>
      </c>
      <c r="J7" s="2">
        <f t="shared" si="0"/>
        <v>0</v>
      </c>
    </row>
    <row r="8" spans="1:11" hidden="1" x14ac:dyDescent="0.35">
      <c r="A8" s="12">
        <v>2012</v>
      </c>
      <c r="B8" s="18">
        <f>'[1]Jati Jawa'!$X$8</f>
        <v>102983.39856506565</v>
      </c>
      <c r="C8" s="18">
        <f>'[1]Jati Jawa'!$X$9</f>
        <v>4827.6543375357833</v>
      </c>
      <c r="D8" s="18">
        <f>'[1]Jati Jawa'!$X$10</f>
        <v>24.529</v>
      </c>
      <c r="E8" s="18">
        <f>'[1]Jati Jawa'!$X$11</f>
        <v>2572.9827689782574</v>
      </c>
      <c r="F8" s="18">
        <f>'[1]Jati Jawa'!$X$12</f>
        <v>403.43200000000002</v>
      </c>
      <c r="G8" s="18">
        <f>'[1]Jati Jawa'!$X$14</f>
        <v>104859.16713362318</v>
      </c>
      <c r="H8" s="53">
        <f t="shared" si="1"/>
        <v>259.91782291346044</v>
      </c>
      <c r="I8" s="443">
        <f t="shared" si="2"/>
        <v>1.8214281085046906</v>
      </c>
      <c r="J8" s="2">
        <f t="shared" si="0"/>
        <v>0</v>
      </c>
    </row>
    <row r="9" spans="1:11" s="158" customFormat="1" hidden="1" x14ac:dyDescent="0.35">
      <c r="A9" s="155">
        <v>2013</v>
      </c>
      <c r="B9" s="156">
        <f>'[1]Jati Jawa'!$Y$8</f>
        <v>104859.16713362318</v>
      </c>
      <c r="C9" s="156">
        <f>'[1]Jati Jawa'!$Y$9</f>
        <v>5459.4625128067619</v>
      </c>
      <c r="D9" s="156">
        <f>'[1]Jati Jawa'!$Y$10</f>
        <v>16.232750000000003</v>
      </c>
      <c r="E9" s="156">
        <f>'[1]Jati Jawa'!$Y$11</f>
        <v>1398.2410957587331</v>
      </c>
      <c r="F9" s="156">
        <f>'[1]Jati Jawa'!$Y$12</f>
        <v>431.51659775999997</v>
      </c>
      <c r="G9" s="156">
        <f>'[1]Jati Jawa'!$Y$14</f>
        <v>108505.10470291121</v>
      </c>
      <c r="H9" s="157">
        <f t="shared" si="1"/>
        <v>251.45059371101956</v>
      </c>
      <c r="I9" s="443">
        <f t="shared" si="2"/>
        <v>3.4769850542890168</v>
      </c>
      <c r="J9" s="158">
        <f t="shared" si="0"/>
        <v>0</v>
      </c>
    </row>
    <row r="10" spans="1:11" s="443" customFormat="1" x14ac:dyDescent="0.35">
      <c r="A10" s="440">
        <v>2014</v>
      </c>
      <c r="B10" s="441">
        <f>G9</f>
        <v>108505.10470291121</v>
      </c>
      <c r="C10" s="441">
        <v>4764.8739420437423</v>
      </c>
      <c r="D10" s="441">
        <v>23.340000000000007</v>
      </c>
      <c r="E10" s="441">
        <v>1044.833586116742</v>
      </c>
      <c r="F10" s="441">
        <v>455.99527599999999</v>
      </c>
      <c r="G10" s="441">
        <f>B10+C10+D10-E10-F10</f>
        <v>111792.48978283821</v>
      </c>
      <c r="H10" s="442">
        <f t="shared" si="1"/>
        <v>245.16150860922124</v>
      </c>
      <c r="I10" s="443">
        <f t="shared" si="2"/>
        <v>3.0297054584924155</v>
      </c>
      <c r="J10" s="443">
        <f t="shared" si="0"/>
        <v>0</v>
      </c>
    </row>
    <row r="11" spans="1:11" x14ac:dyDescent="0.35">
      <c r="A11" s="448">
        <v>2015</v>
      </c>
      <c r="B11" s="441">
        <f t="shared" ref="B11:B20" si="3">G10</f>
        <v>111792.48978283821</v>
      </c>
      <c r="C11" s="449">
        <v>4794.9495453205682</v>
      </c>
      <c r="D11" s="449">
        <v>20.328370000000003</v>
      </c>
      <c r="E11" s="449">
        <v>1228.429944018573</v>
      </c>
      <c r="F11" s="449">
        <v>392.65651400000002</v>
      </c>
      <c r="G11" s="441">
        <f t="shared" ref="G11:G20" si="4">B11+C11+D11-E11-F11</f>
        <v>114986.68124014021</v>
      </c>
      <c r="H11" s="442">
        <f t="shared" si="1"/>
        <v>292.84292286092113</v>
      </c>
      <c r="I11" s="443">
        <f t="shared" si="2"/>
        <v>2.8572504857051371</v>
      </c>
      <c r="J11" s="105">
        <f t="shared" si="0"/>
        <v>0</v>
      </c>
    </row>
    <row r="12" spans="1:11" x14ac:dyDescent="0.35">
      <c r="A12" s="448">
        <v>2016</v>
      </c>
      <c r="B12" s="441">
        <f t="shared" si="3"/>
        <v>114986.68124014021</v>
      </c>
      <c r="C12" s="449">
        <v>4335.8831969177199</v>
      </c>
      <c r="D12" s="449">
        <v>4.4800000000000013</v>
      </c>
      <c r="E12" s="449">
        <v>886.04879962743803</v>
      </c>
      <c r="F12" s="449">
        <v>250.63800000000001</v>
      </c>
      <c r="G12" s="441">
        <f t="shared" si="4"/>
        <v>118190.3576374305</v>
      </c>
      <c r="H12" s="442">
        <f t="shared" ref="H12:H13" si="5">G12/F12</f>
        <v>471.55801449672634</v>
      </c>
      <c r="I12" s="443">
        <f t="shared" si="2"/>
        <v>2.786128239147672</v>
      </c>
      <c r="J12" s="105">
        <f t="shared" si="0"/>
        <v>0</v>
      </c>
    </row>
    <row r="13" spans="1:11" x14ac:dyDescent="0.35">
      <c r="A13" s="448">
        <v>2017</v>
      </c>
      <c r="B13" s="441">
        <f t="shared" si="3"/>
        <v>118190.3576374305</v>
      </c>
      <c r="C13" s="449">
        <v>4331.5373147941646</v>
      </c>
      <c r="D13" s="449">
        <v>7.2613600000000034</v>
      </c>
      <c r="E13" s="449">
        <v>1082.9537308594238</v>
      </c>
      <c r="F13" s="449">
        <v>306.21707600000002</v>
      </c>
      <c r="G13" s="441">
        <f t="shared" si="4"/>
        <v>121139.98550536523</v>
      </c>
      <c r="H13" s="450">
        <f t="shared" si="5"/>
        <v>395.60166626816471</v>
      </c>
      <c r="I13" s="443">
        <f t="shared" si="2"/>
        <v>2.4956586365388915</v>
      </c>
      <c r="J13" s="105">
        <f t="shared" si="0"/>
        <v>0</v>
      </c>
    </row>
    <row r="14" spans="1:11" x14ac:dyDescent="0.35">
      <c r="A14" s="448">
        <v>2018</v>
      </c>
      <c r="B14" s="441">
        <f t="shared" si="3"/>
        <v>121139.98550536523</v>
      </c>
      <c r="C14" s="449">
        <v>4306.2241738838129</v>
      </c>
      <c r="D14" s="449">
        <v>15.307000000000006</v>
      </c>
      <c r="E14" s="449">
        <v>1163.8354254738299</v>
      </c>
      <c r="F14" s="449">
        <v>400.11200000000002</v>
      </c>
      <c r="G14" s="441">
        <f t="shared" si="4"/>
        <v>123897.5692537752</v>
      </c>
      <c r="H14" s="450">
        <f t="shared" ref="H14" si="6">G14/F14</f>
        <v>309.65721911308634</v>
      </c>
      <c r="I14" s="443">
        <f t="shared" ref="I14" si="7">G14/G13*100-100</f>
        <v>2.2763612996204614</v>
      </c>
      <c r="J14" s="105">
        <f t="shared" ref="J14" si="8">B14+C14+D14-E14-F14-G14</f>
        <v>0</v>
      </c>
    </row>
    <row r="15" spans="1:11" x14ac:dyDescent="0.35">
      <c r="A15" s="448">
        <v>2019</v>
      </c>
      <c r="B15" s="441">
        <f t="shared" si="3"/>
        <v>123897.5692537752</v>
      </c>
      <c r="C15" s="449">
        <v>4330.2309583871665</v>
      </c>
      <c r="D15" s="449">
        <v>17.870000000000008</v>
      </c>
      <c r="E15" s="449">
        <v>1071.8839796266564</v>
      </c>
      <c r="F15" s="449">
        <v>406.07600000000002</v>
      </c>
      <c r="G15" s="441">
        <f t="shared" si="4"/>
        <v>126767.71023253571</v>
      </c>
      <c r="H15" s="450">
        <f t="shared" ref="H15" si="9">G15/F15</f>
        <v>312.17730235851343</v>
      </c>
      <c r="I15" s="443">
        <f t="shared" ref="I15" si="10">G15/G14*100-100</f>
        <v>2.3165434124713897</v>
      </c>
      <c r="J15" s="105">
        <f t="shared" ref="J15" si="11">B15+C15+D15-E15-F15-G15</f>
        <v>0</v>
      </c>
    </row>
    <row r="16" spans="1:11" x14ac:dyDescent="0.35">
      <c r="A16" s="448">
        <v>2020</v>
      </c>
      <c r="B16" s="441">
        <f t="shared" si="3"/>
        <v>126767.71023253571</v>
      </c>
      <c r="C16" s="449">
        <v>5581.2446417010306</v>
      </c>
      <c r="D16" s="449">
        <v>16.851000000000006</v>
      </c>
      <c r="E16" s="449">
        <v>900.38909871789383</v>
      </c>
      <c r="F16" s="449">
        <v>432.81729999999999</v>
      </c>
      <c r="G16" s="441">
        <f t="shared" si="4"/>
        <v>131032.59947551886</v>
      </c>
      <c r="H16" s="450">
        <f t="shared" ref="H16" si="12">G16/F16</f>
        <v>302.74344273096028</v>
      </c>
      <c r="I16" s="443">
        <f t="shared" ref="I16" si="13">G16/G15*100-100</f>
        <v>3.3643340525437253</v>
      </c>
      <c r="J16" s="105">
        <f t="shared" ref="J16" si="14">B16+C16+D16-E16-F16-G16</f>
        <v>0</v>
      </c>
    </row>
    <row r="17" spans="1:10" x14ac:dyDescent="0.35">
      <c r="A17" s="448">
        <v>2021</v>
      </c>
      <c r="B17" s="441">
        <f t="shared" si="3"/>
        <v>131032.59947551886</v>
      </c>
      <c r="C17" s="449">
        <v>5609.1549941461326</v>
      </c>
      <c r="D17" s="449">
        <v>21.844000000000008</v>
      </c>
      <c r="E17" s="449">
        <v>516.34271268289945</v>
      </c>
      <c r="F17" s="449">
        <v>494.76</v>
      </c>
      <c r="G17" s="441">
        <f t="shared" si="4"/>
        <v>135652.4957569821</v>
      </c>
      <c r="H17" s="450">
        <f t="shared" ref="H17" si="15">G17/F17</f>
        <v>274.17838094628121</v>
      </c>
      <c r="I17" s="443">
        <f t="shared" ref="I17" si="16">G17/G16*100-100</f>
        <v>3.5257609937948189</v>
      </c>
      <c r="J17" s="105">
        <f t="shared" ref="J17" si="17">B17+C17+D17-E17-F17-G17</f>
        <v>0</v>
      </c>
    </row>
    <row r="18" spans="1:10" x14ac:dyDescent="0.35">
      <c r="A18" s="448">
        <v>2022</v>
      </c>
      <c r="B18" s="441">
        <f t="shared" si="3"/>
        <v>135652.4957569821</v>
      </c>
      <c r="C18" s="449">
        <v>5674.1047083784279</v>
      </c>
      <c r="D18" s="449">
        <v>13.021000000000006</v>
      </c>
      <c r="E18" s="449">
        <v>641.39338420134573</v>
      </c>
      <c r="F18" s="449">
        <v>500.476</v>
      </c>
      <c r="G18" s="441">
        <f t="shared" si="4"/>
        <v>140197.75208115921</v>
      </c>
      <c r="H18" s="450">
        <f t="shared" ref="H18" si="18">G18/F18</f>
        <v>280.12882152422736</v>
      </c>
      <c r="I18" s="443">
        <f t="shared" ref="I18" si="19">G18/G17*100-100</f>
        <v>3.3506617764849693</v>
      </c>
      <c r="J18" s="105">
        <f t="shared" ref="J18" si="20">B18+C18+D18-E18-F18-G18</f>
        <v>0</v>
      </c>
    </row>
    <row r="19" spans="1:10" x14ac:dyDescent="0.35">
      <c r="A19" s="448">
        <v>2023</v>
      </c>
      <c r="B19" s="441">
        <f t="shared" si="3"/>
        <v>140197.75208115921</v>
      </c>
      <c r="C19" s="449">
        <v>5071.3775316119873</v>
      </c>
      <c r="D19" s="449">
        <v>16.859000000000009</v>
      </c>
      <c r="E19" s="449">
        <v>876.37468189361539</v>
      </c>
      <c r="F19" s="449">
        <v>462.95499999999998</v>
      </c>
      <c r="G19" s="441">
        <f t="shared" si="4"/>
        <v>143946.6589308776</v>
      </c>
      <c r="H19" s="450">
        <f t="shared" ref="H19:H20" si="21">G19/F19</f>
        <v>310.93013128895382</v>
      </c>
      <c r="I19" s="443">
        <f t="shared" ref="I19:I20" si="22">G19/G18*100-100</f>
        <v>2.6740135230899966</v>
      </c>
      <c r="J19" s="105">
        <f t="shared" ref="J19:J20" si="23">B19+C19+D19-E19-F19-G19</f>
        <v>0</v>
      </c>
    </row>
    <row r="20" spans="1:10" x14ac:dyDescent="0.35">
      <c r="A20" s="448">
        <v>2024</v>
      </c>
      <c r="B20" s="441">
        <f t="shared" si="3"/>
        <v>143946.6589308776</v>
      </c>
      <c r="C20" s="449">
        <v>5096.7530480938485</v>
      </c>
      <c r="D20" s="449">
        <v>14.076000000000008</v>
      </c>
      <c r="E20" s="449">
        <v>686.75276015302222</v>
      </c>
      <c r="F20" s="449">
        <v>395.50799999999998</v>
      </c>
      <c r="G20" s="441">
        <f t="shared" si="4"/>
        <v>147975.22721881841</v>
      </c>
      <c r="H20" s="450">
        <f t="shared" si="21"/>
        <v>374.13965638828648</v>
      </c>
      <c r="I20" s="443">
        <f t="shared" si="22"/>
        <v>2.7986535553251883</v>
      </c>
      <c r="J20" s="105">
        <f t="shared" si="23"/>
        <v>0</v>
      </c>
    </row>
    <row r="21" spans="1:10" x14ac:dyDescent="0.35">
      <c r="A21" s="34"/>
      <c r="B21" s="35"/>
      <c r="C21" s="35"/>
      <c r="D21" s="35"/>
      <c r="E21" s="35"/>
      <c r="F21" s="35"/>
      <c r="G21" s="35">
        <f>(G13-G9)/1000</f>
        <v>12.634880802454019</v>
      </c>
      <c r="H21" s="35"/>
      <c r="I21" s="454">
        <f>((G9-G8)/1000 )</f>
        <v>3.6459375692880274</v>
      </c>
    </row>
    <row r="22" spans="1:10" x14ac:dyDescent="0.35">
      <c r="A22" s="465" t="s">
        <v>55</v>
      </c>
      <c r="B22" s="465"/>
      <c r="C22" s="465"/>
      <c r="D22" s="465"/>
      <c r="E22" s="465"/>
      <c r="F22" s="465"/>
      <c r="G22" s="144">
        <f>G13/G9*100-100</f>
        <v>11.644503580774867</v>
      </c>
      <c r="H22" s="49"/>
      <c r="I22" s="49"/>
    </row>
    <row r="24" spans="1:10" x14ac:dyDescent="0.35">
      <c r="A24" s="16" t="s">
        <v>0</v>
      </c>
      <c r="H24" s="10" t="s">
        <v>62</v>
      </c>
    </row>
    <row r="25" spans="1:10" ht="15" customHeight="1" x14ac:dyDescent="0.35">
      <c r="A25" s="466" t="s">
        <v>63</v>
      </c>
      <c r="B25" s="462" t="s">
        <v>115</v>
      </c>
      <c r="C25" s="462" t="s">
        <v>60</v>
      </c>
      <c r="D25" s="467" t="s">
        <v>10</v>
      </c>
      <c r="E25" s="462" t="s">
        <v>12</v>
      </c>
      <c r="F25" s="464" t="s">
        <v>13</v>
      </c>
      <c r="G25" s="462" t="s">
        <v>14</v>
      </c>
      <c r="H25" s="462" t="s">
        <v>61</v>
      </c>
      <c r="I25" s="463"/>
    </row>
    <row r="26" spans="1:10" ht="17.25" customHeight="1" x14ac:dyDescent="0.35">
      <c r="A26" s="466"/>
      <c r="B26" s="462"/>
      <c r="C26" s="462"/>
      <c r="D26" s="467"/>
      <c r="E26" s="462"/>
      <c r="F26" s="464"/>
      <c r="G26" s="462"/>
      <c r="H26" s="462"/>
      <c r="I26" s="463"/>
    </row>
    <row r="27" spans="1:10" hidden="1" x14ac:dyDescent="0.35">
      <c r="A27" s="13">
        <v>2008</v>
      </c>
      <c r="B27" s="81">
        <f>'Rate of Return'!L7</f>
        <v>0</v>
      </c>
      <c r="C27" s="53">
        <f>'GOS per unit'!E3</f>
        <v>1006855.7975223074</v>
      </c>
      <c r="D27" s="14">
        <f t="shared" ref="D27:D35" si="24">C27*F4/1000000</f>
        <v>480.98508303438143</v>
      </c>
      <c r="E27" s="14">
        <f t="shared" ref="E27:E35" si="25">H4</f>
        <v>191.88471314453054</v>
      </c>
      <c r="F27" s="72">
        <f>(PV(B27,E27,-1/E27))</f>
        <v>1</v>
      </c>
      <c r="G27" s="14">
        <f>D27*E27*F27</f>
        <v>92293.684684850479</v>
      </c>
      <c r="H27" s="71">
        <f t="shared" ref="H27:H35" si="26">G27/G4*1000000</f>
        <v>1006855.7975223074</v>
      </c>
    </row>
    <row r="28" spans="1:10" hidden="1" x14ac:dyDescent="0.35">
      <c r="A28" s="13">
        <v>2009</v>
      </c>
      <c r="B28" s="81">
        <f>'Rate of Return'!L8</f>
        <v>0</v>
      </c>
      <c r="C28" s="53">
        <f>'GOS per unit'!E4</f>
        <v>1096487.2043600392</v>
      </c>
      <c r="D28" s="14">
        <f t="shared" si="24"/>
        <v>499.12097542468985</v>
      </c>
      <c r="E28" s="14">
        <f t="shared" si="25"/>
        <v>210.21965431109291</v>
      </c>
      <c r="F28" s="72">
        <f t="shared" ref="F28:F33" si="27">(PV(B28,E28,-1/E28))</f>
        <v>1</v>
      </c>
      <c r="G28" s="14">
        <f t="shared" ref="G28:G33" si="28">D28*E28*F28</f>
        <v>104925.0389131938</v>
      </c>
      <c r="H28" s="14">
        <f t="shared" si="26"/>
        <v>1096487.2043600392</v>
      </c>
      <c r="I28" s="3"/>
    </row>
    <row r="29" spans="1:10" hidden="1" x14ac:dyDescent="0.35">
      <c r="A29" s="13">
        <v>2010</v>
      </c>
      <c r="B29" s="81">
        <f>'Rate of Return'!L9</f>
        <v>6.1000000000000082E-3</v>
      </c>
      <c r="C29" s="53">
        <f>'GOS per unit'!E5</f>
        <v>1133109.1671606528</v>
      </c>
      <c r="D29" s="14">
        <f t="shared" si="24"/>
        <v>509.9353847156429</v>
      </c>
      <c r="E29" s="14">
        <f t="shared" si="25"/>
        <v>221.31802668727866</v>
      </c>
      <c r="F29" s="72">
        <f t="shared" si="27"/>
        <v>0.5479132818304</v>
      </c>
      <c r="G29" s="14">
        <f>D29*E29*F29</f>
        <v>61836.338579726733</v>
      </c>
      <c r="H29" s="14">
        <f t="shared" si="26"/>
        <v>620845.56245110452</v>
      </c>
      <c r="I29" s="3"/>
    </row>
    <row r="30" spans="1:10" hidden="1" x14ac:dyDescent="0.35">
      <c r="A30" s="13">
        <v>2011</v>
      </c>
      <c r="B30" s="108">
        <f>'Rate of Return'!L10</f>
        <v>4.2941904742675889E-2</v>
      </c>
      <c r="C30" s="109">
        <f>'GOS per unit'!E6</f>
        <v>1221958.7722558987</v>
      </c>
      <c r="D30" s="110">
        <f t="shared" si="24"/>
        <v>532.04084944021827</v>
      </c>
      <c r="E30" s="110">
        <f t="shared" si="25"/>
        <v>236.52594985086279</v>
      </c>
      <c r="F30" s="111">
        <f t="shared" si="27"/>
        <v>9.845075819739689E-2</v>
      </c>
      <c r="G30" s="110">
        <f t="shared" si="28"/>
        <v>12389.187865730031</v>
      </c>
      <c r="H30" s="110">
        <f t="shared" si="26"/>
        <v>120302.76761455345</v>
      </c>
      <c r="I30" s="3"/>
    </row>
    <row r="31" spans="1:10" s="158" customFormat="1" hidden="1" x14ac:dyDescent="0.35">
      <c r="A31" s="155">
        <v>2012</v>
      </c>
      <c r="B31" s="164">
        <f>'Rate of Return'!C11</f>
        <v>6.6462195121951215E-2</v>
      </c>
      <c r="C31" s="157">
        <f>'GOS per unit'!E7</f>
        <v>1274682.2960647275</v>
      </c>
      <c r="D31" s="163">
        <f t="shared" si="24"/>
        <v>514.24762806598517</v>
      </c>
      <c r="E31" s="163">
        <f t="shared" si="25"/>
        <v>259.91782291346044</v>
      </c>
      <c r="F31" s="165">
        <f t="shared" si="27"/>
        <v>5.7888091885801879E-2</v>
      </c>
      <c r="G31" s="163">
        <f t="shared" si="28"/>
        <v>7737.445311440466</v>
      </c>
      <c r="H31" s="163">
        <f t="shared" si="26"/>
        <v>73788.925879799848</v>
      </c>
      <c r="I31" s="4">
        <v>244356.89048029669</v>
      </c>
    </row>
    <row r="32" spans="1:10" s="158" customFormat="1" hidden="1" x14ac:dyDescent="0.35">
      <c r="A32" s="155">
        <v>2013</v>
      </c>
      <c r="B32" s="164">
        <f>'Rate of Return'!C12</f>
        <v>7.5548571428571409E-2</v>
      </c>
      <c r="C32" s="156">
        <f>'GOS per unit'!E8</f>
        <v>1471460.6154533799</v>
      </c>
      <c r="D32" s="163">
        <f t="shared" si="24"/>
        <v>634.95967851827811</v>
      </c>
      <c r="E32" s="163">
        <f t="shared" si="25"/>
        <v>251.45059371101956</v>
      </c>
      <c r="F32" s="165">
        <f t="shared" si="27"/>
        <v>5.2640629391978631E-2</v>
      </c>
      <c r="G32" s="163">
        <f>D32*E32*F32</f>
        <v>8404.6549053495819</v>
      </c>
      <c r="H32" s="163">
        <f t="shared" si="26"/>
        <v>77458.612922974149</v>
      </c>
      <c r="I32" s="4"/>
    </row>
    <row r="33" spans="1:10" s="443" customFormat="1" x14ac:dyDescent="0.35">
      <c r="A33" s="440">
        <v>2014</v>
      </c>
      <c r="B33" s="444">
        <v>8.6841975308642003E-2</v>
      </c>
      <c r="C33" s="441">
        <v>1658354.6710787243</v>
      </c>
      <c r="D33" s="445">
        <f t="shared" si="24"/>
        <v>756.20189594443218</v>
      </c>
      <c r="E33" s="445">
        <f t="shared" si="25"/>
        <v>245.16150860922124</v>
      </c>
      <c r="F33" s="446">
        <f t="shared" si="27"/>
        <v>4.6969725372666686E-2</v>
      </c>
      <c r="G33" s="445">
        <f t="shared" si="28"/>
        <v>8707.7924267470862</v>
      </c>
      <c r="H33" s="445">
        <f t="shared" si="26"/>
        <v>77892.463471046693</v>
      </c>
      <c r="I33" s="447"/>
    </row>
    <row r="34" spans="1:10" x14ac:dyDescent="0.35">
      <c r="A34" s="448">
        <v>2015</v>
      </c>
      <c r="B34" s="444">
        <v>8.4721074380165268E-2</v>
      </c>
      <c r="C34" s="157">
        <v>1610404.9196600288</v>
      </c>
      <c r="D34" s="445">
        <f t="shared" si="24"/>
        <v>632.33598188215694</v>
      </c>
      <c r="E34" s="445">
        <f t="shared" si="25"/>
        <v>292.84292286092113</v>
      </c>
      <c r="F34" s="446">
        <f t="shared" ref="F34" si="29">(PV(B34,E34,-1/E34))</f>
        <v>4.030638162328988E-2</v>
      </c>
      <c r="G34" s="445">
        <f t="shared" ref="G34" si="30">D34*E34*F34</f>
        <v>7463.7389395698065</v>
      </c>
      <c r="H34" s="445">
        <f t="shared" si="26"/>
        <v>64909.595259840593</v>
      </c>
      <c r="I34" s="3"/>
    </row>
    <row r="35" spans="1:10" x14ac:dyDescent="0.35">
      <c r="A35" s="448">
        <v>2016</v>
      </c>
      <c r="B35" s="444">
        <v>7.9230487804878069E-2</v>
      </c>
      <c r="C35" s="157">
        <v>1726500.3272901732</v>
      </c>
      <c r="D35" s="445">
        <f t="shared" si="24"/>
        <v>432.72658903135442</v>
      </c>
      <c r="E35" s="445">
        <f t="shared" si="25"/>
        <v>471.55801449672634</v>
      </c>
      <c r="F35" s="446">
        <f>(PV(B35,E35,-1/E35))</f>
        <v>2.6765326144889152E-2</v>
      </c>
      <c r="G35" s="445">
        <f t="shared" ref="G35" si="31">D35*E35*F35</f>
        <v>5461.6171251783226</v>
      </c>
      <c r="H35" s="445">
        <f t="shared" si="26"/>
        <v>46210.344349179344</v>
      </c>
      <c r="I35" s="3"/>
    </row>
    <row r="36" spans="1:10" x14ac:dyDescent="0.35">
      <c r="A36" s="448">
        <v>2017</v>
      </c>
      <c r="B36" s="444">
        <v>7.6071308016877698E-2</v>
      </c>
      <c r="C36" s="157">
        <v>1747045.8476219366</v>
      </c>
      <c r="D36" s="445">
        <f t="shared" ref="D36" si="32">C36*F13/1000000</f>
        <v>534.97527109673103</v>
      </c>
      <c r="E36" s="445">
        <f t="shared" ref="E36" si="33">H13</f>
        <v>395.60166626816471</v>
      </c>
      <c r="F36" s="446">
        <f t="shared" ref="F36" si="34">(PV(B36,E36,-1/E36))</f>
        <v>3.3229285565439616E-2</v>
      </c>
      <c r="G36" s="445">
        <f t="shared" ref="G36" si="35">D36*E36*F36</f>
        <v>7032.5499198449725</v>
      </c>
      <c r="H36" s="445">
        <f t="shared" ref="H36" si="36">G36/G13*1000000</f>
        <v>58053.085366544838</v>
      </c>
      <c r="I36" s="3"/>
    </row>
    <row r="37" spans="1:10" x14ac:dyDescent="0.35">
      <c r="A37" s="448">
        <v>2018</v>
      </c>
      <c r="B37" s="444">
        <v>7.9443459915611817E-2</v>
      </c>
      <c r="C37" s="157">
        <v>1839365.4252486841</v>
      </c>
      <c r="D37" s="445">
        <f t="shared" ref="D37" si="37">C37*F14/1000000</f>
        <v>735.95217902710147</v>
      </c>
      <c r="E37" s="445">
        <f t="shared" ref="E37" si="38">H14</f>
        <v>309.65721911308634</v>
      </c>
      <c r="F37" s="446">
        <f t="shared" ref="F37" si="39">(PV(B37,E37,-1/E37))</f>
        <v>4.0650008471939593E-2</v>
      </c>
      <c r="G37" s="445">
        <f t="shared" ref="G37" si="40">D37*E37*F37</f>
        <v>9263.8485253574017</v>
      </c>
      <c r="H37" s="445">
        <f t="shared" ref="H37" si="41">G37/G14*1000000</f>
        <v>74770.220119351769</v>
      </c>
      <c r="I37" s="3"/>
    </row>
    <row r="38" spans="1:10" x14ac:dyDescent="0.35">
      <c r="A38" s="448">
        <v>2019</v>
      </c>
      <c r="B38" s="444">
        <v>8.0219834710743843E-2</v>
      </c>
      <c r="C38" s="157">
        <v>2005737.6753912442</v>
      </c>
      <c r="D38" s="445">
        <f t="shared" ref="D38" si="42">C38*F15/1000000</f>
        <v>814.48193227217496</v>
      </c>
      <c r="E38" s="445">
        <f t="shared" ref="E38" si="43">H15</f>
        <v>312.17730235851343</v>
      </c>
      <c r="F38" s="446">
        <f t="shared" ref="F38" si="44">(PV(B38,E38,-1/E38))</f>
        <v>3.9931618546350939E-2</v>
      </c>
      <c r="G38" s="445">
        <f t="shared" ref="G38" si="45">D38*E38*F38</f>
        <v>10153.124039471033</v>
      </c>
      <c r="H38" s="445">
        <f t="shared" ref="H38" si="46">G38/G15*1000000</f>
        <v>80092.351757767814</v>
      </c>
      <c r="I38" s="3"/>
    </row>
    <row r="39" spans="1:10" x14ac:dyDescent="0.35">
      <c r="A39" s="448">
        <v>2020</v>
      </c>
      <c r="B39" s="444">
        <v>7.4857438016528874E-2</v>
      </c>
      <c r="C39" s="157">
        <v>2032729.2171608778</v>
      </c>
      <c r="D39" s="445">
        <f t="shared" ref="D39" si="47">C39*F16/1000000</f>
        <v>879.80037140268485</v>
      </c>
      <c r="E39" s="445">
        <f t="shared" ref="E39" si="48">H16</f>
        <v>302.74344273096028</v>
      </c>
      <c r="F39" s="446">
        <f>(PV(B39,E39,-1/E39))</f>
        <v>4.4125566612105302E-2</v>
      </c>
      <c r="G39" s="445">
        <f t="shared" ref="G39" si="49">D39*E39*F39</f>
        <v>11753.012051047666</v>
      </c>
      <c r="H39" s="445">
        <f t="shared" ref="H39" si="50">G39/G16*1000000</f>
        <v>89695.328476204973</v>
      </c>
      <c r="I39" s="3"/>
    </row>
    <row r="40" spans="1:10" x14ac:dyDescent="0.35">
      <c r="A40" s="448">
        <v>2021</v>
      </c>
      <c r="B40" s="444">
        <v>7.0489837398374042E-2</v>
      </c>
      <c r="C40" s="157">
        <v>2047200.4819221906</v>
      </c>
      <c r="D40" s="445">
        <f t="shared" ref="D40" si="51">C40*F17/1000000</f>
        <v>1012.872910435823</v>
      </c>
      <c r="E40" s="445">
        <f t="shared" ref="E40" si="52">H17</f>
        <v>274.17838094628121</v>
      </c>
      <c r="F40" s="446">
        <f>(PV(B40,E40,-1/E40))</f>
        <v>5.174165076493728E-2</v>
      </c>
      <c r="G40" s="445">
        <f t="shared" ref="G40" si="53">D40*E40*F40</f>
        <v>14369.062831927906</v>
      </c>
      <c r="H40" s="445">
        <f t="shared" ref="H40" si="54">G40/G17*1000000</f>
        <v>105925.53238142928</v>
      </c>
      <c r="I40" s="3"/>
    </row>
    <row r="41" spans="1:10" x14ac:dyDescent="0.35">
      <c r="A41" s="448">
        <v>2022</v>
      </c>
      <c r="B41" s="444">
        <v>7.2128455284552931E-2</v>
      </c>
      <c r="C41" s="157">
        <v>2096041.4123566344</v>
      </c>
      <c r="D41" s="445">
        <f t="shared" ref="D41" si="55">C41*F18/1000000</f>
        <v>1049.0184218905988</v>
      </c>
      <c r="E41" s="445">
        <f t="shared" ref="E41" si="56">H18</f>
        <v>280.12882152422736</v>
      </c>
      <c r="F41" s="446">
        <f>(PV(B41,E41,-1/E41))</f>
        <v>4.949206480667824E-2</v>
      </c>
      <c r="G41" s="445">
        <f t="shared" ref="G41" si="57">D41*E41*F41</f>
        <v>14543.752728685489</v>
      </c>
      <c r="H41" s="445">
        <f t="shared" ref="H41" si="58">G41/G18*1000000</f>
        <v>103737.41741783592</v>
      </c>
      <c r="I41" s="3"/>
    </row>
    <row r="42" spans="1:10" x14ac:dyDescent="0.35">
      <c r="A42" s="448">
        <v>2023</v>
      </c>
      <c r="B42" s="444">
        <v>6.852050209205017E-2</v>
      </c>
      <c r="C42" s="157">
        <v>2184432.2937190025</v>
      </c>
      <c r="D42" s="445">
        <f t="shared" ref="D42:D43" si="59">C42*F19/1000000</f>
        <v>1011.2938525386808</v>
      </c>
      <c r="E42" s="445">
        <f t="shared" ref="E42:E43" si="60">H19</f>
        <v>310.93013128895382</v>
      </c>
      <c r="F42" s="446">
        <f t="shared" ref="F42:F43" si="61">(PV(B42,E42,-1/E42))</f>
        <v>4.6937143159530278E-2</v>
      </c>
      <c r="G42" s="445">
        <f t="shared" ref="G42:G43" si="62">D42*E42*F42</f>
        <v>14758.996512372401</v>
      </c>
      <c r="H42" s="445">
        <f t="shared" ref="H42:H43" si="63">G42/G19*1000000</f>
        <v>102531.01129258992</v>
      </c>
      <c r="I42" s="3"/>
    </row>
    <row r="43" spans="1:10" x14ac:dyDescent="0.35">
      <c r="A43" s="448">
        <v>2024</v>
      </c>
      <c r="B43" s="444">
        <v>6.9594936708860813E-2</v>
      </c>
      <c r="C43" s="157">
        <v>2217091.4892622349</v>
      </c>
      <c r="D43" s="445">
        <f t="shared" si="59"/>
        <v>876.87742073512788</v>
      </c>
      <c r="E43" s="445">
        <f t="shared" si="60"/>
        <v>374.13965638828648</v>
      </c>
      <c r="F43" s="446">
        <f t="shared" si="61"/>
        <v>3.8405074572118544E-2</v>
      </c>
      <c r="G43" s="445">
        <f t="shared" si="62"/>
        <v>12599.730126821591</v>
      </c>
      <c r="H43" s="445">
        <f t="shared" si="63"/>
        <v>85147.563978325474</v>
      </c>
      <c r="I43" s="3"/>
    </row>
    <row r="44" spans="1:10" x14ac:dyDescent="0.35">
      <c r="G44" s="2">
        <f>G36/1000</f>
        <v>7.0325499198449721</v>
      </c>
      <c r="H44" s="2">
        <f>H36/1000</f>
        <v>58.053085366544835</v>
      </c>
    </row>
    <row r="45" spans="1:10" x14ac:dyDescent="0.35">
      <c r="A45" s="16" t="s">
        <v>21</v>
      </c>
      <c r="B45" s="9"/>
      <c r="C45" s="9"/>
      <c r="D45" s="9"/>
      <c r="E45" s="9"/>
      <c r="F45" s="9"/>
      <c r="G45" s="147">
        <f>G34/1000</f>
        <v>7.4637389395698062</v>
      </c>
      <c r="H45" s="147">
        <f>H34/1000</f>
        <v>64.909595259840586</v>
      </c>
    </row>
    <row r="46" spans="1:10" ht="26" x14ac:dyDescent="0.35">
      <c r="A46" s="421" t="s">
        <v>8</v>
      </c>
      <c r="B46" s="61" t="s">
        <v>22</v>
      </c>
      <c r="C46" s="61" t="s">
        <v>23</v>
      </c>
      <c r="D46" s="61" t="s">
        <v>24</v>
      </c>
      <c r="E46" s="61" t="s">
        <v>25</v>
      </c>
      <c r="F46" s="61" t="s">
        <v>26</v>
      </c>
      <c r="G46" s="61" t="s">
        <v>20</v>
      </c>
      <c r="H46" s="61" t="s">
        <v>11</v>
      </c>
      <c r="I46" s="37" t="s">
        <v>50</v>
      </c>
    </row>
    <row r="47" spans="1:10" hidden="1" x14ac:dyDescent="0.35">
      <c r="A47" s="422">
        <v>2009</v>
      </c>
      <c r="B47" s="63">
        <f>G27</f>
        <v>92293.684684850479</v>
      </c>
      <c r="C47" s="63">
        <f t="shared" ref="C47:F47" si="64">C5*$H28/1000000</f>
        <v>5214.846741694344</v>
      </c>
      <c r="D47" s="63">
        <f t="shared" si="64"/>
        <v>20.997729963494749</v>
      </c>
      <c r="E47" s="63">
        <f t="shared" si="64"/>
        <v>321.45425334466307</v>
      </c>
      <c r="F47" s="63">
        <f t="shared" si="64"/>
        <v>499.12097542468985</v>
      </c>
      <c r="G47" s="423">
        <f t="shared" ref="G47:G54" si="65">(H28-H27)*B5/1000000</f>
        <v>8216.0849854548251</v>
      </c>
      <c r="H47" s="63">
        <f t="shared" ref="H47:H54" si="66">G28</f>
        <v>104925.0389131938</v>
      </c>
      <c r="I47" s="424">
        <f t="shared" ref="I47:I54" si="67">H47/G5*1000</f>
        <v>1096.4872043600392</v>
      </c>
      <c r="J47" s="2">
        <f>B47+C47+D47-E47-F47+G47-H47</f>
        <v>0</v>
      </c>
    </row>
    <row r="48" spans="1:10" hidden="1" x14ac:dyDescent="0.35">
      <c r="A48" s="422">
        <v>2010</v>
      </c>
      <c r="B48" s="63">
        <f t="shared" ref="B48:B53" si="68">H47</f>
        <v>104925.0389131938</v>
      </c>
      <c r="C48" s="63">
        <f t="shared" ref="C48:F48" si="69">C6*$H29/1000000</f>
        <v>2967.4779077496892</v>
      </c>
      <c r="D48" s="63">
        <f t="shared" si="69"/>
        <v>11.997219648805146</v>
      </c>
      <c r="E48" s="63">
        <f t="shared" si="69"/>
        <v>273.68144658106314</v>
      </c>
      <c r="F48" s="63">
        <f t="shared" si="69"/>
        <v>279.40037016099546</v>
      </c>
      <c r="G48" s="423">
        <f t="shared" si="65"/>
        <v>-45515.093644123495</v>
      </c>
      <c r="H48" s="63">
        <f t="shared" si="66"/>
        <v>61836.338579726733</v>
      </c>
      <c r="I48" s="424">
        <f t="shared" si="67"/>
        <v>620.84556245110457</v>
      </c>
      <c r="J48" s="2">
        <f t="shared" ref="J48:J55" si="70">B48+C48+D48-E48-F48+G48-H48</f>
        <v>0</v>
      </c>
    </row>
    <row r="49" spans="1:13" hidden="1" x14ac:dyDescent="0.35">
      <c r="A49" s="422">
        <v>2011</v>
      </c>
      <c r="B49" s="63">
        <f t="shared" si="68"/>
        <v>61836.338579726733</v>
      </c>
      <c r="C49" s="63">
        <f t="shared" ref="C49:F49" si="71">C7*$H30/1000000</f>
        <v>577.89055098750896</v>
      </c>
      <c r="D49" s="63">
        <f t="shared" si="71"/>
        <v>3.5932030631114826</v>
      </c>
      <c r="E49" s="63">
        <f t="shared" si="71"/>
        <v>122.095078839536</v>
      </c>
      <c r="F49" s="63">
        <f t="shared" si="71"/>
        <v>52.379825019376568</v>
      </c>
      <c r="G49" s="423">
        <f t="shared" si="65"/>
        <v>-49854.159564188405</v>
      </c>
      <c r="H49" s="63">
        <f t="shared" si="66"/>
        <v>12389.187865730031</v>
      </c>
      <c r="I49" s="424">
        <f t="shared" si="67"/>
        <v>120.30276761455346</v>
      </c>
      <c r="J49" s="2">
        <f t="shared" si="70"/>
        <v>0</v>
      </c>
    </row>
    <row r="50" spans="1:13" hidden="1" x14ac:dyDescent="0.35">
      <c r="A50" s="36">
        <v>2012</v>
      </c>
      <c r="B50" s="425">
        <f t="shared" si="68"/>
        <v>12389.187865730031</v>
      </c>
      <c r="C50" s="425">
        <f t="shared" ref="C50:F50" si="72">C8*$H31/1000000</f>
        <v>356.22742808572212</v>
      </c>
      <c r="D50" s="425">
        <f t="shared" si="72"/>
        <v>1.8099685629056106</v>
      </c>
      <c r="E50" s="425">
        <f t="shared" si="72"/>
        <v>189.85763483013881</v>
      </c>
      <c r="F50" s="425">
        <f t="shared" si="72"/>
        <v>29.768813945539414</v>
      </c>
      <c r="G50" s="114">
        <f t="shared" si="65"/>
        <v>-4790.153502162515</v>
      </c>
      <c r="H50" s="425">
        <f t="shared" si="66"/>
        <v>7737.445311440466</v>
      </c>
      <c r="I50" s="426">
        <f t="shared" si="67"/>
        <v>73.788925879799848</v>
      </c>
      <c r="J50" s="2">
        <f t="shared" si="70"/>
        <v>0</v>
      </c>
    </row>
    <row r="51" spans="1:13" s="158" customFormat="1" hidden="1" x14ac:dyDescent="0.35">
      <c r="A51" s="427">
        <v>2013</v>
      </c>
      <c r="B51" s="428">
        <f t="shared" si="68"/>
        <v>7737.445311440466</v>
      </c>
      <c r="C51" s="428">
        <f>C9*$H32/1000000</f>
        <v>422.88239354698675</v>
      </c>
      <c r="D51" s="428">
        <f t="shared" ref="D51:F51" si="73">D9*$H32/1000000</f>
        <v>1.2573662989254089</v>
      </c>
      <c r="E51" s="428">
        <f>E9*$H32/1000000</f>
        <v>108.30581580937094</v>
      </c>
      <c r="F51" s="428">
        <f t="shared" si="73"/>
        <v>33.424677115730574</v>
      </c>
      <c r="G51" s="167">
        <f t="shared" si="65"/>
        <v>384.80032698830553</v>
      </c>
      <c r="H51" s="428">
        <f t="shared" si="66"/>
        <v>8404.6549053495819</v>
      </c>
      <c r="I51" s="424">
        <f t="shared" si="67"/>
        <v>77.458612922974154</v>
      </c>
      <c r="J51" s="158">
        <f t="shared" si="70"/>
        <v>0</v>
      </c>
    </row>
    <row r="52" spans="1:13" x14ac:dyDescent="0.35">
      <c r="A52" s="448">
        <v>2014</v>
      </c>
      <c r="B52" s="452">
        <f t="shared" si="68"/>
        <v>8404.6549053495819</v>
      </c>
      <c r="C52" s="452">
        <f t="shared" ref="C52:F52" si="74">C10*$H33/1000000</f>
        <v>371.14776947478441</v>
      </c>
      <c r="D52" s="452">
        <f t="shared" si="74"/>
        <v>1.8180100974142304</v>
      </c>
      <c r="E52" s="452">
        <f t="shared" si="74"/>
        <v>81.384661939921045</v>
      </c>
      <c r="F52" s="452">
        <f t="shared" si="74"/>
        <v>35.518595378799859</v>
      </c>
      <c r="G52" s="452">
        <f t="shared" si="65"/>
        <v>47.074999144026741</v>
      </c>
      <c r="H52" s="452">
        <f t="shared" si="66"/>
        <v>8707.7924267470862</v>
      </c>
      <c r="I52" s="451">
        <f>H52/G10*1000</f>
        <v>77.892463471046696</v>
      </c>
      <c r="J52" s="105">
        <f>B52+C52+D52-E52-F52+G52-H52</f>
        <v>0</v>
      </c>
      <c r="M52" s="2">
        <v>14701</v>
      </c>
    </row>
    <row r="53" spans="1:13" x14ac:dyDescent="0.35">
      <c r="A53" s="448">
        <v>2015</v>
      </c>
      <c r="B53" s="452">
        <f t="shared" si="68"/>
        <v>8707.7924267470862</v>
      </c>
      <c r="C53" s="452">
        <f t="shared" ref="C53:F62" si="75">C11*$H34/1000000</f>
        <v>311.23823427811476</v>
      </c>
      <c r="D53" s="452">
        <f t="shared" si="75"/>
        <v>1.3195062689922858</v>
      </c>
      <c r="E53" s="452">
        <f t="shared" si="75"/>
        <v>79.736890471314211</v>
      </c>
      <c r="F53" s="452">
        <f t="shared" si="75"/>
        <v>25.487175399879931</v>
      </c>
      <c r="G53" s="452">
        <f t="shared" si="65"/>
        <v>-1451.3871618531928</v>
      </c>
      <c r="H53" s="452">
        <f t="shared" si="66"/>
        <v>7463.7389395698065</v>
      </c>
      <c r="I53" s="451">
        <f t="shared" si="67"/>
        <v>64.9095952598406</v>
      </c>
      <c r="J53" s="105">
        <f t="shared" si="70"/>
        <v>0</v>
      </c>
      <c r="M53" s="2">
        <f>M52*1000000000</f>
        <v>14701000000000</v>
      </c>
    </row>
    <row r="54" spans="1:13" x14ac:dyDescent="0.35">
      <c r="A54" s="448">
        <v>2016</v>
      </c>
      <c r="B54" s="452">
        <f t="shared" ref="B54" si="76">H53</f>
        <v>7463.7389395698065</v>
      </c>
      <c r="C54" s="452">
        <f t="shared" si="75"/>
        <v>200.36265558738842</v>
      </c>
      <c r="D54" s="452">
        <f t="shared" si="75"/>
        <v>0.20702234268432351</v>
      </c>
      <c r="E54" s="452">
        <f t="shared" si="75"/>
        <v>40.944620140960922</v>
      </c>
      <c r="F54" s="452">
        <f t="shared" si="75"/>
        <v>11.582068286989612</v>
      </c>
      <c r="G54" s="452">
        <f t="shared" si="65"/>
        <v>-2150.1648038936069</v>
      </c>
      <c r="H54" s="452">
        <f t="shared" si="66"/>
        <v>5461.6171251783226</v>
      </c>
      <c r="I54" s="451">
        <f t="shared" si="67"/>
        <v>46.210344349179344</v>
      </c>
      <c r="J54" s="105">
        <f t="shared" si="70"/>
        <v>0</v>
      </c>
      <c r="M54" s="2">
        <v>3197179000</v>
      </c>
    </row>
    <row r="55" spans="1:13" x14ac:dyDescent="0.35">
      <c r="A55" s="448">
        <v>2017</v>
      </c>
      <c r="B55" s="452">
        <f t="shared" ref="B55:B60" si="77">H54</f>
        <v>5461.6171251783226</v>
      </c>
      <c r="C55" s="452">
        <f t="shared" si="75"/>
        <v>251.45910550412003</v>
      </c>
      <c r="D55" s="452">
        <f t="shared" si="75"/>
        <v>0.42154435195721424</v>
      </c>
      <c r="E55" s="452">
        <f t="shared" si="75"/>
        <v>62.868805385600353</v>
      </c>
      <c r="F55" s="452">
        <f t="shared" si="75"/>
        <v>17.776846053721748</v>
      </c>
      <c r="G55" s="452">
        <f t="shared" ref="G55" si="78">(H36-H35)*B13/1000000</f>
        <v>1399.6977962498952</v>
      </c>
      <c r="H55" s="452">
        <f t="shared" ref="H55" si="79">G36</f>
        <v>7032.5499198449725</v>
      </c>
      <c r="I55" s="451">
        <f t="shared" ref="I55" si="80">H55/G13*1000</f>
        <v>58.053085366544842</v>
      </c>
      <c r="J55" s="105">
        <f t="shared" si="70"/>
        <v>0</v>
      </c>
    </row>
    <row r="56" spans="1:13" x14ac:dyDescent="0.35">
      <c r="A56" s="448">
        <v>2018</v>
      </c>
      <c r="B56" s="452">
        <f t="shared" si="77"/>
        <v>7032.5499198449725</v>
      </c>
      <c r="C56" s="452">
        <f t="shared" si="75"/>
        <v>321.97732936456646</v>
      </c>
      <c r="D56" s="452">
        <f t="shared" si="75"/>
        <v>1.144507759366918</v>
      </c>
      <c r="E56" s="452">
        <f t="shared" si="75"/>
        <v>87.020230945377676</v>
      </c>
      <c r="F56" s="452">
        <f t="shared" si="75"/>
        <v>29.916462312394074</v>
      </c>
      <c r="G56" s="452">
        <f t="shared" ref="G56" si="81">(H37-H36)*B14/1000000</f>
        <v>2025.1134616462689</v>
      </c>
      <c r="H56" s="452">
        <f t="shared" ref="H56" si="82">G37</f>
        <v>9263.8485253574017</v>
      </c>
      <c r="I56" s="451">
        <f t="shared" ref="I56" si="83">H56/G14*1000</f>
        <v>74.770220119351762</v>
      </c>
      <c r="J56" s="105">
        <f t="shared" ref="J56" si="84">B56+C56+D56-E56-F56+G56-H56</f>
        <v>0</v>
      </c>
    </row>
    <row r="57" spans="1:13" x14ac:dyDescent="0.35">
      <c r="A57" s="448">
        <v>2019</v>
      </c>
      <c r="B57" s="452">
        <f t="shared" si="77"/>
        <v>9263.8485253574017</v>
      </c>
      <c r="C57" s="452">
        <f t="shared" si="75"/>
        <v>346.81838111152098</v>
      </c>
      <c r="D57" s="452">
        <f t="shared" si="75"/>
        <v>1.4312503259113114</v>
      </c>
      <c r="E57" s="452">
        <f t="shared" si="75"/>
        <v>85.849708739774186</v>
      </c>
      <c r="F57" s="452">
        <f t="shared" si="75"/>
        <v>32.523581832387322</v>
      </c>
      <c r="G57" s="452">
        <f t="shared" ref="G57" si="85">(H38-H37)*B15/1000000</f>
        <v>659.39917324836006</v>
      </c>
      <c r="H57" s="452">
        <f t="shared" ref="H57" si="86">G38</f>
        <v>10153.124039471033</v>
      </c>
      <c r="I57" s="451">
        <f t="shared" ref="I57" si="87">H57/G15*1000</f>
        <v>80.092351757767815</v>
      </c>
      <c r="J57" s="105">
        <f t="shared" ref="J57" si="88">B57+C57+D57-E57-F57+G57-H57</f>
        <v>0</v>
      </c>
    </row>
    <row r="58" spans="1:13" x14ac:dyDescent="0.35">
      <c r="A58" s="448">
        <v>2020</v>
      </c>
      <c r="B58" s="452">
        <f t="shared" si="77"/>
        <v>10153.124039471033</v>
      </c>
      <c r="C58" s="452">
        <f t="shared" si="75"/>
        <v>500.61157144343287</v>
      </c>
      <c r="D58" s="452">
        <f t="shared" si="75"/>
        <v>1.5114559801525307</v>
      </c>
      <c r="E58" s="452">
        <f t="shared" si="75"/>
        <v>80.760695965895636</v>
      </c>
      <c r="F58" s="452">
        <f t="shared" si="75"/>
        <v>38.821689893684152</v>
      </c>
      <c r="G58" s="452">
        <f>(H39-H38)*B16/1000000</f>
        <v>1217.3473700126285</v>
      </c>
      <c r="H58" s="452">
        <f t="shared" ref="H58" si="89">G39</f>
        <v>11753.012051047666</v>
      </c>
      <c r="I58" s="451">
        <f t="shared" ref="I58" si="90">H58/G16*1000</f>
        <v>89.695328476204963</v>
      </c>
      <c r="J58" s="105">
        <f t="shared" ref="J58" si="91">B58+C58+D58-E58-F58+G58-H58</f>
        <v>0</v>
      </c>
    </row>
    <row r="59" spans="1:13" x14ac:dyDescent="0.35">
      <c r="A59" s="448">
        <v>2021</v>
      </c>
      <c r="B59" s="452">
        <f t="shared" si="77"/>
        <v>11753.012051047666</v>
      </c>
      <c r="C59" s="452">
        <f t="shared" si="75"/>
        <v>594.15272896488193</v>
      </c>
      <c r="D59" s="452">
        <f t="shared" si="75"/>
        <v>2.3138373293399419</v>
      </c>
      <c r="E59" s="452">
        <f t="shared" si="75"/>
        <v>54.693876732207499</v>
      </c>
      <c r="F59" s="452">
        <f t="shared" si="75"/>
        <v>52.407716401035948</v>
      </c>
      <c r="G59" s="452">
        <f>(H40-H39)*B17/1000000</f>
        <v>2126.6858077192587</v>
      </c>
      <c r="H59" s="452">
        <f t="shared" ref="H59" si="92">G40</f>
        <v>14369.062831927906</v>
      </c>
      <c r="I59" s="451">
        <f t="shared" ref="I59" si="93">H59/G17*1000</f>
        <v>105.92553238142928</v>
      </c>
      <c r="J59" s="105">
        <f t="shared" ref="J59" si="94">B59+C59+D59-E59-F59+G59-H59</f>
        <v>0</v>
      </c>
    </row>
    <row r="60" spans="1:13" x14ac:dyDescent="0.35">
      <c r="A60" s="448">
        <v>2022</v>
      </c>
      <c r="B60" s="452">
        <f t="shared" si="77"/>
        <v>14369.062831927906</v>
      </c>
      <c r="C60" s="452">
        <f t="shared" si="75"/>
        <v>588.61696860556117</v>
      </c>
      <c r="D60" s="452">
        <f t="shared" si="75"/>
        <v>1.3507649121976422</v>
      </c>
      <c r="E60" s="452">
        <f t="shared" si="75"/>
        <v>66.536493225933413</v>
      </c>
      <c r="F60" s="452">
        <f t="shared" si="75"/>
        <v>51.918087719608849</v>
      </c>
      <c r="G60" s="452">
        <f>(H41-H40)*B18/1000000</f>
        <v>-296.82325581463652</v>
      </c>
      <c r="H60" s="452">
        <f t="shared" ref="H60" si="95">G41</f>
        <v>14543.752728685489</v>
      </c>
      <c r="I60" s="451">
        <f t="shared" ref="I60" si="96">H60/G18*1000</f>
        <v>103.73741741783593</v>
      </c>
      <c r="J60" s="105">
        <f t="shared" ref="J60" si="97">B60+C60+D60-E60-F60+G60-H60</f>
        <v>0</v>
      </c>
    </row>
    <row r="61" spans="1:13" x14ac:dyDescent="0.35">
      <c r="A61" s="448">
        <v>2023</v>
      </c>
      <c r="B61" s="452">
        <f t="shared" ref="B61" si="98">H60</f>
        <v>14543.752728685489</v>
      </c>
      <c r="C61" s="452">
        <f t="shared" si="75"/>
        <v>519.9734669626954</v>
      </c>
      <c r="D61" s="452">
        <f t="shared" si="75"/>
        <v>1.7285703193817743</v>
      </c>
      <c r="E61" s="452">
        <f t="shared" si="75"/>
        <v>89.855582405774172</v>
      </c>
      <c r="F61" s="452">
        <f t="shared" si="75"/>
        <v>47.467244332960966</v>
      </c>
      <c r="G61" s="452">
        <f>(H42-H41)*B19/1000000</f>
        <v>-169.13542685643185</v>
      </c>
      <c r="H61" s="452">
        <f t="shared" ref="H61" si="99">G42</f>
        <v>14758.996512372401</v>
      </c>
      <c r="I61" s="451">
        <f t="shared" ref="I61" si="100">H61/G19*1000</f>
        <v>102.53101129258991</v>
      </c>
      <c r="J61" s="105">
        <f t="shared" ref="J61" si="101">B61+C61+D61-E61-F61+G61-H61</f>
        <v>0</v>
      </c>
    </row>
    <row r="62" spans="1:13" x14ac:dyDescent="0.35">
      <c r="A62" s="448">
        <v>2024</v>
      </c>
      <c r="B62" s="452">
        <f t="shared" ref="B62" si="102">H61</f>
        <v>14758.996512372401</v>
      </c>
      <c r="C62" s="452">
        <f t="shared" si="75"/>
        <v>433.97610624429632</v>
      </c>
      <c r="D62" s="452">
        <f t="shared" si="75"/>
        <v>1.19853711055891</v>
      </c>
      <c r="E62" s="452">
        <f t="shared" si="75"/>
        <v>58.475324582421074</v>
      </c>
      <c r="F62" s="452">
        <f t="shared" si="75"/>
        <v>33.676542733939549</v>
      </c>
      <c r="G62" s="452">
        <f>(H43-H42)*B20/1000000</f>
        <v>-2502.2891615893041</v>
      </c>
      <c r="H62" s="452">
        <f t="shared" ref="H62" si="103">G43</f>
        <v>12599.730126821591</v>
      </c>
      <c r="I62" s="451">
        <f t="shared" ref="I62" si="104">H62/G20*1000</f>
        <v>85.147563978325465</v>
      </c>
      <c r="J62" s="105">
        <f t="shared" ref="J62" si="105">B62+C62+D62-E62-F62+G62-H62</f>
        <v>0</v>
      </c>
    </row>
    <row r="63" spans="1:13" x14ac:dyDescent="0.35">
      <c r="A63"/>
      <c r="B63"/>
      <c r="C63"/>
      <c r="D63"/>
      <c r="E63"/>
      <c r="F63"/>
      <c r="G63"/>
      <c r="H63"/>
      <c r="I63"/>
    </row>
    <row r="64" spans="1:13" x14ac:dyDescent="0.35">
      <c r="A64"/>
      <c r="B64"/>
      <c r="C64"/>
      <c r="D64"/>
      <c r="E64"/>
      <c r="F64"/>
      <c r="G64"/>
      <c r="H64"/>
      <c r="I64"/>
    </row>
    <row r="65" spans="1:9" x14ac:dyDescent="0.35">
      <c r="A65"/>
      <c r="B65"/>
      <c r="C65"/>
      <c r="D65"/>
      <c r="E65"/>
      <c r="F65"/>
      <c r="G65"/>
      <c r="H65"/>
      <c r="I65"/>
    </row>
    <row r="66" spans="1:9" x14ac:dyDescent="0.35">
      <c r="A66"/>
      <c r="B66"/>
      <c r="C66"/>
      <c r="D66"/>
      <c r="E66"/>
      <c r="F66"/>
      <c r="G66"/>
      <c r="H66"/>
      <c r="I66"/>
    </row>
    <row r="67" spans="1:9" x14ac:dyDescent="0.35">
      <c r="A67"/>
      <c r="B67"/>
      <c r="C67"/>
      <c r="D67"/>
      <c r="E67"/>
      <c r="F67"/>
      <c r="G67"/>
      <c r="H67"/>
      <c r="I67"/>
    </row>
    <row r="68" spans="1:9" x14ac:dyDescent="0.35">
      <c r="A68"/>
      <c r="B68"/>
      <c r="C68"/>
      <c r="D68"/>
      <c r="E68"/>
      <c r="F68"/>
      <c r="G68"/>
      <c r="H68"/>
      <c r="I68"/>
    </row>
    <row r="69" spans="1:9" x14ac:dyDescent="0.35">
      <c r="A69"/>
      <c r="B69"/>
      <c r="C69"/>
      <c r="D69"/>
      <c r="E69"/>
      <c r="F69"/>
      <c r="G69"/>
      <c r="H69"/>
      <c r="I69"/>
    </row>
    <row r="70" spans="1:9" x14ac:dyDescent="0.35">
      <c r="A70"/>
      <c r="B70"/>
      <c r="C70"/>
      <c r="D70"/>
      <c r="E70"/>
      <c r="F70"/>
      <c r="G70"/>
      <c r="H70"/>
      <c r="I70"/>
    </row>
    <row r="71" spans="1:9" x14ac:dyDescent="0.35">
      <c r="A71"/>
      <c r="B71"/>
      <c r="C71"/>
      <c r="D71"/>
      <c r="E71"/>
      <c r="F71"/>
      <c r="G71"/>
      <c r="H71"/>
      <c r="I71"/>
    </row>
    <row r="72" spans="1:9" x14ac:dyDescent="0.35">
      <c r="A72"/>
      <c r="B72"/>
      <c r="C72"/>
      <c r="D72"/>
      <c r="E72"/>
      <c r="F72"/>
      <c r="G72"/>
      <c r="H72"/>
      <c r="I72"/>
    </row>
    <row r="73" spans="1:9" x14ac:dyDescent="0.35">
      <c r="A73"/>
      <c r="B73"/>
      <c r="C73"/>
      <c r="D73"/>
      <c r="E73"/>
      <c r="F73"/>
      <c r="G73"/>
      <c r="H73"/>
      <c r="I73"/>
    </row>
    <row r="74" spans="1:9" x14ac:dyDescent="0.35">
      <c r="A74"/>
      <c r="B74"/>
      <c r="C74"/>
      <c r="D74"/>
      <c r="E74"/>
      <c r="F74"/>
      <c r="G74"/>
      <c r="H74"/>
      <c r="I74"/>
    </row>
    <row r="75" spans="1:9" x14ac:dyDescent="0.35">
      <c r="A75"/>
      <c r="B75"/>
      <c r="C75"/>
      <c r="D75"/>
      <c r="E75"/>
      <c r="F75"/>
      <c r="G75"/>
      <c r="H75"/>
      <c r="I75"/>
    </row>
    <row r="76" spans="1:9" x14ac:dyDescent="0.35">
      <c r="A76"/>
      <c r="B76"/>
      <c r="C76"/>
      <c r="D76"/>
      <c r="E76"/>
      <c r="F76"/>
      <c r="G76"/>
      <c r="H76"/>
      <c r="I76"/>
    </row>
    <row r="77" spans="1:9" x14ac:dyDescent="0.35">
      <c r="A77"/>
      <c r="B77"/>
      <c r="C77"/>
      <c r="D77"/>
      <c r="E77"/>
      <c r="F77"/>
      <c r="G77"/>
      <c r="H77"/>
      <c r="I77"/>
    </row>
    <row r="78" spans="1:9" x14ac:dyDescent="0.35">
      <c r="A78"/>
      <c r="B78"/>
      <c r="C78"/>
      <c r="D78"/>
      <c r="E78"/>
      <c r="F78"/>
      <c r="G78"/>
      <c r="H78"/>
      <c r="I78"/>
    </row>
    <row r="79" spans="1:9" x14ac:dyDescent="0.35">
      <c r="A79"/>
      <c r="B79"/>
      <c r="C79"/>
      <c r="D79"/>
      <c r="E79"/>
      <c r="F79"/>
      <c r="G79"/>
      <c r="H79"/>
      <c r="I79"/>
    </row>
    <row r="80" spans="1:9" x14ac:dyDescent="0.35">
      <c r="A80"/>
      <c r="B80"/>
      <c r="C80"/>
      <c r="D80"/>
      <c r="E80"/>
      <c r="F80"/>
      <c r="G80"/>
      <c r="H80"/>
      <c r="I80"/>
    </row>
    <row r="81" spans="1:11" x14ac:dyDescent="0.35">
      <c r="A81"/>
      <c r="B81"/>
      <c r="C81"/>
      <c r="D81"/>
      <c r="E81"/>
      <c r="F81"/>
      <c r="G81"/>
      <c r="H81"/>
      <c r="I81"/>
    </row>
    <row r="82" spans="1:11" x14ac:dyDescent="0.35">
      <c r="A82"/>
      <c r="B82"/>
      <c r="C82"/>
      <c r="D82"/>
      <c r="E82"/>
      <c r="F82"/>
      <c r="G82"/>
      <c r="H82"/>
      <c r="I82"/>
    </row>
    <row r="83" spans="1:11" x14ac:dyDescent="0.35">
      <c r="A83"/>
      <c r="B83"/>
      <c r="C83"/>
      <c r="D83"/>
      <c r="E83"/>
      <c r="F83"/>
      <c r="G83"/>
      <c r="H83"/>
      <c r="I83"/>
    </row>
    <row r="84" spans="1:11" x14ac:dyDescent="0.35">
      <c r="A84"/>
      <c r="B84"/>
      <c r="C84"/>
      <c r="D84"/>
      <c r="E84"/>
      <c r="F84"/>
      <c r="G84"/>
      <c r="H84"/>
      <c r="I84"/>
    </row>
    <row r="85" spans="1:11" x14ac:dyDescent="0.35">
      <c r="A85"/>
      <c r="B85"/>
      <c r="C85"/>
      <c r="D85"/>
      <c r="E85"/>
      <c r="F85"/>
      <c r="G85"/>
      <c r="H85"/>
      <c r="I85"/>
    </row>
    <row r="86" spans="1:11" x14ac:dyDescent="0.35">
      <c r="A86"/>
      <c r="B86"/>
      <c r="C86"/>
      <c r="D86"/>
      <c r="E86"/>
      <c r="F86"/>
      <c r="G86"/>
      <c r="H86"/>
      <c r="I86"/>
    </row>
    <row r="87" spans="1:11" x14ac:dyDescent="0.35">
      <c r="A87"/>
      <c r="B87"/>
      <c r="C87"/>
      <c r="D87"/>
      <c r="E87"/>
      <c r="F87"/>
      <c r="G87"/>
      <c r="H87"/>
      <c r="I87"/>
    </row>
    <row r="88" spans="1:11" x14ac:dyDescent="0.35">
      <c r="A88"/>
      <c r="B88"/>
      <c r="C88"/>
      <c r="D88"/>
      <c r="E88"/>
      <c r="F88"/>
      <c r="G88"/>
      <c r="H88"/>
      <c r="I88"/>
    </row>
    <row r="89" spans="1:11" x14ac:dyDescent="0.35">
      <c r="A89"/>
      <c r="B89"/>
      <c r="C89"/>
      <c r="D89"/>
      <c r="E89"/>
      <c r="F89"/>
      <c r="G89"/>
      <c r="H89"/>
      <c r="I89"/>
    </row>
    <row r="90" spans="1:11" x14ac:dyDescent="0.35">
      <c r="A90"/>
      <c r="B90"/>
      <c r="C90"/>
      <c r="D90"/>
      <c r="E90"/>
      <c r="F90"/>
      <c r="G90"/>
      <c r="H90"/>
      <c r="I90"/>
    </row>
    <row r="92" spans="1:11" ht="15" customHeight="1" x14ac:dyDescent="0.35">
      <c r="A92" s="460" t="s">
        <v>63</v>
      </c>
      <c r="B92" s="461" t="s">
        <v>9</v>
      </c>
      <c r="C92" s="461" t="s">
        <v>60</v>
      </c>
      <c r="D92" s="461" t="s">
        <v>10</v>
      </c>
      <c r="E92" s="456" t="s">
        <v>22</v>
      </c>
      <c r="F92" s="456" t="s">
        <v>53</v>
      </c>
      <c r="G92" s="456" t="s">
        <v>54</v>
      </c>
      <c r="H92" s="458" t="s">
        <v>12</v>
      </c>
      <c r="I92" s="458" t="s">
        <v>13</v>
      </c>
      <c r="J92" s="461" t="s">
        <v>14</v>
      </c>
      <c r="K92" s="455" t="s">
        <v>64</v>
      </c>
    </row>
    <row r="93" spans="1:11" ht="24.75" customHeight="1" x14ac:dyDescent="0.35">
      <c r="A93" s="460"/>
      <c r="B93" s="461"/>
      <c r="C93" s="461"/>
      <c r="D93" s="461"/>
      <c r="E93" s="457"/>
      <c r="F93" s="457"/>
      <c r="G93" s="457"/>
      <c r="H93" s="459"/>
      <c r="I93" s="459"/>
      <c r="J93" s="461"/>
      <c r="K93" s="455"/>
    </row>
    <row r="94" spans="1:11" ht="20" customHeight="1" x14ac:dyDescent="0.35">
      <c r="A94" s="13">
        <v>2008</v>
      </c>
      <c r="B94" s="66">
        <v>0</v>
      </c>
      <c r="C94" s="67">
        <v>1006855.7975223074</v>
      </c>
      <c r="D94" s="67">
        <v>480.98508303438143</v>
      </c>
      <c r="E94" s="48">
        <v>87707.888944026345</v>
      </c>
      <c r="F94" s="48">
        <v>4764.3121999999994</v>
      </c>
      <c r="G94" s="48">
        <v>806.95482775265532</v>
      </c>
      <c r="H94" s="67">
        <v>205.6685670353958</v>
      </c>
      <c r="I94" s="67">
        <v>1</v>
      </c>
      <c r="J94" s="67">
        <v>98923.512793082089</v>
      </c>
      <c r="K94" s="68">
        <v>1079182.3157466366</v>
      </c>
    </row>
    <row r="95" spans="1:11" ht="20" customHeight="1" x14ac:dyDescent="0.35">
      <c r="A95" s="13">
        <v>2009</v>
      </c>
      <c r="B95" s="66">
        <v>8.3900000000000002E-2</v>
      </c>
      <c r="C95" s="67">
        <v>1096487.2043600392</v>
      </c>
      <c r="D95" s="67">
        <v>499.12097542468985</v>
      </c>
      <c r="E95" s="48">
        <v>91665.246316273682</v>
      </c>
      <c r="F95" s="48">
        <v>4775.1076809999986</v>
      </c>
      <c r="G95" s="48">
        <v>748.36735486418979</v>
      </c>
      <c r="H95" s="67">
        <v>219.45186708498909</v>
      </c>
      <c r="I95" s="67">
        <v>5.4312369453531226E-2</v>
      </c>
      <c r="J95" s="67">
        <v>5948.9983904560459</v>
      </c>
      <c r="K95" s="68">
        <v>62168.198186613088</v>
      </c>
    </row>
    <row r="96" spans="1:11" ht="20" customHeight="1" x14ac:dyDescent="0.35">
      <c r="A96" s="13">
        <v>2010</v>
      </c>
      <c r="B96" s="66">
        <v>1.4899999999999997E-2</v>
      </c>
      <c r="C96" s="67">
        <v>1133109.1671606528</v>
      </c>
      <c r="D96" s="67">
        <v>509.9353847156429</v>
      </c>
      <c r="E96" s="48">
        <v>95691.986642409494</v>
      </c>
      <c r="F96" s="48">
        <v>4799.0600361795232</v>
      </c>
      <c r="G96" s="48">
        <v>890.85249245961597</v>
      </c>
      <c r="H96" s="67">
        <v>231.24760669903833</v>
      </c>
      <c r="I96" s="67">
        <v>0.28073374143424701</v>
      </c>
      <c r="J96" s="67">
        <v>33104.498211409853</v>
      </c>
      <c r="K96" s="68">
        <v>332373.83201829216</v>
      </c>
    </row>
    <row r="97" spans="1:11" ht="20" customHeight="1" x14ac:dyDescent="0.35">
      <c r="A97" s="13">
        <v>2011</v>
      </c>
      <c r="B97" s="66">
        <v>3.5599999999999993E-2</v>
      </c>
      <c r="C97" s="67">
        <v>1221958.7722558987</v>
      </c>
      <c r="D97" s="67">
        <v>532.04084944021827</v>
      </c>
      <c r="E97" s="48">
        <v>99600.194186129389</v>
      </c>
      <c r="F97" s="48">
        <v>4833.5027163604209</v>
      </c>
      <c r="G97" s="48">
        <v>1450.2983374241651</v>
      </c>
      <c r="H97" s="67">
        <v>253.94641745920336</v>
      </c>
      <c r="I97" s="67">
        <v>0.11059810263204436</v>
      </c>
      <c r="J97" s="67">
        <v>14942.895009763424</v>
      </c>
      <c r="K97" s="68">
        <v>145100.03765628685</v>
      </c>
    </row>
    <row r="98" spans="1:11" ht="20" customHeight="1" x14ac:dyDescent="0.35">
      <c r="A98" s="13">
        <v>2012</v>
      </c>
      <c r="B98" s="66">
        <v>1.5100000000000002E-2</v>
      </c>
      <c r="C98" s="67">
        <v>1274682.2960647275</v>
      </c>
      <c r="D98" s="67">
        <v>514.24762806598517</v>
      </c>
      <c r="E98" s="48">
        <v>102983.39856506565</v>
      </c>
      <c r="F98" s="48">
        <v>4852.1833375357837</v>
      </c>
      <c r="G98" s="48">
        <v>2976.4147689782576</v>
      </c>
      <c r="H98" s="67">
        <v>276.7440931679696</v>
      </c>
      <c r="I98" s="67">
        <v>0.23551959048135168</v>
      </c>
      <c r="J98" s="67">
        <v>33517.968986804124</v>
      </c>
      <c r="K98" s="68">
        <v>319647.48436435522</v>
      </c>
    </row>
    <row r="99" spans="1:11" ht="20" customHeight="1" x14ac:dyDescent="0.35">
      <c r="A99" s="13">
        <v>2013</v>
      </c>
      <c r="B99" s="66">
        <v>0</v>
      </c>
      <c r="C99" s="67">
        <v>1471460.6154533799</v>
      </c>
      <c r="D99" s="67">
        <v>634.95879893798076</v>
      </c>
      <c r="E99" s="48">
        <v>104859.16713362318</v>
      </c>
      <c r="F99" s="48">
        <v>5475.6955128067621</v>
      </c>
      <c r="G99" s="48">
        <v>1829.7570957587332</v>
      </c>
      <c r="H99" s="67">
        <v>261.27991165222556</v>
      </c>
      <c r="I99" s="67">
        <v>1</v>
      </c>
      <c r="J99" s="67">
        <v>165901.97888931888</v>
      </c>
      <c r="K99" s="68">
        <v>1528978.5494180613</v>
      </c>
    </row>
    <row r="100" spans="1:11" ht="20" customHeight="1" x14ac:dyDescent="0.35">
      <c r="A100" s="13">
        <v>2014</v>
      </c>
      <c r="B100" s="66">
        <v>0</v>
      </c>
      <c r="C100" s="67">
        <v>1658354.6710787243</v>
      </c>
      <c r="D100" s="67">
        <v>756.20143823854289</v>
      </c>
      <c r="E100" s="48">
        <v>108505.1055506712</v>
      </c>
      <c r="F100" s="48">
        <v>4788.2139420437425</v>
      </c>
      <c r="G100" s="48">
        <v>1502.0842664171842</v>
      </c>
      <c r="H100" s="67">
        <v>258.38424432006514</v>
      </c>
      <c r="I100" s="67">
        <v>1</v>
      </c>
      <c r="J100" s="67">
        <v>195390.5371730123</v>
      </c>
      <c r="K100" s="68">
        <v>1747816.2467521303</v>
      </c>
    </row>
    <row r="101" spans="1:11" ht="20" customHeight="1" x14ac:dyDescent="0.35">
      <c r="A101" s="36">
        <v>2015</v>
      </c>
      <c r="B101" s="66">
        <v>4.757955203619911E-2</v>
      </c>
      <c r="C101" s="67">
        <v>2030792.4830115677</v>
      </c>
      <c r="D101" s="67">
        <v>797.40488400187314</v>
      </c>
      <c r="E101" s="69">
        <v>111791.23522629777</v>
      </c>
      <c r="F101" s="70">
        <v>4815.2775453205686</v>
      </c>
      <c r="G101" s="70">
        <v>1621.0869440185731</v>
      </c>
      <c r="H101" s="67">
        <v>308.82747738585977</v>
      </c>
      <c r="I101" s="67">
        <v>6.8055536813781542E-2</v>
      </c>
      <c r="J101" s="67">
        <v>16759.393162823508</v>
      </c>
      <c r="K101" s="68">
        <v>145752.32506379759</v>
      </c>
    </row>
    <row r="102" spans="1:11" x14ac:dyDescent="0.35">
      <c r="K102" s="65"/>
    </row>
    <row r="103" spans="1:11" x14ac:dyDescent="0.35">
      <c r="F103" s="2">
        <f>F94+G94</f>
        <v>5571.2670277526549</v>
      </c>
      <c r="G103" s="2">
        <f>H94+I94</f>
        <v>206.6685670353958</v>
      </c>
    </row>
    <row r="104" spans="1:11" x14ac:dyDescent="0.35">
      <c r="F104" s="2">
        <f t="shared" ref="F104:F110" si="106">F95+G95</f>
        <v>5523.4750358641886</v>
      </c>
      <c r="G104" s="2">
        <f t="shared" ref="G104:G110" si="107">H95+I95</f>
        <v>219.50617945444262</v>
      </c>
    </row>
    <row r="105" spans="1:11" x14ac:dyDescent="0.35">
      <c r="F105" s="2">
        <f t="shared" si="106"/>
        <v>5689.9125286391391</v>
      </c>
      <c r="G105" s="2">
        <f t="shared" si="107"/>
        <v>231.52834044047256</v>
      </c>
    </row>
    <row r="106" spans="1:11" x14ac:dyDescent="0.35">
      <c r="F106" s="2">
        <f t="shared" si="106"/>
        <v>6283.8010537845857</v>
      </c>
      <c r="G106" s="2">
        <f t="shared" si="107"/>
        <v>254.05701556183541</v>
      </c>
    </row>
    <row r="107" spans="1:11" x14ac:dyDescent="0.35">
      <c r="F107" s="2">
        <f t="shared" si="106"/>
        <v>7828.5981065140413</v>
      </c>
      <c r="G107" s="2">
        <f t="shared" si="107"/>
        <v>276.97961275845097</v>
      </c>
    </row>
    <row r="108" spans="1:11" x14ac:dyDescent="0.35">
      <c r="F108" s="2">
        <f t="shared" si="106"/>
        <v>7305.4526085654952</v>
      </c>
      <c r="G108" s="2">
        <f t="shared" si="107"/>
        <v>262.27991165222556</v>
      </c>
    </row>
    <row r="109" spans="1:11" x14ac:dyDescent="0.35">
      <c r="F109" s="2">
        <f t="shared" si="106"/>
        <v>6290.2982084609266</v>
      </c>
      <c r="G109" s="2">
        <f t="shared" si="107"/>
        <v>259.38424432006514</v>
      </c>
    </row>
    <row r="110" spans="1:11" x14ac:dyDescent="0.35">
      <c r="F110" s="2">
        <f t="shared" si="106"/>
        <v>6436.364489339142</v>
      </c>
      <c r="G110" s="2">
        <f t="shared" si="107"/>
        <v>308.89553292267357</v>
      </c>
    </row>
  </sheetData>
  <mergeCells count="21">
    <mergeCell ref="H25:H26"/>
    <mergeCell ref="I25:I26"/>
    <mergeCell ref="F25:F26"/>
    <mergeCell ref="G25:G26"/>
    <mergeCell ref="A22:F22"/>
    <mergeCell ref="A25:A26"/>
    <mergeCell ref="B25:B26"/>
    <mergeCell ref="C25:C26"/>
    <mergeCell ref="D25:D26"/>
    <mergeCell ref="E25:E26"/>
    <mergeCell ref="A92:A93"/>
    <mergeCell ref="B92:B93"/>
    <mergeCell ref="C92:C93"/>
    <mergeCell ref="D92:D93"/>
    <mergeCell ref="J92:J93"/>
    <mergeCell ref="K92:K93"/>
    <mergeCell ref="E92:E93"/>
    <mergeCell ref="F92:F93"/>
    <mergeCell ref="G92:G93"/>
    <mergeCell ref="H92:H93"/>
    <mergeCell ref="I92:I93"/>
  </mergeCells>
  <conditionalFormatting sqref="B32:B39">
    <cfRule type="top10" dxfId="66" priority="28" bottom="1" rank="1"/>
    <cfRule type="top10" dxfId="65" priority="29" rank="1"/>
  </conditionalFormatting>
  <conditionalFormatting sqref="B40">
    <cfRule type="top10" dxfId="64" priority="13" bottom="1" rank="1"/>
    <cfRule type="top10" dxfId="63" priority="14" rank="1"/>
  </conditionalFormatting>
  <conditionalFormatting sqref="B41">
    <cfRule type="top10" dxfId="62" priority="9" bottom="1" rank="1"/>
    <cfRule type="top10" dxfId="61" priority="10" rank="1"/>
  </conditionalFormatting>
  <conditionalFormatting sqref="B42:B43">
    <cfRule type="top10" dxfId="60" priority="2" bottom="1" rank="1"/>
    <cfRule type="top10" dxfId="59" priority="3" rank="1"/>
  </conditionalFormatting>
  <conditionalFormatting sqref="H9:H13">
    <cfRule type="top10" dxfId="58" priority="30" bottom="1" rank="1"/>
  </conditionalFormatting>
  <conditionalFormatting sqref="H14">
    <cfRule type="top10" dxfId="57" priority="27" bottom="1" rank="1"/>
  </conditionalFormatting>
  <conditionalFormatting sqref="H15">
    <cfRule type="top10" dxfId="56" priority="23" bottom="1" rank="1"/>
  </conditionalFormatting>
  <conditionalFormatting sqref="H16">
    <cfRule type="top10" dxfId="55" priority="19" bottom="1" rank="1"/>
  </conditionalFormatting>
  <conditionalFormatting sqref="H17">
    <cfRule type="top10" dxfId="54" priority="15" bottom="1" rank="1"/>
  </conditionalFormatting>
  <conditionalFormatting sqref="H18">
    <cfRule type="top10" dxfId="53" priority="11" bottom="1" rank="1"/>
  </conditionalFormatting>
  <conditionalFormatting sqref="H19:H20">
    <cfRule type="top10" dxfId="52" priority="7" bottom="1" rank="1"/>
  </conditionalFormatting>
  <conditionalFormatting sqref="H32:H36">
    <cfRule type="top10" dxfId="51" priority="31" rank="1"/>
  </conditionalFormatting>
  <conditionalFormatting sqref="H37">
    <cfRule type="top10" dxfId="50" priority="26" rank="1"/>
  </conditionalFormatting>
  <conditionalFormatting sqref="H38">
    <cfRule type="top10" dxfId="49" priority="22" rank="1"/>
  </conditionalFormatting>
  <conditionalFormatting sqref="H39">
    <cfRule type="top10" dxfId="48" priority="18" rank="1"/>
  </conditionalFormatting>
  <conditionalFormatting sqref="H40">
    <cfRule type="top10" dxfId="47" priority="12" rank="1"/>
  </conditionalFormatting>
  <conditionalFormatting sqref="H41">
    <cfRule type="top10" dxfId="46" priority="8" rank="1"/>
  </conditionalFormatting>
  <conditionalFormatting sqref="H42:H43">
    <cfRule type="top10" dxfId="45" priority="1" rank="1"/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61"/>
  <sheetViews>
    <sheetView showGridLines="0" zoomScale="80" zoomScaleNormal="80" zoomScaleSheetLayoutView="80" workbookViewId="0">
      <pane xSplit="1" ySplit="3" topLeftCell="C30" activePane="bottomRight" state="frozen"/>
      <selection activeCell="B32" sqref="B32"/>
      <selection pane="topRight" activeCell="B32" sqref="B32"/>
      <selection pane="bottomLeft" activeCell="B32" sqref="B32"/>
      <selection pane="bottomRight" activeCell="I57" sqref="I57:I61"/>
    </sheetView>
  </sheetViews>
  <sheetFormatPr defaultColWidth="9.1796875" defaultRowHeight="14.5" x14ac:dyDescent="0.35"/>
  <cols>
    <col min="1" max="1" width="9.81640625" style="2" customWidth="1"/>
    <col min="2" max="2" width="13.453125" style="2" customWidth="1"/>
    <col min="3" max="3" width="18.81640625" style="2" bestFit="1" customWidth="1"/>
    <col min="4" max="4" width="15.453125" style="2" customWidth="1"/>
    <col min="5" max="5" width="15.36328125" style="2" bestFit="1" customWidth="1"/>
    <col min="6" max="6" width="16.36328125" style="2" customWidth="1"/>
    <col min="7" max="7" width="15.36328125" style="2" bestFit="1" customWidth="1"/>
    <col min="8" max="8" width="16" style="2" bestFit="1" customWidth="1"/>
    <col min="9" max="9" width="14.453125" style="2" bestFit="1" customWidth="1"/>
    <col min="10" max="10" width="12" style="2" customWidth="1"/>
    <col min="11" max="11" width="13.36328125" style="2" customWidth="1"/>
    <col min="12" max="12" width="10.1796875" style="2" customWidth="1"/>
    <col min="13" max="20" width="8.6328125" customWidth="1"/>
    <col min="21" max="16384" width="9.1796875" style="2"/>
  </cols>
  <sheetData>
    <row r="1" spans="1:21" x14ac:dyDescent="0.35">
      <c r="A1" s="16" t="s">
        <v>29</v>
      </c>
      <c r="L1"/>
      <c r="U1"/>
    </row>
    <row r="2" spans="1:21" x14ac:dyDescent="0.35">
      <c r="A2" s="1"/>
      <c r="C2" s="11"/>
      <c r="D2" s="11"/>
      <c r="E2" s="11"/>
      <c r="F2" s="11"/>
      <c r="G2" s="11"/>
      <c r="H2" s="11"/>
      <c r="I2" s="11"/>
      <c r="L2"/>
      <c r="U2"/>
    </row>
    <row r="3" spans="1:21" ht="43.5" x14ac:dyDescent="0.35">
      <c r="A3" s="15" t="s">
        <v>8</v>
      </c>
      <c r="B3" s="17" t="s">
        <v>22</v>
      </c>
      <c r="C3" s="17" t="s">
        <v>23</v>
      </c>
      <c r="D3" s="17" t="s">
        <v>24</v>
      </c>
      <c r="E3" s="17" t="s">
        <v>25</v>
      </c>
      <c r="F3" s="17" t="s">
        <v>26</v>
      </c>
      <c r="G3" s="17" t="s">
        <v>27</v>
      </c>
      <c r="H3" s="61" t="s">
        <v>15</v>
      </c>
      <c r="I3" s="101" t="s">
        <v>71</v>
      </c>
      <c r="J3" s="101" t="s">
        <v>70</v>
      </c>
      <c r="L3"/>
      <c r="U3"/>
    </row>
    <row r="4" spans="1:21" hidden="1" x14ac:dyDescent="0.35">
      <c r="A4" s="12">
        <v>2008</v>
      </c>
      <c r="B4" s="18">
        <f>'[1]Rimba Jawa'!$T$8</f>
        <v>352874.60338069516</v>
      </c>
      <c r="C4" s="18">
        <f>'[1]Rimba Jawa'!$T$9</f>
        <v>16669.2775</v>
      </c>
      <c r="D4" s="18">
        <f>'[1]Rimba Jawa'!$T$10</f>
        <v>151.19422500000002</v>
      </c>
      <c r="E4" s="18">
        <f>'[1]Rimba Jawa'!$T$11</f>
        <v>287.74120838979786</v>
      </c>
      <c r="F4" s="18">
        <f>'[1]Rimba Jawa'!$T$12</f>
        <v>605.21299999999997</v>
      </c>
      <c r="G4" s="18">
        <f>'[1]Rimba Jawa'!$T$14</f>
        <v>368802.12089730537</v>
      </c>
      <c r="H4" s="145">
        <f t="shared" ref="H4:H12" si="0">G4/F4</f>
        <v>609.3757419244223</v>
      </c>
      <c r="J4" s="2">
        <f t="shared" ref="J4:J13" si="1">B4+C4+D4-E4-F4-G4</f>
        <v>0</v>
      </c>
      <c r="L4"/>
      <c r="U4"/>
    </row>
    <row r="5" spans="1:21" hidden="1" x14ac:dyDescent="0.35">
      <c r="A5" s="12">
        <v>2009</v>
      </c>
      <c r="B5" s="18">
        <f>'[1]Rimba Jawa'!$U$8</f>
        <v>368802.12089730537</v>
      </c>
      <c r="C5" s="18">
        <f>'[1]Rimba Jawa'!$U$9</f>
        <v>17077.825000000001</v>
      </c>
      <c r="D5" s="18">
        <f>'[1]Rimba Jawa'!$U$10</f>
        <v>79.361100000000008</v>
      </c>
      <c r="E5" s="18">
        <f>'[1]Rimba Jawa'!$U$11</f>
        <v>256.21155395168495</v>
      </c>
      <c r="F5" s="18">
        <f>'[1]Rimba Jawa'!$U$12</f>
        <v>524.19000000000005</v>
      </c>
      <c r="G5" s="18">
        <f>'[1]Rimba Jawa'!$U$14</f>
        <v>385178.90544335369</v>
      </c>
      <c r="H5" s="145">
        <f t="shared" si="0"/>
        <v>734.80780908325926</v>
      </c>
      <c r="I5" s="2">
        <f t="shared" ref="I5:I13" si="2">G5/G4*100-100</f>
        <v>4.4405342643375292</v>
      </c>
      <c r="J5" s="2">
        <f t="shared" si="1"/>
        <v>0</v>
      </c>
      <c r="L5"/>
      <c r="U5"/>
    </row>
    <row r="6" spans="1:21" hidden="1" x14ac:dyDescent="0.35">
      <c r="A6" s="12">
        <v>2010</v>
      </c>
      <c r="B6" s="18">
        <f>'[1]Rimba Jawa'!$V$8</f>
        <v>385178.90544335369</v>
      </c>
      <c r="C6" s="18">
        <f>'[1]Rimba Jawa'!$V$9</f>
        <v>16669.3</v>
      </c>
      <c r="D6" s="18">
        <f>'[1]Rimba Jawa'!$V$10</f>
        <v>108.28688325</v>
      </c>
      <c r="E6" s="18">
        <f>'[1]Rimba Jawa'!$V$11</f>
        <v>385.25197813769665</v>
      </c>
      <c r="F6" s="18">
        <f>'[1]Rimba Jawa'!$V$12</f>
        <v>439.42899999999997</v>
      </c>
      <c r="G6" s="18">
        <f>'[1]Rimba Jawa'!$V$14</f>
        <v>401131.81134846597</v>
      </c>
      <c r="H6" s="145">
        <f t="shared" si="0"/>
        <v>912.84783514166338</v>
      </c>
      <c r="I6" s="2">
        <f t="shared" si="2"/>
        <v>4.141687324945778</v>
      </c>
      <c r="J6" s="2">
        <f t="shared" si="1"/>
        <v>0</v>
      </c>
      <c r="L6"/>
      <c r="U6"/>
    </row>
    <row r="7" spans="1:21" hidden="1" x14ac:dyDescent="0.35">
      <c r="A7" s="12">
        <v>2011</v>
      </c>
      <c r="B7" s="18">
        <f>'[1]Rimba Jawa'!$W$8</f>
        <v>401131.81134846597</v>
      </c>
      <c r="C7" s="18">
        <f>'[1]Rimba Jawa'!$W$9</f>
        <v>17002.693650011126</v>
      </c>
      <c r="D7" s="18">
        <f>'[1]Rimba Jawa'!$W$10</f>
        <v>40.679275000000004</v>
      </c>
      <c r="E7" s="18">
        <f>'[1]Rimba Jawa'!$W$11</f>
        <v>886.96328503180519</v>
      </c>
      <c r="F7" s="18">
        <f>'[1]Rimba Jawa'!$W$12</f>
        <v>533.79999999999995</v>
      </c>
      <c r="G7" s="18">
        <f>'[1]Rimba Jawa'!$W$14</f>
        <v>416754.42098844534</v>
      </c>
      <c r="H7" s="145">
        <f t="shared" si="0"/>
        <v>780.73139937887856</v>
      </c>
      <c r="I7" s="2">
        <f t="shared" si="2"/>
        <v>3.894632437019041</v>
      </c>
      <c r="J7" s="2">
        <f t="shared" si="1"/>
        <v>0</v>
      </c>
      <c r="L7"/>
      <c r="U7"/>
    </row>
    <row r="8" spans="1:21" hidden="1" x14ac:dyDescent="0.35">
      <c r="A8" s="12">
        <v>2012</v>
      </c>
      <c r="B8" s="18">
        <f>'[1]Rimba Jawa'!$X$8</f>
        <v>416754.42098844534</v>
      </c>
      <c r="C8" s="18">
        <f>'[1]Rimba Jawa'!$X$9</f>
        <v>18588.711042301878</v>
      </c>
      <c r="D8" s="18">
        <f>'[1]Rimba Jawa'!$X$10</f>
        <v>31.572450000000003</v>
      </c>
      <c r="E8" s="18">
        <f>'[1]Rimba Jawa'!$X$11</f>
        <v>2248.6402479437611</v>
      </c>
      <c r="F8" s="18">
        <f>'[1]Rimba Jawa'!$X$12</f>
        <v>525.49</v>
      </c>
      <c r="G8" s="18">
        <f>'[1]Rimba Jawa'!$X$14</f>
        <v>432600.57423280348</v>
      </c>
      <c r="H8" s="145">
        <f t="shared" si="0"/>
        <v>823.23274321643316</v>
      </c>
      <c r="I8" s="2">
        <f t="shared" si="2"/>
        <v>3.8022759798863603</v>
      </c>
      <c r="J8" s="2">
        <f t="shared" si="1"/>
        <v>0</v>
      </c>
      <c r="L8"/>
      <c r="U8"/>
    </row>
    <row r="9" spans="1:21" s="158" customFormat="1" x14ac:dyDescent="0.35">
      <c r="A9" s="155">
        <v>2013</v>
      </c>
      <c r="B9" s="156">
        <f>'[1]Rimba Jawa'!$Y$8</f>
        <v>432600.57423280348</v>
      </c>
      <c r="C9" s="156">
        <f>'[1]Rimba Jawa'!$Y$9</f>
        <v>30769.211762130693</v>
      </c>
      <c r="D9" s="156">
        <f>'[1]Rimba Jawa'!$Y$10</f>
        <v>35.806225000000005</v>
      </c>
      <c r="E9" s="156">
        <f>'[1]Rimba Jawa'!$Y$11</f>
        <v>1221.983000492703</v>
      </c>
      <c r="F9" s="156">
        <f>'[1]Rimba Jawa'!$Y$12</f>
        <v>524.06771049999998</v>
      </c>
      <c r="G9" s="156">
        <f>'[1]Rimba Jawa'!$Y$14</f>
        <v>461659.5415089415</v>
      </c>
      <c r="H9" s="159">
        <f t="shared" si="0"/>
        <v>880.91582873610662</v>
      </c>
      <c r="I9" s="158">
        <f t="shared" si="2"/>
        <v>6.7172743188500732</v>
      </c>
      <c r="J9" s="158">
        <f>B9+C9+D9-E9-F9-G9</f>
        <v>0</v>
      </c>
      <c r="K9" s="158">
        <f>G9-G8</f>
        <v>29058.967276138021</v>
      </c>
      <c r="L9">
        <f>G9/G8*100-100</f>
        <v>6.7172743188500732</v>
      </c>
      <c r="M9"/>
      <c r="N9"/>
      <c r="O9"/>
      <c r="P9"/>
      <c r="Q9"/>
      <c r="R9"/>
      <c r="S9"/>
      <c r="T9"/>
      <c r="U9"/>
    </row>
    <row r="10" spans="1:21" x14ac:dyDescent="0.35">
      <c r="A10" s="102">
        <v>2014</v>
      </c>
      <c r="B10" s="103">
        <f>'[1]Rimba Jawa'!$Z$8</f>
        <v>461659.5415089415</v>
      </c>
      <c r="C10" s="103">
        <f>'[1]Rimba Jawa'!$Z$9</f>
        <v>18645.346624693633</v>
      </c>
      <c r="D10" s="103">
        <f>'[1]Rimba Jawa'!$Z$10</f>
        <v>37.262225000000008</v>
      </c>
      <c r="E10" s="103">
        <f>'[1]Rimba Jawa'!$Z$11</f>
        <v>913.12498570618072</v>
      </c>
      <c r="F10" s="103">
        <f>'[1]Rimba Jawa'!$Z$12</f>
        <v>462.59172999999993</v>
      </c>
      <c r="G10" s="103">
        <f>'[1]Rimba Jawa'!$Z$14</f>
        <v>478966.43364292901</v>
      </c>
      <c r="H10" s="126">
        <f t="shared" si="0"/>
        <v>1035.3977440170172</v>
      </c>
      <c r="I10" s="105">
        <f t="shared" si="2"/>
        <v>3.748843157756383</v>
      </c>
      <c r="J10" s="105">
        <f t="shared" si="1"/>
        <v>0</v>
      </c>
      <c r="K10" s="2">
        <f t="shared" ref="K10:K12" si="3">G10-G9</f>
        <v>17306.892133987509</v>
      </c>
      <c r="L10">
        <f t="shared" ref="L10:L12" si="4">G10/G9*100-100</f>
        <v>3.748843157756383</v>
      </c>
      <c r="U10"/>
    </row>
    <row r="11" spans="1:21" x14ac:dyDescent="0.35">
      <c r="A11" s="102">
        <v>2015</v>
      </c>
      <c r="B11" s="103">
        <f>'[1]Rimba Jawa'!$AA$8</f>
        <v>478966.43364292901</v>
      </c>
      <c r="C11" s="103">
        <f>'[1]Rimba Jawa'!$AA$9</f>
        <v>18669.686520233769</v>
      </c>
      <c r="D11" s="103">
        <f>'[1]Rimba Jawa'!$AA$10</f>
        <v>38.833999750000011</v>
      </c>
      <c r="E11" s="103">
        <f>'[1]Rimba Jawa'!$AA$11</f>
        <v>1073.5777352276577</v>
      </c>
      <c r="F11" s="103">
        <f>'[1]Rimba Jawa'!$AA$12</f>
        <v>398.58370600000006</v>
      </c>
      <c r="G11" s="103">
        <f>'[1]Rimba Jawa'!$AA$14</f>
        <v>496202.79272168508</v>
      </c>
      <c r="H11" s="126">
        <f t="shared" si="0"/>
        <v>1244.9148955468968</v>
      </c>
      <c r="I11" s="105">
        <f t="shared" si="2"/>
        <v>3.5986569972470903</v>
      </c>
      <c r="J11" s="105">
        <f t="shared" si="1"/>
        <v>0</v>
      </c>
      <c r="K11" s="2">
        <f t="shared" si="3"/>
        <v>17236.359078756068</v>
      </c>
      <c r="L11">
        <f t="shared" si="4"/>
        <v>3.5986569972470903</v>
      </c>
      <c r="U11"/>
    </row>
    <row r="12" spans="1:21" x14ac:dyDescent="0.35">
      <c r="A12" s="102">
        <v>2016</v>
      </c>
      <c r="B12" s="103">
        <f>'[1]Rimba Jawa'!$AB$8</f>
        <v>496202.79272168508</v>
      </c>
      <c r="C12" s="103">
        <f>'[1]Rimba Jawa'!$AB$9</f>
        <v>11115.134669966088</v>
      </c>
      <c r="D12" s="103">
        <f>'[1]Rimba Jawa'!$AB$10</f>
        <v>9.4913000000000007</v>
      </c>
      <c r="E12" s="103">
        <f>'[1]Rimba Jawa'!$AB$11</f>
        <v>774.3561350298927</v>
      </c>
      <c r="F12" s="103">
        <f>'[1]Rimba Jawa'!$AB$12</f>
        <v>297.79399999999998</v>
      </c>
      <c r="G12" s="103">
        <f>'[1]Rimba Jawa'!$AB$14</f>
        <v>506255.26855662127</v>
      </c>
      <c r="H12" s="126">
        <f t="shared" si="0"/>
        <v>1700.0183635554151</v>
      </c>
      <c r="I12" s="105">
        <f t="shared" si="2"/>
        <v>2.0258805436781415</v>
      </c>
      <c r="J12" s="105">
        <f t="shared" si="1"/>
        <v>0</v>
      </c>
      <c r="K12" s="2">
        <f t="shared" si="3"/>
        <v>10052.475834936195</v>
      </c>
      <c r="L12">
        <f t="shared" si="4"/>
        <v>2.0258805436781415</v>
      </c>
      <c r="U12"/>
    </row>
    <row r="13" spans="1:21" x14ac:dyDescent="0.35">
      <c r="A13" s="106">
        <v>2017</v>
      </c>
      <c r="B13" s="103">
        <f>'[1]Rimba Jawa'!$AC$8</f>
        <v>506255.26855662127</v>
      </c>
      <c r="C13" s="103">
        <f>'[1]Rimba Jawa'!$AC$9</f>
        <v>11264.080386647869</v>
      </c>
      <c r="D13" s="103">
        <f>'[1]Rimba Jawa'!$AC$10</f>
        <v>25.46861135</v>
      </c>
      <c r="E13" s="103">
        <f>'[1]Rimba Jawa'!$AC$11</f>
        <v>946.4398188870789</v>
      </c>
      <c r="F13" s="103">
        <f>'[1]Rimba Jawa'!$AC$12</f>
        <v>330.07528300000001</v>
      </c>
      <c r="G13" s="103">
        <f>'[1]Rimba Jawa'!$AC$14</f>
        <v>516268.30245273205</v>
      </c>
      <c r="H13" s="126">
        <f t="shared" ref="H13:H20" si="5">G13/F13</f>
        <v>1564.0925844566557</v>
      </c>
      <c r="I13" s="105">
        <f t="shared" si="2"/>
        <v>1.9778626550709788</v>
      </c>
      <c r="J13" s="105">
        <f t="shared" si="1"/>
        <v>0</v>
      </c>
      <c r="L13"/>
      <c r="U13"/>
    </row>
    <row r="14" spans="1:21" x14ac:dyDescent="0.35">
      <c r="A14" s="106">
        <v>2018</v>
      </c>
      <c r="B14" s="103">
        <f>'[1]Rimba Jawa'!$AD$8</f>
        <v>516268.30245273205</v>
      </c>
      <c r="C14" s="103">
        <f>'[1]Rimba Jawa'!$AD$9</f>
        <v>11671.290479044956</v>
      </c>
      <c r="D14" s="103">
        <f>'[1]Rimba Jawa'!$AD$10</f>
        <v>19.207825</v>
      </c>
      <c r="E14" s="103">
        <f>'[1]Rimba Jawa'!$AD$11</f>
        <v>1017.125808713615</v>
      </c>
      <c r="F14" s="103">
        <f>'[1]Rimba Jawa'!$AD$12</f>
        <v>409.822</v>
      </c>
      <c r="G14" s="103">
        <f>'[1]Rimba Jawa'!$AD$14</f>
        <v>526531.8529480634</v>
      </c>
      <c r="H14" s="126">
        <f t="shared" si="5"/>
        <v>1284.7818149051623</v>
      </c>
      <c r="I14" s="105">
        <f>G14/G13*100-100</f>
        <v>1.988026467356292</v>
      </c>
      <c r="J14" s="105">
        <f t="shared" ref="J14" si="6">B14+C14+D14-E14-F14-G14</f>
        <v>0</v>
      </c>
      <c r="L14"/>
      <c r="U14"/>
    </row>
    <row r="15" spans="1:21" x14ac:dyDescent="0.35">
      <c r="A15" s="106">
        <v>2019</v>
      </c>
      <c r="B15" s="103">
        <f>'[1]Rimba Jawa'!$AE$8</f>
        <v>526531.8529480634</v>
      </c>
      <c r="C15" s="103">
        <f>'[1]Rimba Jawa'!$AE$9</f>
        <v>11477.648297340091</v>
      </c>
      <c r="D15" s="103">
        <f>'[1]Rimba Jawa'!$AE$10</f>
        <v>29.652349999999998</v>
      </c>
      <c r="E15" s="103">
        <f>'[1]Rimba Jawa'!$AE$11</f>
        <v>936.76548742367368</v>
      </c>
      <c r="F15" s="103">
        <f>'[1]Rimba Jawa'!$AE$12</f>
        <v>377.44400000000002</v>
      </c>
      <c r="G15" s="103">
        <f>'[1]Rimba Jawa'!$AE$14</f>
        <v>536724.94410797989</v>
      </c>
      <c r="H15" s="126">
        <f t="shared" si="5"/>
        <v>1421.9988769406318</v>
      </c>
      <c r="I15" s="105">
        <f t="shared" ref="I15" si="7">G15/G14*100-100</f>
        <v>1.9358925965912874</v>
      </c>
      <c r="J15" s="105">
        <f t="shared" ref="J15" si="8">B15+C15+D15-E15-F15-G15</f>
        <v>0</v>
      </c>
      <c r="L15"/>
      <c r="U15"/>
    </row>
    <row r="16" spans="1:21" x14ac:dyDescent="0.35">
      <c r="A16" s="106">
        <v>2020</v>
      </c>
      <c r="B16" s="103">
        <f>'[1]Rimba Jawa'!$AF$8</f>
        <v>536724.94410797989</v>
      </c>
      <c r="C16" s="103">
        <f>'[1]Rimba Jawa'!$AF$9</f>
        <v>5004.99173111255</v>
      </c>
      <c r="D16" s="103">
        <f>'[1]Rimba Jawa'!$AF$10</f>
        <v>41.400449999999999</v>
      </c>
      <c r="E16" s="103">
        <f>'[1]Rimba Jawa'!$AF$11</f>
        <v>786.88873885885482</v>
      </c>
      <c r="F16" s="103">
        <f>'[1]Rimba Jawa'!$AF$12</f>
        <v>413.68829999999997</v>
      </c>
      <c r="G16" s="103">
        <f>'[1]Rimba Jawa'!$AF$14</f>
        <v>540570.75925023353</v>
      </c>
      <c r="H16" s="126">
        <f t="shared" si="5"/>
        <v>1306.710291903913</v>
      </c>
      <c r="I16" s="105">
        <f t="shared" ref="I16" si="9">G16/G15*100-100</f>
        <v>0.71653370771602454</v>
      </c>
      <c r="J16" s="105">
        <f t="shared" ref="J16" si="10">B16+C16+D16-E16-F16-G16</f>
        <v>0</v>
      </c>
      <c r="L16"/>
      <c r="U16"/>
    </row>
    <row r="17" spans="1:21" x14ac:dyDescent="0.35">
      <c r="A17" s="106">
        <v>2021</v>
      </c>
      <c r="B17" s="103">
        <f>'[1]Rimba Jawa'!$AG$8</f>
        <v>540570.75925023353</v>
      </c>
      <c r="C17" s="103">
        <f>'[1]Rimba Jawa'!$AG$9</f>
        <v>5004.9687810791656</v>
      </c>
      <c r="D17" s="103">
        <f>'[1]Rimba Jawa'!$AG$10</f>
        <v>44.605925000000006</v>
      </c>
      <c r="E17" s="103">
        <f>'[1]Rimba Jawa'!$AG$11</f>
        <v>451.25409290334858</v>
      </c>
      <c r="F17" s="103">
        <f>'[1]Rimba Jawa'!$AG$12</f>
        <v>491.423</v>
      </c>
      <c r="G17" s="103">
        <f>'[1]Rimba Jawa'!$AG$14</f>
        <v>544677.65686340944</v>
      </c>
      <c r="H17" s="126">
        <f t="shared" si="5"/>
        <v>1108.3682629087557</v>
      </c>
      <c r="I17" s="105">
        <f t="shared" ref="I17" si="11">G17/G16*100-100</f>
        <v>0.75973358582550077</v>
      </c>
      <c r="J17" s="105">
        <f t="shared" ref="J17" si="12">B17+C17+D17-E17-F17-G17</f>
        <v>0</v>
      </c>
      <c r="L17"/>
      <c r="U17"/>
    </row>
    <row r="18" spans="1:21" x14ac:dyDescent="0.35">
      <c r="A18" s="106">
        <v>2022</v>
      </c>
      <c r="B18" s="103">
        <f>'[1]Rimba Jawa'!$AH$8</f>
        <v>544677.65686340944</v>
      </c>
      <c r="C18" s="103">
        <f>'[1]Rimba Jawa'!$AH$9</f>
        <v>4773.0653237129391</v>
      </c>
      <c r="D18" s="103">
        <f>'[1]Rimba Jawa'!$AH$10</f>
        <v>27.557075000000005</v>
      </c>
      <c r="E18" s="103">
        <f>'[1]Rimba Jawa'!$AH$11</f>
        <v>560.54125036085316</v>
      </c>
      <c r="F18" s="103">
        <f>'[1]Rimba Jawa'!$AH$12</f>
        <v>425.291</v>
      </c>
      <c r="G18" s="103">
        <f>'[1]Rimba Jawa'!$AH$14</f>
        <v>548492.44701176148</v>
      </c>
      <c r="H18" s="126">
        <f t="shared" si="5"/>
        <v>1289.6874070031142</v>
      </c>
      <c r="I18" s="105">
        <f t="shared" ref="I18" si="13">G18/G17*100-100</f>
        <v>0.70037573604908232</v>
      </c>
      <c r="J18" s="105">
        <f t="shared" ref="J18" si="14">B18+C18+D18-E18-F18-G18</f>
        <v>0</v>
      </c>
      <c r="L18"/>
      <c r="U18"/>
    </row>
    <row r="19" spans="1:21" x14ac:dyDescent="0.35">
      <c r="A19" s="106">
        <v>2023</v>
      </c>
      <c r="B19" s="103">
        <f>'[1]Rimba Jawa'!$AI$8</f>
        <v>548492.44701176148</v>
      </c>
      <c r="C19" s="103">
        <f>'[1]Rimba Jawa'!$AI$9</f>
        <v>18200.447477467638</v>
      </c>
      <c r="D19" s="103">
        <f>'[1]Rimba Jawa'!$AI$10</f>
        <v>20.950475000000001</v>
      </c>
      <c r="E19" s="103">
        <f>'[1]Rimba Jawa'!$AI$11</f>
        <v>765.90150767603041</v>
      </c>
      <c r="F19" s="103">
        <f>'[1]Rimba Jawa'!$AI$12</f>
        <v>453.15300000000002</v>
      </c>
      <c r="G19" s="103">
        <f>'[1]Rimba Jawa'!$AI$14</f>
        <v>565494.79045655299</v>
      </c>
      <c r="H19" s="126">
        <f t="shared" si="5"/>
        <v>1247.9113907588671</v>
      </c>
      <c r="I19" s="105"/>
      <c r="J19" s="105"/>
      <c r="L19"/>
      <c r="U19"/>
    </row>
    <row r="20" spans="1:21" x14ac:dyDescent="0.35">
      <c r="A20" s="106">
        <v>2024</v>
      </c>
      <c r="B20" s="103">
        <f>'[1]Rimba Jawa'!$AJ$8</f>
        <v>565494.79045655299</v>
      </c>
      <c r="C20" s="103">
        <f>'[1]Rimba Jawa'!$AJ$9</f>
        <v>18205.292484516009</v>
      </c>
      <c r="D20" s="103">
        <f>'[1]Rimba Jawa'!$AJ$10</f>
        <v>14.2415</v>
      </c>
      <c r="E20" s="103">
        <f>'[1]Rimba Jawa'!$AJ$11</f>
        <v>600.18275889184724</v>
      </c>
      <c r="F20" s="103">
        <f>'[1]Rimba Jawa'!$AJ$12</f>
        <v>408.12900000000002</v>
      </c>
      <c r="G20" s="103">
        <f>'[1]Rimba Jawa'!$AJ$14</f>
        <v>582706.01268217724</v>
      </c>
      <c r="H20" s="126">
        <f t="shared" si="5"/>
        <v>1427.7495906494692</v>
      </c>
      <c r="I20" s="105"/>
      <c r="J20" s="105"/>
      <c r="L20"/>
      <c r="U20"/>
    </row>
    <row r="21" spans="1:21" x14ac:dyDescent="0.35">
      <c r="G21" s="2">
        <f>(G13-G9)/1000</f>
        <v>54.60876094379055</v>
      </c>
      <c r="I21" s="2">
        <f>(G9-G8)/1000</f>
        <v>29.05896727613802</v>
      </c>
      <c r="L21"/>
      <c r="U21"/>
    </row>
    <row r="22" spans="1:21" x14ac:dyDescent="0.35">
      <c r="A22" s="16" t="s">
        <v>0</v>
      </c>
      <c r="G22" s="2">
        <f>G13/G9*100-100</f>
        <v>11.828795039153945</v>
      </c>
      <c r="L22"/>
      <c r="U22"/>
    </row>
    <row r="23" spans="1:21" ht="15" customHeight="1" x14ac:dyDescent="0.35">
      <c r="A23" s="466" t="s">
        <v>8</v>
      </c>
      <c r="B23" s="462" t="s">
        <v>9</v>
      </c>
      <c r="C23" s="462" t="s">
        <v>60</v>
      </c>
      <c r="D23" s="467" t="s">
        <v>10</v>
      </c>
      <c r="E23" s="462" t="s">
        <v>12</v>
      </c>
      <c r="F23" s="464" t="s">
        <v>13</v>
      </c>
      <c r="G23" s="462" t="s">
        <v>14</v>
      </c>
      <c r="H23" s="471" t="s">
        <v>61</v>
      </c>
      <c r="I23" s="463"/>
      <c r="L23"/>
      <c r="U23"/>
    </row>
    <row r="24" spans="1:21" ht="17.25" customHeight="1" x14ac:dyDescent="0.35">
      <c r="A24" s="466"/>
      <c r="B24" s="462"/>
      <c r="C24" s="462"/>
      <c r="D24" s="467"/>
      <c r="E24" s="462"/>
      <c r="F24" s="464"/>
      <c r="G24" s="462"/>
      <c r="H24" s="471"/>
      <c r="I24" s="463"/>
      <c r="L24"/>
      <c r="U24"/>
    </row>
    <row r="25" spans="1:21" hidden="1" x14ac:dyDescent="0.35">
      <c r="A25" s="13">
        <v>2008</v>
      </c>
      <c r="B25" s="81">
        <f>'Rate of Return'!L7</f>
        <v>0</v>
      </c>
      <c r="C25" s="53">
        <f>'GOS per unit'!K3</f>
        <v>952618.12033147423</v>
      </c>
      <c r="D25" s="14">
        <f t="shared" ref="D25:D39" si="15">C25*F4/1000000</f>
        <v>576.53687046017251</v>
      </c>
      <c r="E25" s="53">
        <f t="shared" ref="E25:E39" si="16">H4</f>
        <v>609.3757419244223</v>
      </c>
      <c r="F25" s="81">
        <f t="shared" ref="F25:F33" si="17">(PV(B25,E25,-1/E25))</f>
        <v>1</v>
      </c>
      <c r="G25" s="14">
        <f t="shared" ref="G25:G33" si="18">D25*E25*F25</f>
        <v>351327.5831834522</v>
      </c>
      <c r="H25" s="60">
        <f t="shared" ref="H25:H39" si="19">G25/G4*1000000</f>
        <v>952618.12033147435</v>
      </c>
      <c r="I25" s="80" t="e">
        <f>((1/E25)*(1+(B25*1))*(((1+B25)^E25)-1)/B25)/((1+B25)^E25)</f>
        <v>#DIV/0!</v>
      </c>
      <c r="L25"/>
      <c r="U25"/>
    </row>
    <row r="26" spans="1:21" hidden="1" x14ac:dyDescent="0.35">
      <c r="A26" s="13">
        <v>2009</v>
      </c>
      <c r="B26" s="81">
        <f>'Rate of Return'!L8</f>
        <v>0</v>
      </c>
      <c r="C26" s="53">
        <f>'GOS per unit'!K4</f>
        <v>1045677.8962827084</v>
      </c>
      <c r="D26" s="14">
        <f t="shared" si="15"/>
        <v>548.13389645243296</v>
      </c>
      <c r="E26" s="53">
        <f t="shared" si="16"/>
        <v>734.80780908325926</v>
      </c>
      <c r="F26" s="81">
        <f t="shared" si="17"/>
        <v>1</v>
      </c>
      <c r="G26" s="14">
        <f t="shared" si="18"/>
        <v>402773.06753648235</v>
      </c>
      <c r="H26" s="60">
        <f t="shared" si="19"/>
        <v>1045677.8962827085</v>
      </c>
      <c r="I26" s="80" t="e">
        <f t="shared" ref="I26" si="20">((1/E26)*(1+(B26*1))*(((1+B26)^E26)-1)/B26)/((1+B26)^E26)</f>
        <v>#DIV/0!</v>
      </c>
      <c r="L26"/>
      <c r="U26"/>
    </row>
    <row r="27" spans="1:21" hidden="1" x14ac:dyDescent="0.35">
      <c r="A27" s="13">
        <v>2010</v>
      </c>
      <c r="B27" s="81">
        <f>'Rate of Return'!L9</f>
        <v>6.1000000000000082E-3</v>
      </c>
      <c r="C27" s="53">
        <f>'GOS per unit'!K5</f>
        <v>1093197.1680038571</v>
      </c>
      <c r="D27" s="14">
        <f t="shared" si="15"/>
        <v>480.38253833876695</v>
      </c>
      <c r="E27" s="53">
        <f t="shared" si="16"/>
        <v>912.84783514166338</v>
      </c>
      <c r="F27" s="81">
        <f t="shared" si="17"/>
        <v>0.17888859427696521</v>
      </c>
      <c r="G27" s="14">
        <f t="shared" si="18"/>
        <v>78445.539459184365</v>
      </c>
      <c r="H27" s="60">
        <f t="shared" si="19"/>
        <v>195560.50465176941</v>
      </c>
      <c r="I27" s="80">
        <f>((1/E27)*(1+(B27*1))*(((1+B27)^E27)-1)/B27)/((1+B27)^E27)</f>
        <v>0.17997981470205468</v>
      </c>
      <c r="L27"/>
      <c r="U27"/>
    </row>
    <row r="28" spans="1:21" hidden="1" x14ac:dyDescent="0.35">
      <c r="A28" s="13">
        <v>2011</v>
      </c>
      <c r="B28" s="81">
        <f>'Rate of Return'!L10</f>
        <v>4.2941904742675889E-2</v>
      </c>
      <c r="C28" s="53">
        <f>'GOS per unit'!K6</f>
        <v>1173526.2184355545</v>
      </c>
      <c r="D28" s="14">
        <f t="shared" si="15"/>
        <v>626.42829540089895</v>
      </c>
      <c r="E28" s="53">
        <f t="shared" si="16"/>
        <v>780.73139937887856</v>
      </c>
      <c r="F28" s="81">
        <f t="shared" si="17"/>
        <v>2.9827513412121261E-2</v>
      </c>
      <c r="G28" s="14">
        <f t="shared" si="18"/>
        <v>14587.808788517659</v>
      </c>
      <c r="H28" s="60">
        <f t="shared" si="19"/>
        <v>35003.369019862446</v>
      </c>
      <c r="I28" s="30">
        <f>((1/E28)*(1+(B28*1))*(((1+B28)^E28)-1)/B28)/((1+B28)^E28)</f>
        <v>3.1108363651775457E-2</v>
      </c>
      <c r="J28" s="4">
        <f>(1/E28)*(1+(B28*1))</f>
        <v>1.3358523886350701E-3</v>
      </c>
      <c r="K28" s="2">
        <f>(((1+B28)^E28)-1)/B28</f>
        <v>4201126631978641</v>
      </c>
      <c r="L28">
        <f>((1+B28)^E28)</f>
        <v>180404379642346.59</v>
      </c>
      <c r="U28"/>
    </row>
    <row r="29" spans="1:21" s="158" customFormat="1" hidden="1" x14ac:dyDescent="0.35">
      <c r="A29" s="155">
        <v>2012</v>
      </c>
      <c r="B29" s="162">
        <f>'Rate of Return'!C11</f>
        <v>6.6462195121951215E-2</v>
      </c>
      <c r="C29" s="157">
        <f>'GOS per unit'!K7</f>
        <v>1224292.3189741194</v>
      </c>
      <c r="D29" s="163">
        <f t="shared" si="15"/>
        <v>643.35337069771003</v>
      </c>
      <c r="E29" s="157">
        <f t="shared" si="16"/>
        <v>823.23274321643316</v>
      </c>
      <c r="F29" s="162">
        <f t="shared" si="17"/>
        <v>1.8276906208747223E-2</v>
      </c>
      <c r="G29" s="163">
        <f t="shared" si="18"/>
        <v>9679.9897974664163</v>
      </c>
      <c r="H29" s="60">
        <f t="shared" si="19"/>
        <v>22376.275885979616</v>
      </c>
      <c r="I29" s="30">
        <f t="shared" ref="I29:I33" si="21">((1/E29)*(1+(B29*1))*(((1+B29)^E29)-1)/B29)/((1+B29)^E29)</f>
        <v>1.9491629515418583E-2</v>
      </c>
      <c r="L29"/>
      <c r="M29"/>
      <c r="N29"/>
      <c r="O29"/>
      <c r="P29"/>
      <c r="Q29"/>
      <c r="R29"/>
      <c r="S29"/>
      <c r="T29"/>
      <c r="U29"/>
    </row>
    <row r="30" spans="1:21" s="158" customFormat="1" x14ac:dyDescent="0.35">
      <c r="A30" s="155">
        <v>2013</v>
      </c>
      <c r="B30" s="164">
        <f>'Rate of Return'!C12</f>
        <v>7.5548571428571409E-2</v>
      </c>
      <c r="C30" s="156">
        <f>'GOS per unit'!K8</f>
        <v>1287315.3028562642</v>
      </c>
      <c r="D30" s="163">
        <f t="shared" si="15"/>
        <v>674.64038345949655</v>
      </c>
      <c r="E30" s="157">
        <f t="shared" si="16"/>
        <v>880.91582873610662</v>
      </c>
      <c r="F30" s="162">
        <f t="shared" si="17"/>
        <v>1.5025859712712294E-2</v>
      </c>
      <c r="G30" s="163">
        <f t="shared" si="18"/>
        <v>8929.889350685422</v>
      </c>
      <c r="H30" s="163">
        <f t="shared" si="19"/>
        <v>19343.019146745974</v>
      </c>
      <c r="I30" s="30">
        <f t="shared" si="21"/>
        <v>1.6161041948493833E-2</v>
      </c>
      <c r="L30"/>
      <c r="M30"/>
      <c r="N30"/>
      <c r="O30"/>
      <c r="P30"/>
      <c r="Q30"/>
      <c r="R30"/>
      <c r="S30"/>
      <c r="T30"/>
      <c r="U30"/>
    </row>
    <row r="31" spans="1:21" x14ac:dyDescent="0.35">
      <c r="A31" s="102">
        <v>2014</v>
      </c>
      <c r="B31" s="149">
        <f>'Rate of Return'!C13</f>
        <v>8.6841975308642003E-2</v>
      </c>
      <c r="C31" s="103">
        <f>'GOS per unit'!K9</f>
        <v>1192728.7206775555</v>
      </c>
      <c r="D31" s="113">
        <f t="shared" si="15"/>
        <v>551.74644231891716</v>
      </c>
      <c r="E31" s="104">
        <f t="shared" si="16"/>
        <v>1035.3977440170172</v>
      </c>
      <c r="F31" s="112">
        <f t="shared" si="17"/>
        <v>1.1121492985201814E-2</v>
      </c>
      <c r="G31" s="113">
        <f t="shared" si="18"/>
        <v>6353.4533888476681</v>
      </c>
      <c r="H31" s="113">
        <f t="shared" si="19"/>
        <v>13264.92410026417</v>
      </c>
      <c r="I31" s="30">
        <f t="shared" si="21"/>
        <v>1.2087305404417945E-2</v>
      </c>
      <c r="L31"/>
      <c r="U31"/>
    </row>
    <row r="32" spans="1:21" x14ac:dyDescent="0.35">
      <c r="A32" s="102">
        <v>2015</v>
      </c>
      <c r="B32" s="149">
        <f>'Rate of Return'!C14</f>
        <v>8.4721074380165268E-2</v>
      </c>
      <c r="C32" s="104">
        <f>'GOS per unit'!K10</f>
        <v>1171914.45503607</v>
      </c>
      <c r="D32" s="113">
        <f t="shared" si="15"/>
        <v>467.10600660324724</v>
      </c>
      <c r="E32" s="104">
        <f t="shared" si="16"/>
        <v>1244.9148955468968</v>
      </c>
      <c r="F32" s="112">
        <f>(PV(B32,E32,-1/E32))</f>
        <v>9.4813216929683069E-3</v>
      </c>
      <c r="G32" s="113">
        <f t="shared" si="18"/>
        <v>5513.457070990652</v>
      </c>
      <c r="H32" s="113">
        <f t="shared" si="19"/>
        <v>11111.297944836622</v>
      </c>
      <c r="I32" s="30">
        <f t="shared" si="21"/>
        <v>1.0284589453340549E-2</v>
      </c>
      <c r="L32"/>
      <c r="U32"/>
    </row>
    <row r="33" spans="1:21" x14ac:dyDescent="0.35">
      <c r="A33" s="102">
        <v>2016</v>
      </c>
      <c r="B33" s="149">
        <f>'Rate of Return'!C15</f>
        <v>7.9230487804878069E-2</v>
      </c>
      <c r="C33" s="104">
        <f>'GOS per unit'!K11</f>
        <v>1192893.3856659699</v>
      </c>
      <c r="D33" s="113">
        <f t="shared" si="15"/>
        <v>355.23649289101184</v>
      </c>
      <c r="E33" s="104">
        <f t="shared" si="16"/>
        <v>1700.0183635554151</v>
      </c>
      <c r="F33" s="112">
        <f t="shared" si="17"/>
        <v>7.4242751283255968E-3</v>
      </c>
      <c r="G33" s="113">
        <f t="shared" si="18"/>
        <v>4483.58331158906</v>
      </c>
      <c r="H33" s="113">
        <f t="shared" si="19"/>
        <v>8856.3686939439758</v>
      </c>
      <c r="I33" s="30">
        <f t="shared" si="21"/>
        <v>8.0125040683404584E-3</v>
      </c>
      <c r="L33"/>
      <c r="U33"/>
    </row>
    <row r="34" spans="1:21" x14ac:dyDescent="0.35">
      <c r="A34" s="102">
        <v>2017</v>
      </c>
      <c r="B34" s="149">
        <f>'Rate of Return'!C16</f>
        <v>7.6071308016877698E-2</v>
      </c>
      <c r="C34" s="104">
        <f>'GOS per unit'!K12</f>
        <v>1202018.1519559855</v>
      </c>
      <c r="D34" s="113">
        <f t="shared" si="15"/>
        <v>396.75648167800892</v>
      </c>
      <c r="E34" s="104">
        <f t="shared" si="16"/>
        <v>1564.0925844566557</v>
      </c>
      <c r="F34" s="112">
        <f t="shared" ref="F34" si="22">(PV(B34,E34,-1/E34))</f>
        <v>8.4045924577786438E-3</v>
      </c>
      <c r="G34" s="113">
        <f t="shared" ref="G34" si="23">D34*E34*F34</f>
        <v>5215.5864283282963</v>
      </c>
      <c r="H34" s="113">
        <f t="shared" si="19"/>
        <v>10102.472694042299</v>
      </c>
      <c r="I34" s="30"/>
      <c r="L34"/>
      <c r="U34"/>
    </row>
    <row r="35" spans="1:21" x14ac:dyDescent="0.35">
      <c r="A35" s="102">
        <v>2018</v>
      </c>
      <c r="B35" s="149">
        <f>'Rate of Return'!C17</f>
        <v>7.9443459915611817E-2</v>
      </c>
      <c r="C35" s="104">
        <f>'GOS per unit'!K13</f>
        <v>1241818.4492995152</v>
      </c>
      <c r="D35" s="113">
        <f t="shared" si="15"/>
        <v>508.92452052882595</v>
      </c>
      <c r="E35" s="104">
        <f t="shared" si="16"/>
        <v>1284.7818149051623</v>
      </c>
      <c r="F35" s="112">
        <f t="shared" ref="F35:F36" si="24">(PV(B35,E35,-1/E35))</f>
        <v>9.7974367592781452E-3</v>
      </c>
      <c r="G35" s="113">
        <f>D35*E35*F35</f>
        <v>6406.1223047111371</v>
      </c>
      <c r="H35" s="113">
        <f t="shared" si="19"/>
        <v>12166.637723516853</v>
      </c>
      <c r="I35" s="30"/>
      <c r="L35"/>
      <c r="U35"/>
    </row>
    <row r="36" spans="1:21" x14ac:dyDescent="0.35">
      <c r="A36" s="102">
        <v>2019</v>
      </c>
      <c r="B36" s="149">
        <f>'Rate of Return'!C18</f>
        <v>8.0219834710743843E-2</v>
      </c>
      <c r="C36" s="104">
        <f>'GOS per unit'!K14</f>
        <v>1326604.4985788364</v>
      </c>
      <c r="D36" s="113">
        <f t="shared" si="15"/>
        <v>500.71890836159037</v>
      </c>
      <c r="E36" s="104">
        <f t="shared" si="16"/>
        <v>1421.9988769406318</v>
      </c>
      <c r="F36" s="112">
        <f t="shared" si="24"/>
        <v>8.7663535880274646E-3</v>
      </c>
      <c r="G36" s="113">
        <f>D36*E36*F36</f>
        <v>6241.8342068028351</v>
      </c>
      <c r="H36" s="113">
        <f t="shared" si="19"/>
        <v>11629.484106009959</v>
      </c>
      <c r="I36" s="30"/>
      <c r="L36"/>
      <c r="U36"/>
    </row>
    <row r="37" spans="1:21" x14ac:dyDescent="0.35">
      <c r="A37" s="102">
        <v>2020</v>
      </c>
      <c r="B37" s="149">
        <f>'Rate of Return'!C19</f>
        <v>7.4857438016528874E-2</v>
      </c>
      <c r="C37" s="104">
        <f>'GOS per unit'!K15</f>
        <v>1383391.0893498112</v>
      </c>
      <c r="D37" s="113">
        <f t="shared" si="15"/>
        <v>572.29270798827145</v>
      </c>
      <c r="E37" s="104">
        <f t="shared" si="16"/>
        <v>1306.710291903913</v>
      </c>
      <c r="F37" s="112">
        <f t="shared" ref="F37" si="25">(PV(B37,E37,-1/E37))</f>
        <v>1.0223173442254922E-2</v>
      </c>
      <c r="G37" s="113">
        <f>D37*E37*F37</f>
        <v>7645.1014508659318</v>
      </c>
      <c r="H37" s="113">
        <f t="shared" si="19"/>
        <v>14142.647044893094</v>
      </c>
      <c r="I37" s="30"/>
      <c r="L37"/>
      <c r="U37"/>
    </row>
    <row r="38" spans="1:21" x14ac:dyDescent="0.35">
      <c r="A38" s="102">
        <v>2021</v>
      </c>
      <c r="B38" s="149">
        <f>'Rate of Return'!C20</f>
        <v>7.0489837398374042E-2</v>
      </c>
      <c r="C38" s="104">
        <f>'GOS per unit'!K16</f>
        <v>1418974.2742260545</v>
      </c>
      <c r="D38" s="113">
        <f t="shared" si="15"/>
        <v>697.31659476299035</v>
      </c>
      <c r="E38" s="104">
        <f t="shared" si="16"/>
        <v>1108.3682629087557</v>
      </c>
      <c r="F38" s="112">
        <f t="shared" ref="F38" si="26">(PV(B38,E38,-1/E38))</f>
        <v>1.2799394045155326E-2</v>
      </c>
      <c r="G38" s="113">
        <f>D38*E38*F38</f>
        <v>9892.4415277353874</v>
      </c>
      <c r="H38" s="113">
        <f t="shared" si="19"/>
        <v>18162.010875757558</v>
      </c>
      <c r="I38" s="30"/>
      <c r="L38"/>
      <c r="U38"/>
    </row>
    <row r="39" spans="1:21" x14ac:dyDescent="0.35">
      <c r="A39" s="102">
        <v>2022</v>
      </c>
      <c r="B39" s="149">
        <f>'Rate of Return'!C21</f>
        <v>7.2128455284552931E-2</v>
      </c>
      <c r="C39" s="104">
        <f>'GOS per unit'!K17</f>
        <v>1528524.1858141555</v>
      </c>
      <c r="D39" s="113">
        <f t="shared" si="15"/>
        <v>650.06757950908809</v>
      </c>
      <c r="E39" s="104">
        <f t="shared" si="16"/>
        <v>1289.6874070031142</v>
      </c>
      <c r="F39" s="112">
        <f t="shared" ref="F39" si="27">(PV(B39,E39,-1/E39))</f>
        <v>1.0750011018534924E-2</v>
      </c>
      <c r="G39" s="113">
        <f>D39*E39*F39</f>
        <v>9012.6369259471303</v>
      </c>
      <c r="H39" s="113">
        <f t="shared" si="19"/>
        <v>16431.651839599297</v>
      </c>
      <c r="I39" s="30"/>
      <c r="L39"/>
      <c r="U39"/>
    </row>
    <row r="40" spans="1:21" x14ac:dyDescent="0.35">
      <c r="A40" s="102">
        <v>2023</v>
      </c>
      <c r="B40" s="149">
        <f>'Rate of Return'!C22</f>
        <v>6.852050209205017E-2</v>
      </c>
      <c r="C40" s="104">
        <f>'GOS per unit'!K18</f>
        <v>1688397.5849148112</v>
      </c>
      <c r="D40" s="113">
        <f t="shared" ref="D40:D41" si="28">C40*F19/1000000</f>
        <v>765.10243079690144</v>
      </c>
      <c r="E40" s="104">
        <f t="shared" ref="E40:E41" si="29">H19</f>
        <v>1247.9113907588671</v>
      </c>
      <c r="F40" s="112">
        <f t="shared" ref="F40:F41" si="30">(PV(B40,E40,-1/E40))</f>
        <v>1.1694878506110663E-2</v>
      </c>
      <c r="G40" s="113">
        <f t="shared" ref="G40:G41" si="31">D40*E40*F40</f>
        <v>11166.036550185607</v>
      </c>
      <c r="H40" s="113">
        <f t="shared" ref="H40:H41" si="32">G40/G19*1000000</f>
        <v>19745.604625589374</v>
      </c>
      <c r="I40" s="30"/>
      <c r="L40"/>
      <c r="U40"/>
    </row>
    <row r="41" spans="1:21" x14ac:dyDescent="0.35">
      <c r="A41" s="102">
        <v>2024</v>
      </c>
      <c r="B41" s="149">
        <f>'Rate of Return'!C23</f>
        <v>6.9594936708860813E-2</v>
      </c>
      <c r="C41" s="104">
        <f>'GOS per unit'!K19</f>
        <v>1721255.1391024136</v>
      </c>
      <c r="D41" s="113">
        <f t="shared" si="28"/>
        <v>702.49413866672899</v>
      </c>
      <c r="E41" s="104">
        <f t="shared" si="29"/>
        <v>1427.7495906494692</v>
      </c>
      <c r="F41" s="112">
        <f t="shared" si="30"/>
        <v>1.0063992662474307E-2</v>
      </c>
      <c r="G41" s="113">
        <f t="shared" si="31"/>
        <v>10094.040915727821</v>
      </c>
      <c r="H41" s="113">
        <f t="shared" si="32"/>
        <v>17322.699090172882</v>
      </c>
      <c r="I41" s="30"/>
      <c r="L41"/>
      <c r="U41"/>
    </row>
    <row r="42" spans="1:21" x14ac:dyDescent="0.35">
      <c r="G42" s="84">
        <f>G34/1000</f>
        <v>5.2155864283282964</v>
      </c>
      <c r="H42" s="84">
        <f>H34/1000</f>
        <v>10.102472694042298</v>
      </c>
      <c r="L42"/>
      <c r="U42"/>
    </row>
    <row r="43" spans="1:21" x14ac:dyDescent="0.35">
      <c r="A43" s="16" t="s">
        <v>32</v>
      </c>
      <c r="B43" s="9"/>
      <c r="C43" s="9"/>
      <c r="D43" s="9"/>
      <c r="E43" s="9"/>
      <c r="F43" s="9"/>
      <c r="G43" s="148">
        <f>G30/1000</f>
        <v>8.9298893506854213</v>
      </c>
      <c r="H43" s="148">
        <f>H30/1000</f>
        <v>19.343019146745974</v>
      </c>
      <c r="L43"/>
      <c r="U43"/>
    </row>
    <row r="44" spans="1:21" x14ac:dyDescent="0.35">
      <c r="A44" s="16">
        <v>2019</v>
      </c>
      <c r="B44" s="9">
        <f>'Rate of Return'!C22</f>
        <v>6.852050209205017E-2</v>
      </c>
      <c r="C44" s="9"/>
      <c r="D44" s="9"/>
      <c r="E44" s="9"/>
      <c r="F44" s="9"/>
      <c r="G44" s="148">
        <f>G31/1000</f>
        <v>6.3534533888476679</v>
      </c>
      <c r="H44" s="148">
        <f>H31/1000</f>
        <v>13.264924100264171</v>
      </c>
      <c r="L44"/>
      <c r="U44"/>
    </row>
    <row r="45" spans="1:21" ht="26" x14ac:dyDescent="0.35">
      <c r="A45" s="421" t="s">
        <v>8</v>
      </c>
      <c r="B45" s="61" t="s">
        <v>22</v>
      </c>
      <c r="C45" s="61" t="s">
        <v>23</v>
      </c>
      <c r="D45" s="61" t="s">
        <v>24</v>
      </c>
      <c r="E45" s="61" t="s">
        <v>25</v>
      </c>
      <c r="F45" s="61" t="s">
        <v>26</v>
      </c>
      <c r="G45" s="61" t="s">
        <v>20</v>
      </c>
      <c r="H45" s="61" t="s">
        <v>11</v>
      </c>
      <c r="I45" s="37" t="s">
        <v>50</v>
      </c>
      <c r="L45"/>
      <c r="U45"/>
    </row>
    <row r="46" spans="1:21" x14ac:dyDescent="0.35">
      <c r="A46" s="422">
        <v>2009</v>
      </c>
      <c r="B46" s="430">
        <f t="shared" ref="B46:B61" si="33">G25</f>
        <v>351327.5831834522</v>
      </c>
      <c r="C46" s="63">
        <f t="shared" ref="C46:F61" si="34">C5*$H26/1000000</f>
        <v>17857.904119084247</v>
      </c>
      <c r="D46" s="63">
        <f t="shared" si="34"/>
        <v>82.986148094681667</v>
      </c>
      <c r="E46" s="63">
        <f t="shared" si="34"/>
        <v>267.91475873952157</v>
      </c>
      <c r="F46" s="63">
        <f t="shared" si="34"/>
        <v>548.13389645243296</v>
      </c>
      <c r="G46" s="430">
        <f t="shared" ref="G46:G61" si="35">(H26-H25)*B5/1000000</f>
        <v>34320.642741043215</v>
      </c>
      <c r="H46" s="430">
        <f t="shared" ref="H46:H61" si="36">G26</f>
        <v>402773.06753648235</v>
      </c>
      <c r="I46" s="75">
        <f t="shared" ref="I46:I61" si="37">(H46/G5*1000)</f>
        <v>1045.6778962827084</v>
      </c>
      <c r="J46" s="2">
        <f>B46+C46+D46-E46-F46+G46-H46</f>
        <v>0</v>
      </c>
      <c r="K46" s="43"/>
      <c r="L46"/>
      <c r="U46"/>
    </row>
    <row r="47" spans="1:21" x14ac:dyDescent="0.35">
      <c r="A47" s="422">
        <v>2010</v>
      </c>
      <c r="B47" s="430">
        <f t="shared" si="33"/>
        <v>402773.06753648235</v>
      </c>
      <c r="C47" s="63">
        <f t="shared" si="34"/>
        <v>3259.8567201917394</v>
      </c>
      <c r="D47" s="63">
        <f t="shared" si="34"/>
        <v>21.176637535537235</v>
      </c>
      <c r="E47" s="63">
        <f t="shared" si="34"/>
        <v>75.340071262700391</v>
      </c>
      <c r="F47" s="63">
        <f t="shared" si="34"/>
        <v>85.934956998622368</v>
      </c>
      <c r="G47" s="430">
        <f t="shared" si="35"/>
        <v>-327447.286406764</v>
      </c>
      <c r="H47" s="430">
        <f t="shared" si="36"/>
        <v>78445.539459184365</v>
      </c>
      <c r="I47" s="75">
        <f t="shared" si="37"/>
        <v>195.56050465176941</v>
      </c>
      <c r="J47" s="2">
        <f t="shared" ref="J47:J54" si="38">B47+C47+D47-E47-F47+G47-H47</f>
        <v>0</v>
      </c>
      <c r="K47" s="43"/>
      <c r="L47"/>
      <c r="U47"/>
    </row>
    <row r="48" spans="1:21" x14ac:dyDescent="0.35">
      <c r="A48" s="431">
        <v>2011</v>
      </c>
      <c r="B48" s="430">
        <f t="shared" si="33"/>
        <v>78445.539459184365</v>
      </c>
      <c r="C48" s="63">
        <f t="shared" si="34"/>
        <v>595.15156016301148</v>
      </c>
      <c r="D48" s="63">
        <f t="shared" si="34"/>
        <v>1.4239116742854652</v>
      </c>
      <c r="E48" s="63">
        <f t="shared" si="34"/>
        <v>31.046703173037717</v>
      </c>
      <c r="F48" s="63">
        <f t="shared" si="34"/>
        <v>18.684798382802573</v>
      </c>
      <c r="G48" s="430">
        <f t="shared" si="35"/>
        <v>-64404.574640948173</v>
      </c>
      <c r="H48" s="430">
        <f t="shared" si="36"/>
        <v>14587.808788517659</v>
      </c>
      <c r="I48" s="75">
        <f t="shared" si="37"/>
        <v>35.003369019862447</v>
      </c>
      <c r="J48" s="2">
        <f t="shared" si="38"/>
        <v>-1.6370904631912708E-11</v>
      </c>
      <c r="K48" s="43"/>
    </row>
    <row r="49" spans="1:20" x14ac:dyDescent="0.35">
      <c r="A49" s="36">
        <v>2012</v>
      </c>
      <c r="B49" s="432">
        <f t="shared" si="33"/>
        <v>14587.808788517659</v>
      </c>
      <c r="C49" s="425">
        <f t="shared" si="34"/>
        <v>415.94612664730249</v>
      </c>
      <c r="D49" s="425">
        <f t="shared" si="34"/>
        <v>0.70647385159629728</v>
      </c>
      <c r="E49" s="425">
        <f t="shared" si="34"/>
        <v>50.316194556307202</v>
      </c>
      <c r="F49" s="425">
        <f t="shared" si="34"/>
        <v>11.758509215323429</v>
      </c>
      <c r="G49" s="432">
        <f t="shared" si="35"/>
        <v>-5262.3968877785128</v>
      </c>
      <c r="H49" s="432">
        <f t="shared" si="36"/>
        <v>9679.9897974664163</v>
      </c>
      <c r="I49" s="116">
        <f t="shared" si="37"/>
        <v>22.376275885979616</v>
      </c>
      <c r="J49" s="2">
        <f t="shared" si="38"/>
        <v>0</v>
      </c>
      <c r="K49" s="43"/>
    </row>
    <row r="50" spans="1:20" s="158" customFormat="1" x14ac:dyDescent="0.35">
      <c r="A50" s="427">
        <v>2013</v>
      </c>
      <c r="B50" s="433">
        <f t="shared" si="33"/>
        <v>9679.9897974664163</v>
      </c>
      <c r="C50" s="428">
        <f t="shared" si="34"/>
        <v>595.16945224517531</v>
      </c>
      <c r="D50" s="428">
        <f t="shared" si="34"/>
        <v>0.69260049574769444</v>
      </c>
      <c r="E50" s="428">
        <f t="shared" si="34"/>
        <v>23.636840575528449</v>
      </c>
      <c r="F50" s="428">
        <f t="shared" si="34"/>
        <v>10.137051758392825</v>
      </c>
      <c r="G50" s="433">
        <f t="shared" si="35"/>
        <v>-1312.1886071879946</v>
      </c>
      <c r="H50" s="433">
        <f t="shared" si="36"/>
        <v>8929.889350685422</v>
      </c>
      <c r="I50" s="171">
        <f t="shared" si="37"/>
        <v>19.343019146745974</v>
      </c>
      <c r="J50" s="158">
        <f t="shared" si="38"/>
        <v>0</v>
      </c>
      <c r="K50" s="172">
        <f>H50/H49*100-100</f>
        <v>-7.7489797249303081</v>
      </c>
      <c r="M50"/>
      <c r="N50"/>
      <c r="O50"/>
      <c r="P50"/>
      <c r="Q50"/>
      <c r="R50"/>
      <c r="S50"/>
      <c r="T50"/>
    </row>
    <row r="51" spans="1:20" x14ac:dyDescent="0.35">
      <c r="A51" s="106">
        <v>2014</v>
      </c>
      <c r="B51" s="434">
        <f t="shared" si="33"/>
        <v>8929.889350685422</v>
      </c>
      <c r="C51" s="429">
        <f t="shared" si="34"/>
        <v>247.32910779967779</v>
      </c>
      <c r="D51" s="429">
        <f t="shared" si="34"/>
        <v>0.49428058643196615</v>
      </c>
      <c r="E51" s="429">
        <f t="shared" si="34"/>
        <v>12.112533629447293</v>
      </c>
      <c r="F51" s="429">
        <f t="shared" si="34"/>
        <v>6.1362441878598943</v>
      </c>
      <c r="G51" s="434">
        <f t="shared" si="35"/>
        <v>-2806.0105724065579</v>
      </c>
      <c r="H51" s="434">
        <f t="shared" si="36"/>
        <v>6353.4533888476681</v>
      </c>
      <c r="I51" s="115">
        <f t="shared" si="37"/>
        <v>13.264924100264169</v>
      </c>
      <c r="J51" s="2">
        <f t="shared" si="38"/>
        <v>0</v>
      </c>
      <c r="K51" s="84">
        <f t="shared" ref="K51:K54" si="39">H51/H50*100-100</f>
        <v>-28.851824033407496</v>
      </c>
    </row>
    <row r="52" spans="1:20" x14ac:dyDescent="0.35">
      <c r="A52" s="106">
        <v>2015</v>
      </c>
      <c r="B52" s="434">
        <f t="shared" si="33"/>
        <v>6353.4533888476681</v>
      </c>
      <c r="C52" s="429">
        <f t="shared" si="34"/>
        <v>207.44444946301746</v>
      </c>
      <c r="D52" s="429">
        <f t="shared" si="34"/>
        <v>0.43149614161196098</v>
      </c>
      <c r="E52" s="429">
        <f t="shared" si="34"/>
        <v>11.928842083057429</v>
      </c>
      <c r="F52" s="429">
        <f t="shared" si="34"/>
        <v>4.4287823133231656</v>
      </c>
      <c r="G52" s="434">
        <f t="shared" si="35"/>
        <v>-1031.5146390652649</v>
      </c>
      <c r="H52" s="434">
        <f t="shared" si="36"/>
        <v>5513.457070990652</v>
      </c>
      <c r="I52" s="115">
        <f t="shared" si="37"/>
        <v>11.111297944836624</v>
      </c>
      <c r="J52" s="2">
        <f>B52+C52+D52-E52-F52+G52-H52</f>
        <v>0</v>
      </c>
      <c r="K52" s="84">
        <f t="shared" si="39"/>
        <v>-13.221098297997699</v>
      </c>
    </row>
    <row r="53" spans="1:20" x14ac:dyDescent="0.35">
      <c r="A53" s="106">
        <v>2016</v>
      </c>
      <c r="B53" s="434">
        <f t="shared" si="33"/>
        <v>5513.457070990652</v>
      </c>
      <c r="C53" s="429">
        <f t="shared" si="34"/>
        <v>98.439730720058961</v>
      </c>
      <c r="D53" s="429">
        <f t="shared" si="34"/>
        <v>8.4058452184830462E-2</v>
      </c>
      <c r="E53" s="429">
        <f t="shared" si="34"/>
        <v>6.8579834322421958</v>
      </c>
      <c r="F53" s="429">
        <f t="shared" si="34"/>
        <v>2.637373458844352</v>
      </c>
      <c r="G53" s="434">
        <f t="shared" si="35"/>
        <v>-1118.9021916827485</v>
      </c>
      <c r="H53" s="434">
        <f t="shared" si="36"/>
        <v>4483.58331158906</v>
      </c>
      <c r="I53" s="115">
        <f t="shared" si="37"/>
        <v>8.8563686939439759</v>
      </c>
      <c r="J53" s="2">
        <f t="shared" si="38"/>
        <v>0</v>
      </c>
      <c r="K53" s="84">
        <f t="shared" si="39"/>
        <v>-18.679274113157192</v>
      </c>
    </row>
    <row r="54" spans="1:20" x14ac:dyDescent="0.35">
      <c r="A54" s="106">
        <v>2017</v>
      </c>
      <c r="B54" s="434">
        <f t="shared" si="33"/>
        <v>4483.58331158906</v>
      </c>
      <c r="C54" s="429">
        <f t="shared" si="34"/>
        <v>113.79506452960752</v>
      </c>
      <c r="D54" s="429">
        <f t="shared" si="34"/>
        <v>0.25729595071855077</v>
      </c>
      <c r="E54" s="429">
        <f t="shared" si="34"/>
        <v>9.5613824268610532</v>
      </c>
      <c r="F54" s="429">
        <f t="shared" si="34"/>
        <v>3.3345765334857842</v>
      </c>
      <c r="G54" s="434">
        <f t="shared" si="35"/>
        <v>630.84671521925657</v>
      </c>
      <c r="H54" s="434">
        <f t="shared" si="36"/>
        <v>5215.5864283282963</v>
      </c>
      <c r="I54" s="115">
        <f t="shared" si="37"/>
        <v>10.102472694042298</v>
      </c>
      <c r="J54" s="2">
        <f t="shared" si="38"/>
        <v>0</v>
      </c>
      <c r="K54" s="84">
        <f t="shared" si="39"/>
        <v>16.32629675570368</v>
      </c>
    </row>
    <row r="55" spans="1:20" x14ac:dyDescent="0.35">
      <c r="A55" s="106">
        <v>2018</v>
      </c>
      <c r="B55" s="434">
        <f t="shared" si="33"/>
        <v>5215.5864283282963</v>
      </c>
      <c r="C55" s="429">
        <f t="shared" si="34"/>
        <v>142.00036302447143</v>
      </c>
      <c r="D55" s="429">
        <f t="shared" si="34"/>
        <v>0.2336946482317101</v>
      </c>
      <c r="E55" s="429">
        <f t="shared" si="34"/>
        <v>12.375001233857656</v>
      </c>
      <c r="F55" s="429">
        <f t="shared" si="34"/>
        <v>4.9861558051271233</v>
      </c>
      <c r="G55" s="434">
        <f t="shared" si="35"/>
        <v>1065.6629757491216</v>
      </c>
      <c r="H55" s="434">
        <f t="shared" si="36"/>
        <v>6406.1223047111371</v>
      </c>
      <c r="I55" s="115">
        <f t="shared" si="37"/>
        <v>12.166637723516853</v>
      </c>
      <c r="J55" s="2">
        <f t="shared" ref="J55" si="40">B55+C55+D55-E55-F55+G55-H55</f>
        <v>0</v>
      </c>
      <c r="K55" s="84">
        <f t="shared" ref="K55:K61" si="41">H55/H54*100-100</f>
        <v>22.826500773076688</v>
      </c>
    </row>
    <row r="56" spans="1:20" x14ac:dyDescent="0.35">
      <c r="A56" s="106">
        <v>2019</v>
      </c>
      <c r="B56" s="434">
        <f t="shared" si="33"/>
        <v>6406.1223047111371</v>
      </c>
      <c r="C56" s="429">
        <f t="shared" si="34"/>
        <v>133.47912844828886</v>
      </c>
      <c r="D56" s="429">
        <f t="shared" si="34"/>
        <v>0.34484153303084442</v>
      </c>
      <c r="E56" s="429">
        <f t="shared" si="34"/>
        <v>10.894099347052286</v>
      </c>
      <c r="F56" s="429">
        <f t="shared" si="34"/>
        <v>4.3894789989088236</v>
      </c>
      <c r="G56" s="434">
        <f t="shared" si="35"/>
        <v>-282.82848954366023</v>
      </c>
      <c r="H56" s="434">
        <f t="shared" si="36"/>
        <v>6241.8342068028351</v>
      </c>
      <c r="I56" s="115">
        <f t="shared" si="37"/>
        <v>11.629484106009958</v>
      </c>
      <c r="J56" s="2">
        <f t="shared" ref="J56" si="42">B56+C56+D56-E56-F56+G56-H56</f>
        <v>0</v>
      </c>
      <c r="K56" s="84">
        <f t="shared" si="41"/>
        <v>-2.5645482570241001</v>
      </c>
    </row>
    <row r="57" spans="1:20" x14ac:dyDescent="0.35">
      <c r="A57" s="106">
        <v>2020</v>
      </c>
      <c r="B57" s="434">
        <f t="shared" si="33"/>
        <v>6241.8342068028351</v>
      </c>
      <c r="C57" s="429">
        <f t="shared" si="34"/>
        <v>70.783831515733269</v>
      </c>
      <c r="D57" s="429">
        <f t="shared" si="34"/>
        <v>0.58551195184974436</v>
      </c>
      <c r="E57" s="429">
        <f t="shared" si="34"/>
        <v>11.128689697281837</v>
      </c>
      <c r="F57" s="429">
        <f t="shared" si="34"/>
        <v>5.8506476135018479</v>
      </c>
      <c r="G57" s="434">
        <f t="shared" si="35"/>
        <v>1348.8772379062973</v>
      </c>
      <c r="H57" s="434">
        <f t="shared" si="36"/>
        <v>7645.1014508659318</v>
      </c>
      <c r="I57" s="115">
        <f t="shared" si="37"/>
        <v>14.142647044893094</v>
      </c>
      <c r="J57" s="2">
        <f t="shared" ref="J57" si="43">B57+C57+D57-E57-F57+G57-H57</f>
        <v>0</v>
      </c>
      <c r="K57" s="84">
        <f t="shared" si="41"/>
        <v>22.48164878416199</v>
      </c>
    </row>
    <row r="58" spans="1:20" x14ac:dyDescent="0.35">
      <c r="A58" s="106">
        <v>2021</v>
      </c>
      <c r="B58" s="434">
        <f t="shared" si="33"/>
        <v>7645.1014508659318</v>
      </c>
      <c r="C58" s="429">
        <f t="shared" si="34"/>
        <v>90.90029743478685</v>
      </c>
      <c r="D58" s="429">
        <f t="shared" si="34"/>
        <v>0.81013329497322606</v>
      </c>
      <c r="E58" s="429">
        <f t="shared" si="34"/>
        <v>8.1956817430407281</v>
      </c>
      <c r="F58" s="429">
        <f t="shared" si="34"/>
        <v>8.9252298705974074</v>
      </c>
      <c r="G58" s="434">
        <f t="shared" si="35"/>
        <v>2172.7505577533307</v>
      </c>
      <c r="H58" s="434">
        <f t="shared" si="36"/>
        <v>9892.4415277353874</v>
      </c>
      <c r="I58" s="115">
        <f t="shared" si="37"/>
        <v>18.162010875757559</v>
      </c>
      <c r="J58" s="2">
        <f t="shared" ref="J58" si="44">B58+C58+D58-E58-F58+G58-H58</f>
        <v>0</v>
      </c>
      <c r="K58" s="84">
        <f t="shared" si="41"/>
        <v>29.395817587416161</v>
      </c>
    </row>
    <row r="59" spans="1:20" x14ac:dyDescent="0.35">
      <c r="A59" s="106">
        <v>2022</v>
      </c>
      <c r="B59" s="434">
        <f t="shared" si="33"/>
        <v>9892.4415277353874</v>
      </c>
      <c r="C59" s="429">
        <f t="shared" si="34"/>
        <v>78.429347606915329</v>
      </c>
      <c r="D59" s="429">
        <f t="shared" si="34"/>
        <v>0.45280826211772585</v>
      </c>
      <c r="E59" s="429">
        <f t="shared" si="34"/>
        <v>9.2106186676632031</v>
      </c>
      <c r="F59" s="429">
        <f t="shared" si="34"/>
        <v>6.9882336425150244</v>
      </c>
      <c r="G59" s="434">
        <f t="shared" si="35"/>
        <v>-942.48790534710918</v>
      </c>
      <c r="H59" s="434">
        <f t="shared" si="36"/>
        <v>9012.6369259471303</v>
      </c>
      <c r="I59" s="115">
        <f t="shared" si="37"/>
        <v>16.431651839599297</v>
      </c>
      <c r="J59" s="2">
        <f t="shared" ref="J59" si="45">B59+C59+D59-E59-F59+G59-H59</f>
        <v>0</v>
      </c>
      <c r="K59" s="84">
        <f t="shared" si="41"/>
        <v>-8.8937053539467854</v>
      </c>
    </row>
    <row r="60" spans="1:20" x14ac:dyDescent="0.35">
      <c r="A60" s="106">
        <v>2023</v>
      </c>
      <c r="B60" s="434">
        <f t="shared" si="33"/>
        <v>9012.6369259471303</v>
      </c>
      <c r="C60" s="429">
        <f t="shared" si="34"/>
        <v>359.37883989888144</v>
      </c>
      <c r="D60" s="429">
        <f t="shared" si="34"/>
        <v>0.41367979606829458</v>
      </c>
      <c r="E60" s="429">
        <f t="shared" si="34"/>
        <v>15.123188352713703</v>
      </c>
      <c r="F60" s="429">
        <f t="shared" si="34"/>
        <v>8.947779972899701</v>
      </c>
      <c r="G60" s="434">
        <f t="shared" si="35"/>
        <v>1817.6780728691417</v>
      </c>
      <c r="H60" s="434">
        <f t="shared" si="36"/>
        <v>11166.036550185607</v>
      </c>
      <c r="I60" s="115">
        <f t="shared" si="37"/>
        <v>19.745604625589376</v>
      </c>
      <c r="J60" s="2">
        <f t="shared" ref="J60:J61" si="46">B60+C60+D60-E60-F60+G60-H60</f>
        <v>0</v>
      </c>
      <c r="K60" s="84">
        <f t="shared" si="41"/>
        <v>23.893114101145002</v>
      </c>
    </row>
    <row r="61" spans="1:20" x14ac:dyDescent="0.35">
      <c r="A61" s="106">
        <v>2024</v>
      </c>
      <c r="B61" s="434">
        <f t="shared" si="33"/>
        <v>11166.036550185607</v>
      </c>
      <c r="C61" s="429">
        <f t="shared" si="34"/>
        <v>315.3648035578567</v>
      </c>
      <c r="D61" s="429">
        <f t="shared" si="34"/>
        <v>0.2467012190926971</v>
      </c>
      <c r="E61" s="429">
        <f t="shared" si="34"/>
        <v>10.396785331393254</v>
      </c>
      <c r="F61" s="429">
        <f t="shared" si="34"/>
        <v>7.0698958569731687</v>
      </c>
      <c r="G61" s="434">
        <f t="shared" si="35"/>
        <v>-1370.1404580463714</v>
      </c>
      <c r="H61" s="434">
        <f t="shared" si="36"/>
        <v>10094.040915727821</v>
      </c>
      <c r="I61" s="115">
        <f t="shared" si="37"/>
        <v>17.322699090172883</v>
      </c>
      <c r="J61" s="2">
        <f t="shared" si="46"/>
        <v>0</v>
      </c>
      <c r="K61" s="84">
        <f t="shared" si="41"/>
        <v>-9.6005026460348404</v>
      </c>
    </row>
  </sheetData>
  <mergeCells count="9">
    <mergeCell ref="G23:G24"/>
    <mergeCell ref="H23:H24"/>
    <mergeCell ref="I23:I24"/>
    <mergeCell ref="F23:F24"/>
    <mergeCell ref="A23:A24"/>
    <mergeCell ref="B23:B24"/>
    <mergeCell ref="C23:C24"/>
    <mergeCell ref="D23:D24"/>
    <mergeCell ref="E23:E24"/>
  </mergeCells>
  <conditionalFormatting sqref="B30:B37">
    <cfRule type="top10" dxfId="44" priority="31" bottom="1" rank="1"/>
    <cfRule type="top10" dxfId="43" priority="32" rank="1"/>
  </conditionalFormatting>
  <conditionalFormatting sqref="B38">
    <cfRule type="top10" dxfId="42" priority="16" bottom="1" rank="1"/>
    <cfRule type="top10" dxfId="41" priority="17" rank="1"/>
  </conditionalFormatting>
  <conditionalFormatting sqref="B39">
    <cfRule type="top10" dxfId="40" priority="12" bottom="1" rank="1"/>
    <cfRule type="top10" dxfId="39" priority="13" rank="1"/>
  </conditionalFormatting>
  <conditionalFormatting sqref="B40:B41">
    <cfRule type="top10" dxfId="38" priority="2" bottom="1" rank="1"/>
    <cfRule type="top10" dxfId="37" priority="3" rank="1"/>
  </conditionalFormatting>
  <conditionalFormatting sqref="H10:H13">
    <cfRule type="top10" dxfId="36" priority="33" bottom="1" rank="1"/>
  </conditionalFormatting>
  <conditionalFormatting sqref="H14">
    <cfRule type="top10" dxfId="35" priority="30" bottom="1" rank="1"/>
  </conditionalFormatting>
  <conditionalFormatting sqref="H15">
    <cfRule type="top10" dxfId="34" priority="26" bottom="1" rank="1"/>
  </conditionalFormatting>
  <conditionalFormatting sqref="H16">
    <cfRule type="top10" dxfId="33" priority="22" bottom="1" rank="1"/>
  </conditionalFormatting>
  <conditionalFormatting sqref="H17">
    <cfRule type="top10" dxfId="32" priority="18" bottom="1" rank="1"/>
  </conditionalFormatting>
  <conditionalFormatting sqref="H18:H20">
    <cfRule type="top10" dxfId="31" priority="14" bottom="1" rank="1"/>
  </conditionalFormatting>
  <conditionalFormatting sqref="H30:H34">
    <cfRule type="top10" dxfId="30" priority="34" rank="1"/>
  </conditionalFormatting>
  <conditionalFormatting sqref="H35">
    <cfRule type="top10" dxfId="29" priority="29" rank="1"/>
  </conditionalFormatting>
  <conditionalFormatting sqref="H36">
    <cfRule type="top10" dxfId="28" priority="21" rank="1"/>
  </conditionalFormatting>
  <conditionalFormatting sqref="H37">
    <cfRule type="top10" dxfId="27" priority="25" rank="1"/>
  </conditionalFormatting>
  <conditionalFormatting sqref="H38">
    <cfRule type="top10" dxfId="26" priority="15" rank="1"/>
  </conditionalFormatting>
  <conditionalFormatting sqref="H39">
    <cfRule type="top10" dxfId="25" priority="11" rank="1"/>
  </conditionalFormatting>
  <conditionalFormatting sqref="H40:H41">
    <cfRule type="top10" dxfId="24" priority="1" rank="1"/>
  </conditionalFormatting>
  <pageMargins left="0.7" right="0.7" top="0.75" bottom="0.75" header="0.3" footer="0.3"/>
  <pageSetup scale="52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61"/>
  <sheetViews>
    <sheetView showGridLines="0" zoomScale="90" zoomScaleNormal="90" workbookViewId="0">
      <pane xSplit="1" ySplit="3" topLeftCell="B20" activePane="bottomRight" state="frozen"/>
      <selection activeCell="B49" sqref="B49"/>
      <selection pane="topRight" activeCell="B49" sqref="B49"/>
      <selection pane="bottomLeft" activeCell="B49" sqref="B49"/>
      <selection pane="bottomRight" activeCell="I61" sqref="I61"/>
    </sheetView>
  </sheetViews>
  <sheetFormatPr defaultColWidth="9.1796875" defaultRowHeight="14.5" x14ac:dyDescent="0.35"/>
  <cols>
    <col min="1" max="1" width="11.36328125" style="2" customWidth="1"/>
    <col min="2" max="2" width="15.453125" style="2" customWidth="1"/>
    <col min="3" max="3" width="18.81640625" style="2" bestFit="1" customWidth="1"/>
    <col min="4" max="4" width="15.453125" style="2" customWidth="1"/>
    <col min="5" max="6" width="15.36328125" style="2" bestFit="1" customWidth="1"/>
    <col min="7" max="7" width="20.1796875" style="2" bestFit="1" customWidth="1"/>
    <col min="8" max="8" width="14.81640625" style="2" customWidth="1"/>
    <col min="9" max="9" width="15.81640625" style="2" bestFit="1" customWidth="1"/>
    <col min="10" max="10" width="13.1796875" style="2" customWidth="1"/>
    <col min="11" max="11" width="13" style="2" customWidth="1"/>
    <col min="12" max="19" width="8.6328125" customWidth="1"/>
    <col min="20" max="16384" width="9.1796875" style="2"/>
  </cols>
  <sheetData>
    <row r="1" spans="1:20" x14ac:dyDescent="0.35">
      <c r="A1" s="16" t="s">
        <v>30</v>
      </c>
      <c r="T1"/>
    </row>
    <row r="2" spans="1:20" x14ac:dyDescent="0.35">
      <c r="A2" s="1"/>
      <c r="C2" s="11"/>
      <c r="D2" s="11"/>
      <c r="E2" s="11"/>
      <c r="F2" s="11"/>
      <c r="G2" s="11"/>
      <c r="H2" s="11"/>
      <c r="I2" s="11"/>
      <c r="T2"/>
    </row>
    <row r="3" spans="1:20" ht="43.5" x14ac:dyDescent="0.35">
      <c r="A3" s="15" t="s">
        <v>8</v>
      </c>
      <c r="B3" s="17" t="s">
        <v>22</v>
      </c>
      <c r="C3" s="17" t="s">
        <v>23</v>
      </c>
      <c r="D3" s="17" t="s">
        <v>24</v>
      </c>
      <c r="E3" s="17" t="s">
        <v>25</v>
      </c>
      <c r="F3" s="17" t="s">
        <v>26</v>
      </c>
      <c r="G3" s="17" t="s">
        <v>27</v>
      </c>
      <c r="H3" s="17" t="s">
        <v>15</v>
      </c>
      <c r="I3" s="101" t="s">
        <v>71</v>
      </c>
      <c r="J3" s="101" t="s">
        <v>70</v>
      </c>
      <c r="T3"/>
    </row>
    <row r="4" spans="1:20" x14ac:dyDescent="0.35">
      <c r="A4" s="12">
        <v>2008</v>
      </c>
      <c r="B4" s="18">
        <f>'[1]Rimba Luar Jawa'!$T$8</f>
        <v>6500648.8226029677</v>
      </c>
      <c r="C4" s="18">
        <f>'[1]Rimba Luar Jawa'!$T$9</f>
        <v>28768.842950759998</v>
      </c>
      <c r="D4" s="18">
        <f>'[1]Rimba Luar Jawa'!$T$10</f>
        <v>7954.0144035166131</v>
      </c>
      <c r="E4" s="18">
        <f>'[1]Rimba Luar Jawa'!$T$11</f>
        <v>206743.81</v>
      </c>
      <c r="F4" s="18">
        <f>'[1]Rimba Luar Jawa'!$T$12</f>
        <v>48522.631425640371</v>
      </c>
      <c r="G4" s="18">
        <f>'[1]Rimba Luar Jawa'!$T$14</f>
        <v>6282105.2385316044</v>
      </c>
      <c r="H4" s="53">
        <f t="shared" ref="H4:H12" si="0">G4/F4</f>
        <v>129.46752997431233</v>
      </c>
      <c r="J4" s="2">
        <f t="shared" ref="J4:J13" si="1">B4+C4+D4-E4-F4-G4</f>
        <v>0</v>
      </c>
      <c r="T4"/>
    </row>
    <row r="5" spans="1:20" x14ac:dyDescent="0.35">
      <c r="A5" s="12">
        <v>2009</v>
      </c>
      <c r="B5" s="18">
        <f>'[1]Rimba Luar Jawa'!$U$8</f>
        <v>6282105.2385316044</v>
      </c>
      <c r="C5" s="18">
        <f>'[1]Rimba Luar Jawa'!$U$9</f>
        <v>29427.551231494133</v>
      </c>
      <c r="D5" s="18">
        <f>'[1]Rimba Luar Jawa'!$U$10</f>
        <v>6050.4457817272396</v>
      </c>
      <c r="E5" s="18">
        <f>'[1]Rimba Luar Jawa'!$U$11</f>
        <v>227447.8859018306</v>
      </c>
      <c r="F5" s="18">
        <f>'[1]Rimba Luar Jawa'!$U$12</f>
        <v>50911.031428016264</v>
      </c>
      <c r="G5" s="18">
        <f>'[1]Rimba Luar Jawa'!$U$14</f>
        <v>6039224.318214979</v>
      </c>
      <c r="H5" s="53">
        <f t="shared" si="0"/>
        <v>118.62309893984201</v>
      </c>
      <c r="I5" s="2">
        <f t="shared" ref="I5:I13" si="2">G5/G4*100-100</f>
        <v>-3.8662345041102384</v>
      </c>
      <c r="J5" s="2">
        <f>B5+C5+D5-E5-F5-G5</f>
        <v>0</v>
      </c>
      <c r="T5"/>
    </row>
    <row r="6" spans="1:20" x14ac:dyDescent="0.35">
      <c r="A6" s="12">
        <v>2010</v>
      </c>
      <c r="B6" s="18">
        <f>'[1]Rimba Luar Jawa'!$V$8</f>
        <v>6039224.318214979</v>
      </c>
      <c r="C6" s="18">
        <f>'[1]Rimba Luar Jawa'!$V$9</f>
        <v>29417.615158007069</v>
      </c>
      <c r="D6" s="18">
        <f>'[1]Rimba Luar Jawa'!$V$10</f>
        <v>4452.6684139242016</v>
      </c>
      <c r="E6" s="18">
        <f>'[1]Rimba Luar Jawa'!$V$11</f>
        <v>248573.61358911431</v>
      </c>
      <c r="F6" s="18">
        <f>'[1]Rimba Luar Jawa'!$V$12</f>
        <v>53550.935785007052</v>
      </c>
      <c r="G6" s="18">
        <f>'[1]Rimba Luar Jawa'!$V$14</f>
        <v>5770970.0524127893</v>
      </c>
      <c r="H6" s="53">
        <f t="shared" si="0"/>
        <v>107.76599825597295</v>
      </c>
      <c r="I6" s="2">
        <f t="shared" si="2"/>
        <v>-4.4418662342629744</v>
      </c>
      <c r="J6" s="2">
        <f t="shared" si="1"/>
        <v>0</v>
      </c>
      <c r="T6"/>
    </row>
    <row r="7" spans="1:20" x14ac:dyDescent="0.35">
      <c r="A7" s="50">
        <v>2011</v>
      </c>
      <c r="B7" s="18">
        <f>'[1]Rimba Luar Jawa'!$W$8</f>
        <v>5770970.0524127893</v>
      </c>
      <c r="C7" s="18">
        <f>'[1]Rimba Luar Jawa'!$W$9</f>
        <v>29641.821247985419</v>
      </c>
      <c r="D7" s="18">
        <f>'[1]Rimba Luar Jawa'!$W$10</f>
        <v>4825.045830800148</v>
      </c>
      <c r="E7" s="18">
        <f>'[1]Rimba Luar Jawa'!$W$11</f>
        <v>276481.40210216056</v>
      </c>
      <c r="F7" s="18">
        <f>'[1]Rimba Luar Jawa'!$W$12</f>
        <v>49960.668955743778</v>
      </c>
      <c r="G7" s="18">
        <f>'[1]Rimba Luar Jawa'!$W$14</f>
        <v>5478994.8484336715</v>
      </c>
      <c r="H7" s="53">
        <f t="shared" si="0"/>
        <v>109.66616266261529</v>
      </c>
      <c r="I7" s="2">
        <f t="shared" si="2"/>
        <v>-5.0593782557760107</v>
      </c>
      <c r="J7" s="2">
        <f t="shared" si="1"/>
        <v>0</v>
      </c>
      <c r="T7"/>
    </row>
    <row r="8" spans="1:20" s="158" customFormat="1" x14ac:dyDescent="0.35">
      <c r="A8" s="155">
        <v>2012</v>
      </c>
      <c r="B8" s="156">
        <f>'[1]Rimba Luar Jawa'!$X$8</f>
        <v>5478994.8484336715</v>
      </c>
      <c r="C8" s="156">
        <f>'[1]Rimba Luar Jawa'!$X$9</f>
        <v>29470.767849793789</v>
      </c>
      <c r="D8" s="156">
        <f>'[1]Rimba Luar Jawa'!$X$10</f>
        <v>6148.3529399184035</v>
      </c>
      <c r="E8" s="156">
        <f>'[1]Rimba Luar Jawa'!$X$11</f>
        <v>333058.25109185395</v>
      </c>
      <c r="F8" s="156">
        <f>'[1]Rimba Luar Jawa'!$X$12</f>
        <v>49014.218605893555</v>
      </c>
      <c r="G8" s="156">
        <f>'[1]Rimba Luar Jawa'!$X$14</f>
        <v>5132541.4995256364</v>
      </c>
      <c r="H8" s="157">
        <f t="shared" si="0"/>
        <v>104.715359042947</v>
      </c>
      <c r="I8" s="158">
        <f t="shared" si="2"/>
        <v>-6.3233012348438109</v>
      </c>
      <c r="J8" s="158">
        <f t="shared" si="1"/>
        <v>0</v>
      </c>
      <c r="L8"/>
      <c r="M8"/>
      <c r="N8"/>
      <c r="O8"/>
      <c r="P8"/>
      <c r="Q8"/>
      <c r="R8"/>
      <c r="S8"/>
      <c r="T8"/>
    </row>
    <row r="9" spans="1:20" s="158" customFormat="1" x14ac:dyDescent="0.35">
      <c r="A9" s="155">
        <v>2013</v>
      </c>
      <c r="B9" s="156">
        <f>'[1]Rimba Luar Jawa'!$Y$8</f>
        <v>5132541.4995256364</v>
      </c>
      <c r="C9" s="156">
        <f>'[1]Rimba Luar Jawa'!$Y$9</f>
        <v>22422.400566197779</v>
      </c>
      <c r="D9" s="156">
        <f>'[1]Rimba Luar Jawa'!$Y$10</f>
        <v>11054.912192862294</v>
      </c>
      <c r="E9" s="156">
        <f>'[1]Rimba Luar Jawa'!$Y$11</f>
        <v>89854.220317380546</v>
      </c>
      <c r="F9" s="156">
        <f>'[1]Rimba Luar Jawa'!$Y$12</f>
        <v>40036.102221912457</v>
      </c>
      <c r="G9" s="156">
        <f>'[1]Rimba Luar Jawa'!$Y$14</f>
        <v>5036128.4897454036</v>
      </c>
      <c r="H9" s="157">
        <f t="shared" si="0"/>
        <v>125.78968007003046</v>
      </c>
      <c r="I9" s="158">
        <f t="shared" si="2"/>
        <v>-1.8784652747404778</v>
      </c>
      <c r="J9" s="158">
        <f t="shared" si="1"/>
        <v>0</v>
      </c>
      <c r="K9" s="158">
        <f>G9-G8</f>
        <v>-96413.009780232795</v>
      </c>
      <c r="L9">
        <f>G9/G8*100-100</f>
        <v>-1.8784652747404778</v>
      </c>
      <c r="M9"/>
      <c r="N9"/>
      <c r="O9"/>
      <c r="P9"/>
      <c r="Q9"/>
      <c r="R9"/>
      <c r="S9"/>
      <c r="T9"/>
    </row>
    <row r="10" spans="1:20" x14ac:dyDescent="0.35">
      <c r="A10" s="102">
        <v>2014</v>
      </c>
      <c r="B10" s="103">
        <f>'[1]Rimba Luar Jawa'!$Z$8</f>
        <v>5036128.4897454036</v>
      </c>
      <c r="C10" s="103">
        <f>'[1]Rimba Luar Jawa'!$Z$9</f>
        <v>23276.944523064743</v>
      </c>
      <c r="D10" s="103">
        <f>'[1]Rimba Luar Jawa'!$Z$10</f>
        <v>11134.353403775602</v>
      </c>
      <c r="E10" s="103">
        <f>'[1]Rimba Luar Jawa'!$Z$11</f>
        <v>192303.63800229388</v>
      </c>
      <c r="F10" s="103">
        <f>'[1]Rimba Luar Jawa'!$Z$12</f>
        <v>45112.663219351198</v>
      </c>
      <c r="G10" s="103">
        <f>'[1]Rimba Luar Jawa'!$Z$14</f>
        <v>4833123.4864505986</v>
      </c>
      <c r="H10" s="104">
        <f t="shared" si="0"/>
        <v>107.13451925794125</v>
      </c>
      <c r="I10" s="105">
        <f t="shared" si="2"/>
        <v>-4.0309734691671366</v>
      </c>
      <c r="J10" s="105">
        <f t="shared" si="1"/>
        <v>0</v>
      </c>
      <c r="K10" s="2">
        <f t="shared" ref="K10:K12" si="3">G10-G9</f>
        <v>-203005.00329480506</v>
      </c>
      <c r="L10">
        <f t="shared" ref="L10:L11" si="4">G10/G9*100-100</f>
        <v>-4.0309734691671366</v>
      </c>
      <c r="T10"/>
    </row>
    <row r="11" spans="1:20" x14ac:dyDescent="0.35">
      <c r="A11" s="102">
        <v>2015</v>
      </c>
      <c r="B11" s="103">
        <f>'[1]Rimba Luar Jawa'!$AA$8</f>
        <v>4833123.4864505986</v>
      </c>
      <c r="C11" s="103">
        <f>'[1]Rimba Luar Jawa'!$AA$9</f>
        <v>23334.934443186987</v>
      </c>
      <c r="D11" s="103">
        <f>'[1]Rimba Luar Jawa'!$AA$10</f>
        <v>15628.693521395524</v>
      </c>
      <c r="E11" s="103">
        <f>'[1]Rimba Luar Jawa'!$AA$11</f>
        <v>611062.46808226639</v>
      </c>
      <c r="F11" s="103">
        <f>'[1]Rimba Luar Jawa'!$AA$12</f>
        <v>44609.667799806826</v>
      </c>
      <c r="G11" s="103">
        <f>'[1]Rimba Luar Jawa'!$AA$14</f>
        <v>4216414.9785331069</v>
      </c>
      <c r="H11" s="104">
        <f t="shared" si="0"/>
        <v>94.51796407574605</v>
      </c>
      <c r="I11" s="105">
        <f t="shared" si="2"/>
        <v>-12.760040368229795</v>
      </c>
      <c r="J11" s="105">
        <f t="shared" si="1"/>
        <v>0</v>
      </c>
      <c r="K11" s="2">
        <f t="shared" si="3"/>
        <v>-616708.50791749172</v>
      </c>
      <c r="L11">
        <f t="shared" si="4"/>
        <v>-12.760040368229795</v>
      </c>
      <c r="T11"/>
    </row>
    <row r="12" spans="1:20" x14ac:dyDescent="0.35">
      <c r="A12" s="102">
        <v>2016</v>
      </c>
      <c r="B12" s="103">
        <f>'[1]Rimba Luar Jawa'!$AB$8</f>
        <v>4216414.9785331069</v>
      </c>
      <c r="C12" s="103">
        <f>'[1]Rimba Luar Jawa'!$AB$9</f>
        <v>23679.321060541522</v>
      </c>
      <c r="D12" s="103">
        <f>'[1]Rimba Luar Jawa'!$AB$10</f>
        <v>17100.81062688</v>
      </c>
      <c r="E12" s="103">
        <f>'[1]Rimba Luar Jawa'!$AB$11</f>
        <v>192087.178269814</v>
      </c>
      <c r="F12" s="103">
        <f>'[1]Rimba Luar Jawa'!$AB$12</f>
        <v>44659.749410318356</v>
      </c>
      <c r="G12" s="103">
        <f>'[1]Rimba Luar Jawa'!$AB$14</f>
        <v>4020448.1825403962</v>
      </c>
      <c r="H12" s="104">
        <f t="shared" si="0"/>
        <v>90.023975405726233</v>
      </c>
      <c r="I12" s="105">
        <f t="shared" si="2"/>
        <v>-4.6477113137684398</v>
      </c>
      <c r="J12" s="105">
        <f t="shared" si="1"/>
        <v>0</v>
      </c>
      <c r="K12" s="2">
        <f t="shared" si="3"/>
        <v>-195966.79599271063</v>
      </c>
      <c r="L12">
        <f>G12/G11*100-100</f>
        <v>-4.6477113137684398</v>
      </c>
      <c r="T12"/>
    </row>
    <row r="13" spans="1:20" x14ac:dyDescent="0.35">
      <c r="A13" s="106">
        <v>2017</v>
      </c>
      <c r="B13" s="103">
        <f>'[1]Rimba Luar Jawa'!$AC$8</f>
        <v>4020448.1825403962</v>
      </c>
      <c r="C13" s="103">
        <f>'[1]Rimba Luar Jawa'!$AC$9</f>
        <v>23728.337103781352</v>
      </c>
      <c r="D13" s="103">
        <f>'[1]Rimba Luar Jawa'!$AC$10</f>
        <v>7325.8898007830194</v>
      </c>
      <c r="E13" s="103">
        <f>'[1]Rimba Luar Jawa'!$AC$11</f>
        <v>148297.99474921948</v>
      </c>
      <c r="F13" s="103">
        <f>'[1]Rimba Luar Jawa'!$AC$12</f>
        <v>46714.212048325615</v>
      </c>
      <c r="G13" s="103">
        <f>'[1]Rimba Luar Jawa'!$AC$14</f>
        <v>3856490.2026474155</v>
      </c>
      <c r="H13" s="104">
        <f t="shared" ref="H13:H18" si="5">G13/F13</f>
        <v>82.554966327118947</v>
      </c>
      <c r="I13" s="105">
        <f t="shared" si="2"/>
        <v>-4.0781020535223291</v>
      </c>
      <c r="J13" s="105">
        <f t="shared" si="1"/>
        <v>0</v>
      </c>
      <c r="T13"/>
    </row>
    <row r="14" spans="1:20" x14ac:dyDescent="0.35">
      <c r="A14" s="106">
        <v>2018</v>
      </c>
      <c r="B14" s="103">
        <f>'[1]Rimba Luar Jawa'!$AD$8</f>
        <v>3856490.2026474155</v>
      </c>
      <c r="C14" s="103">
        <f>'[1]Rimba Luar Jawa'!$AD$9</f>
        <v>23708.237402915915</v>
      </c>
      <c r="D14" s="103">
        <f>'[1]Rimba Luar Jawa'!$AD$10</f>
        <v>9085.3763361775891</v>
      </c>
      <c r="E14" s="103">
        <f>'[1]Rimba Luar Jawa'!$AD$11</f>
        <v>126820.66959306473</v>
      </c>
      <c r="F14" s="103">
        <f>'[1]Rimba Luar Jawa'!$AD$12</f>
        <v>46460.129282709138</v>
      </c>
      <c r="G14" s="103">
        <f>'[1]Rimba Luar Jawa'!$AD$14</f>
        <v>3716003.0175107354</v>
      </c>
      <c r="H14" s="104">
        <f t="shared" si="5"/>
        <v>79.982623270351169</v>
      </c>
      <c r="I14" s="105">
        <f t="shared" ref="I14" si="6">G14/G13*100-100</f>
        <v>-3.6428767546262151</v>
      </c>
      <c r="J14" s="105">
        <f t="shared" ref="J14" si="7">B14+C14+D14-E14-F14-G14</f>
        <v>0</v>
      </c>
      <c r="T14"/>
    </row>
    <row r="15" spans="1:20" x14ac:dyDescent="0.35">
      <c r="A15" s="106">
        <v>2019</v>
      </c>
      <c r="B15" s="103">
        <f>'[1]Rimba Luar Jawa'!$AE$8</f>
        <v>3716003.0175107354</v>
      </c>
      <c r="C15" s="103">
        <f>'[1]Rimba Luar Jawa'!$AE$9</f>
        <v>23731.665256390424</v>
      </c>
      <c r="D15" s="103">
        <f>'[1]Rimba Luar Jawa'!$AE$10</f>
        <v>12956.789117866147</v>
      </c>
      <c r="E15" s="103">
        <f>'[1]Rimba Luar Jawa'!$AE$11</f>
        <v>323896.68869440438</v>
      </c>
      <c r="F15" s="103">
        <f>'[1]Rimba Luar Jawa'!$AE$12</f>
        <v>48581.714439174735</v>
      </c>
      <c r="G15" s="103">
        <f>'[1]Rimba Luar Jawa'!$AE$14</f>
        <v>3380213.0687514129</v>
      </c>
      <c r="H15" s="104">
        <f t="shared" si="5"/>
        <v>69.577887642963006</v>
      </c>
      <c r="I15" s="105">
        <f t="shared" ref="I15" si="8">G15/G14*100-100</f>
        <v>-9.0363206697356304</v>
      </c>
      <c r="J15" s="105">
        <f t="shared" ref="J15" si="9">B15+C15+D15-E15-F15-G15</f>
        <v>0</v>
      </c>
      <c r="T15"/>
    </row>
    <row r="16" spans="1:20" x14ac:dyDescent="0.35">
      <c r="A16" s="106">
        <v>2020</v>
      </c>
      <c r="B16" s="103">
        <f>'[1]Rimba Luar Jawa'!$AF$8</f>
        <v>3380213.0687514129</v>
      </c>
      <c r="C16" s="103">
        <f>'[1]Rimba Luar Jawa'!$AF$9</f>
        <v>23696.412297305927</v>
      </c>
      <c r="D16" s="103">
        <f>'[1]Rimba Luar Jawa'!$AF$10</f>
        <v>10701.94742123783</v>
      </c>
      <c r="E16" s="103">
        <f>'[1]Rimba Luar Jawa'!$AF$11</f>
        <v>66782.842341754251</v>
      </c>
      <c r="F16" s="103">
        <f>'[1]Rimba Luar Jawa'!$AF$12</f>
        <v>51134.240706073819</v>
      </c>
      <c r="G16" s="103">
        <f>'[1]Rimba Luar Jawa'!$AF$14</f>
        <v>3296694.3454221291</v>
      </c>
      <c r="H16" s="104">
        <f t="shared" si="5"/>
        <v>64.471365955582513</v>
      </c>
      <c r="I16" s="105">
        <f t="shared" ref="I16" si="10">G16/G15*100-100</f>
        <v>-2.4708123905376738</v>
      </c>
      <c r="J16" s="105">
        <f t="shared" ref="J16" si="11">B16+C16+D16-E16-F16-G16</f>
        <v>0</v>
      </c>
      <c r="T16"/>
    </row>
    <row r="17" spans="1:22" x14ac:dyDescent="0.35">
      <c r="A17" s="106">
        <v>2021</v>
      </c>
      <c r="B17" s="103">
        <f>'[1]Rimba Luar Jawa'!$AG$8</f>
        <v>3296694.3454221291</v>
      </c>
      <c r="C17" s="103">
        <f>'[1]Rimba Luar Jawa'!$AG$9</f>
        <v>23543.4291512411</v>
      </c>
      <c r="D17" s="103">
        <f>'[1]Rimba Luar Jawa'!$AG$10</f>
        <v>4682.0450082777288</v>
      </c>
      <c r="E17" s="103">
        <f>'[1]Rimba Luar Jawa'!$AG$11</f>
        <v>108661.98159303526</v>
      </c>
      <c r="F17" s="103">
        <f>'[1]Rimba Luar Jawa'!$AG$12</f>
        <v>53827.052412652039</v>
      </c>
      <c r="G17" s="103">
        <f>'[1]Rimba Luar Jawa'!$AG$14</f>
        <v>3162430.7855759608</v>
      </c>
      <c r="H17" s="104">
        <f t="shared" si="5"/>
        <v>58.751699077481568</v>
      </c>
      <c r="I17" s="105">
        <f t="shared" ref="I17" si="12">G17/G16*100-100</f>
        <v>-4.0726723735432131</v>
      </c>
      <c r="J17" s="105">
        <f t="shared" ref="J17" si="13">B17+C17+D17-E17-F17-G17</f>
        <v>0</v>
      </c>
      <c r="T17"/>
    </row>
    <row r="18" spans="1:22" x14ac:dyDescent="0.35">
      <c r="A18" s="106">
        <v>2022</v>
      </c>
      <c r="B18" s="103">
        <f>'[1]Rimba Luar Jawa'!$AH$8</f>
        <v>3162430.7855759608</v>
      </c>
      <c r="C18" s="103">
        <f>'[1]Rimba Luar Jawa'!$AH$9</f>
        <v>23540.200208568473</v>
      </c>
      <c r="D18" s="103">
        <f>'[1]Rimba Luar Jawa'!$AH$10</f>
        <v>6591.1412798072479</v>
      </c>
      <c r="E18" s="103">
        <f>'[1]Rimba Luar Jawa'!$AH$11</f>
        <v>54795.275064801783</v>
      </c>
      <c r="F18" s="103">
        <f>'[1]Rimba Luar Jawa'!$AH$12</f>
        <v>54129.774259678721</v>
      </c>
      <c r="G18" s="103">
        <f>'[1]Rimba Luar Jawa'!$AH$14</f>
        <v>3083637.0777398562</v>
      </c>
      <c r="H18" s="104">
        <f t="shared" si="5"/>
        <v>56.967484529800785</v>
      </c>
      <c r="I18" s="105">
        <f t="shared" ref="I18" si="14">G18/G17*100-100</f>
        <v>-2.4915551731752572</v>
      </c>
      <c r="J18" s="105">
        <f t="shared" ref="J18" si="15">B18+C18+D18-E18-F18-G18</f>
        <v>0</v>
      </c>
      <c r="T18"/>
    </row>
    <row r="19" spans="1:22" x14ac:dyDescent="0.35">
      <c r="A19" s="106">
        <v>2023</v>
      </c>
      <c r="B19" s="103">
        <f>'[1]Rimba Luar Jawa'!$AI$8</f>
        <v>3083637.0777398562</v>
      </c>
      <c r="C19" s="103">
        <f>'[1]Rimba Luar Jawa'!$AI$9</f>
        <v>23309.776398597503</v>
      </c>
      <c r="D19" s="103">
        <f>'[1]Rimba Luar Jawa'!$AI$10</f>
        <v>4322.3928778424679</v>
      </c>
      <c r="E19" s="103">
        <f>'[1]Rimba Luar Jawa'!$AI$11</f>
        <v>238112.68290016006</v>
      </c>
      <c r="F19" s="103">
        <f>'[1]Rimba Luar Jawa'!$AI$12</f>
        <v>57218.77415076855</v>
      </c>
      <c r="G19" s="103">
        <f>'[1]Rimba Luar Jawa'!$AI$14</f>
        <v>2815937.7899653669</v>
      </c>
      <c r="H19" s="104">
        <f t="shared" ref="H19:H20" si="16">G19/F19</f>
        <v>49.213528806917722</v>
      </c>
      <c r="I19" s="105">
        <f t="shared" ref="I19:I20" si="17">G19/G18*100-100</f>
        <v>-8.6812838549307827</v>
      </c>
      <c r="J19" s="105">
        <f t="shared" ref="J19:J20" si="18">B19+C19+D19-E19-F19-G19</f>
        <v>0</v>
      </c>
      <c r="T19"/>
    </row>
    <row r="20" spans="1:22" x14ac:dyDescent="0.35">
      <c r="A20" s="106">
        <v>2024</v>
      </c>
      <c r="B20" s="103">
        <f>'[1]Rimba Luar Jawa'!$AJ$8</f>
        <v>2815937.7899653669</v>
      </c>
      <c r="C20" s="103">
        <f>'[1]Rimba Luar Jawa'!$AJ$9</f>
        <v>23297.341821189439</v>
      </c>
      <c r="D20" s="103">
        <f>'[1]Rimba Luar Jawa'!$AJ$10</f>
        <v>7699.2765355714391</v>
      </c>
      <c r="E20" s="103">
        <f>'[1]Rimba Luar Jawa'!$AJ$11</f>
        <v>95017.524095019035</v>
      </c>
      <c r="F20" s="103">
        <f>'[1]Rimba Luar Jawa'!$AJ$12</f>
        <v>54503.682260901885</v>
      </c>
      <c r="G20" s="103">
        <f>'[1]Rimba Luar Jawa'!$AJ$14</f>
        <v>2697413.2019662075</v>
      </c>
      <c r="H20" s="104">
        <f t="shared" si="16"/>
        <v>49.490476424217519</v>
      </c>
      <c r="I20" s="105">
        <f t="shared" si="17"/>
        <v>-4.2090627293516008</v>
      </c>
      <c r="J20" s="105">
        <f t="shared" si="18"/>
        <v>0</v>
      </c>
      <c r="T20"/>
    </row>
    <row r="21" spans="1:22" x14ac:dyDescent="0.35">
      <c r="A21" s="76"/>
      <c r="B21" s="79"/>
      <c r="C21" s="79"/>
      <c r="D21" s="79"/>
      <c r="E21" s="79"/>
      <c r="F21" s="35">
        <f>F13/1000</f>
        <v>46.714212048325614</v>
      </c>
      <c r="G21" s="35">
        <f>(G13-G9)/1000</f>
        <v>-1179.6382870979883</v>
      </c>
      <c r="H21" s="78">
        <f>G13/1000</f>
        <v>3856.4902026474156</v>
      </c>
      <c r="I21" s="2">
        <f>(G11-G10)/1000</f>
        <v>-616.70850791749172</v>
      </c>
      <c r="T21"/>
    </row>
    <row r="22" spans="1:22" x14ac:dyDescent="0.35">
      <c r="A22" s="16" t="s">
        <v>0</v>
      </c>
      <c r="G22" s="2">
        <f>G13/G9*100-100</f>
        <v>-23.42351450126769</v>
      </c>
      <c r="H22" s="43">
        <f>H13</f>
        <v>82.554966327118947</v>
      </c>
      <c r="T22"/>
    </row>
    <row r="23" spans="1:22" ht="15" customHeight="1" x14ac:dyDescent="0.35">
      <c r="A23" s="466" t="s">
        <v>8</v>
      </c>
      <c r="B23" s="462" t="s">
        <v>9</v>
      </c>
      <c r="C23" s="462" t="s">
        <v>60</v>
      </c>
      <c r="D23" s="467" t="s">
        <v>10</v>
      </c>
      <c r="E23" s="462" t="s">
        <v>12</v>
      </c>
      <c r="F23" s="464" t="s">
        <v>13</v>
      </c>
      <c r="G23" s="462" t="s">
        <v>14</v>
      </c>
      <c r="H23" s="462" t="s">
        <v>61</v>
      </c>
      <c r="I23" s="463"/>
      <c r="T23"/>
    </row>
    <row r="24" spans="1:22" ht="17.25" customHeight="1" x14ac:dyDescent="0.35">
      <c r="A24" s="466"/>
      <c r="B24" s="462"/>
      <c r="C24" s="462"/>
      <c r="D24" s="467"/>
      <c r="E24" s="462"/>
      <c r="F24" s="464"/>
      <c r="G24" s="462"/>
      <c r="H24" s="462"/>
      <c r="I24" s="463"/>
      <c r="T24"/>
    </row>
    <row r="25" spans="1:22" hidden="1" x14ac:dyDescent="0.35">
      <c r="A25" s="13">
        <v>2008</v>
      </c>
      <c r="B25" s="81">
        <f>'Rate of Return'!L7</f>
        <v>0</v>
      </c>
      <c r="C25" s="53">
        <f>'GOS per unit'!Q3</f>
        <v>958608.82749737543</v>
      </c>
      <c r="D25" s="14">
        <f t="shared" ref="D25:D41" si="19">C25*F4/1000000</f>
        <v>46514.222818020418</v>
      </c>
      <c r="E25" s="14">
        <f t="shared" ref="E25:E41" si="20">H4</f>
        <v>129.46752997431233</v>
      </c>
      <c r="F25" s="82">
        <f t="shared" ref="F25:F33" si="21">(PV(B25,E25,-1/E25))</f>
        <v>1</v>
      </c>
      <c r="G25" s="14">
        <f t="shared" ref="G25:G33" si="22">D25*E25*F25</f>
        <v>6022081.5369239012</v>
      </c>
      <c r="H25" s="59">
        <f t="shared" ref="H25:H41" si="23">G25/G4*1000000</f>
        <v>958608.82749737543</v>
      </c>
      <c r="I25" s="3"/>
      <c r="T25"/>
    </row>
    <row r="26" spans="1:22" hidden="1" x14ac:dyDescent="0.35">
      <c r="A26" s="13">
        <v>2009</v>
      </c>
      <c r="B26" s="81">
        <f>'Rate of Return'!L8</f>
        <v>0</v>
      </c>
      <c r="C26" s="53">
        <f>'GOS per unit'!Q4</f>
        <v>1047733.4130284509</v>
      </c>
      <c r="D26" s="14">
        <f t="shared" si="19"/>
        <v>53341.188718874204</v>
      </c>
      <c r="E26" s="14">
        <f t="shared" si="20"/>
        <v>118.62309893984201</v>
      </c>
      <c r="F26" s="81">
        <f t="shared" si="21"/>
        <v>0.99999999999999989</v>
      </c>
      <c r="G26" s="14">
        <f t="shared" si="22"/>
        <v>6327497.1069677984</v>
      </c>
      <c r="H26" s="59">
        <f t="shared" si="23"/>
        <v>1047733.4130284508</v>
      </c>
      <c r="I26" s="3"/>
      <c r="T26"/>
    </row>
    <row r="27" spans="1:22" hidden="1" x14ac:dyDescent="0.35">
      <c r="A27" s="13">
        <v>2010</v>
      </c>
      <c r="B27" s="81">
        <f>'Rate of Return'!L9</f>
        <v>6.1000000000000082E-3</v>
      </c>
      <c r="C27" s="53">
        <f>'GOS per unit'!Q5</f>
        <v>1094005.1859973164</v>
      </c>
      <c r="D27" s="14">
        <f t="shared" si="19"/>
        <v>58585.001463806984</v>
      </c>
      <c r="E27" s="14">
        <f t="shared" si="20"/>
        <v>107.76599825597295</v>
      </c>
      <c r="F27" s="81">
        <f t="shared" si="21"/>
        <v>0.73132508568529431</v>
      </c>
      <c r="G27" s="14">
        <f t="shared" si="22"/>
        <v>4617199.841135622</v>
      </c>
      <c r="H27" s="59">
        <f t="shared" si="23"/>
        <v>800073.43638964358</v>
      </c>
      <c r="I27" s="4"/>
      <c r="T27"/>
    </row>
    <row r="28" spans="1:22" hidden="1" x14ac:dyDescent="0.35">
      <c r="A28" s="13">
        <v>2011</v>
      </c>
      <c r="B28" s="81">
        <f>'Rate of Return'!L10</f>
        <v>4.2941904742675889E-2</v>
      </c>
      <c r="C28" s="53">
        <f>'GOS per unit'!Q6</f>
        <v>1175518.0083866161</v>
      </c>
      <c r="D28" s="14">
        <f t="shared" si="19"/>
        <v>58729.666068518964</v>
      </c>
      <c r="E28" s="14">
        <f t="shared" si="20"/>
        <v>109.66616266261529</v>
      </c>
      <c r="F28" s="81">
        <f t="shared" si="21"/>
        <v>0.21023576194081944</v>
      </c>
      <c r="G28" s="14">
        <f t="shared" si="22"/>
        <v>1354056.4553810912</v>
      </c>
      <c r="H28" s="59">
        <f t="shared" si="23"/>
        <v>247135.92416831478</v>
      </c>
      <c r="I28" s="4"/>
      <c r="T28"/>
    </row>
    <row r="29" spans="1:22" s="158" customFormat="1" x14ac:dyDescent="0.35">
      <c r="A29" s="155">
        <v>2012</v>
      </c>
      <c r="B29" s="162">
        <f>'Rate of Return'!C11</f>
        <v>6.6462195121951215E-2</v>
      </c>
      <c r="C29" s="156">
        <f>'GOS per unit'!Q7</f>
        <v>1231283.7905758398</v>
      </c>
      <c r="D29" s="163">
        <f t="shared" si="19"/>
        <v>60350.41287717747</v>
      </c>
      <c r="E29" s="163">
        <f t="shared" si="20"/>
        <v>104.715359042947</v>
      </c>
      <c r="F29" s="162">
        <f t="shared" si="21"/>
        <v>0.14351590480249946</v>
      </c>
      <c r="G29" s="163">
        <f>D29*E29*F29</f>
        <v>906965.28666108369</v>
      </c>
      <c r="H29" s="59">
        <f t="shared" si="23"/>
        <v>176708.80727314291</v>
      </c>
      <c r="I29" s="4"/>
      <c r="L29"/>
      <c r="M29"/>
      <c r="N29"/>
      <c r="O29"/>
      <c r="P29"/>
      <c r="Q29"/>
      <c r="R29"/>
      <c r="S29"/>
      <c r="T29"/>
    </row>
    <row r="30" spans="1:22" s="158" customFormat="1" x14ac:dyDescent="0.35">
      <c r="A30" s="155">
        <v>2013</v>
      </c>
      <c r="B30" s="164">
        <f>'Rate of Return'!C12</f>
        <v>7.5548571428571409E-2</v>
      </c>
      <c r="C30" s="156">
        <f>'GOS per unit'!Q8</f>
        <v>1291468.7259713192</v>
      </c>
      <c r="D30" s="163">
        <f t="shared" si="19"/>
        <v>51705.373929390786</v>
      </c>
      <c r="E30" s="163">
        <f t="shared" si="20"/>
        <v>125.78968007003046</v>
      </c>
      <c r="F30" s="162">
        <f t="shared" si="21"/>
        <v>0.10521632271204534</v>
      </c>
      <c r="G30" s="163">
        <f t="shared" si="22"/>
        <v>684327.22011827212</v>
      </c>
      <c r="H30" s="163">
        <f t="shared" si="23"/>
        <v>135883.59024431236</v>
      </c>
      <c r="I30" s="255"/>
      <c r="J30" s="255"/>
      <c r="K30" s="4">
        <f t="shared" ref="K30:K37" si="24">H30/H29*100-100</f>
        <v>-23.103102589406348</v>
      </c>
      <c r="N30"/>
      <c r="O30"/>
      <c r="P30"/>
      <c r="Q30"/>
      <c r="R30"/>
      <c r="S30"/>
      <c r="T30"/>
      <c r="U30"/>
      <c r="V30"/>
    </row>
    <row r="31" spans="1:22" x14ac:dyDescent="0.35">
      <c r="A31" s="102">
        <v>2014</v>
      </c>
      <c r="B31" s="149">
        <f>'Rate of Return'!C13</f>
        <v>8.6841975308642003E-2</v>
      </c>
      <c r="C31" s="103">
        <f>'GOS per unit'!Q9</f>
        <v>1357161.0509369185</v>
      </c>
      <c r="D31" s="113">
        <f t="shared" si="19"/>
        <v>61225.149425337935</v>
      </c>
      <c r="E31" s="113">
        <f t="shared" si="20"/>
        <v>107.13451925794125</v>
      </c>
      <c r="F31" s="112">
        <f t="shared" si="21"/>
        <v>0.1074689286682534</v>
      </c>
      <c r="G31" s="113">
        <f t="shared" si="22"/>
        <v>704923.84012056037</v>
      </c>
      <c r="H31" s="113">
        <f t="shared" si="23"/>
        <v>145852.64417447153</v>
      </c>
      <c r="I31" s="255"/>
      <c r="J31" s="255"/>
      <c r="K31" s="4">
        <f t="shared" si="24"/>
        <v>7.3364663917366784</v>
      </c>
      <c r="L31" s="2"/>
      <c r="M31" s="2"/>
      <c r="T31"/>
      <c r="U31"/>
      <c r="V31"/>
    </row>
    <row r="32" spans="1:22" x14ac:dyDescent="0.35">
      <c r="A32" s="102">
        <v>2015</v>
      </c>
      <c r="B32" s="149">
        <f>'Rate of Return'!C14</f>
        <v>8.4721074380165268E-2</v>
      </c>
      <c r="C32" s="104">
        <f>'GOS per unit'!Q10</f>
        <v>1170150.3626058598</v>
      </c>
      <c r="D32" s="113">
        <f t="shared" si="19"/>
        <v>52200.018951670907</v>
      </c>
      <c r="E32" s="113">
        <f t="shared" si="20"/>
        <v>94.51796407574605</v>
      </c>
      <c r="F32" s="112">
        <f t="shared" si="21"/>
        <v>0.12482305359336311</v>
      </c>
      <c r="G32" s="113">
        <f t="shared" si="22"/>
        <v>615856.91433012765</v>
      </c>
      <c r="H32" s="113">
        <f t="shared" si="23"/>
        <v>146061.74142384453</v>
      </c>
      <c r="I32" s="255"/>
      <c r="J32" s="255"/>
      <c r="K32" s="4">
        <f t="shared" si="24"/>
        <v>0.14336198740619466</v>
      </c>
      <c r="L32" s="2"/>
      <c r="M32" s="2"/>
      <c r="T32"/>
      <c r="U32"/>
      <c r="V32"/>
    </row>
    <row r="33" spans="1:22" x14ac:dyDescent="0.35">
      <c r="A33" s="102">
        <v>2016</v>
      </c>
      <c r="B33" s="149">
        <f>'Rate of Return'!C15</f>
        <v>7.9230487804878069E-2</v>
      </c>
      <c r="C33" s="104">
        <f>'GOS per unit'!Q11</f>
        <v>1192645.3306066464</v>
      </c>
      <c r="D33" s="113">
        <f t="shared" si="19"/>
        <v>53263.241600279114</v>
      </c>
      <c r="E33" s="113">
        <f t="shared" si="20"/>
        <v>90.023975405726233</v>
      </c>
      <c r="F33" s="112">
        <f t="shared" si="21"/>
        <v>0.14005402849602505</v>
      </c>
      <c r="G33" s="113">
        <f t="shared" si="22"/>
        <v>671554.69020953914</v>
      </c>
      <c r="H33" s="113">
        <f t="shared" si="23"/>
        <v>167034.78311843448</v>
      </c>
      <c r="I33" s="255"/>
      <c r="J33" s="255"/>
      <c r="K33" s="4">
        <f t="shared" si="24"/>
        <v>14.359024813849103</v>
      </c>
      <c r="L33" s="2">
        <f>H34/H30*100-100</f>
        <v>40.694253938956621</v>
      </c>
      <c r="M33" s="2"/>
      <c r="T33"/>
      <c r="U33"/>
      <c r="V33"/>
    </row>
    <row r="34" spans="1:22" x14ac:dyDescent="0.35">
      <c r="A34" s="102">
        <v>2017</v>
      </c>
      <c r="B34" s="149">
        <f>'Rate of Return'!C16</f>
        <v>7.6071308016877698E-2</v>
      </c>
      <c r="C34" s="104">
        <f>'GOS per unit'!Q12</f>
        <v>1203455.2644012659</v>
      </c>
      <c r="D34" s="113">
        <f t="shared" si="19"/>
        <v>56218.464411914501</v>
      </c>
      <c r="E34" s="113">
        <f t="shared" si="20"/>
        <v>82.554966327118947</v>
      </c>
      <c r="F34" s="112">
        <f t="shared" ref="F34" si="25">(PV(B34,E34,-1/E34))</f>
        <v>0.15885958470988015</v>
      </c>
      <c r="G34" s="113">
        <f t="shared" ref="G34" si="26">D34*E34*F34</f>
        <v>737285.35311191832</v>
      </c>
      <c r="H34" s="113">
        <f t="shared" si="23"/>
        <v>191180.40351970412</v>
      </c>
      <c r="I34" s="255"/>
      <c r="J34" s="255"/>
      <c r="K34" s="4">
        <f t="shared" si="24"/>
        <v>14.455444519091216</v>
      </c>
      <c r="L34" s="4">
        <f t="shared" ref="L34:L39" si="27">G34/G30*100-100</f>
        <v>7.7387149651147098</v>
      </c>
      <c r="M34" s="2"/>
      <c r="T34"/>
      <c r="U34"/>
      <c r="V34"/>
    </row>
    <row r="35" spans="1:22" x14ac:dyDescent="0.35">
      <c r="A35" s="102">
        <v>2018</v>
      </c>
      <c r="B35" s="149">
        <f>'Rate of Return'!C17</f>
        <v>7.9443459915611817E-2</v>
      </c>
      <c r="C35" s="104">
        <f>'GOS per unit'!Q13</f>
        <v>1241783.1319529305</v>
      </c>
      <c r="D35" s="113">
        <f t="shared" si="19"/>
        <v>57693.404851620617</v>
      </c>
      <c r="E35" s="113">
        <f t="shared" si="20"/>
        <v>79.982623270351169</v>
      </c>
      <c r="F35" s="112">
        <f t="shared" ref="F35" si="28">(PV(B35,E35,-1/E35))</f>
        <v>0.15703082989874423</v>
      </c>
      <c r="G35" s="113">
        <f t="shared" ref="G35" si="29">D35*E35*F35</f>
        <v>724614.03251137992</v>
      </c>
      <c r="H35" s="113">
        <f t="shared" si="23"/>
        <v>194998.23576483049</v>
      </c>
      <c r="I35" s="255"/>
      <c r="J35" s="255"/>
      <c r="K35" s="4">
        <f t="shared" si="24"/>
        <v>1.9969788612423685</v>
      </c>
      <c r="L35" s="4">
        <f t="shared" si="27"/>
        <v>2.7932368392381335</v>
      </c>
      <c r="M35" s="2"/>
      <c r="T35"/>
      <c r="U35"/>
      <c r="V35"/>
    </row>
    <row r="36" spans="1:22" x14ac:dyDescent="0.35">
      <c r="A36" s="102">
        <v>2019</v>
      </c>
      <c r="B36" s="149">
        <f>'Rate of Return'!C18</f>
        <v>8.0219834710743843E-2</v>
      </c>
      <c r="C36" s="104">
        <f>'GOS per unit'!Q14</f>
        <v>1330163.2621672843</v>
      </c>
      <c r="D36" s="113">
        <f t="shared" si="19"/>
        <v>64621.611760092128</v>
      </c>
      <c r="E36" s="113">
        <f t="shared" si="20"/>
        <v>69.577887642963006</v>
      </c>
      <c r="F36" s="112">
        <f t="shared" ref="F36" si="30">(PV(B36,E36,-1/E36))</f>
        <v>0.17832772866358904</v>
      </c>
      <c r="G36" s="113">
        <f t="shared" ref="G36" si="31">D36*E36*F36</f>
        <v>801803.41830561194</v>
      </c>
      <c r="H36" s="113">
        <f t="shared" si="23"/>
        <v>237204.99329404195</v>
      </c>
      <c r="I36" s="255"/>
      <c r="J36" s="255"/>
      <c r="K36" s="4">
        <f t="shared" si="24"/>
        <v>21.644686867892048</v>
      </c>
      <c r="L36" s="4">
        <f t="shared" si="27"/>
        <v>30.193134094749865</v>
      </c>
      <c r="M36" s="2"/>
      <c r="T36"/>
      <c r="U36"/>
      <c r="V36"/>
    </row>
    <row r="37" spans="1:22" x14ac:dyDescent="0.35">
      <c r="A37" s="102">
        <v>2020</v>
      </c>
      <c r="B37" s="149">
        <f>'Rate of Return'!C19</f>
        <v>7.4857438016528874E-2</v>
      </c>
      <c r="C37" s="104">
        <f>'GOS per unit'!Q15</f>
        <v>1379752.2331012115</v>
      </c>
      <c r="D37" s="113">
        <f t="shared" si="19"/>
        <v>70552.582802140227</v>
      </c>
      <c r="E37" s="113">
        <f t="shared" si="20"/>
        <v>64.471365955582513</v>
      </c>
      <c r="F37" s="112">
        <f t="shared" ref="F37" si="32">(PV(B37,E37,-1/E37))</f>
        <v>0.20523084387183965</v>
      </c>
      <c r="G37" s="113">
        <f t="shared" ref="G37" si="33">D37*E37*F37</f>
        <v>933517.40528643969</v>
      </c>
      <c r="H37" s="113">
        <f t="shared" si="23"/>
        <v>283167.71513341687</v>
      </c>
      <c r="I37" s="255"/>
      <c r="J37" s="255"/>
      <c r="K37" s="4">
        <f t="shared" si="24"/>
        <v>19.376793549366383</v>
      </c>
      <c r="L37" s="4">
        <f t="shared" si="27"/>
        <v>39.008396322146552</v>
      </c>
      <c r="M37" s="2"/>
      <c r="T37"/>
      <c r="U37"/>
      <c r="V37"/>
    </row>
    <row r="38" spans="1:22" x14ac:dyDescent="0.35">
      <c r="A38" s="102">
        <v>2021</v>
      </c>
      <c r="B38" s="149">
        <f>'Rate of Return'!C20</f>
        <v>7.0489837398374042E-2</v>
      </c>
      <c r="C38" s="104">
        <f>'GOS per unit'!Q16</f>
        <v>1426938.0988411615</v>
      </c>
      <c r="D38" s="113">
        <f t="shared" si="19"/>
        <v>76807.871835933256</v>
      </c>
      <c r="E38" s="113">
        <f t="shared" si="20"/>
        <v>58.751699077481568</v>
      </c>
      <c r="F38" s="112">
        <f t="shared" ref="F38" si="34">(PV(B38,E38,-1/E38))</f>
        <v>0.23705041576305744</v>
      </c>
      <c r="G38" s="113">
        <f t="shared" ref="G38" si="35">D38*E38*F38</f>
        <v>1069712.0403922014</v>
      </c>
      <c r="H38" s="113">
        <f t="shared" si="23"/>
        <v>338256.26959844405</v>
      </c>
      <c r="I38" s="255"/>
      <c r="J38" s="255"/>
      <c r="K38" s="4">
        <f t="shared" ref="K38" si="36">H38/H37*100-100</f>
        <v>19.45439099195039</v>
      </c>
      <c r="L38" s="4">
        <f t="shared" si="27"/>
        <v>45.08792774428295</v>
      </c>
      <c r="M38" s="2"/>
      <c r="T38"/>
      <c r="U38"/>
      <c r="V38"/>
    </row>
    <row r="39" spans="1:22" x14ac:dyDescent="0.35">
      <c r="A39" s="102">
        <v>2022</v>
      </c>
      <c r="B39" s="149">
        <f>'Rate of Return'!C21</f>
        <v>7.2128455284552931E-2</v>
      </c>
      <c r="C39" s="104">
        <f>'GOS per unit'!Q17</f>
        <v>1554186.7579684167</v>
      </c>
      <c r="D39" s="113">
        <f t="shared" si="19"/>
        <v>84127.778366212326</v>
      </c>
      <c r="E39" s="113">
        <f t="shared" si="20"/>
        <v>56.967484529800785</v>
      </c>
      <c r="F39" s="112">
        <f t="shared" ref="F39" si="37">(PV(B39,E39,-1/E39))</f>
        <v>0.23876511499134406</v>
      </c>
      <c r="G39" s="113">
        <f t="shared" ref="G39" si="38">D39*E39*F39</f>
        <v>1144293.2534543506</v>
      </c>
      <c r="H39" s="113">
        <f t="shared" si="23"/>
        <v>371085.57998435321</v>
      </c>
      <c r="I39" s="255"/>
      <c r="J39" s="255"/>
      <c r="K39" s="4">
        <f t="shared" ref="K39" si="39">H39/H38*100-100</f>
        <v>9.7054551050545115</v>
      </c>
      <c r="L39" s="4">
        <f t="shared" si="27"/>
        <v>57.917622639522904</v>
      </c>
      <c r="M39" s="2"/>
      <c r="T39"/>
      <c r="U39"/>
      <c r="V39"/>
    </row>
    <row r="40" spans="1:22" x14ac:dyDescent="0.35">
      <c r="A40" s="102">
        <v>2023</v>
      </c>
      <c r="B40" s="149">
        <f>'Rate of Return'!C22</f>
        <v>6.852050209205017E-2</v>
      </c>
      <c r="C40" s="104">
        <f>'GOS per unit'!Q18</f>
        <v>1691416.6352937268</v>
      </c>
      <c r="D40" s="113">
        <f t="shared" si="19"/>
        <v>96780.786449724605</v>
      </c>
      <c r="E40" s="113">
        <f t="shared" si="20"/>
        <v>49.213528806917722</v>
      </c>
      <c r="F40" s="112">
        <f t="shared" ref="F40:F41" si="40">(PV(B40,E40,-1/E40))</f>
        <v>0.28518246230569433</v>
      </c>
      <c r="G40" s="113">
        <f t="shared" ref="G40:G41" si="41">D40*E40*F40</f>
        <v>1358302.4003402898</v>
      </c>
      <c r="H40" s="113">
        <f t="shared" si="23"/>
        <v>482362.36083787755</v>
      </c>
      <c r="I40" s="255"/>
      <c r="J40" s="255"/>
      <c r="K40" s="4"/>
      <c r="L40" s="4"/>
      <c r="M40" s="2"/>
      <c r="T40"/>
      <c r="U40"/>
      <c r="V40"/>
    </row>
    <row r="41" spans="1:22" x14ac:dyDescent="0.35">
      <c r="A41" s="102">
        <v>2024</v>
      </c>
      <c r="B41" s="149">
        <f>'Rate of Return'!C23</f>
        <v>6.9594936708860813E-2</v>
      </c>
      <c r="C41" s="104">
        <f>'GOS per unit'!Q19</f>
        <v>1723207.523688098</v>
      </c>
      <c r="D41" s="113">
        <f t="shared" si="19"/>
        <v>93921.15534069165</v>
      </c>
      <c r="E41" s="113">
        <f t="shared" si="20"/>
        <v>49.490476424217519</v>
      </c>
      <c r="F41" s="112">
        <f t="shared" si="40"/>
        <v>0.2799409534894563</v>
      </c>
      <c r="G41" s="113">
        <f t="shared" si="41"/>
        <v>1301222.3026034967</v>
      </c>
      <c r="H41" s="113">
        <f t="shared" si="23"/>
        <v>482396.35724145098</v>
      </c>
      <c r="I41" s="255"/>
      <c r="J41" s="255"/>
      <c r="K41" s="4"/>
      <c r="L41" s="4"/>
      <c r="M41" s="2"/>
      <c r="T41"/>
      <c r="U41"/>
      <c r="V41"/>
    </row>
    <row r="42" spans="1:22" x14ac:dyDescent="0.35">
      <c r="A42" s="76"/>
      <c r="B42" s="77"/>
      <c r="C42" s="78"/>
      <c r="D42" s="77"/>
      <c r="E42" s="77"/>
      <c r="F42" s="77"/>
      <c r="G42" s="84">
        <f>G34/1000</f>
        <v>737.28535311191831</v>
      </c>
      <c r="H42" s="84">
        <f>H34/1000</f>
        <v>191.18040351970413</v>
      </c>
      <c r="I42" s="84"/>
      <c r="J42" s="84"/>
      <c r="K42" s="2">
        <f>H34/H30*100-100</f>
        <v>40.694253938956621</v>
      </c>
      <c r="L42" s="2"/>
      <c r="M42" s="2"/>
      <c r="T42"/>
      <c r="U42"/>
      <c r="V42"/>
    </row>
    <row r="43" spans="1:22" x14ac:dyDescent="0.35">
      <c r="A43" s="16" t="s">
        <v>31</v>
      </c>
      <c r="B43" s="9"/>
      <c r="C43" s="9"/>
      <c r="D43" s="9"/>
      <c r="E43" s="9"/>
      <c r="F43" s="9"/>
      <c r="G43" s="148">
        <f>G30/1000</f>
        <v>684.32722011827207</v>
      </c>
      <c r="H43" s="148">
        <f>H30/1000</f>
        <v>135.88359024431236</v>
      </c>
      <c r="T43"/>
    </row>
    <row r="44" spans="1:22" x14ac:dyDescent="0.35">
      <c r="A44" s="16">
        <v>2019</v>
      </c>
      <c r="B44" s="9">
        <f>'Rate of Return'!C22</f>
        <v>6.852050209205017E-2</v>
      </c>
      <c r="C44" s="9"/>
      <c r="D44" s="9"/>
      <c r="E44" s="9"/>
      <c r="F44" s="9"/>
      <c r="G44" s="148">
        <f>G31/1000</f>
        <v>704.92384012056039</v>
      </c>
      <c r="H44" s="148">
        <f>H31/1000</f>
        <v>145.85264417447152</v>
      </c>
      <c r="T44"/>
    </row>
    <row r="45" spans="1:22" ht="26" x14ac:dyDescent="0.35">
      <c r="A45" s="15" t="s">
        <v>8</v>
      </c>
      <c r="B45" s="17" t="s">
        <v>22</v>
      </c>
      <c r="C45" s="17" t="s">
        <v>23</v>
      </c>
      <c r="D45" s="17" t="s">
        <v>24</v>
      </c>
      <c r="E45" s="17" t="s">
        <v>25</v>
      </c>
      <c r="F45" s="17" t="s">
        <v>26</v>
      </c>
      <c r="G45" s="61" t="s">
        <v>20</v>
      </c>
      <c r="H45" s="61" t="s">
        <v>11</v>
      </c>
      <c r="I45" s="37" t="s">
        <v>50</v>
      </c>
      <c r="J45" s="256"/>
      <c r="L45" s="2"/>
      <c r="T45"/>
      <c r="U45"/>
    </row>
    <row r="46" spans="1:22" x14ac:dyDescent="0.35">
      <c r="A46" s="12">
        <v>2009</v>
      </c>
      <c r="B46" s="53">
        <f t="shared" ref="B46:B61" si="42">G25</f>
        <v>6022081.5369239012</v>
      </c>
      <c r="C46" s="53">
        <f t="shared" ref="C46:F61" si="43">C5*$H26/1000000</f>
        <v>30832.228688842937</v>
      </c>
      <c r="D46" s="53">
        <f t="shared" si="43"/>
        <v>6339.2542092326739</v>
      </c>
      <c r="E46" s="53">
        <f t="shared" si="43"/>
        <v>238304.74978203065</v>
      </c>
      <c r="F46" s="53">
        <f t="shared" si="43"/>
        <v>53341.188718874204</v>
      </c>
      <c r="G46" s="63">
        <f t="shared" ref="G46:G61" si="44">(H26-H25)*B5/1000000</f>
        <v>559890.0256467266</v>
      </c>
      <c r="H46" s="63">
        <f t="shared" ref="H46:H61" si="45">G26</f>
        <v>6327497.1069677984</v>
      </c>
      <c r="I46" s="62">
        <f t="shared" ref="I46:I61" si="46">(H46/G5)*1000</f>
        <v>1047.7334130284507</v>
      </c>
      <c r="J46" s="258"/>
      <c r="L46" s="2"/>
      <c r="T46"/>
      <c r="U46"/>
    </row>
    <row r="47" spans="1:22" x14ac:dyDescent="0.35">
      <c r="A47" s="12">
        <v>2010</v>
      </c>
      <c r="B47" s="53">
        <f t="shared" si="42"/>
        <v>6327497.1069677984</v>
      </c>
      <c r="C47" s="53">
        <f t="shared" si="43"/>
        <v>23536.252449854783</v>
      </c>
      <c r="D47" s="53">
        <f t="shared" si="43"/>
        <v>3562.46171903196</v>
      </c>
      <c r="E47" s="53">
        <f t="shared" si="43"/>
        <v>198877.14522003409</v>
      </c>
      <c r="F47" s="53">
        <f t="shared" si="43"/>
        <v>42844.681215391734</v>
      </c>
      <c r="G47" s="63">
        <f t="shared" si="44"/>
        <v>-1495674.1535656382</v>
      </c>
      <c r="H47" s="63">
        <f t="shared" si="45"/>
        <v>4617199.841135622</v>
      </c>
      <c r="I47" s="62">
        <f t="shared" si="46"/>
        <v>800.07343638964358</v>
      </c>
      <c r="J47" s="258"/>
      <c r="L47" s="2"/>
      <c r="T47"/>
      <c r="U47"/>
    </row>
    <row r="48" spans="1:22" x14ac:dyDescent="0.35">
      <c r="A48" s="12">
        <v>2011</v>
      </c>
      <c r="B48" s="53">
        <f t="shared" si="42"/>
        <v>4617199.841135622</v>
      </c>
      <c r="C48" s="53">
        <f t="shared" si="43"/>
        <v>7325.5588881528665</v>
      </c>
      <c r="D48" s="53">
        <f t="shared" si="43"/>
        <v>1192.4421605492687</v>
      </c>
      <c r="E48" s="53">
        <f t="shared" si="43"/>
        <v>68328.486823868894</v>
      </c>
      <c r="F48" s="53">
        <f t="shared" si="43"/>
        <v>12347.076094444972</v>
      </c>
      <c r="G48" s="63">
        <f t="shared" si="44"/>
        <v>-3190985.8238849188</v>
      </c>
      <c r="H48" s="63">
        <f t="shared" si="45"/>
        <v>1354056.4553810912</v>
      </c>
      <c r="I48" s="62">
        <f t="shared" si="46"/>
        <v>247.13592416831477</v>
      </c>
      <c r="J48" s="258"/>
      <c r="L48" s="2"/>
      <c r="T48"/>
      <c r="U48"/>
    </row>
    <row r="49" spans="1:20" x14ac:dyDescent="0.35">
      <c r="A49" s="119">
        <v>2012</v>
      </c>
      <c r="B49" s="64">
        <f t="shared" si="42"/>
        <v>1354056.4553810912</v>
      </c>
      <c r="C49" s="64">
        <f t="shared" si="43"/>
        <v>5207.7442361607464</v>
      </c>
      <c r="D49" s="64">
        <f t="shared" si="43"/>
        <v>1086.4681147073029</v>
      </c>
      <c r="E49" s="64">
        <f t="shared" si="43"/>
        <v>58854.326302920454</v>
      </c>
      <c r="F49" s="64">
        <f t="shared" si="43"/>
        <v>8661.2441092725385</v>
      </c>
      <c r="G49" s="114">
        <f t="shared" si="44"/>
        <v>-385869.81065868266</v>
      </c>
      <c r="H49" s="114">
        <f t="shared" si="45"/>
        <v>906965.28666108369</v>
      </c>
      <c r="I49" s="120">
        <f t="shared" si="46"/>
        <v>176.70880727314292</v>
      </c>
      <c r="J49" s="257"/>
      <c r="L49" s="2"/>
      <c r="T49"/>
    </row>
    <row r="50" spans="1:20" s="158" customFormat="1" x14ac:dyDescent="0.35">
      <c r="A50" s="166">
        <v>2013</v>
      </c>
      <c r="B50" s="156">
        <f t="shared" si="42"/>
        <v>906965.28666108369</v>
      </c>
      <c r="C50" s="156">
        <f t="shared" si="43"/>
        <v>3046.8362908310564</v>
      </c>
      <c r="D50" s="156">
        <f t="shared" si="43"/>
        <v>1502.1811586017525</v>
      </c>
      <c r="E50" s="156">
        <f t="shared" si="43"/>
        <v>12209.714055329105</v>
      </c>
      <c r="F50" s="156">
        <f t="shared" si="43"/>
        <v>5440.2493093017556</v>
      </c>
      <c r="G50" s="167">
        <f t="shared" si="44"/>
        <v>-209537.12062761351</v>
      </c>
      <c r="H50" s="167">
        <f t="shared" si="45"/>
        <v>684327.22011827212</v>
      </c>
      <c r="I50" s="168">
        <f t="shared" si="46"/>
        <v>135.88359024431239</v>
      </c>
      <c r="J50" s="257">
        <f>B50+C50+D50-E50-F50+G50-H50</f>
        <v>0</v>
      </c>
      <c r="K50" s="158">
        <f>H50/H49*100-100</f>
        <v>-24.547584104617144</v>
      </c>
      <c r="L50" s="158">
        <f>I50/I49*100-100</f>
        <v>-23.103102589406333</v>
      </c>
      <c r="M50"/>
      <c r="N50"/>
      <c r="O50"/>
      <c r="P50"/>
      <c r="Q50"/>
      <c r="R50"/>
      <c r="S50"/>
      <c r="T50"/>
    </row>
    <row r="51" spans="1:20" x14ac:dyDescent="0.35">
      <c r="A51" s="117">
        <v>2014</v>
      </c>
      <c r="B51" s="103">
        <f t="shared" si="42"/>
        <v>684327.22011827212</v>
      </c>
      <c r="C51" s="103">
        <f t="shared" si="43"/>
        <v>3395.003906991476</v>
      </c>
      <c r="D51" s="103">
        <f t="shared" si="43"/>
        <v>1623.9748851136987</v>
      </c>
      <c r="E51" s="103">
        <f t="shared" si="43"/>
        <v>28047.99408700495</v>
      </c>
      <c r="F51" s="103">
        <f t="shared" si="43"/>
        <v>6579.8012162947998</v>
      </c>
      <c r="G51" s="107">
        <f t="shared" si="44"/>
        <v>50205.43651348295</v>
      </c>
      <c r="H51" s="107">
        <f t="shared" si="45"/>
        <v>704923.84012056037</v>
      </c>
      <c r="I51" s="118">
        <f t="shared" si="46"/>
        <v>145.85264417447152</v>
      </c>
      <c r="J51" s="257">
        <f t="shared" ref="J51:J57" si="47">B51+C51+D51-E51-F51+G51-H51</f>
        <v>0</v>
      </c>
      <c r="K51" s="2">
        <f t="shared" ref="K51:L54" si="48">H51/H50*100-100</f>
        <v>3.0097619087442666</v>
      </c>
      <c r="L51" s="2">
        <f t="shared" si="48"/>
        <v>7.3364663917366641</v>
      </c>
      <c r="T51"/>
    </row>
    <row r="52" spans="1:20" x14ac:dyDescent="0.35">
      <c r="A52" s="117">
        <v>2015</v>
      </c>
      <c r="B52" s="103">
        <f t="shared" si="42"/>
        <v>704923.84012056037</v>
      </c>
      <c r="C52" s="103">
        <f t="shared" si="43"/>
        <v>3408.3411607831413</v>
      </c>
      <c r="D52" s="103">
        <f t="shared" si="43"/>
        <v>2282.7541919145874</v>
      </c>
      <c r="E52" s="103">
        <f t="shared" si="43"/>
        <v>89252.848206848255</v>
      </c>
      <c r="F52" s="103">
        <f t="shared" si="43"/>
        <v>6515.7657631789889</v>
      </c>
      <c r="G52" s="107">
        <f t="shared" si="44"/>
        <v>1010.5928268969017</v>
      </c>
      <c r="H52" s="107">
        <f t="shared" si="45"/>
        <v>615856.91433012765</v>
      </c>
      <c r="I52" s="118">
        <f t="shared" si="46"/>
        <v>146.06174142384452</v>
      </c>
      <c r="J52" s="257">
        <f t="shared" si="47"/>
        <v>0</v>
      </c>
      <c r="K52" s="2">
        <f t="shared" si="48"/>
        <v>-12.634971428289319</v>
      </c>
      <c r="L52" s="2">
        <f t="shared" si="48"/>
        <v>0.14336198740619466</v>
      </c>
      <c r="T52"/>
    </row>
    <row r="53" spans="1:20" x14ac:dyDescent="0.35">
      <c r="A53" s="117">
        <v>2016</v>
      </c>
      <c r="B53" s="103">
        <f t="shared" si="42"/>
        <v>615856.91433012765</v>
      </c>
      <c r="C53" s="103">
        <f t="shared" si="43"/>
        <v>3955.2702577393311</v>
      </c>
      <c r="D53" s="103">
        <f t="shared" si="43"/>
        <v>2856.4301942103207</v>
      </c>
      <c r="E53" s="103">
        <f t="shared" si="43"/>
        <v>32085.240162130445</v>
      </c>
      <c r="F53" s="103">
        <f t="shared" si="43"/>
        <v>7459.7315568761587</v>
      </c>
      <c r="G53" s="107">
        <f t="shared" si="44"/>
        <v>88431.047146468423</v>
      </c>
      <c r="H53" s="107">
        <f t="shared" si="45"/>
        <v>671554.69020953914</v>
      </c>
      <c r="I53" s="118">
        <f t="shared" si="46"/>
        <v>167.03478311843449</v>
      </c>
      <c r="J53" s="257">
        <f t="shared" si="47"/>
        <v>0</v>
      </c>
      <c r="K53" s="2">
        <f>H53/H52*100-100</f>
        <v>9.0439474792605665</v>
      </c>
      <c r="L53" s="2">
        <f t="shared" si="48"/>
        <v>14.359024813849118</v>
      </c>
      <c r="T53"/>
    </row>
    <row r="54" spans="1:20" x14ac:dyDescent="0.35">
      <c r="A54" s="117">
        <v>2017</v>
      </c>
      <c r="B54" s="103">
        <f t="shared" si="42"/>
        <v>671554.69020953914</v>
      </c>
      <c r="C54" s="103">
        <f t="shared" si="43"/>
        <v>4536.3930623524866</v>
      </c>
      <c r="D54" s="103">
        <f t="shared" si="43"/>
        <v>1400.5665682545823</v>
      </c>
      <c r="E54" s="103">
        <f t="shared" si="43"/>
        <v>28351.670477318745</v>
      </c>
      <c r="F54" s="103">
        <f t="shared" si="43"/>
        <v>8930.8419095039153</v>
      </c>
      <c r="G54" s="107">
        <f t="shared" si="44"/>
        <v>97076.21565859484</v>
      </c>
      <c r="H54" s="107">
        <f t="shared" si="45"/>
        <v>737285.35311191832</v>
      </c>
      <c r="I54" s="118">
        <f t="shared" si="46"/>
        <v>191.1804035197041</v>
      </c>
      <c r="J54" s="257">
        <f t="shared" si="47"/>
        <v>0</v>
      </c>
      <c r="K54" s="2">
        <f t="shared" si="48"/>
        <v>9.7878346857900596</v>
      </c>
      <c r="L54" s="2"/>
      <c r="T54"/>
    </row>
    <row r="55" spans="1:20" x14ac:dyDescent="0.35">
      <c r="A55" s="117">
        <v>2018</v>
      </c>
      <c r="B55" s="103">
        <f t="shared" si="42"/>
        <v>737285.35311191832</v>
      </c>
      <c r="C55" s="103">
        <f t="shared" si="43"/>
        <v>4623.0644666623693</v>
      </c>
      <c r="D55" s="103">
        <f t="shared" si="43"/>
        <v>1771.6323568141695</v>
      </c>
      <c r="E55" s="103">
        <f t="shared" si="43"/>
        <v>24729.806829162106</v>
      </c>
      <c r="F55" s="103">
        <f t="shared" si="43"/>
        <v>9059.6432435342213</v>
      </c>
      <c r="G55" s="107">
        <f t="shared" si="44"/>
        <v>14723.432648681219</v>
      </c>
      <c r="H55" s="107">
        <f t="shared" si="45"/>
        <v>724614.03251137992</v>
      </c>
      <c r="I55" s="118">
        <f t="shared" si="46"/>
        <v>194.9982357648305</v>
      </c>
      <c r="J55" s="257">
        <f t="shared" si="47"/>
        <v>0</v>
      </c>
      <c r="K55" s="2">
        <f t="shared" ref="K55" si="49">H55/H54*100-100</f>
        <v>-1.7186453721148212</v>
      </c>
      <c r="L55" s="2"/>
      <c r="T55"/>
    </row>
    <row r="56" spans="1:20" x14ac:dyDescent="0.35">
      <c r="A56" s="117">
        <v>2019</v>
      </c>
      <c r="B56" s="103">
        <f t="shared" si="42"/>
        <v>724614.03251137992</v>
      </c>
      <c r="C56" s="103">
        <f t="shared" si="43"/>
        <v>5629.269497998539</v>
      </c>
      <c r="D56" s="103">
        <f t="shared" si="43"/>
        <v>3073.4150758157548</v>
      </c>
      <c r="E56" s="103">
        <f t="shared" si="43"/>
        <v>76829.911869718577</v>
      </c>
      <c r="F56" s="103">
        <f t="shared" si="43"/>
        <v>11523.825247757504</v>
      </c>
      <c r="G56" s="107">
        <f t="shared" si="44"/>
        <v>156840.43833789375</v>
      </c>
      <c r="H56" s="107">
        <f t="shared" si="45"/>
        <v>801803.41830561194</v>
      </c>
      <c r="I56" s="118">
        <f t="shared" si="46"/>
        <v>237.20499329404197</v>
      </c>
      <c r="J56" s="257">
        <f t="shared" si="47"/>
        <v>0</v>
      </c>
      <c r="K56" s="2">
        <f t="shared" ref="K56" si="50">H56/H55*100-100</f>
        <v>10.652482884813551</v>
      </c>
      <c r="L56" s="2"/>
      <c r="T56"/>
    </row>
    <row r="57" spans="1:20" x14ac:dyDescent="0.35">
      <c r="A57" s="117">
        <v>2020</v>
      </c>
      <c r="B57" s="103">
        <f t="shared" si="42"/>
        <v>801803.41830561194</v>
      </c>
      <c r="C57" s="103">
        <f t="shared" si="43"/>
        <v>6710.0589270875216</v>
      </c>
      <c r="D57" s="103">
        <f t="shared" si="43"/>
        <v>3030.4459987498794</v>
      </c>
      <c r="E57" s="103">
        <f t="shared" si="43"/>
        <v>18910.744876029759</v>
      </c>
      <c r="F57" s="103">
        <f t="shared" si="43"/>
        <v>14479.566105821081</v>
      </c>
      <c r="G57" s="107">
        <f t="shared" si="44"/>
        <v>155363.79303684109</v>
      </c>
      <c r="H57" s="107">
        <f t="shared" si="45"/>
        <v>933517.40528643969</v>
      </c>
      <c r="I57" s="118">
        <f t="shared" si="46"/>
        <v>283.16771513341689</v>
      </c>
      <c r="J57" s="257">
        <f t="shared" si="47"/>
        <v>0</v>
      </c>
      <c r="K57" s="2">
        <f t="shared" ref="K57" si="51">H57/H56*100-100</f>
        <v>16.427216942922058</v>
      </c>
      <c r="L57" s="2"/>
      <c r="T57"/>
    </row>
    <row r="58" spans="1:20" x14ac:dyDescent="0.35">
      <c r="A58" s="117">
        <v>2021</v>
      </c>
      <c r="B58" s="103">
        <f t="shared" si="42"/>
        <v>933517.40528643969</v>
      </c>
      <c r="C58" s="103">
        <f t="shared" si="43"/>
        <v>7963.7125182540758</v>
      </c>
      <c r="D58" s="103">
        <f t="shared" si="43"/>
        <v>1583.7310785920406</v>
      </c>
      <c r="E58" s="103">
        <f t="shared" si="43"/>
        <v>36755.5965408349</v>
      </c>
      <c r="F58" s="103">
        <f t="shared" si="43"/>
        <v>18207.337952583606</v>
      </c>
      <c r="G58" s="107">
        <f t="shared" si="44"/>
        <v>181610.12600233409</v>
      </c>
      <c r="H58" s="107">
        <f t="shared" si="45"/>
        <v>1069712.0403922014</v>
      </c>
      <c r="I58" s="118">
        <f t="shared" si="46"/>
        <v>338.25626959844408</v>
      </c>
      <c r="J58" s="257">
        <f t="shared" ref="J58" si="52">B58+C58+D58-E58-F58+G58-H58</f>
        <v>0</v>
      </c>
      <c r="K58" s="2">
        <f t="shared" ref="K58" si="53">H58/H57*100-100</f>
        <v>14.589405011036916</v>
      </c>
      <c r="L58" s="2"/>
      <c r="T58"/>
    </row>
    <row r="59" spans="1:20" x14ac:dyDescent="0.35">
      <c r="A59" s="117">
        <v>2022</v>
      </c>
      <c r="B59" s="103">
        <f t="shared" si="42"/>
        <v>1069712.0403922014</v>
      </c>
      <c r="C59" s="103">
        <f t="shared" si="43"/>
        <v>8735.428847344423</v>
      </c>
      <c r="D59" s="103">
        <f t="shared" si="43"/>
        <v>2445.8774845760845</v>
      </c>
      <c r="E59" s="103">
        <f t="shared" si="43"/>
        <v>20333.73642782414</v>
      </c>
      <c r="F59" s="103">
        <f t="shared" si="43"/>
        <v>20086.778675574995</v>
      </c>
      <c r="G59" s="107">
        <f t="shared" si="44"/>
        <v>103820.42183362776</v>
      </c>
      <c r="H59" s="107">
        <f t="shared" si="45"/>
        <v>1144293.2534543506</v>
      </c>
      <c r="I59" s="118">
        <f t="shared" si="46"/>
        <v>371.08557998435322</v>
      </c>
      <c r="J59" s="257">
        <f t="shared" ref="J59" si="54">B59+C59+D59-E59-F59+G59-H59</f>
        <v>0</v>
      </c>
      <c r="K59" s="2">
        <f t="shared" ref="K59" si="55">H59/H58*100-100</f>
        <v>6.9720831631290707</v>
      </c>
      <c r="L59" s="2"/>
      <c r="T59"/>
    </row>
    <row r="60" spans="1:20" x14ac:dyDescent="0.35">
      <c r="A60" s="117">
        <v>2023</v>
      </c>
      <c r="B60" s="103">
        <f t="shared" si="42"/>
        <v>1144293.2534543506</v>
      </c>
      <c r="C60" s="103">
        <f t="shared" si="43"/>
        <v>11243.758774230531</v>
      </c>
      <c r="D60" s="103">
        <f t="shared" si="43"/>
        <v>2084.9596330249205</v>
      </c>
      <c r="E60" s="103">
        <f t="shared" si="43"/>
        <v>114856.59586916212</v>
      </c>
      <c r="F60" s="103">
        <f t="shared" si="43"/>
        <v>27600.182983614039</v>
      </c>
      <c r="G60" s="107">
        <f t="shared" si="44"/>
        <v>343137.20733146014</v>
      </c>
      <c r="H60" s="107">
        <f t="shared" si="45"/>
        <v>1358302.4003402898</v>
      </c>
      <c r="I60" s="118">
        <f t="shared" si="46"/>
        <v>482.36236083787753</v>
      </c>
      <c r="J60" s="158"/>
    </row>
    <row r="61" spans="1:20" x14ac:dyDescent="0.35">
      <c r="A61" s="117">
        <v>2024</v>
      </c>
      <c r="B61" s="103">
        <f t="shared" si="42"/>
        <v>1358302.4003402898</v>
      </c>
      <c r="C61" s="103">
        <f t="shared" si="43"/>
        <v>11238.552827950696</v>
      </c>
      <c r="D61" s="103">
        <f t="shared" si="43"/>
        <v>3714.1029541542412</v>
      </c>
      <c r="E61" s="103">
        <f t="shared" si="43"/>
        <v>45836.107497538978</v>
      </c>
      <c r="F61" s="103">
        <f t="shared" si="43"/>
        <v>26292.37777890456</v>
      </c>
      <c r="G61" s="107">
        <f t="shared" si="44"/>
        <v>95.731757545335583</v>
      </c>
      <c r="H61" s="107">
        <f t="shared" si="45"/>
        <v>1301222.3026034967</v>
      </c>
      <c r="I61" s="118">
        <f t="shared" si="46"/>
        <v>482.39635724145097</v>
      </c>
    </row>
  </sheetData>
  <mergeCells count="9">
    <mergeCell ref="G23:G24"/>
    <mergeCell ref="H23:H24"/>
    <mergeCell ref="I23:I24"/>
    <mergeCell ref="F23:F24"/>
    <mergeCell ref="A23:A24"/>
    <mergeCell ref="B23:B24"/>
    <mergeCell ref="C23:C24"/>
    <mergeCell ref="D23:D24"/>
    <mergeCell ref="E23:E24"/>
  </mergeCells>
  <conditionalFormatting sqref="B30:B37">
    <cfRule type="top10" dxfId="23" priority="35" bottom="1" rank="1"/>
    <cfRule type="top10" dxfId="22" priority="36" rank="1"/>
  </conditionalFormatting>
  <conditionalFormatting sqref="B38">
    <cfRule type="top10" dxfId="21" priority="20" bottom="1" rank="1"/>
    <cfRule type="top10" dxfId="20" priority="21" rank="1"/>
  </conditionalFormatting>
  <conditionalFormatting sqref="B39">
    <cfRule type="top10" dxfId="19" priority="16" bottom="1" rank="1"/>
    <cfRule type="top10" dxfId="18" priority="17" rank="1"/>
  </conditionalFormatting>
  <conditionalFormatting sqref="B40">
    <cfRule type="top10" dxfId="17" priority="5" bottom="1" rank="1"/>
    <cfRule type="top10" dxfId="16" priority="6" rank="1"/>
  </conditionalFormatting>
  <conditionalFormatting sqref="B41">
    <cfRule type="top10" dxfId="15" priority="2" bottom="1" rank="1"/>
    <cfRule type="top10" dxfId="14" priority="3" rank="1"/>
  </conditionalFormatting>
  <conditionalFormatting sqref="H9:H13">
    <cfRule type="top10" dxfId="13" priority="37" bottom="1" rank="1"/>
  </conditionalFormatting>
  <conditionalFormatting sqref="H14">
    <cfRule type="top10" dxfId="12" priority="34" bottom="1" rank="1"/>
  </conditionalFormatting>
  <conditionalFormatting sqref="H15">
    <cfRule type="top10" dxfId="11" priority="30" bottom="1" rank="1"/>
  </conditionalFormatting>
  <conditionalFormatting sqref="H16">
    <cfRule type="top10" dxfId="10" priority="23" bottom="1" rank="1"/>
  </conditionalFormatting>
  <conditionalFormatting sqref="H17">
    <cfRule type="top10" dxfId="9" priority="22" bottom="1" rank="1"/>
  </conditionalFormatting>
  <conditionalFormatting sqref="H18:H20">
    <cfRule type="top10" dxfId="8" priority="18" bottom="1" rank="1"/>
  </conditionalFormatting>
  <conditionalFormatting sqref="H40">
    <cfRule type="top10" dxfId="7" priority="4" rank="1"/>
  </conditionalFormatting>
  <conditionalFormatting sqref="H41">
    <cfRule type="top10" dxfId="6" priority="1" rank="1"/>
  </conditionalFormatting>
  <conditionalFormatting sqref="H30:J34">
    <cfRule type="top10" dxfId="5" priority="38" rank="1"/>
  </conditionalFormatting>
  <conditionalFormatting sqref="H35:J35">
    <cfRule type="top10" dxfId="4" priority="33" rank="1"/>
  </conditionalFormatting>
  <conditionalFormatting sqref="H36:J36">
    <cfRule type="top10" dxfId="3" priority="29" rank="1"/>
  </conditionalFormatting>
  <conditionalFormatting sqref="H37:J37">
    <cfRule type="top10" dxfId="2" priority="26" rank="1"/>
  </conditionalFormatting>
  <conditionalFormatting sqref="H38:J38">
    <cfRule type="top10" dxfId="1" priority="19" rank="1"/>
  </conditionalFormatting>
  <conditionalFormatting sqref="H39:J39 I40:J41">
    <cfRule type="top10" dxfId="0" priority="15" rank="1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"/>
  <sheetViews>
    <sheetView view="pageBreakPreview" zoomScaleNormal="100" zoomScaleSheetLayoutView="100" workbookViewId="0">
      <selection activeCell="I8" sqref="I8"/>
    </sheetView>
  </sheetViews>
  <sheetFormatPr defaultColWidth="8.81640625" defaultRowHeight="14.5" x14ac:dyDescent="0.35"/>
  <cols>
    <col min="2" max="2" width="11.6328125" customWidth="1"/>
    <col min="3" max="3" width="9.453125" bestFit="1" customWidth="1"/>
  </cols>
  <sheetData>
    <row r="1" spans="1:8" ht="15" customHeight="1" x14ac:dyDescent="0.35">
      <c r="A1" s="472" t="s">
        <v>63</v>
      </c>
      <c r="B1" s="473" t="s">
        <v>97</v>
      </c>
      <c r="C1" s="474" t="s">
        <v>16</v>
      </c>
      <c r="D1" s="474"/>
      <c r="E1" s="474" t="s">
        <v>18</v>
      </c>
      <c r="F1" s="474"/>
      <c r="G1" s="474" t="s">
        <v>100</v>
      </c>
      <c r="H1" s="474"/>
    </row>
    <row r="2" spans="1:8" x14ac:dyDescent="0.35">
      <c r="A2" s="472"/>
      <c r="B2" s="473"/>
      <c r="C2" s="92" t="s">
        <v>98</v>
      </c>
      <c r="D2" s="92" t="s">
        <v>99</v>
      </c>
      <c r="E2" s="92" t="s">
        <v>98</v>
      </c>
      <c r="F2" s="92" t="s">
        <v>99</v>
      </c>
      <c r="G2" s="92" t="s">
        <v>98</v>
      </c>
      <c r="H2" s="92" t="s">
        <v>99</v>
      </c>
    </row>
    <row r="3" spans="1:8" x14ac:dyDescent="0.35">
      <c r="A3" s="150">
        <v>2013</v>
      </c>
      <c r="B3" s="151">
        <v>7.5548571428571409E-2</v>
      </c>
      <c r="C3" s="152">
        <v>251.45094399899702</v>
      </c>
      <c r="D3" s="152">
        <v>77458.505017969364</v>
      </c>
      <c r="E3" s="152">
        <v>880.93217014040715</v>
      </c>
      <c r="F3" s="152">
        <v>19342.660331269599</v>
      </c>
      <c r="G3" s="152">
        <v>120.32134019684104</v>
      </c>
      <c r="H3" s="152">
        <v>142051.90043665993</v>
      </c>
    </row>
    <row r="4" spans="1:8" x14ac:dyDescent="0.35">
      <c r="A4" s="150">
        <v>2014</v>
      </c>
      <c r="B4" s="151">
        <v>8.6841975308642003E-2</v>
      </c>
      <c r="C4" s="152">
        <v>245.15890574742653</v>
      </c>
      <c r="D4" s="152">
        <v>77893.290458387841</v>
      </c>
      <c r="E4" s="152">
        <v>1035.3947878269314</v>
      </c>
      <c r="F4" s="152">
        <v>13264.961973390029</v>
      </c>
      <c r="G4" s="152">
        <v>88.796165852715347</v>
      </c>
      <c r="H4" s="152">
        <v>175889.7370348468</v>
      </c>
    </row>
    <row r="5" spans="1:8" x14ac:dyDescent="0.35">
      <c r="A5" s="150">
        <v>2015</v>
      </c>
      <c r="B5" s="151">
        <v>8.4721074380165268E-2</v>
      </c>
      <c r="C5" s="152">
        <v>292.8393631785496</v>
      </c>
      <c r="D5" s="152">
        <v>81854.891813556824</v>
      </c>
      <c r="E5" s="152">
        <v>1244.9112476302159</v>
      </c>
      <c r="F5" s="152">
        <v>14011.883711986558</v>
      </c>
      <c r="G5" s="152">
        <v>68.574185598964803</v>
      </c>
      <c r="H5" s="152">
        <v>253030.57126429889</v>
      </c>
    </row>
    <row r="6" spans="1:8" x14ac:dyDescent="0.35">
      <c r="A6" s="150">
        <v>2016</v>
      </c>
      <c r="B6" s="151">
        <v>7.9230487804878069E-2</v>
      </c>
      <c r="C6" s="152">
        <v>471.55300562919444</v>
      </c>
      <c r="D6" s="152">
        <v>58273.925774333817</v>
      </c>
      <c r="E6" s="152">
        <v>1700.0147100357233</v>
      </c>
      <c r="F6" s="152">
        <v>11168.300222873542</v>
      </c>
      <c r="G6" s="152">
        <v>53.183799293048246</v>
      </c>
      <c r="H6" s="152">
        <v>350892.12230396114</v>
      </c>
    </row>
    <row r="7" spans="1:8" x14ac:dyDescent="0.35">
      <c r="A7" s="150">
        <v>2017</v>
      </c>
      <c r="B7" s="151">
        <v>7.6071308016877698E-2</v>
      </c>
      <c r="C7" s="152">
        <v>395.59756652115885</v>
      </c>
      <c r="D7" s="152">
        <v>73208.290487910112</v>
      </c>
      <c r="E7" s="152">
        <v>1564.0892882503078</v>
      </c>
      <c r="F7" s="152">
        <v>12739.695832076195</v>
      </c>
      <c r="G7" s="152">
        <v>33.33266562440447</v>
      </c>
      <c r="H7" s="152">
        <v>546343.46653227648</v>
      </c>
    </row>
  </sheetData>
  <mergeCells count="5">
    <mergeCell ref="A1:A2"/>
    <mergeCell ref="B1:B2"/>
    <mergeCell ref="C1:D1"/>
    <mergeCell ref="E1:F1"/>
    <mergeCell ref="G1:H1"/>
  </mergeCells>
  <pageMargins left="0.70866141732283472" right="0.70866141732283472" top="0.74803149606299213" bottom="0.74803149606299213" header="0.31496062992125984" footer="0.31496062992125984"/>
  <pageSetup paperSize="9" scale="110" orientation="landscape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3"/>
  <sheetViews>
    <sheetView showGridLines="0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22" sqref="H22"/>
    </sheetView>
  </sheetViews>
  <sheetFormatPr defaultColWidth="8.81640625" defaultRowHeight="14.5" x14ac:dyDescent="0.35"/>
  <cols>
    <col min="1" max="1" width="10.453125" customWidth="1"/>
    <col min="2" max="2" width="11.36328125" customWidth="1"/>
    <col min="3" max="3" width="12.453125" customWidth="1"/>
    <col min="4" max="4" width="2.1796875" customWidth="1"/>
    <col min="5" max="5" width="11.1796875" customWidth="1"/>
    <col min="6" max="6" width="14.453125" bestFit="1" customWidth="1"/>
    <col min="7" max="7" width="1.453125" customWidth="1"/>
    <col min="8" max="8" width="22.453125" customWidth="1"/>
    <col min="9" max="9" width="17" customWidth="1"/>
  </cols>
  <sheetData>
    <row r="1" spans="1:13" ht="15.5" x14ac:dyDescent="0.35">
      <c r="A1" s="476" t="s">
        <v>51</v>
      </c>
      <c r="B1" s="477" t="s">
        <v>1</v>
      </c>
      <c r="C1" s="477"/>
      <c r="D1" s="414"/>
      <c r="E1" s="477" t="s">
        <v>2</v>
      </c>
      <c r="F1" s="477"/>
      <c r="G1" s="414"/>
      <c r="H1" s="415" t="s">
        <v>3</v>
      </c>
      <c r="I1" s="475" t="s">
        <v>3</v>
      </c>
    </row>
    <row r="2" spans="1:13" ht="15.5" x14ac:dyDescent="0.35">
      <c r="A2" s="476"/>
      <c r="B2" s="477" t="s">
        <v>4</v>
      </c>
      <c r="C2" s="477"/>
      <c r="D2" s="414"/>
      <c r="E2" s="477" t="s">
        <v>5</v>
      </c>
      <c r="F2" s="477"/>
      <c r="G2" s="414"/>
      <c r="H2" s="475" t="s">
        <v>67</v>
      </c>
      <c r="I2" s="475"/>
    </row>
    <row r="3" spans="1:13" ht="29" x14ac:dyDescent="0.35">
      <c r="A3" s="476"/>
      <c r="B3" s="416" t="s">
        <v>6</v>
      </c>
      <c r="C3" s="416" t="s">
        <v>7</v>
      </c>
      <c r="D3" s="416"/>
      <c r="E3" s="417" t="s">
        <v>65</v>
      </c>
      <c r="F3" s="417" t="s">
        <v>66</v>
      </c>
      <c r="G3" s="416"/>
      <c r="H3" s="475"/>
      <c r="I3" s="475"/>
      <c r="J3" s="97" t="s">
        <v>68</v>
      </c>
      <c r="K3" s="97" t="s">
        <v>69</v>
      </c>
    </row>
    <row r="4" spans="1:13" ht="15.5" x14ac:dyDescent="0.35">
      <c r="A4" s="85">
        <v>2005</v>
      </c>
      <c r="B4" s="86">
        <v>3.59</v>
      </c>
      <c r="C4" s="87">
        <f>B4/100</f>
        <v>3.5900000000000001E-2</v>
      </c>
      <c r="D4" s="88"/>
      <c r="E4" s="98">
        <v>88.008847353406722</v>
      </c>
      <c r="F4" s="89"/>
      <c r="G4" s="90"/>
      <c r="H4" s="91">
        <f t="shared" ref="H4:H6" si="0">IF((C4-F4)&gt;0,C4-F4,0)</f>
        <v>3.5900000000000001E-2</v>
      </c>
      <c r="I4" s="92"/>
      <c r="J4" s="92"/>
      <c r="K4" s="92"/>
      <c r="L4" s="92"/>
    </row>
    <row r="5" spans="1:13" ht="15.5" x14ac:dyDescent="0.35">
      <c r="A5" s="85">
        <v>2006</v>
      </c>
      <c r="B5" s="86">
        <v>4.12</v>
      </c>
      <c r="C5" s="87">
        <f t="shared" ref="C5:C14" si="1">B5/100</f>
        <v>4.1200000000000001E-2</v>
      </c>
      <c r="D5" s="88"/>
      <c r="E5" s="98">
        <v>93.817431278731576</v>
      </c>
      <c r="F5" s="87">
        <f>(E5/E4*100-100)/100</f>
        <v>6.6000000000000086E-2</v>
      </c>
      <c r="G5" s="90"/>
      <c r="H5" s="91">
        <f>IF((C5-F5)&gt;0,C5-F5,0)</f>
        <v>0</v>
      </c>
      <c r="I5" s="92"/>
      <c r="J5" s="92"/>
      <c r="K5" s="92"/>
      <c r="L5" s="92"/>
    </row>
    <row r="6" spans="1:13" ht="15.5" x14ac:dyDescent="0.35">
      <c r="A6" s="85">
        <v>2007</v>
      </c>
      <c r="B6" s="86">
        <v>4.22</v>
      </c>
      <c r="C6" s="87">
        <f t="shared" si="1"/>
        <v>4.2199999999999994E-2</v>
      </c>
      <c r="D6" s="88"/>
      <c r="E6" s="98">
        <v>100</v>
      </c>
      <c r="F6" s="87">
        <f t="shared" ref="F6:F14" si="2">(E6/E5*100-100)/100</f>
        <v>6.5900000000000028E-2</v>
      </c>
      <c r="G6" s="90"/>
      <c r="H6" s="91">
        <f t="shared" si="0"/>
        <v>0</v>
      </c>
      <c r="I6" s="92"/>
      <c r="J6" s="92"/>
      <c r="K6" s="92"/>
      <c r="L6" s="92"/>
    </row>
    <row r="7" spans="1:13" ht="15.5" x14ac:dyDescent="0.35">
      <c r="A7" s="85">
        <v>2008</v>
      </c>
      <c r="B7" s="86">
        <v>3.01</v>
      </c>
      <c r="C7" s="87">
        <f t="shared" si="1"/>
        <v>3.0099999999999998E-2</v>
      </c>
      <c r="D7" s="88"/>
      <c r="E7" s="98">
        <v>111.06</v>
      </c>
      <c r="F7" s="87">
        <f t="shared" si="2"/>
        <v>0.11060000000000002</v>
      </c>
      <c r="G7" s="90"/>
      <c r="H7" s="91">
        <f>IF((C7-F7)&gt;0,C7-F7,0)</f>
        <v>0</v>
      </c>
      <c r="I7" s="93">
        <v>0</v>
      </c>
      <c r="J7" s="94">
        <f>AVERAGE(C5:C7)</f>
        <v>3.7833333333333337E-2</v>
      </c>
      <c r="K7" s="94">
        <f>AVERAGE(F5:F7)</f>
        <v>8.0833333333333382E-2</v>
      </c>
      <c r="L7" s="95">
        <f>(IF((J7-K7)&gt;0,J7-K7,0))</f>
        <v>0</v>
      </c>
      <c r="M7" s="83"/>
    </row>
    <row r="8" spans="1:13" ht="15.5" x14ac:dyDescent="0.35">
      <c r="A8" s="85">
        <v>2009</v>
      </c>
      <c r="B8" s="86">
        <v>11.17</v>
      </c>
      <c r="C8" s="87">
        <f t="shared" si="1"/>
        <v>0.11169999999999999</v>
      </c>
      <c r="D8" s="88"/>
      <c r="E8" s="98">
        <v>114.147468</v>
      </c>
      <c r="F8" s="87">
        <f t="shared" si="2"/>
        <v>2.7800000000000012E-2</v>
      </c>
      <c r="G8" s="90"/>
      <c r="H8" s="91">
        <f>IF((C8-F8)&gt;0,C8-F8,0)</f>
        <v>8.3899999999999975E-2</v>
      </c>
      <c r="I8" s="93">
        <v>0</v>
      </c>
      <c r="J8" s="94">
        <f t="shared" ref="J8:J14" si="3">AVERAGE(C6:C8)</f>
        <v>6.133333333333333E-2</v>
      </c>
      <c r="K8" s="94">
        <f t="shared" ref="K8:K14" si="4">AVERAGE(F6:F8)</f>
        <v>6.8100000000000022E-2</v>
      </c>
      <c r="L8" s="95">
        <f t="shared" ref="L8:L14" si="5">(IF((J8-K8)&gt;0,J8-K8,0))</f>
        <v>0</v>
      </c>
      <c r="M8" s="83"/>
    </row>
    <row r="9" spans="1:13" ht="15.5" x14ac:dyDescent="0.35">
      <c r="A9" s="85">
        <v>2010</v>
      </c>
      <c r="B9" s="86">
        <v>8.4499999999999993</v>
      </c>
      <c r="C9" s="87">
        <f t="shared" si="1"/>
        <v>8.4499999999999992E-2</v>
      </c>
      <c r="D9" s="88"/>
      <c r="E9" s="98">
        <v>122.09213177279999</v>
      </c>
      <c r="F9" s="87">
        <f t="shared" si="2"/>
        <v>6.959999999999994E-2</v>
      </c>
      <c r="G9" s="90"/>
      <c r="H9" s="91">
        <f t="shared" ref="H9:H14" si="6">IF((C9-F9)&gt;0,C9-F9,0)</f>
        <v>1.4900000000000052E-2</v>
      </c>
      <c r="I9" s="93">
        <f>(AVERAGE(B7:B9)-AVERAGE(F7:F9))</f>
        <v>7.4739999999999993</v>
      </c>
      <c r="J9" s="94">
        <f t="shared" si="3"/>
        <v>7.5433333333333324E-2</v>
      </c>
      <c r="K9" s="94">
        <f t="shared" si="4"/>
        <v>6.9333333333333316E-2</v>
      </c>
      <c r="L9" s="95">
        <f t="shared" si="5"/>
        <v>6.1000000000000082E-3</v>
      </c>
      <c r="M9" s="83"/>
    </row>
    <row r="10" spans="1:13" ht="15.5" x14ac:dyDescent="0.35">
      <c r="A10" s="85">
        <v>2011</v>
      </c>
      <c r="B10" s="86">
        <v>7.35</v>
      </c>
      <c r="C10" s="87">
        <f t="shared" si="1"/>
        <v>7.3499999999999996E-2</v>
      </c>
      <c r="D10" s="88"/>
      <c r="E10" s="98">
        <v>127.4</v>
      </c>
      <c r="F10" s="87">
        <f t="shared" si="2"/>
        <v>4.3474285771972349E-2</v>
      </c>
      <c r="G10" s="90"/>
      <c r="H10" s="91">
        <f t="shared" si="6"/>
        <v>3.0025714228027647E-2</v>
      </c>
      <c r="I10" s="93">
        <f t="shared" ref="I10:I14" si="7">AVERAGE(B8:B10)-AVERAGE(F8:F10)</f>
        <v>8.9430419047426764</v>
      </c>
      <c r="J10" s="94">
        <f t="shared" si="3"/>
        <v>8.9899999999999994E-2</v>
      </c>
      <c r="K10" s="94">
        <f t="shared" si="4"/>
        <v>4.6958095257324105E-2</v>
      </c>
      <c r="L10" s="95">
        <f t="shared" si="5"/>
        <v>4.2941904742675889E-2</v>
      </c>
      <c r="M10" s="83"/>
    </row>
    <row r="11" spans="1:13" ht="15.5" x14ac:dyDescent="0.35">
      <c r="A11" s="127">
        <v>2012</v>
      </c>
      <c r="B11" s="128">
        <f>AVERAGE('2012'!I7:I252)*100</f>
        <v>6.6462195121951213</v>
      </c>
      <c r="C11" s="143">
        <f t="shared" si="1"/>
        <v>6.6462195121951215E-2</v>
      </c>
      <c r="D11" s="88"/>
      <c r="E11" s="98">
        <v>132.9</v>
      </c>
      <c r="F11" s="87">
        <f t="shared" si="2"/>
        <v>4.3171114599686006E-2</v>
      </c>
      <c r="G11" s="88"/>
      <c r="H11" s="91">
        <f t="shared" si="6"/>
        <v>2.3291080522265209E-2</v>
      </c>
      <c r="I11" s="93">
        <f t="shared" si="7"/>
        <v>7.4299913706078202</v>
      </c>
      <c r="J11" s="94">
        <f t="shared" si="3"/>
        <v>7.4820731707317067E-2</v>
      </c>
      <c r="K11" s="94">
        <f t="shared" si="4"/>
        <v>5.20818001238861E-2</v>
      </c>
      <c r="L11" s="95">
        <f t="shared" si="5"/>
        <v>2.2738931583430967E-2</v>
      </c>
      <c r="M11" s="83"/>
    </row>
    <row r="12" spans="1:13" ht="15.5" x14ac:dyDescent="0.35">
      <c r="A12" s="127">
        <v>2013</v>
      </c>
      <c r="B12" s="128">
        <f>AVERAGE('2013'!I7:I251)*100</f>
        <v>7.5548571428571414</v>
      </c>
      <c r="C12" s="143">
        <f t="shared" si="1"/>
        <v>7.5548571428571409E-2</v>
      </c>
      <c r="D12" s="88"/>
      <c r="E12" s="98">
        <v>144.03701999999998</v>
      </c>
      <c r="F12" s="87">
        <f t="shared" si="2"/>
        <v>8.3799999999999819E-2</v>
      </c>
      <c r="G12" s="88"/>
      <c r="H12" s="91">
        <f t="shared" si="6"/>
        <v>0</v>
      </c>
      <c r="I12" s="93">
        <f t="shared" si="7"/>
        <v>7.1268770848935343</v>
      </c>
      <c r="J12" s="94">
        <f t="shared" si="3"/>
        <v>7.183692218350754E-2</v>
      </c>
      <c r="K12" s="94">
        <f t="shared" si="4"/>
        <v>5.6815133457219391E-2</v>
      </c>
      <c r="L12" s="95">
        <f t="shared" si="5"/>
        <v>1.5021788726288149E-2</v>
      </c>
      <c r="M12" s="83"/>
    </row>
    <row r="13" spans="1:13" ht="15.5" x14ac:dyDescent="0.35">
      <c r="A13" s="127">
        <v>2014</v>
      </c>
      <c r="B13" s="128">
        <f>AVERAGE('2014'!I7:I249)*100</f>
        <v>8.6841975308641999</v>
      </c>
      <c r="C13" s="160">
        <f t="shared" si="1"/>
        <v>8.6841975308642003E-2</v>
      </c>
      <c r="D13" s="88"/>
      <c r="E13" s="98">
        <v>156.07851487199997</v>
      </c>
      <c r="F13" s="87">
        <f t="shared" si="2"/>
        <v>8.3599999999999855E-2</v>
      </c>
      <c r="G13" s="88"/>
      <c r="H13" s="91">
        <f t="shared" si="6"/>
        <v>3.2419753086421477E-3</v>
      </c>
      <c r="I13" s="93">
        <v>0</v>
      </c>
      <c r="J13" s="94">
        <f t="shared" si="3"/>
        <v>7.6284247286388218E-2</v>
      </c>
      <c r="K13" s="94">
        <f t="shared" si="4"/>
        <v>7.019037153322856E-2</v>
      </c>
      <c r="L13" s="95">
        <f t="shared" si="5"/>
        <v>6.0938757531596582E-3</v>
      </c>
      <c r="M13" s="83"/>
    </row>
    <row r="14" spans="1:13" x14ac:dyDescent="0.35">
      <c r="A14" s="127">
        <v>2015</v>
      </c>
      <c r="B14" s="129">
        <f>AVERAGE('2015'!I7:I248)*100</f>
        <v>8.4721074380165273</v>
      </c>
      <c r="C14" s="161">
        <f t="shared" si="1"/>
        <v>8.4721074380165268E-2</v>
      </c>
      <c r="D14" s="92"/>
      <c r="E14" s="75">
        <v>161.30714512021194</v>
      </c>
      <c r="F14" s="87">
        <f t="shared" si="2"/>
        <v>3.3499999999999801E-2</v>
      </c>
      <c r="G14" s="92"/>
      <c r="H14" s="96">
        <f t="shared" si="6"/>
        <v>5.1221074380165467E-2</v>
      </c>
      <c r="I14" s="93">
        <f t="shared" si="7"/>
        <v>8.1700873705792905</v>
      </c>
      <c r="J14" s="94">
        <f t="shared" si="3"/>
        <v>8.2370540372459569E-2</v>
      </c>
      <c r="K14" s="94">
        <f t="shared" si="4"/>
        <v>6.6966666666666494E-2</v>
      </c>
      <c r="L14" s="95">
        <f t="shared" si="5"/>
        <v>1.5403873705793075E-2</v>
      </c>
      <c r="M14" s="83"/>
    </row>
    <row r="15" spans="1:13" x14ac:dyDescent="0.35">
      <c r="A15" s="127">
        <v>2016</v>
      </c>
      <c r="B15" s="129">
        <f>AVERAGE('2016'!I7:I252)*100</f>
        <v>7.9230487804878074</v>
      </c>
      <c r="C15" s="161">
        <f t="shared" ref="C15:C16" si="8">B15/100</f>
        <v>7.9230487804878069E-2</v>
      </c>
      <c r="D15" s="92"/>
      <c r="E15" s="75">
        <v>166.17862090284234</v>
      </c>
      <c r="F15" s="87">
        <f>(E15/E14*100-100)/100</f>
        <v>3.019999999999996E-2</v>
      </c>
      <c r="G15" s="92"/>
      <c r="H15" s="96">
        <f t="shared" ref="H15:H20" si="9">IF((C15-F15)&gt;0,C15-F15,0)</f>
        <v>4.9030487804878106E-2</v>
      </c>
      <c r="I15" s="93">
        <f t="shared" ref="I15:I20" si="10">AVERAGE(B13:B15)-AVERAGE(F13:F15)</f>
        <v>8.3106845831228444</v>
      </c>
      <c r="J15" s="94">
        <f t="shared" ref="J15:J20" si="11">AVERAGE(C13:C15)</f>
        <v>8.3597845831228437E-2</v>
      </c>
      <c r="K15" s="94">
        <f t="shared" ref="K15:K16" si="12">AVERAGE(F13:F15)</f>
        <v>4.9099999999999866E-2</v>
      </c>
      <c r="L15" s="95">
        <f t="shared" ref="L15:L16" si="13">(IF((J15-K15)&gt;0,J15-K15,0))</f>
        <v>3.4497845831228571E-2</v>
      </c>
      <c r="M15" s="83"/>
    </row>
    <row r="16" spans="1:13" x14ac:dyDescent="0.35">
      <c r="A16" s="127">
        <v>2017</v>
      </c>
      <c r="B16" s="130">
        <f>AVERAGE('2017'!I7:I244)*100</f>
        <v>7.6071308016877701</v>
      </c>
      <c r="C16" s="161">
        <f t="shared" si="8"/>
        <v>7.6071308016877698E-2</v>
      </c>
      <c r="D16" s="92"/>
      <c r="E16" s="75">
        <f>((F16+100)/100)*E15</f>
        <v>166.23861138498827</v>
      </c>
      <c r="F16" s="96">
        <v>3.61E-2</v>
      </c>
      <c r="G16" s="92"/>
      <c r="H16" s="96">
        <f t="shared" si="9"/>
        <v>3.9971308016877698E-2</v>
      </c>
      <c r="I16" s="93">
        <f t="shared" si="10"/>
        <v>7.9674956733973668</v>
      </c>
      <c r="J16" s="94">
        <f t="shared" si="11"/>
        <v>8.000762340064034E-2</v>
      </c>
      <c r="K16" s="94">
        <f t="shared" si="12"/>
        <v>3.3266666666666583E-2</v>
      </c>
      <c r="L16" s="95">
        <f t="shared" si="13"/>
        <v>4.6740956733973757E-2</v>
      </c>
    </row>
    <row r="17" spans="1:12" x14ac:dyDescent="0.35">
      <c r="A17" s="127">
        <v>2018</v>
      </c>
      <c r="B17" s="170">
        <f>AVERAGE('2018'!I7:I243)*100</f>
        <v>7.9443459915611818</v>
      </c>
      <c r="C17" s="161">
        <f t="shared" ref="C17" si="14">B17/100</f>
        <v>7.9443459915611817E-2</v>
      </c>
      <c r="D17" s="92"/>
      <c r="E17" s="75"/>
      <c r="F17" s="96"/>
      <c r="G17" s="92"/>
      <c r="H17" s="96">
        <f t="shared" si="9"/>
        <v>7.9443459915611817E-2</v>
      </c>
      <c r="I17" s="93">
        <f t="shared" si="10"/>
        <v>7.7916918579122534</v>
      </c>
      <c r="J17" s="94">
        <f t="shared" si="11"/>
        <v>7.8248418579122528E-2</v>
      </c>
      <c r="K17" s="94"/>
      <c r="L17" s="95"/>
    </row>
    <row r="18" spans="1:12" x14ac:dyDescent="0.35">
      <c r="A18" s="127">
        <v>2019</v>
      </c>
      <c r="B18" s="170">
        <f>AVERAGE('2019'!I7:I251)*100</f>
        <v>8.0219834710743836</v>
      </c>
      <c r="C18" s="161">
        <f t="shared" ref="C18" si="15">B18/100</f>
        <v>8.0219834710743843E-2</v>
      </c>
      <c r="D18" s="92"/>
      <c r="E18" s="75"/>
      <c r="F18" s="96"/>
      <c r="G18" s="92"/>
      <c r="H18" s="96">
        <f t="shared" si="9"/>
        <v>8.0219834710743843E-2</v>
      </c>
      <c r="I18" s="93">
        <f t="shared" si="10"/>
        <v>7.8217200881077789</v>
      </c>
      <c r="J18" s="94">
        <f t="shared" si="11"/>
        <v>7.8578200881077795E-2</v>
      </c>
      <c r="K18" s="94"/>
      <c r="L18" s="95"/>
    </row>
    <row r="19" spans="1:12" x14ac:dyDescent="0.35">
      <c r="A19" s="127">
        <v>2020</v>
      </c>
      <c r="B19" s="170">
        <f>AVERAGE('2020'!I7:I248)*100</f>
        <v>7.4857438016528874</v>
      </c>
      <c r="C19" s="161">
        <f t="shared" ref="C19" si="16">B19/100</f>
        <v>7.4857438016528874E-2</v>
      </c>
      <c r="D19" s="92"/>
      <c r="E19" s="75"/>
      <c r="F19" s="96"/>
      <c r="G19" s="92"/>
      <c r="H19" s="96">
        <f t="shared" si="9"/>
        <v>7.4857438016528874E-2</v>
      </c>
      <c r="I19" s="93" t="e">
        <f t="shared" si="10"/>
        <v>#DIV/0!</v>
      </c>
      <c r="J19" s="94">
        <f t="shared" si="11"/>
        <v>7.8173577547628173E-2</v>
      </c>
      <c r="K19" s="94"/>
      <c r="L19" s="95"/>
    </row>
    <row r="20" spans="1:12" x14ac:dyDescent="0.35">
      <c r="A20" s="127">
        <v>2021</v>
      </c>
      <c r="B20" s="170">
        <f>AVERAGE('2021'!I7:I252)*100</f>
        <v>7.0489837398374044</v>
      </c>
      <c r="C20" s="161">
        <f t="shared" ref="C20" si="17">B20/100</f>
        <v>7.0489837398374042E-2</v>
      </c>
      <c r="D20" s="92"/>
      <c r="E20" s="75"/>
      <c r="F20" s="96"/>
      <c r="G20" s="92"/>
      <c r="H20" s="96">
        <f t="shared" si="9"/>
        <v>7.0489837398374042E-2</v>
      </c>
      <c r="I20" s="93" t="e">
        <f t="shared" si="10"/>
        <v>#DIV/0!</v>
      </c>
      <c r="J20" s="94">
        <f t="shared" si="11"/>
        <v>7.5189036708548929E-2</v>
      </c>
      <c r="K20" s="94"/>
      <c r="L20" s="95"/>
    </row>
    <row r="21" spans="1:12" x14ac:dyDescent="0.35">
      <c r="A21" s="127">
        <v>2022</v>
      </c>
      <c r="B21" s="170">
        <f>AVERAGE('2022'!I7:I252)*100</f>
        <v>7.2128455284552935</v>
      </c>
      <c r="C21" s="161">
        <f>B21/100</f>
        <v>7.2128455284552931E-2</v>
      </c>
      <c r="D21" s="92"/>
      <c r="E21" s="75"/>
      <c r="F21" s="96"/>
      <c r="G21" s="92"/>
      <c r="H21" s="96">
        <f t="shared" ref="H21:H22" si="18">IF((C21-F21)&gt;0,C21-F21,0)</f>
        <v>7.2128455284552931E-2</v>
      </c>
      <c r="I21" s="93" t="e">
        <f t="shared" ref="I21:I22" si="19">AVERAGE(B19:B21)-AVERAGE(F19:F21)</f>
        <v>#DIV/0!</v>
      </c>
      <c r="J21" s="94">
        <f t="shared" ref="J21:J22" si="20">AVERAGE(C19:C21)</f>
        <v>7.2491910233151949E-2</v>
      </c>
      <c r="K21" s="94"/>
      <c r="L21" s="95"/>
    </row>
    <row r="22" spans="1:12" x14ac:dyDescent="0.35">
      <c r="A22" s="127">
        <v>2023</v>
      </c>
      <c r="B22" s="170">
        <f>AVERAGE('2023'!I7:I245)*100</f>
        <v>6.8520502092050171</v>
      </c>
      <c r="C22" s="161">
        <f t="shared" ref="C22" si="21">B22/100</f>
        <v>6.852050209205017E-2</v>
      </c>
      <c r="D22" s="92"/>
      <c r="E22" s="75"/>
      <c r="F22" s="96"/>
      <c r="G22" s="92"/>
      <c r="H22" s="96">
        <f t="shared" si="18"/>
        <v>6.852050209205017E-2</v>
      </c>
      <c r="I22" s="93" t="e">
        <f t="shared" si="19"/>
        <v>#DIV/0!</v>
      </c>
      <c r="J22" s="94">
        <f t="shared" si="20"/>
        <v>7.0379598258325723E-2</v>
      </c>
      <c r="K22" s="94"/>
      <c r="L22" s="95"/>
    </row>
    <row r="23" spans="1:12" x14ac:dyDescent="0.35">
      <c r="A23" s="127">
        <v>2024</v>
      </c>
      <c r="B23" s="170">
        <f>AVERAGE('2024'!I7:I243)*100</f>
        <v>6.9594936708860811</v>
      </c>
      <c r="C23" s="161">
        <f>B23/100</f>
        <v>6.9594936708860813E-2</v>
      </c>
      <c r="D23" s="92"/>
      <c r="E23" s="75"/>
      <c r="F23" s="96"/>
      <c r="G23" s="92"/>
      <c r="H23" s="96">
        <f t="shared" ref="H23" si="22">IF((C23-F23)&gt;0,C23-F23,0)</f>
        <v>6.9594936708860813E-2</v>
      </c>
      <c r="I23" s="93" t="e">
        <f t="shared" ref="I23" si="23">AVERAGE(B21:B23)-AVERAGE(F21:F23)</f>
        <v>#DIV/0!</v>
      </c>
      <c r="J23" s="94">
        <f t="shared" ref="J23" si="24">AVERAGE(C21:C23)</f>
        <v>7.0081298028487962E-2</v>
      </c>
      <c r="K23" s="94"/>
      <c r="L23" s="95"/>
    </row>
  </sheetData>
  <mergeCells count="7">
    <mergeCell ref="I1:I3"/>
    <mergeCell ref="A1:A3"/>
    <mergeCell ref="H2:H3"/>
    <mergeCell ref="B1:C1"/>
    <mergeCell ref="E1:F1"/>
    <mergeCell ref="B2:C2"/>
    <mergeCell ref="E2:F2"/>
  </mergeCells>
  <pageMargins left="0.70866141732283472" right="0.70866141732283472" top="0.74803149606299213" bottom="0.74803149606299213" header="0.31496062992125984" footer="0.31496062992125984"/>
  <pageSetup scale="95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3"/>
  <sheetViews>
    <sheetView workbookViewId="0">
      <pane ySplit="2" topLeftCell="A6" activePane="bottomLeft" state="frozen"/>
      <selection pane="bottomLeft" activeCell="E19" sqref="E19"/>
    </sheetView>
  </sheetViews>
  <sheetFormatPr defaultColWidth="8.81640625" defaultRowHeight="14.5" x14ac:dyDescent="0.35"/>
  <cols>
    <col min="1" max="1" width="9.453125" customWidth="1"/>
    <col min="2" max="2" width="13.36328125" bestFit="1" customWidth="1"/>
    <col min="3" max="3" width="14.36328125" bestFit="1" customWidth="1"/>
    <col min="4" max="4" width="12.453125" bestFit="1" customWidth="1"/>
    <col min="5" max="5" width="13.6328125" customWidth="1"/>
    <col min="6" max="6" width="1.1796875" customWidth="1"/>
    <col min="7" max="7" width="8" customWidth="1"/>
    <col min="8" max="8" width="13.36328125" customWidth="1"/>
    <col min="9" max="9" width="14.36328125" bestFit="1" customWidth="1"/>
    <col min="10" max="10" width="11.81640625" customWidth="1"/>
    <col min="11" max="11" width="14.453125" customWidth="1"/>
    <col min="12" max="12" width="1.81640625" customWidth="1"/>
    <col min="13" max="13" width="7.453125" customWidth="1"/>
    <col min="14" max="14" width="13.453125" customWidth="1"/>
    <col min="15" max="15" width="15.453125" bestFit="1" customWidth="1"/>
    <col min="16" max="16" width="10.453125" customWidth="1"/>
    <col min="17" max="17" width="13.36328125" customWidth="1"/>
  </cols>
  <sheetData>
    <row r="1" spans="1:17" x14ac:dyDescent="0.35">
      <c r="C1" s="8" t="s">
        <v>16</v>
      </c>
      <c r="I1" s="8" t="s">
        <v>18</v>
      </c>
      <c r="O1" s="8" t="s">
        <v>19</v>
      </c>
    </row>
    <row r="2" spans="1:17" ht="33.75" customHeight="1" x14ac:dyDescent="0.35">
      <c r="A2" s="5"/>
      <c r="B2" s="55" t="s">
        <v>56</v>
      </c>
      <c r="C2" s="54" t="s">
        <v>133</v>
      </c>
      <c r="D2" s="54" t="s">
        <v>134</v>
      </c>
      <c r="E2" s="54" t="s">
        <v>135</v>
      </c>
      <c r="G2" s="5"/>
      <c r="H2" s="55" t="s">
        <v>56</v>
      </c>
      <c r="I2" s="56" t="s">
        <v>57</v>
      </c>
      <c r="J2" s="54" t="s">
        <v>17</v>
      </c>
      <c r="K2" s="54" t="s">
        <v>59</v>
      </c>
      <c r="M2" s="5"/>
      <c r="N2" s="55" t="s">
        <v>56</v>
      </c>
      <c r="O2" s="57" t="s">
        <v>57</v>
      </c>
      <c r="P2" s="54" t="s">
        <v>17</v>
      </c>
      <c r="Q2" s="58" t="s">
        <v>59</v>
      </c>
    </row>
    <row r="3" spans="1:17" x14ac:dyDescent="0.35">
      <c r="A3" s="7">
        <v>2008</v>
      </c>
      <c r="B3" s="52">
        <v>1544955.2959805278</v>
      </c>
      <c r="C3" s="6">
        <f>B3*D3/1000</f>
        <v>769387.73739830276</v>
      </c>
      <c r="D3" s="6">
        <v>498</v>
      </c>
      <c r="E3" s="6">
        <f>$D$21*C3/D3*1000</f>
        <v>1006855.7975223074</v>
      </c>
      <c r="G3" s="7">
        <f>A3</f>
        <v>2008</v>
      </c>
      <c r="H3" s="52">
        <v>1461731.0777519946</v>
      </c>
      <c r="I3" s="6">
        <f>H3*J3/1000</f>
        <v>1249780.0714779554</v>
      </c>
      <c r="J3" s="6">
        <v>855</v>
      </c>
      <c r="K3" s="6">
        <f>$D$21*I3/J3*1000</f>
        <v>952618.12033147423</v>
      </c>
      <c r="M3" s="7">
        <f>A3</f>
        <v>2008</v>
      </c>
      <c r="N3" s="52">
        <v>1470923.4315979013</v>
      </c>
      <c r="O3" s="6">
        <f>N3*P3/1000</f>
        <v>30587852.760078359</v>
      </c>
      <c r="P3" s="6">
        <v>20795</v>
      </c>
      <c r="Q3" s="6">
        <f>$D$21*O3/P3*1000</f>
        <v>958608.82749737543</v>
      </c>
    </row>
    <row r="4" spans="1:17" x14ac:dyDescent="0.35">
      <c r="A4" s="7">
        <v>2009</v>
      </c>
      <c r="B4" s="52">
        <v>1682488.9100500946</v>
      </c>
      <c r="C4" s="6">
        <f t="shared" ref="C4:C10" si="0">B4*D4/1000</f>
        <v>765532.45407279301</v>
      </c>
      <c r="D4" s="6">
        <v>455</v>
      </c>
      <c r="E4" s="6">
        <f t="shared" ref="E4:E8" si="1">$D$21*C4/D4*1000</f>
        <v>1096487.2043600392</v>
      </c>
      <c r="G4" s="7">
        <f t="shared" ref="G4:G13" si="2">A4</f>
        <v>2009</v>
      </c>
      <c r="H4" s="52">
        <v>1604525.3031539049</v>
      </c>
      <c r="I4" s="6">
        <f t="shared" ref="I4:I10" si="3">H4*J4/1000</f>
        <v>840771.2588526461</v>
      </c>
      <c r="J4" s="6">
        <v>524</v>
      </c>
      <c r="K4" s="6">
        <f t="shared" ref="K4:K9" si="4">$D$21*I4/J4*1000</f>
        <v>1045677.8962827084</v>
      </c>
      <c r="M4" s="7">
        <f t="shared" ref="M4:M13" si="5">A4</f>
        <v>2009</v>
      </c>
      <c r="N4" s="52">
        <v>1607679.361053881</v>
      </c>
      <c r="O4" s="6">
        <f t="shared" ref="O4:O10" si="6">N4*P4/1000</f>
        <v>30687383.643796481</v>
      </c>
      <c r="P4" s="6">
        <v>19088</v>
      </c>
      <c r="Q4" s="6">
        <f t="shared" ref="Q4:Q9" si="7">$D$21*O4/P4*1000</f>
        <v>1047733.4130284509</v>
      </c>
    </row>
    <row r="5" spans="1:17" x14ac:dyDescent="0.35">
      <c r="A5" s="7">
        <v>2010</v>
      </c>
      <c r="B5" s="52">
        <v>1738682.9504650587</v>
      </c>
      <c r="C5" s="6">
        <f t="shared" si="0"/>
        <v>782407.32770927646</v>
      </c>
      <c r="D5" s="6">
        <v>450</v>
      </c>
      <c r="E5" s="6">
        <f t="shared" si="1"/>
        <v>1133109.1671606528</v>
      </c>
      <c r="G5" s="7">
        <f t="shared" si="2"/>
        <v>2010</v>
      </c>
      <c r="H5" s="52">
        <v>1677440.5614137156</v>
      </c>
      <c r="I5" s="6">
        <f t="shared" si="3"/>
        <v>739751.28758344857</v>
      </c>
      <c r="J5" s="6">
        <v>441</v>
      </c>
      <c r="K5" s="6">
        <f t="shared" si="4"/>
        <v>1093197.1680038571</v>
      </c>
      <c r="M5" s="7">
        <f t="shared" si="5"/>
        <v>2010</v>
      </c>
      <c r="N5" s="52">
        <v>1678680.4129210657</v>
      </c>
      <c r="O5" s="6">
        <f t="shared" si="6"/>
        <v>31816029.866092958</v>
      </c>
      <c r="P5" s="6">
        <v>18953</v>
      </c>
      <c r="Q5" s="6">
        <f t="shared" si="7"/>
        <v>1094005.1859973164</v>
      </c>
    </row>
    <row r="6" spans="1:17" x14ac:dyDescent="0.35">
      <c r="A6" s="7">
        <v>2011</v>
      </c>
      <c r="B6" s="52">
        <v>1875016.940173886</v>
      </c>
      <c r="C6" s="6">
        <f t="shared" si="0"/>
        <v>851257.69083894417</v>
      </c>
      <c r="D6" s="6">
        <v>454</v>
      </c>
      <c r="E6" s="6">
        <f t="shared" si="1"/>
        <v>1221958.7722558987</v>
      </c>
      <c r="G6" s="7">
        <f t="shared" si="2"/>
        <v>2011</v>
      </c>
      <c r="H6" s="52">
        <v>1800700.3094242427</v>
      </c>
      <c r="I6" s="6">
        <f t="shared" si="3"/>
        <v>1107430.6902959091</v>
      </c>
      <c r="J6" s="6">
        <v>615</v>
      </c>
      <c r="K6" s="6">
        <f t="shared" si="4"/>
        <v>1173526.2184355545</v>
      </c>
      <c r="M6" s="7">
        <f t="shared" si="5"/>
        <v>2011</v>
      </c>
      <c r="N6" s="52">
        <v>1803756.5826670902</v>
      </c>
      <c r="O6" s="6">
        <f t="shared" si="6"/>
        <v>29592430.495236281</v>
      </c>
      <c r="P6" s="6">
        <v>16406</v>
      </c>
      <c r="Q6" s="6">
        <f t="shared" si="7"/>
        <v>1175518.0083866161</v>
      </c>
    </row>
    <row r="7" spans="1:17" x14ac:dyDescent="0.35">
      <c r="A7" s="7">
        <v>2012</v>
      </c>
      <c r="B7" s="52">
        <v>1955917.7876752387</v>
      </c>
      <c r="C7" s="6">
        <f t="shared" si="0"/>
        <v>788234.86843312124</v>
      </c>
      <c r="D7" s="6">
        <v>403</v>
      </c>
      <c r="E7" s="6">
        <f t="shared" si="1"/>
        <v>1274682.2960647275</v>
      </c>
      <c r="G7" s="7">
        <f t="shared" si="2"/>
        <v>2012</v>
      </c>
      <c r="H7" s="52">
        <v>1878597.6171383571</v>
      </c>
      <c r="I7" s="6">
        <f t="shared" si="3"/>
        <v>986263.74899763754</v>
      </c>
      <c r="J7" s="6">
        <v>525</v>
      </c>
      <c r="K7" s="6">
        <f t="shared" si="4"/>
        <v>1224292.3189741194</v>
      </c>
      <c r="M7" s="7">
        <f t="shared" si="5"/>
        <v>2012</v>
      </c>
      <c r="N7" s="52">
        <v>1889325.579478502</v>
      </c>
      <c r="O7" s="6">
        <f t="shared" si="6"/>
        <v>26010345.252680536</v>
      </c>
      <c r="P7" s="6">
        <v>13767</v>
      </c>
      <c r="Q7" s="6">
        <f t="shared" si="7"/>
        <v>1231283.7905758398</v>
      </c>
    </row>
    <row r="8" spans="1:17" x14ac:dyDescent="0.35">
      <c r="A8" s="7">
        <v>2013</v>
      </c>
      <c r="B8" s="52">
        <v>2257861.4298748164</v>
      </c>
      <c r="C8" s="6">
        <f t="shared" si="0"/>
        <v>975396.13770592073</v>
      </c>
      <c r="D8" s="6">
        <v>432</v>
      </c>
      <c r="E8" s="6">
        <f t="shared" si="1"/>
        <v>1471460.6154533799</v>
      </c>
      <c r="G8" s="7">
        <f t="shared" si="2"/>
        <v>2013</v>
      </c>
      <c r="H8" s="52">
        <v>1975302.321979726</v>
      </c>
      <c r="I8" s="6">
        <f t="shared" si="3"/>
        <v>1035058.4167173763</v>
      </c>
      <c r="J8" s="6">
        <v>524</v>
      </c>
      <c r="K8" s="6">
        <f t="shared" si="4"/>
        <v>1287315.3028562642</v>
      </c>
      <c r="M8" s="7">
        <f t="shared" si="5"/>
        <v>2013</v>
      </c>
      <c r="N8" s="52">
        <v>1981675.4819236251</v>
      </c>
      <c r="O8" s="6">
        <f t="shared" si="6"/>
        <v>24828412.113021098</v>
      </c>
      <c r="P8" s="6">
        <v>12529</v>
      </c>
      <c r="Q8" s="6">
        <f t="shared" si="7"/>
        <v>1291468.7259713192</v>
      </c>
    </row>
    <row r="9" spans="1:17" x14ac:dyDescent="0.35">
      <c r="A9" s="7">
        <v>2014</v>
      </c>
      <c r="B9" s="125">
        <f>[2]Sheet1!B4</f>
        <v>2544638.3066988862</v>
      </c>
      <c r="C9" s="6">
        <f t="shared" si="0"/>
        <v>1160335.4792290071</v>
      </c>
      <c r="D9" s="124">
        <f>[2]Sheet1!D4</f>
        <v>455.992302</v>
      </c>
      <c r="E9" s="6">
        <f>$D$21*C9/D9*1000</f>
        <v>1658354.6710787243</v>
      </c>
      <c r="G9" s="7">
        <f t="shared" si="2"/>
        <v>2014</v>
      </c>
      <c r="H9" s="125">
        <f>[2]Sheet1!E4</f>
        <v>1830165.3108751574</v>
      </c>
      <c r="I9" s="6">
        <f t="shared" si="3"/>
        <v>959131.07413972204</v>
      </c>
      <c r="J9" s="124">
        <f>[2]Sheet1!G4</f>
        <v>524.06799999999998</v>
      </c>
      <c r="K9" s="6">
        <f t="shared" si="4"/>
        <v>1192728.7206775555</v>
      </c>
      <c r="M9" s="7">
        <f t="shared" si="5"/>
        <v>2014</v>
      </c>
      <c r="N9" s="125">
        <f>[2]Sheet1!H4</f>
        <v>2082476.1185298096</v>
      </c>
      <c r="O9" s="6">
        <f t="shared" si="6"/>
        <v>23133647.637985297</v>
      </c>
      <c r="P9" s="124">
        <f>[2]Sheet1!J4</f>
        <v>11108.721695361977</v>
      </c>
      <c r="Q9" s="6">
        <f t="shared" si="7"/>
        <v>1357161.0509369185</v>
      </c>
    </row>
    <row r="10" spans="1:17" x14ac:dyDescent="0.35">
      <c r="A10" s="7">
        <v>2015</v>
      </c>
      <c r="B10" s="125">
        <f>[2]Sheet1!B5</f>
        <v>3116120.1131154578</v>
      </c>
      <c r="C10" s="6">
        <f t="shared" si="0"/>
        <v>1223571.8066529336</v>
      </c>
      <c r="D10" s="124">
        <f>[2]Sheet1!D5</f>
        <v>392.65874300000002</v>
      </c>
      <c r="E10" s="261">
        <f>$D$23*C10/D10*1000</f>
        <v>1610404.9196600288</v>
      </c>
      <c r="G10" s="7">
        <f t="shared" si="2"/>
        <v>2015</v>
      </c>
      <c r="H10" s="125">
        <f>[2]Sheet1!E5</f>
        <v>2267644.7144483216</v>
      </c>
      <c r="I10" s="6">
        <f t="shared" si="3"/>
        <v>903851.27741796873</v>
      </c>
      <c r="J10" s="124">
        <f>[2]Sheet1!G5</f>
        <v>398.58593000000002</v>
      </c>
      <c r="K10" s="261">
        <f>$D$23*I10/J10*1000</f>
        <v>1171914.45503607</v>
      </c>
      <c r="M10" s="7">
        <f t="shared" si="5"/>
        <v>2015</v>
      </c>
      <c r="N10" s="125">
        <f>[2]Sheet1!H5</f>
        <v>2264231.2102817218</v>
      </c>
      <c r="O10" s="6">
        <f t="shared" si="6"/>
        <v>33250740.050856236</v>
      </c>
      <c r="P10" s="124">
        <f>[2]Sheet1!J5</f>
        <v>14685.222913572987</v>
      </c>
      <c r="Q10" s="261">
        <f>$D$23*O10/P10*1000</f>
        <v>1170150.3626058598</v>
      </c>
    </row>
    <row r="11" spans="1:17" x14ac:dyDescent="0.35">
      <c r="A11" s="7">
        <v>2016</v>
      </c>
      <c r="B11" s="125">
        <f>[2]Sheet1!B6</f>
        <v>3340763.7603995232</v>
      </c>
      <c r="C11" s="6">
        <f t="shared" ref="C11" si="8">B11*D11/1000</f>
        <v>837201.82264483173</v>
      </c>
      <c r="D11" s="124">
        <f>[2]Sheet1!D6</f>
        <v>250.601923</v>
      </c>
      <c r="E11" s="261">
        <f>$D$23*C11/D11*1000</f>
        <v>1726500.3272901732</v>
      </c>
      <c r="G11" s="7">
        <f t="shared" si="2"/>
        <v>2016</v>
      </c>
      <c r="H11" s="125">
        <f>[2]Sheet1!E6</f>
        <v>2308238.770570111</v>
      </c>
      <c r="I11" s="6">
        <f t="shared" ref="I11" si="9">H11*J11/1000</f>
        <v>687287.91780145816</v>
      </c>
      <c r="J11" s="124">
        <f>[2]Sheet1!G6</f>
        <v>297.754256</v>
      </c>
      <c r="K11" s="261">
        <f>$D$23*I11/J11*1000</f>
        <v>1192893.3856659699</v>
      </c>
      <c r="M11" s="7">
        <f t="shared" si="5"/>
        <v>2016</v>
      </c>
      <c r="N11" s="125">
        <f>[2]Sheet1!H6</f>
        <v>2307758.7860953487</v>
      </c>
      <c r="O11" s="6">
        <f t="shared" ref="O11" si="10">N11*P11/1000</f>
        <v>32434602.722747553</v>
      </c>
      <c r="P11" s="124">
        <f>[2]Sheet1!J6</f>
        <v>14054.589638298303</v>
      </c>
      <c r="Q11" s="261">
        <f>$D$23*O11/P11*1000</f>
        <v>1192645.3306066464</v>
      </c>
    </row>
    <row r="12" spans="1:17" x14ac:dyDescent="0.35">
      <c r="A12" s="7">
        <v>2017</v>
      </c>
      <c r="B12" s="125">
        <f>[2]Sheet1!B7</f>
        <v>3380519.1712025069</v>
      </c>
      <c r="C12" s="6">
        <f t="shared" ref="C12" si="11">B12*D12/1000</f>
        <v>1245110.4966923252</v>
      </c>
      <c r="D12" s="124">
        <f>[2]Sheet1!D7</f>
        <v>368.3193124</v>
      </c>
      <c r="E12" s="261">
        <f>$D$23*C12/D12*1000</f>
        <v>1747045.8476219366</v>
      </c>
      <c r="G12" s="7">
        <f t="shared" si="2"/>
        <v>2017</v>
      </c>
      <c r="H12" s="125">
        <f>[2]Sheet1!E7</f>
        <v>2325895.1173787126</v>
      </c>
      <c r="I12" s="6">
        <f t="shared" ref="I12" si="12">H12*J12/1000</f>
        <v>1007758.0575388402</v>
      </c>
      <c r="J12" s="124">
        <f>[2]Sheet1!G7</f>
        <v>433.27751540000008</v>
      </c>
      <c r="K12" s="261">
        <f t="shared" ref="K12:K15" si="13">$D$23*I12/J12*1000</f>
        <v>1202018.1519559855</v>
      </c>
      <c r="M12" s="7">
        <f t="shared" si="5"/>
        <v>2017</v>
      </c>
      <c r="N12" s="125">
        <f>[2]Sheet1!H7</f>
        <v>2328675.9179965425</v>
      </c>
      <c r="O12" s="6">
        <f t="shared" ref="O12" si="14">N12*P12/1000</f>
        <v>31826571.638973046</v>
      </c>
      <c r="P12" s="124">
        <f>[2]Sheet1!J7</f>
        <v>13667.239564342117</v>
      </c>
      <c r="Q12" s="261">
        <f t="shared" ref="Q12:Q15" si="15">$D$23*O12/P12*1000</f>
        <v>1203455.2644012659</v>
      </c>
    </row>
    <row r="13" spans="1:17" x14ac:dyDescent="0.35">
      <c r="A13" s="7">
        <v>2018</v>
      </c>
      <c r="B13" s="125">
        <f>[2]Sheet1!B8</f>
        <v>3559156.7853609156</v>
      </c>
      <c r="C13" s="6">
        <f t="shared" ref="C13" si="16">B13*D13/1000</f>
        <v>1351830.5878370106</v>
      </c>
      <c r="D13" s="124">
        <f>[2]Sheet1!D8</f>
        <v>379.81765608000001</v>
      </c>
      <c r="E13" s="261">
        <f t="shared" ref="E13:E15" si="17">$D$23*C13/D13*1000</f>
        <v>1839365.4252486841</v>
      </c>
      <c r="G13" s="7">
        <f t="shared" si="2"/>
        <v>2018</v>
      </c>
      <c r="H13" s="125">
        <f>[2]Sheet1!E8</f>
        <v>2402908.361405768</v>
      </c>
      <c r="I13" s="6">
        <f t="shared" ref="I13" si="18">H13*J13/1000</f>
        <v>1016995.7086857454</v>
      </c>
      <c r="J13" s="124">
        <f>[2]Sheet1!G8</f>
        <v>423.23532807999999</v>
      </c>
      <c r="K13" s="261">
        <f t="shared" si="13"/>
        <v>1241818.4492995152</v>
      </c>
      <c r="M13" s="7">
        <f t="shared" si="5"/>
        <v>2018</v>
      </c>
      <c r="N13" s="125">
        <f>[2]Sheet1!H8</f>
        <v>2402840.0226341393</v>
      </c>
      <c r="O13" s="6">
        <f t="shared" ref="O13" si="19">N13*P13/1000</f>
        <v>38574916.220389917</v>
      </c>
      <c r="P13" s="124">
        <f>[2]Sheet1!J8</f>
        <v>16053.884510422691</v>
      </c>
      <c r="Q13" s="261">
        <f t="shared" si="15"/>
        <v>1241783.1319529305</v>
      </c>
    </row>
    <row r="14" spans="1:17" x14ac:dyDescent="0.35">
      <c r="A14" s="7">
        <v>2019</v>
      </c>
      <c r="B14" s="125">
        <f>[2]Sheet1!B9</f>
        <v>3881085.7043578555</v>
      </c>
      <c r="C14" s="6">
        <f t="shared" ref="C14" si="20">B14*D14/1000</f>
        <v>1433975.7345694192</v>
      </c>
      <c r="D14" s="124">
        <f>[2]Sheet1!D9</f>
        <v>369.47798729600004</v>
      </c>
      <c r="E14" s="261">
        <f t="shared" si="17"/>
        <v>2005737.6753912442</v>
      </c>
      <c r="G14" s="7">
        <f t="shared" ref="G14" si="21">A14</f>
        <v>2019</v>
      </c>
      <c r="H14" s="125">
        <f>[2]Sheet1!E9</f>
        <v>2566968.6609276221</v>
      </c>
      <c r="I14" s="6">
        <f t="shared" ref="I14" si="22">H14*J14/1000</f>
        <v>1034664.9616155331</v>
      </c>
      <c r="J14" s="124">
        <f>[2]Sheet1!G9</f>
        <v>403.068793696</v>
      </c>
      <c r="K14" s="261">
        <f t="shared" si="13"/>
        <v>1326604.4985788364</v>
      </c>
      <c r="M14" s="7">
        <f t="shared" ref="M14" si="23">A14</f>
        <v>2019</v>
      </c>
      <c r="N14" s="125">
        <f>[2]Sheet1!H9</f>
        <v>2573854.8388449908</v>
      </c>
      <c r="O14" s="6">
        <f t="shared" ref="O14" si="24">N14*P14/1000</f>
        <v>39594102.65182326</v>
      </c>
      <c r="P14" s="124">
        <f>[2]Sheet1!J9</f>
        <v>15383.191800199183</v>
      </c>
      <c r="Q14" s="261">
        <f t="shared" si="15"/>
        <v>1330163.2621672843</v>
      </c>
    </row>
    <row r="15" spans="1:17" x14ac:dyDescent="0.35">
      <c r="A15" s="7">
        <v>2020</v>
      </c>
      <c r="B15" s="125">
        <f>[2]Sheet1!B10</f>
        <v>3933314.1129807672</v>
      </c>
      <c r="C15" s="6">
        <f>B15*D15/1000</f>
        <v>1385215.386867065</v>
      </c>
      <c r="D15" s="124">
        <f>[2]Sheet1!D10</f>
        <v>352.17512435520001</v>
      </c>
      <c r="E15" s="261">
        <f t="shared" si="17"/>
        <v>2032729.2171608778</v>
      </c>
      <c r="G15" s="7">
        <f t="shared" ref="G15" si="25">A15</f>
        <v>2020</v>
      </c>
      <c r="H15" s="125">
        <f>[2]Sheet1!E10</f>
        <v>2676850.24132794</v>
      </c>
      <c r="I15" s="6">
        <f t="shared" ref="I15" si="26">H15*J15/1000</f>
        <v>1047141.9608774522</v>
      </c>
      <c r="J15" s="124">
        <f>[2]Sheet1!G10</f>
        <v>391.18436463520004</v>
      </c>
      <c r="K15" s="261">
        <f t="shared" si="13"/>
        <v>1383391.0893498112</v>
      </c>
      <c r="M15" s="7">
        <f t="shared" ref="M15" si="27">A15</f>
        <v>2020</v>
      </c>
      <c r="N15" s="125">
        <f>[2]Sheet1!H10</f>
        <v>2669809.0847799391</v>
      </c>
      <c r="O15" s="6">
        <f t="shared" ref="O15" si="28">N15*P15/1000</f>
        <v>34948198.637125924</v>
      </c>
      <c r="P15" s="124">
        <f>[2]Sheet1!J10</f>
        <v>13090.148968463247</v>
      </c>
      <c r="Q15" s="261">
        <f t="shared" si="15"/>
        <v>1379752.2331012115</v>
      </c>
    </row>
    <row r="16" spans="1:17" x14ac:dyDescent="0.35">
      <c r="A16" s="7">
        <v>2021</v>
      </c>
      <c r="B16" s="125">
        <f>[2]Sheet1!B11</f>
        <v>3961315.889822375</v>
      </c>
      <c r="C16" s="6">
        <f>B16*D16/1000</f>
        <v>1363003.2357453934</v>
      </c>
      <c r="D16" s="124">
        <f>[2]Sheet1!D11</f>
        <v>344.07840062624001</v>
      </c>
      <c r="E16" s="261">
        <f>$D$23*C16/D16*1000</f>
        <v>2047200.4819221906</v>
      </c>
      <c r="G16" s="7">
        <f t="shared" ref="G16" si="29">A16</f>
        <v>2021</v>
      </c>
      <c r="H16" s="125">
        <f>[2]Sheet1!E11</f>
        <v>2745703.4078377495</v>
      </c>
      <c r="I16" s="6">
        <f t="shared" ref="I16" si="30">H16*J16/1000</f>
        <v>1070011.7424226205</v>
      </c>
      <c r="J16" s="124">
        <f>[2]Sheet1!G11</f>
        <v>389.70405156224007</v>
      </c>
      <c r="K16" s="261">
        <f t="shared" ref="K16" si="31">$D$23*I16/J16*1000</f>
        <v>1418974.2742260545</v>
      </c>
      <c r="M16" s="7">
        <f t="shared" ref="M16" si="32">A16</f>
        <v>2021</v>
      </c>
      <c r="N16" s="125">
        <f>[2]Sheet1!H11</f>
        <v>2761113.3421701016</v>
      </c>
      <c r="O16" s="6">
        <f t="shared" ref="O16" si="33">N16*P16/1000</f>
        <v>41600801.768397361</v>
      </c>
      <c r="P16" s="124">
        <f>[2]Sheet1!J11</f>
        <v>15066.676594920635</v>
      </c>
      <c r="Q16" s="261">
        <f t="shared" ref="Q16" si="34">$D$23*O16/P16*1000</f>
        <v>1426938.0988411615</v>
      </c>
    </row>
    <row r="17" spans="1:17" x14ac:dyDescent="0.35">
      <c r="A17" s="7" t="s">
        <v>132</v>
      </c>
      <c r="B17" s="125">
        <f>[2]Sheet1!B12</f>
        <v>4055822.6836181688</v>
      </c>
      <c r="C17" s="6">
        <f>B17*D17/1000</f>
        <v>1471345.7858712103</v>
      </c>
      <c r="D17" s="124">
        <f>[2]Sheet1!D12</f>
        <v>362.77369615148802</v>
      </c>
      <c r="E17" s="261">
        <f>$D$23*C17/D17*1000</f>
        <v>2096041.4123566344</v>
      </c>
      <c r="G17" s="7" t="str">
        <f t="shared" ref="G17:G19" si="35">A17</f>
        <v>2022*</v>
      </c>
      <c r="H17" s="125">
        <f>[2]Sheet1!E12</f>
        <v>2957681.5747709256</v>
      </c>
      <c r="I17" s="6">
        <f t="shared" ref="I17:I19" si="36">H17*J17/1000</f>
        <v>1207012.136146894</v>
      </c>
      <c r="J17" s="124">
        <f>[2]Sheet1!G12</f>
        <v>408.09401067468798</v>
      </c>
      <c r="K17" s="261">
        <f t="shared" ref="K17:K19" si="37">$D$23*I17/J17*1000</f>
        <v>1528524.1858141555</v>
      </c>
      <c r="M17" s="7" t="str">
        <f t="shared" ref="M17:M19" si="38">A17</f>
        <v>2022*</v>
      </c>
      <c r="N17" s="125">
        <f>[2]Sheet1!H12</f>
        <v>3007338.4382516029</v>
      </c>
      <c r="O17" s="6">
        <f t="shared" ref="O17:O19" si="39">N17*P17/1000</f>
        <v>39636298.204174772</v>
      </c>
      <c r="P17" s="124">
        <f>[2]Sheet1!J12</f>
        <v>13179.85953959289</v>
      </c>
      <c r="Q17" s="261">
        <f t="shared" ref="Q17:Q19" si="40">$D$23*O17/P17*1000</f>
        <v>1554186.7579684167</v>
      </c>
    </row>
    <row r="18" spans="1:17" x14ac:dyDescent="0.35">
      <c r="A18" s="7" t="s">
        <v>130</v>
      </c>
      <c r="B18" s="125">
        <f>'[3]LK PDB'!B13</f>
        <v>4226858.3032109262</v>
      </c>
      <c r="C18" s="6">
        <f t="shared" ref="C18:C19" si="41">B18*D18/1000</f>
        <v>1528704.902947146</v>
      </c>
      <c r="D18" s="124">
        <f>'[3]LK PDB'!D13</f>
        <v>361.66457290178562</v>
      </c>
      <c r="E18" s="261">
        <f t="shared" ref="E18:E19" si="42">$D$23*C18/D18*1000</f>
        <v>2184432.2937190025</v>
      </c>
      <c r="G18" s="7" t="str">
        <f t="shared" si="35"/>
        <v>2023**</v>
      </c>
      <c r="H18" s="125">
        <f>'[3]LK PDB'!E13</f>
        <v>3267035.2711039316</v>
      </c>
      <c r="I18" s="6">
        <f t="shared" si="36"/>
        <v>1316802.4471629485</v>
      </c>
      <c r="J18" s="124">
        <f>'[3]LK PDB'!G13</f>
        <v>403.05730972962556</v>
      </c>
      <c r="K18" s="261">
        <f t="shared" si="37"/>
        <v>1688397.5849148112</v>
      </c>
      <c r="M18" s="7" t="str">
        <f t="shared" si="38"/>
        <v>2023**</v>
      </c>
      <c r="N18" s="125">
        <f>'[3]LK PDB'!H13</f>
        <v>3272877.1084539029</v>
      </c>
      <c r="O18" s="6">
        <f t="shared" si="39"/>
        <v>38900711.477232188</v>
      </c>
      <c r="P18" s="124">
        <f>'[3]LK PDB'!J13</f>
        <v>11885.784338419222</v>
      </c>
      <c r="Q18" s="261">
        <f t="shared" si="40"/>
        <v>1691416.6352937268</v>
      </c>
    </row>
    <row r="19" spans="1:17" x14ac:dyDescent="0.35">
      <c r="A19" s="7" t="s">
        <v>131</v>
      </c>
      <c r="B19" s="125">
        <f>'[3]LK PDB'!B14</f>
        <v>4290053.5747032175</v>
      </c>
      <c r="C19" s="6">
        <f t="shared" si="41"/>
        <v>1535984.8539447011</v>
      </c>
      <c r="D19" s="124">
        <f>'[3]LK PDB'!D14</f>
        <v>358.03395626614275</v>
      </c>
      <c r="E19" s="261">
        <f t="shared" si="42"/>
        <v>2217091.4892622349</v>
      </c>
      <c r="G19" s="7" t="str">
        <f t="shared" si="35"/>
        <v>2024***</v>
      </c>
      <c r="H19" s="125">
        <f>'[3]LK PDB'!E14</f>
        <v>3330614.3649217673</v>
      </c>
      <c r="I19" s="6">
        <f t="shared" si="36"/>
        <v>1328987.4261175306</v>
      </c>
      <c r="J19" s="124">
        <f>'[3]LK PDB'!G14</f>
        <v>399.0217060595507</v>
      </c>
      <c r="K19" s="261">
        <f t="shared" si="37"/>
        <v>1721255.1391024136</v>
      </c>
      <c r="M19" s="7" t="str">
        <f t="shared" si="38"/>
        <v>2024***</v>
      </c>
      <c r="N19" s="125">
        <f>'[3]LK PDB'!H14</f>
        <v>3334392.2128417003</v>
      </c>
      <c r="O19" s="6">
        <f t="shared" si="39"/>
        <v>46742999.413812168</v>
      </c>
      <c r="P19" s="124">
        <f>'[3]LK PDB'!J14</f>
        <v>14018.446670368134</v>
      </c>
      <c r="Q19" s="261">
        <f t="shared" si="40"/>
        <v>1723207.523688098</v>
      </c>
    </row>
    <row r="21" spans="1:17" x14ac:dyDescent="0.35">
      <c r="A21" s="478" t="s">
        <v>58</v>
      </c>
      <c r="B21" s="478"/>
      <c r="C21" s="478"/>
      <c r="D21" s="99">
        <v>0.65170545720113682</v>
      </c>
      <c r="E21" s="100">
        <v>0.75943138311904612</v>
      </c>
    </row>
    <row r="22" spans="1:17" x14ac:dyDescent="0.35">
      <c r="D22" s="28"/>
    </row>
    <row r="23" spans="1:17" x14ac:dyDescent="0.35">
      <c r="A23" s="478" t="s">
        <v>114</v>
      </c>
      <c r="B23" s="478"/>
      <c r="C23" s="478"/>
      <c r="D23" s="260">
        <v>0.51679808903449687</v>
      </c>
    </row>
  </sheetData>
  <mergeCells count="2">
    <mergeCell ref="A21:C21"/>
    <mergeCell ref="A23:C23"/>
  </mergeCells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52"/>
  <sheetViews>
    <sheetView topLeftCell="A224" workbookViewId="0">
      <selection activeCell="A55" sqref="A55"/>
    </sheetView>
  </sheetViews>
  <sheetFormatPr defaultColWidth="0" defaultRowHeight="14.5" x14ac:dyDescent="0.35"/>
  <cols>
    <col min="1" max="1" width="12.453125" style="47" customWidth="1"/>
    <col min="2" max="9" width="10" style="47" customWidth="1"/>
    <col min="10" max="10" width="9.1796875" customWidth="1"/>
    <col min="11" max="16384" width="9.1796875" hidden="1"/>
  </cols>
  <sheetData>
    <row r="1" spans="1:9" x14ac:dyDescent="0.35">
      <c r="A1" s="480" t="s">
        <v>72</v>
      </c>
      <c r="B1" s="481"/>
      <c r="C1" s="481"/>
      <c r="D1" s="481"/>
      <c r="E1" s="481"/>
      <c r="F1" s="481"/>
      <c r="G1" s="481"/>
      <c r="H1" s="481"/>
      <c r="I1" s="481"/>
    </row>
    <row r="2" spans="1:9" x14ac:dyDescent="0.35">
      <c r="A2" s="482" t="s">
        <v>73</v>
      </c>
      <c r="B2" s="485" t="s">
        <v>74</v>
      </c>
      <c r="C2" s="485"/>
      <c r="D2" s="485" t="s">
        <v>75</v>
      </c>
      <c r="E2" s="485"/>
      <c r="F2" s="485" t="s">
        <v>76</v>
      </c>
      <c r="G2" s="485"/>
      <c r="H2" s="485" t="s">
        <v>77</v>
      </c>
      <c r="I2" s="485"/>
    </row>
    <row r="3" spans="1:9" x14ac:dyDescent="0.35">
      <c r="A3" s="483"/>
      <c r="B3" s="485" t="s">
        <v>95</v>
      </c>
      <c r="C3" s="485"/>
      <c r="D3" s="485" t="s">
        <v>92</v>
      </c>
      <c r="E3" s="485"/>
      <c r="F3" s="485" t="s">
        <v>93</v>
      </c>
      <c r="G3" s="485"/>
      <c r="H3" s="485" t="s">
        <v>96</v>
      </c>
      <c r="I3" s="485"/>
    </row>
    <row r="4" spans="1:9" x14ac:dyDescent="0.35">
      <c r="A4" s="483"/>
      <c r="B4" s="486">
        <v>6.25E-2</v>
      </c>
      <c r="C4" s="486"/>
      <c r="D4" s="486">
        <v>7.0000000000000007E-2</v>
      </c>
      <c r="E4" s="486"/>
      <c r="F4" s="486">
        <v>7.0000000000000007E-2</v>
      </c>
      <c r="G4" s="486"/>
      <c r="H4" s="486">
        <v>8.2500000000000004E-2</v>
      </c>
      <c r="I4" s="486"/>
    </row>
    <row r="5" spans="1:9" x14ac:dyDescent="0.35">
      <c r="A5" s="483"/>
      <c r="B5" s="479">
        <v>42840</v>
      </c>
      <c r="C5" s="479"/>
      <c r="D5" s="479">
        <v>44696</v>
      </c>
      <c r="E5" s="479"/>
      <c r="F5" s="479">
        <v>46522</v>
      </c>
      <c r="G5" s="479"/>
      <c r="H5" s="479">
        <v>11855</v>
      </c>
      <c r="I5" s="479"/>
    </row>
    <row r="6" spans="1:9" ht="29" x14ac:dyDescent="0.35">
      <c r="A6" s="484"/>
      <c r="B6" s="131" t="s">
        <v>82</v>
      </c>
      <c r="C6" s="132" t="s">
        <v>83</v>
      </c>
      <c r="D6" s="131" t="s">
        <v>82</v>
      </c>
      <c r="E6" s="132" t="s">
        <v>83</v>
      </c>
      <c r="F6" s="131" t="s">
        <v>82</v>
      </c>
      <c r="G6" s="132" t="s">
        <v>83</v>
      </c>
      <c r="H6" s="131" t="s">
        <v>82</v>
      </c>
      <c r="I6" s="132" t="s">
        <v>83</v>
      </c>
    </row>
    <row r="7" spans="1:9" x14ac:dyDescent="0.35">
      <c r="A7" s="133">
        <v>40910</v>
      </c>
      <c r="B7" s="134">
        <v>104.51</v>
      </c>
      <c r="C7" s="135">
        <v>5.2600000000000001E-2</v>
      </c>
      <c r="D7" s="134">
        <v>107.22</v>
      </c>
      <c r="E7" s="135">
        <v>6.0600000000000001E-2</v>
      </c>
      <c r="F7" s="134">
        <v>105.81</v>
      </c>
      <c r="G7" s="135">
        <v>6.4000000000000001E-2</v>
      </c>
      <c r="H7" s="134">
        <v>113.01</v>
      </c>
      <c r="I7" s="135">
        <v>7.0400000000000004E-2</v>
      </c>
    </row>
    <row r="8" spans="1:9" x14ac:dyDescent="0.35">
      <c r="A8" s="133">
        <v>40911</v>
      </c>
      <c r="B8" s="134">
        <v>104.25</v>
      </c>
      <c r="C8" s="135">
        <v>5.3200000000000004E-2</v>
      </c>
      <c r="D8" s="134">
        <v>107.3</v>
      </c>
      <c r="E8" s="135">
        <v>6.0500000000000005E-2</v>
      </c>
      <c r="F8" s="134">
        <v>105.73</v>
      </c>
      <c r="G8" s="135">
        <v>6.4100000000000004E-2</v>
      </c>
      <c r="H8" s="134">
        <v>112.98</v>
      </c>
      <c r="I8" s="135">
        <v>7.0500000000000007E-2</v>
      </c>
    </row>
    <row r="9" spans="1:9" x14ac:dyDescent="0.35">
      <c r="A9" s="133">
        <v>40912</v>
      </c>
      <c r="B9" s="134">
        <v>104.42</v>
      </c>
      <c r="C9" s="135">
        <v>5.28E-2</v>
      </c>
      <c r="D9" s="134">
        <v>107.4</v>
      </c>
      <c r="E9" s="135">
        <v>6.0299999999999999E-2</v>
      </c>
      <c r="F9" s="134">
        <v>105.73</v>
      </c>
      <c r="G9" s="135">
        <v>6.4100000000000004E-2</v>
      </c>
      <c r="H9" s="134">
        <v>113.21</v>
      </c>
      <c r="I9" s="135">
        <v>7.0300000000000001E-2</v>
      </c>
    </row>
    <row r="10" spans="1:9" x14ac:dyDescent="0.35">
      <c r="A10" s="133">
        <v>40913</v>
      </c>
      <c r="B10" s="134">
        <v>104.23</v>
      </c>
      <c r="C10" s="135">
        <v>5.3200000000000004E-2</v>
      </c>
      <c r="D10" s="134">
        <v>106.93</v>
      </c>
      <c r="E10" s="135">
        <v>6.0900000000000003E-2</v>
      </c>
      <c r="F10" s="134">
        <v>105.32</v>
      </c>
      <c r="G10" s="135">
        <v>6.4500000000000002E-2</v>
      </c>
      <c r="H10" s="134">
        <v>112.65</v>
      </c>
      <c r="I10" s="135">
        <v>7.0699999999999999E-2</v>
      </c>
    </row>
    <row r="11" spans="1:9" x14ac:dyDescent="0.35">
      <c r="A11" s="133">
        <v>40914</v>
      </c>
      <c r="B11" s="134">
        <v>104.26</v>
      </c>
      <c r="C11" s="135">
        <v>5.3200000000000004E-2</v>
      </c>
      <c r="D11" s="134">
        <v>106.28</v>
      </c>
      <c r="E11" s="135">
        <v>6.1700000000000005E-2</v>
      </c>
      <c r="F11" s="134">
        <v>104.72</v>
      </c>
      <c r="G11" s="135">
        <v>6.5100000000000005E-2</v>
      </c>
      <c r="H11" s="134">
        <v>111.91</v>
      </c>
      <c r="I11" s="135">
        <v>7.1400000000000005E-2</v>
      </c>
    </row>
    <row r="12" spans="1:9" x14ac:dyDescent="0.35">
      <c r="A12" s="136">
        <v>40917</v>
      </c>
      <c r="B12" s="137">
        <v>104.02</v>
      </c>
      <c r="C12" s="138">
        <v>5.3700000000000005E-2</v>
      </c>
      <c r="D12" s="137">
        <v>106.05</v>
      </c>
      <c r="E12" s="138">
        <v>6.2E-2</v>
      </c>
      <c r="F12" s="137">
        <v>104.63</v>
      </c>
      <c r="G12" s="138">
        <v>6.5200000000000008E-2</v>
      </c>
      <c r="H12" s="137">
        <v>111.81</v>
      </c>
      <c r="I12" s="138">
        <v>7.1500000000000008E-2</v>
      </c>
    </row>
    <row r="13" spans="1:9" x14ac:dyDescent="0.35">
      <c r="A13" s="136">
        <v>40918</v>
      </c>
      <c r="B13" s="137">
        <v>103.77</v>
      </c>
      <c r="C13" s="138">
        <v>5.4200000000000005E-2</v>
      </c>
      <c r="D13" s="137">
        <v>105.97</v>
      </c>
      <c r="E13" s="138">
        <v>6.2100000000000002E-2</v>
      </c>
      <c r="F13" s="137">
        <v>104.88</v>
      </c>
      <c r="G13" s="138">
        <v>6.5000000000000002E-2</v>
      </c>
      <c r="H13" s="137">
        <v>111.79</v>
      </c>
      <c r="I13" s="138">
        <v>7.1500000000000008E-2</v>
      </c>
    </row>
    <row r="14" spans="1:9" x14ac:dyDescent="0.35">
      <c r="A14" s="136">
        <v>40919</v>
      </c>
      <c r="B14" s="137">
        <v>103.9</v>
      </c>
      <c r="C14" s="138">
        <v>5.3900000000000003E-2</v>
      </c>
      <c r="D14" s="137">
        <v>106.22</v>
      </c>
      <c r="E14" s="138">
        <v>6.1800000000000001E-2</v>
      </c>
      <c r="F14" s="137">
        <v>105.16</v>
      </c>
      <c r="G14" s="138">
        <v>6.4700000000000008E-2</v>
      </c>
      <c r="H14" s="137">
        <v>112.18</v>
      </c>
      <c r="I14" s="138">
        <v>7.1099999999999997E-2</v>
      </c>
    </row>
    <row r="15" spans="1:9" x14ac:dyDescent="0.35">
      <c r="A15" s="136">
        <v>40920</v>
      </c>
      <c r="B15" s="137">
        <v>103.99</v>
      </c>
      <c r="C15" s="138">
        <v>5.3700000000000005E-2</v>
      </c>
      <c r="D15" s="137">
        <v>106.13</v>
      </c>
      <c r="E15" s="138">
        <v>6.1900000000000004E-2</v>
      </c>
      <c r="F15" s="137">
        <v>105.51</v>
      </c>
      <c r="G15" s="138">
        <v>6.4299999999999996E-2</v>
      </c>
      <c r="H15" s="137">
        <v>112.05</v>
      </c>
      <c r="I15" s="138">
        <v>7.1300000000000002E-2</v>
      </c>
    </row>
    <row r="16" spans="1:9" x14ac:dyDescent="0.35">
      <c r="A16" s="136">
        <v>40921</v>
      </c>
      <c r="B16" s="137">
        <v>104.4</v>
      </c>
      <c r="C16" s="138">
        <v>5.28E-2</v>
      </c>
      <c r="D16" s="137">
        <v>106.68</v>
      </c>
      <c r="E16" s="138">
        <v>6.1200000000000004E-2</v>
      </c>
      <c r="F16" s="137">
        <v>105.55</v>
      </c>
      <c r="G16" s="138">
        <v>6.4299999999999996E-2</v>
      </c>
      <c r="H16" s="137">
        <v>112.71</v>
      </c>
      <c r="I16" s="138">
        <v>7.0699999999999999E-2</v>
      </c>
    </row>
    <row r="17" spans="1:9" x14ac:dyDescent="0.35">
      <c r="A17" s="133">
        <v>40924</v>
      </c>
      <c r="B17" s="134">
        <v>104.24</v>
      </c>
      <c r="C17" s="135">
        <v>5.3200000000000004E-2</v>
      </c>
      <c r="D17" s="134">
        <v>106.54</v>
      </c>
      <c r="E17" s="135">
        <v>6.1400000000000003E-2</v>
      </c>
      <c r="F17" s="134">
        <v>105.32</v>
      </c>
      <c r="G17" s="135">
        <v>6.4500000000000002E-2</v>
      </c>
      <c r="H17" s="134">
        <v>112.32</v>
      </c>
      <c r="I17" s="135">
        <v>7.1000000000000008E-2</v>
      </c>
    </row>
    <row r="18" spans="1:9" x14ac:dyDescent="0.35">
      <c r="A18" s="133">
        <v>40925</v>
      </c>
      <c r="B18" s="134">
        <v>104.47</v>
      </c>
      <c r="C18" s="135">
        <v>5.2700000000000004E-2</v>
      </c>
      <c r="D18" s="134">
        <v>107.07</v>
      </c>
      <c r="E18" s="135">
        <v>6.0700000000000004E-2</v>
      </c>
      <c r="F18" s="134">
        <v>105.5</v>
      </c>
      <c r="G18" s="135">
        <v>6.4299999999999996E-2</v>
      </c>
      <c r="H18" s="134">
        <v>112.59</v>
      </c>
      <c r="I18" s="135">
        <v>7.0800000000000002E-2</v>
      </c>
    </row>
    <row r="19" spans="1:9" x14ac:dyDescent="0.35">
      <c r="A19" s="133">
        <v>40926</v>
      </c>
      <c r="B19" s="134">
        <v>105.13</v>
      </c>
      <c r="C19" s="135">
        <v>5.1200000000000002E-2</v>
      </c>
      <c r="D19" s="134">
        <v>108.3</v>
      </c>
      <c r="E19" s="135">
        <v>5.9200000000000003E-2</v>
      </c>
      <c r="F19" s="134">
        <v>106.21</v>
      </c>
      <c r="G19" s="135">
        <v>6.3600000000000004E-2</v>
      </c>
      <c r="H19" s="134">
        <v>114.46</v>
      </c>
      <c r="I19" s="135">
        <v>6.9199999999999998E-2</v>
      </c>
    </row>
    <row r="20" spans="1:9" x14ac:dyDescent="0.35">
      <c r="A20" s="133">
        <v>40927</v>
      </c>
      <c r="B20" s="134">
        <v>105.8</v>
      </c>
      <c r="C20" s="135">
        <v>4.9800000000000004E-2</v>
      </c>
      <c r="D20" s="134">
        <v>110.22</v>
      </c>
      <c r="E20" s="135">
        <v>5.6800000000000003E-2</v>
      </c>
      <c r="F20" s="134">
        <v>107.65</v>
      </c>
      <c r="G20" s="135">
        <v>6.2200000000000005E-2</v>
      </c>
      <c r="H20" s="134">
        <v>116.22</v>
      </c>
      <c r="I20" s="135">
        <v>6.7799999999999999E-2</v>
      </c>
    </row>
    <row r="21" spans="1:9" x14ac:dyDescent="0.35">
      <c r="A21" s="133">
        <v>40928</v>
      </c>
      <c r="B21" s="134">
        <v>106.31</v>
      </c>
      <c r="C21" s="135">
        <v>4.87E-2</v>
      </c>
      <c r="D21" s="134">
        <v>111.31</v>
      </c>
      <c r="E21" s="135">
        <v>5.5500000000000001E-2</v>
      </c>
      <c r="F21" s="134">
        <v>108.03</v>
      </c>
      <c r="G21" s="135">
        <v>6.1900000000000004E-2</v>
      </c>
      <c r="H21" s="134">
        <v>117.88</v>
      </c>
      <c r="I21" s="135">
        <v>6.6400000000000001E-2</v>
      </c>
    </row>
    <row r="22" spans="1:9" x14ac:dyDescent="0.35">
      <c r="A22" s="136">
        <v>40932</v>
      </c>
      <c r="B22" s="137">
        <v>106.25</v>
      </c>
      <c r="C22" s="138">
        <v>4.8800000000000003E-2</v>
      </c>
      <c r="D22" s="137">
        <v>111.41</v>
      </c>
      <c r="E22" s="138">
        <v>5.5400000000000005E-2</v>
      </c>
      <c r="F22" s="137">
        <v>107.89</v>
      </c>
      <c r="G22" s="138">
        <v>6.2E-2</v>
      </c>
      <c r="H22" s="137">
        <v>117.64</v>
      </c>
      <c r="I22" s="138">
        <v>6.6600000000000006E-2</v>
      </c>
    </row>
    <row r="23" spans="1:9" x14ac:dyDescent="0.35">
      <c r="A23" s="136">
        <v>40933</v>
      </c>
      <c r="B23" s="137">
        <v>106.29</v>
      </c>
      <c r="C23" s="138">
        <v>4.87E-2</v>
      </c>
      <c r="D23" s="137">
        <v>110.57</v>
      </c>
      <c r="E23" s="138">
        <v>5.6400000000000006E-2</v>
      </c>
      <c r="F23" s="137">
        <v>107.7</v>
      </c>
      <c r="G23" s="138">
        <v>6.2200000000000005E-2</v>
      </c>
      <c r="H23" s="137">
        <v>117.01</v>
      </c>
      <c r="I23" s="138">
        <v>6.7100000000000007E-2</v>
      </c>
    </row>
    <row r="24" spans="1:9" x14ac:dyDescent="0.35">
      <c r="A24" s="136">
        <v>40934</v>
      </c>
      <c r="B24" s="137">
        <v>106.33</v>
      </c>
      <c r="C24" s="138">
        <v>4.8600000000000004E-2</v>
      </c>
      <c r="D24" s="137">
        <v>110.87</v>
      </c>
      <c r="E24" s="138">
        <v>5.6000000000000001E-2</v>
      </c>
      <c r="F24" s="137">
        <v>107.88</v>
      </c>
      <c r="G24" s="138">
        <v>6.2E-2</v>
      </c>
      <c r="H24" s="137">
        <v>117.38</v>
      </c>
      <c r="I24" s="138">
        <v>6.6799999999999998E-2</v>
      </c>
    </row>
    <row r="25" spans="1:9" x14ac:dyDescent="0.35">
      <c r="A25" s="136">
        <v>40935</v>
      </c>
      <c r="B25" s="137">
        <v>106.33</v>
      </c>
      <c r="C25" s="138">
        <v>4.8600000000000004E-2</v>
      </c>
      <c r="D25" s="137">
        <v>111.36</v>
      </c>
      <c r="E25" s="138">
        <v>5.5400000000000005E-2</v>
      </c>
      <c r="F25" s="137">
        <v>108.39</v>
      </c>
      <c r="G25" s="138">
        <v>6.1500000000000006E-2</v>
      </c>
      <c r="H25" s="137">
        <v>118.39</v>
      </c>
      <c r="I25" s="138">
        <v>6.6000000000000003E-2</v>
      </c>
    </row>
    <row r="26" spans="1:9" x14ac:dyDescent="0.35">
      <c r="A26" s="133">
        <v>40938</v>
      </c>
      <c r="B26" s="134">
        <v>106.65</v>
      </c>
      <c r="C26" s="135">
        <v>4.7900000000000005E-2</v>
      </c>
      <c r="D26" s="134">
        <v>112.49</v>
      </c>
      <c r="E26" s="135">
        <v>5.4100000000000002E-2</v>
      </c>
      <c r="F26" s="134">
        <v>109.29</v>
      </c>
      <c r="G26" s="135">
        <v>6.0600000000000001E-2</v>
      </c>
      <c r="H26" s="134">
        <v>120.28</v>
      </c>
      <c r="I26" s="135">
        <v>6.4500000000000002E-2</v>
      </c>
    </row>
    <row r="27" spans="1:9" x14ac:dyDescent="0.35">
      <c r="A27" s="133">
        <v>40939</v>
      </c>
      <c r="B27" s="134">
        <v>107</v>
      </c>
      <c r="C27" s="135">
        <v>4.7200000000000006E-2</v>
      </c>
      <c r="D27" s="134">
        <v>112.74</v>
      </c>
      <c r="E27" s="135">
        <v>5.3800000000000001E-2</v>
      </c>
      <c r="F27" s="134">
        <v>110.73</v>
      </c>
      <c r="G27" s="135">
        <v>5.9300000000000005E-2</v>
      </c>
      <c r="H27" s="134">
        <v>121.53</v>
      </c>
      <c r="I27" s="135">
        <v>6.3600000000000004E-2</v>
      </c>
    </row>
    <row r="28" spans="1:9" x14ac:dyDescent="0.35">
      <c r="A28" s="133">
        <v>40940</v>
      </c>
      <c r="B28" s="134">
        <v>107.28</v>
      </c>
      <c r="C28" s="135">
        <v>4.6600000000000003E-2</v>
      </c>
      <c r="D28" s="134">
        <v>113.84</v>
      </c>
      <c r="E28" s="135">
        <v>5.2500000000000005E-2</v>
      </c>
      <c r="F28" s="134">
        <v>112.19</v>
      </c>
      <c r="G28" s="135">
        <v>5.79E-2</v>
      </c>
      <c r="H28" s="134">
        <v>123.09</v>
      </c>
      <c r="I28" s="135">
        <v>6.2400000000000004E-2</v>
      </c>
    </row>
    <row r="29" spans="1:9" x14ac:dyDescent="0.35">
      <c r="A29" s="133">
        <v>40941</v>
      </c>
      <c r="B29" s="134">
        <v>107.31</v>
      </c>
      <c r="C29" s="135">
        <v>4.65E-2</v>
      </c>
      <c r="D29" s="134">
        <v>113.71</v>
      </c>
      <c r="E29" s="135">
        <v>5.2600000000000001E-2</v>
      </c>
      <c r="F29" s="134">
        <v>112.26</v>
      </c>
      <c r="G29" s="135">
        <v>5.7800000000000004E-2</v>
      </c>
      <c r="H29" s="134">
        <v>123.46</v>
      </c>
      <c r="I29" s="135">
        <v>6.2100000000000002E-2</v>
      </c>
    </row>
    <row r="30" spans="1:9" x14ac:dyDescent="0.35">
      <c r="A30" s="133">
        <v>40942</v>
      </c>
      <c r="B30" s="134">
        <v>107.32</v>
      </c>
      <c r="C30" s="135">
        <v>4.65E-2</v>
      </c>
      <c r="D30" s="134">
        <v>113.73</v>
      </c>
      <c r="E30" s="135">
        <v>5.2600000000000001E-2</v>
      </c>
      <c r="F30" s="134">
        <v>112.41</v>
      </c>
      <c r="G30" s="135">
        <v>5.7700000000000001E-2</v>
      </c>
      <c r="H30" s="134">
        <v>123.04</v>
      </c>
      <c r="I30" s="135">
        <v>6.2400000000000004E-2</v>
      </c>
    </row>
    <row r="31" spans="1:9" x14ac:dyDescent="0.35">
      <c r="A31" s="136">
        <v>40945</v>
      </c>
      <c r="B31" s="137">
        <v>107.45</v>
      </c>
      <c r="C31" s="138">
        <v>4.6200000000000005E-2</v>
      </c>
      <c r="D31" s="137">
        <v>113.85</v>
      </c>
      <c r="E31" s="138">
        <v>5.2400000000000002E-2</v>
      </c>
      <c r="F31" s="137">
        <v>113.16</v>
      </c>
      <c r="G31" s="138">
        <v>5.7000000000000002E-2</v>
      </c>
      <c r="H31" s="137">
        <v>123.64</v>
      </c>
      <c r="I31" s="138">
        <v>6.2E-2</v>
      </c>
    </row>
    <row r="32" spans="1:9" x14ac:dyDescent="0.35">
      <c r="A32" s="136">
        <v>40946</v>
      </c>
      <c r="B32" s="137">
        <v>107.48</v>
      </c>
      <c r="C32" s="138">
        <v>4.6100000000000002E-2</v>
      </c>
      <c r="D32" s="137">
        <v>113.81</v>
      </c>
      <c r="E32" s="138">
        <v>5.2500000000000005E-2</v>
      </c>
      <c r="F32" s="137">
        <v>112.66</v>
      </c>
      <c r="G32" s="138">
        <v>5.7500000000000002E-2</v>
      </c>
      <c r="H32" s="137">
        <v>123.65</v>
      </c>
      <c r="I32" s="138">
        <v>6.1900000000000004E-2</v>
      </c>
    </row>
    <row r="33" spans="1:9" x14ac:dyDescent="0.35">
      <c r="A33" s="136">
        <v>40947</v>
      </c>
      <c r="B33" s="137">
        <v>107.91</v>
      </c>
      <c r="C33" s="138">
        <v>4.5200000000000004E-2</v>
      </c>
      <c r="D33" s="137">
        <v>114.55</v>
      </c>
      <c r="E33" s="138">
        <v>5.16E-2</v>
      </c>
      <c r="F33" s="137">
        <v>114.35</v>
      </c>
      <c r="G33" s="138">
        <v>5.5900000000000005E-2</v>
      </c>
      <c r="H33" s="137">
        <v>125.37</v>
      </c>
      <c r="I33" s="138">
        <v>6.0700000000000004E-2</v>
      </c>
    </row>
    <row r="34" spans="1:9" x14ac:dyDescent="0.35">
      <c r="A34" s="136">
        <v>40948</v>
      </c>
      <c r="B34" s="137">
        <v>107.79</v>
      </c>
      <c r="C34" s="138">
        <v>4.5500000000000006E-2</v>
      </c>
      <c r="D34" s="137">
        <v>114.85</v>
      </c>
      <c r="E34" s="138">
        <v>5.1200000000000002E-2</v>
      </c>
      <c r="F34" s="137">
        <v>114.9</v>
      </c>
      <c r="G34" s="138">
        <v>5.5400000000000005E-2</v>
      </c>
      <c r="H34" s="137">
        <v>126.45</v>
      </c>
      <c r="I34" s="138">
        <v>5.9900000000000002E-2</v>
      </c>
    </row>
    <row r="35" spans="1:9" x14ac:dyDescent="0.35">
      <c r="A35" s="136">
        <v>40949</v>
      </c>
      <c r="B35" s="137">
        <v>107.91</v>
      </c>
      <c r="C35" s="138">
        <v>4.5200000000000004E-2</v>
      </c>
      <c r="D35" s="137">
        <v>115.37</v>
      </c>
      <c r="E35" s="138">
        <v>5.0600000000000006E-2</v>
      </c>
      <c r="F35" s="137">
        <v>114.72</v>
      </c>
      <c r="G35" s="138">
        <v>5.5600000000000004E-2</v>
      </c>
      <c r="H35" s="137">
        <v>126.29</v>
      </c>
      <c r="I35" s="138">
        <v>6.0000000000000005E-2</v>
      </c>
    </row>
    <row r="36" spans="1:9" x14ac:dyDescent="0.35">
      <c r="A36" s="133">
        <v>40952</v>
      </c>
      <c r="B36" s="134">
        <v>107.98</v>
      </c>
      <c r="C36" s="135">
        <v>4.5000000000000005E-2</v>
      </c>
      <c r="D36" s="134">
        <v>114.71</v>
      </c>
      <c r="E36" s="135">
        <v>5.1400000000000001E-2</v>
      </c>
      <c r="F36" s="134">
        <v>114.47</v>
      </c>
      <c r="G36" s="135">
        <v>5.5800000000000002E-2</v>
      </c>
      <c r="H36" s="134">
        <v>126.44</v>
      </c>
      <c r="I36" s="135">
        <v>5.9900000000000002E-2</v>
      </c>
    </row>
    <row r="37" spans="1:9" x14ac:dyDescent="0.35">
      <c r="A37" s="133">
        <v>40953</v>
      </c>
      <c r="B37" s="134">
        <v>107.97</v>
      </c>
      <c r="C37" s="135">
        <v>4.5100000000000001E-2</v>
      </c>
      <c r="D37" s="134">
        <v>114.68</v>
      </c>
      <c r="E37" s="135">
        <v>5.1400000000000001E-2</v>
      </c>
      <c r="F37" s="134">
        <v>114.62</v>
      </c>
      <c r="G37" s="135">
        <v>5.57E-2</v>
      </c>
      <c r="H37" s="134">
        <v>126.2</v>
      </c>
      <c r="I37" s="135">
        <v>6.0100000000000001E-2</v>
      </c>
    </row>
    <row r="38" spans="1:9" x14ac:dyDescent="0.35">
      <c r="A38" s="133">
        <v>40954</v>
      </c>
      <c r="B38" s="134">
        <v>107.81</v>
      </c>
      <c r="C38" s="135">
        <v>4.5400000000000003E-2</v>
      </c>
      <c r="D38" s="134">
        <v>114.78</v>
      </c>
      <c r="E38" s="135">
        <v>5.1300000000000005E-2</v>
      </c>
      <c r="F38" s="134">
        <v>114.4</v>
      </c>
      <c r="G38" s="135">
        <v>5.5900000000000005E-2</v>
      </c>
      <c r="H38" s="134">
        <v>125.85</v>
      </c>
      <c r="I38" s="135">
        <v>6.0299999999999999E-2</v>
      </c>
    </row>
    <row r="39" spans="1:9" x14ac:dyDescent="0.35">
      <c r="A39" s="133">
        <v>40955</v>
      </c>
      <c r="B39" s="134">
        <v>107.88</v>
      </c>
      <c r="C39" s="135">
        <v>4.5200000000000004E-2</v>
      </c>
      <c r="D39" s="134">
        <v>114.25</v>
      </c>
      <c r="E39" s="135">
        <v>5.1900000000000002E-2</v>
      </c>
      <c r="F39" s="134">
        <v>113.9</v>
      </c>
      <c r="G39" s="135">
        <v>5.6300000000000003E-2</v>
      </c>
      <c r="H39" s="134">
        <v>125.16</v>
      </c>
      <c r="I39" s="135">
        <v>6.08E-2</v>
      </c>
    </row>
    <row r="40" spans="1:9" x14ac:dyDescent="0.35">
      <c r="A40" s="133">
        <v>40956</v>
      </c>
      <c r="B40" s="134">
        <v>107.8</v>
      </c>
      <c r="C40" s="135">
        <v>4.5400000000000003E-2</v>
      </c>
      <c r="D40" s="134">
        <v>113.81</v>
      </c>
      <c r="E40" s="135">
        <v>5.2400000000000002E-2</v>
      </c>
      <c r="F40" s="134">
        <v>113.4</v>
      </c>
      <c r="G40" s="135">
        <v>5.6800000000000003E-2</v>
      </c>
      <c r="H40" s="134">
        <v>124.92</v>
      </c>
      <c r="I40" s="135">
        <v>6.1000000000000006E-2</v>
      </c>
    </row>
    <row r="41" spans="1:9" x14ac:dyDescent="0.35">
      <c r="A41" s="136">
        <v>40959</v>
      </c>
      <c r="B41" s="137">
        <v>107.96</v>
      </c>
      <c r="C41" s="138">
        <v>4.5000000000000005E-2</v>
      </c>
      <c r="D41" s="137">
        <v>113.87</v>
      </c>
      <c r="E41" s="138">
        <v>5.2400000000000002E-2</v>
      </c>
      <c r="F41" s="137">
        <v>113.84</v>
      </c>
      <c r="G41" s="138">
        <v>5.6400000000000006E-2</v>
      </c>
      <c r="H41" s="137">
        <v>124.92</v>
      </c>
      <c r="I41" s="138">
        <v>6.1000000000000006E-2</v>
      </c>
    </row>
    <row r="42" spans="1:9" x14ac:dyDescent="0.35">
      <c r="A42" s="136">
        <v>40960</v>
      </c>
      <c r="B42" s="137">
        <v>107.95</v>
      </c>
      <c r="C42" s="138">
        <v>4.5000000000000005E-2</v>
      </c>
      <c r="D42" s="137">
        <v>113.85</v>
      </c>
      <c r="E42" s="138">
        <v>5.2400000000000002E-2</v>
      </c>
      <c r="F42" s="137">
        <v>113.98</v>
      </c>
      <c r="G42" s="138">
        <v>5.6300000000000003E-2</v>
      </c>
      <c r="H42" s="137">
        <v>124.94</v>
      </c>
      <c r="I42" s="138">
        <v>6.1000000000000006E-2</v>
      </c>
    </row>
    <row r="43" spans="1:9" x14ac:dyDescent="0.35">
      <c r="A43" s="136">
        <v>40961</v>
      </c>
      <c r="B43" s="137">
        <v>107.73</v>
      </c>
      <c r="C43" s="138">
        <v>4.5500000000000006E-2</v>
      </c>
      <c r="D43" s="137">
        <v>113.9</v>
      </c>
      <c r="E43" s="138">
        <v>5.2300000000000006E-2</v>
      </c>
      <c r="F43" s="137">
        <v>114.01</v>
      </c>
      <c r="G43" s="138">
        <v>5.62E-2</v>
      </c>
      <c r="H43" s="137">
        <v>124.79</v>
      </c>
      <c r="I43" s="138">
        <v>6.1100000000000002E-2</v>
      </c>
    </row>
    <row r="44" spans="1:9" x14ac:dyDescent="0.35">
      <c r="A44" s="136">
        <v>40962</v>
      </c>
      <c r="B44" s="137">
        <v>107.63</v>
      </c>
      <c r="C44" s="138">
        <v>4.5700000000000005E-2</v>
      </c>
      <c r="D44" s="137">
        <v>113.68</v>
      </c>
      <c r="E44" s="138">
        <v>5.2600000000000001E-2</v>
      </c>
      <c r="F44" s="137">
        <v>113.56</v>
      </c>
      <c r="G44" s="138">
        <v>5.6600000000000004E-2</v>
      </c>
      <c r="H44" s="137">
        <v>124.26</v>
      </c>
      <c r="I44" s="138">
        <v>6.1500000000000006E-2</v>
      </c>
    </row>
    <row r="45" spans="1:9" x14ac:dyDescent="0.35">
      <c r="A45" s="136">
        <v>40963</v>
      </c>
      <c r="B45" s="137">
        <v>106.75</v>
      </c>
      <c r="C45" s="138">
        <v>4.7600000000000003E-2</v>
      </c>
      <c r="D45" s="137">
        <v>112.91</v>
      </c>
      <c r="E45" s="138">
        <v>5.3500000000000006E-2</v>
      </c>
      <c r="F45" s="137">
        <v>112.04</v>
      </c>
      <c r="G45" s="138">
        <v>5.8000000000000003E-2</v>
      </c>
      <c r="H45" s="137">
        <v>122.65</v>
      </c>
      <c r="I45" s="138">
        <v>6.2700000000000006E-2</v>
      </c>
    </row>
    <row r="46" spans="1:9" x14ac:dyDescent="0.35">
      <c r="A46" s="133">
        <v>40966</v>
      </c>
      <c r="B46" s="134">
        <v>105.3</v>
      </c>
      <c r="C46" s="135">
        <v>5.0700000000000002E-2</v>
      </c>
      <c r="D46" s="134">
        <v>111.43</v>
      </c>
      <c r="E46" s="135">
        <v>5.5200000000000006E-2</v>
      </c>
      <c r="F46" s="134">
        <v>110.69</v>
      </c>
      <c r="G46" s="135">
        <v>5.9300000000000005E-2</v>
      </c>
      <c r="H46" s="134">
        <v>120.32</v>
      </c>
      <c r="I46" s="135">
        <v>6.4500000000000002E-2</v>
      </c>
    </row>
    <row r="47" spans="1:9" x14ac:dyDescent="0.35">
      <c r="A47" s="133">
        <v>40967</v>
      </c>
      <c r="B47" s="134">
        <v>105.5</v>
      </c>
      <c r="C47" s="135">
        <v>5.0200000000000002E-2</v>
      </c>
      <c r="D47" s="134">
        <v>110.33</v>
      </c>
      <c r="E47" s="135">
        <v>5.6600000000000004E-2</v>
      </c>
      <c r="F47" s="134">
        <v>107.75</v>
      </c>
      <c r="G47" s="135">
        <v>6.2100000000000002E-2</v>
      </c>
      <c r="H47" s="134">
        <v>118.04</v>
      </c>
      <c r="I47" s="135">
        <v>6.6200000000000009E-2</v>
      </c>
    </row>
    <row r="48" spans="1:9" x14ac:dyDescent="0.35">
      <c r="A48" s="133">
        <v>40968</v>
      </c>
      <c r="B48" s="134">
        <v>106.23</v>
      </c>
      <c r="C48" s="135">
        <v>4.8600000000000004E-2</v>
      </c>
      <c r="D48" s="134">
        <v>111.35</v>
      </c>
      <c r="E48" s="135">
        <v>5.5300000000000002E-2</v>
      </c>
      <c r="F48" s="134">
        <v>109.72</v>
      </c>
      <c r="G48" s="135">
        <v>6.0200000000000004E-2</v>
      </c>
      <c r="H48" s="134">
        <v>119.9</v>
      </c>
      <c r="I48" s="135">
        <v>6.4799999999999996E-2</v>
      </c>
    </row>
    <row r="49" spans="1:9" x14ac:dyDescent="0.35">
      <c r="A49" s="133">
        <v>40969</v>
      </c>
      <c r="B49" s="134">
        <v>106.64</v>
      </c>
      <c r="C49" s="135">
        <v>4.7800000000000002E-2</v>
      </c>
      <c r="D49" s="134">
        <v>111.91</v>
      </c>
      <c r="E49" s="135">
        <v>5.4700000000000006E-2</v>
      </c>
      <c r="F49" s="134">
        <v>110.01</v>
      </c>
      <c r="G49" s="135">
        <v>5.9900000000000002E-2</v>
      </c>
      <c r="H49" s="134">
        <v>120.84</v>
      </c>
      <c r="I49" s="135">
        <v>6.4000000000000001E-2</v>
      </c>
    </row>
    <row r="50" spans="1:9" x14ac:dyDescent="0.35">
      <c r="A50" s="133">
        <v>40970</v>
      </c>
      <c r="B50" s="134">
        <v>106.78</v>
      </c>
      <c r="C50" s="135">
        <v>4.7500000000000001E-2</v>
      </c>
      <c r="D50" s="134">
        <v>111.8</v>
      </c>
      <c r="E50" s="135">
        <v>5.4800000000000001E-2</v>
      </c>
      <c r="F50" s="134">
        <v>110.12</v>
      </c>
      <c r="G50" s="135">
        <v>5.9800000000000006E-2</v>
      </c>
      <c r="H50" s="134">
        <v>121.04</v>
      </c>
      <c r="I50" s="135">
        <v>6.3899999999999998E-2</v>
      </c>
    </row>
    <row r="51" spans="1:9" x14ac:dyDescent="0.35">
      <c r="A51" s="136">
        <v>40973</v>
      </c>
      <c r="B51" s="137">
        <v>106.39</v>
      </c>
      <c r="C51" s="138">
        <v>4.8300000000000003E-2</v>
      </c>
      <c r="D51" s="137">
        <v>111.72</v>
      </c>
      <c r="E51" s="138">
        <v>5.4900000000000004E-2</v>
      </c>
      <c r="F51" s="137">
        <v>109.65</v>
      </c>
      <c r="G51" s="138">
        <v>6.0299999999999999E-2</v>
      </c>
      <c r="H51" s="137">
        <v>119.83</v>
      </c>
      <c r="I51" s="138">
        <v>6.4799999999999996E-2</v>
      </c>
    </row>
    <row r="52" spans="1:9" x14ac:dyDescent="0.35">
      <c r="A52" s="136">
        <v>40974</v>
      </c>
      <c r="B52" s="137">
        <v>106.08</v>
      </c>
      <c r="C52" s="138">
        <v>4.8900000000000006E-2</v>
      </c>
      <c r="D52" s="137">
        <v>110.29</v>
      </c>
      <c r="E52" s="138">
        <v>5.6600000000000004E-2</v>
      </c>
      <c r="F52" s="137">
        <v>108.45</v>
      </c>
      <c r="G52" s="138">
        <v>6.1400000000000003E-2</v>
      </c>
      <c r="H52" s="137">
        <v>118.6</v>
      </c>
      <c r="I52" s="138">
        <v>6.5799999999999997E-2</v>
      </c>
    </row>
    <row r="53" spans="1:9" x14ac:dyDescent="0.35">
      <c r="A53" s="136">
        <v>40975</v>
      </c>
      <c r="B53" s="137">
        <v>105.64</v>
      </c>
      <c r="C53" s="138">
        <v>4.99E-2</v>
      </c>
      <c r="D53" s="137">
        <v>108.96</v>
      </c>
      <c r="E53" s="138">
        <v>5.8200000000000002E-2</v>
      </c>
      <c r="F53" s="137">
        <v>107.64</v>
      </c>
      <c r="G53" s="138">
        <v>6.2200000000000005E-2</v>
      </c>
      <c r="H53" s="137">
        <v>116.69</v>
      </c>
      <c r="I53" s="138">
        <v>6.7299999999999999E-2</v>
      </c>
    </row>
    <row r="54" spans="1:9" x14ac:dyDescent="0.35">
      <c r="A54" s="136">
        <v>40976</v>
      </c>
      <c r="B54" s="137">
        <v>105.37</v>
      </c>
      <c r="C54" s="138">
        <v>5.0500000000000003E-2</v>
      </c>
      <c r="D54" s="137">
        <v>108.69</v>
      </c>
      <c r="E54" s="138">
        <v>5.8600000000000006E-2</v>
      </c>
      <c r="F54" s="137">
        <v>106.6</v>
      </c>
      <c r="G54" s="138">
        <v>6.3200000000000006E-2</v>
      </c>
      <c r="H54" s="137">
        <v>116.94</v>
      </c>
      <c r="I54" s="138">
        <v>6.7100000000000007E-2</v>
      </c>
    </row>
    <row r="55" spans="1:9" x14ac:dyDescent="0.35">
      <c r="A55" s="136">
        <v>40977</v>
      </c>
      <c r="B55" s="137">
        <v>105.66</v>
      </c>
      <c r="C55" s="138">
        <v>4.9800000000000004E-2</v>
      </c>
      <c r="D55" s="137">
        <v>109.65</v>
      </c>
      <c r="E55" s="138">
        <v>5.74E-2</v>
      </c>
      <c r="F55" s="137">
        <v>107.76</v>
      </c>
      <c r="G55" s="138">
        <v>6.2100000000000002E-2</v>
      </c>
      <c r="H55" s="137">
        <v>117.83</v>
      </c>
      <c r="I55" s="138">
        <v>6.6400000000000001E-2</v>
      </c>
    </row>
    <row r="56" spans="1:9" x14ac:dyDescent="0.35">
      <c r="A56" s="133">
        <v>40980</v>
      </c>
      <c r="B56" s="134">
        <v>105.33</v>
      </c>
      <c r="C56" s="135">
        <v>5.0500000000000003E-2</v>
      </c>
      <c r="D56" s="134">
        <v>109.74</v>
      </c>
      <c r="E56" s="135">
        <v>5.7300000000000004E-2</v>
      </c>
      <c r="F56" s="134">
        <v>107.73</v>
      </c>
      <c r="G56" s="135">
        <v>6.2100000000000002E-2</v>
      </c>
      <c r="H56" s="134">
        <v>117.92</v>
      </c>
      <c r="I56" s="135">
        <v>6.6299999999999998E-2</v>
      </c>
    </row>
    <row r="57" spans="1:9" x14ac:dyDescent="0.35">
      <c r="A57" s="133">
        <v>40981</v>
      </c>
      <c r="B57" s="134">
        <v>105.03</v>
      </c>
      <c r="C57" s="135">
        <v>5.1200000000000002E-2</v>
      </c>
      <c r="D57" s="134">
        <v>108.87</v>
      </c>
      <c r="E57" s="135">
        <v>5.8300000000000005E-2</v>
      </c>
      <c r="F57" s="134">
        <v>107.79</v>
      </c>
      <c r="G57" s="135">
        <v>6.2E-2</v>
      </c>
      <c r="H57" s="134">
        <v>117.01</v>
      </c>
      <c r="I57" s="135">
        <v>6.7100000000000007E-2</v>
      </c>
    </row>
    <row r="58" spans="1:9" x14ac:dyDescent="0.35">
      <c r="A58" s="133">
        <v>40982</v>
      </c>
      <c r="B58" s="134">
        <v>104.62</v>
      </c>
      <c r="C58" s="135">
        <v>5.21E-2</v>
      </c>
      <c r="D58" s="134">
        <v>108</v>
      </c>
      <c r="E58" s="135">
        <v>5.9400000000000001E-2</v>
      </c>
      <c r="F58" s="134">
        <v>106.24</v>
      </c>
      <c r="G58" s="135">
        <v>6.3600000000000004E-2</v>
      </c>
      <c r="H58" s="134">
        <v>116.2</v>
      </c>
      <c r="I58" s="135">
        <v>6.7699999999999996E-2</v>
      </c>
    </row>
    <row r="59" spans="1:9" x14ac:dyDescent="0.35">
      <c r="A59" s="133">
        <v>40983</v>
      </c>
      <c r="B59" s="134">
        <v>104.42</v>
      </c>
      <c r="C59" s="135">
        <v>5.2500000000000005E-2</v>
      </c>
      <c r="D59" s="134">
        <v>107.04</v>
      </c>
      <c r="E59" s="135">
        <v>6.0700000000000004E-2</v>
      </c>
      <c r="F59" s="134">
        <v>105.89</v>
      </c>
      <c r="G59" s="135">
        <v>6.3899999999999998E-2</v>
      </c>
      <c r="H59" s="134">
        <v>115.25</v>
      </c>
      <c r="I59" s="135">
        <v>6.8500000000000005E-2</v>
      </c>
    </row>
    <row r="60" spans="1:9" x14ac:dyDescent="0.35">
      <c r="A60" s="133">
        <v>40984</v>
      </c>
      <c r="B60" s="134">
        <v>104.62</v>
      </c>
      <c r="C60" s="135">
        <v>5.21E-2</v>
      </c>
      <c r="D60" s="134">
        <v>107.54</v>
      </c>
      <c r="E60" s="135">
        <v>6.0000000000000005E-2</v>
      </c>
      <c r="F60" s="134">
        <v>106.1</v>
      </c>
      <c r="G60" s="135">
        <v>6.3700000000000007E-2</v>
      </c>
      <c r="H60" s="134">
        <v>115.33</v>
      </c>
      <c r="I60" s="135">
        <v>6.8400000000000002E-2</v>
      </c>
    </row>
    <row r="61" spans="1:9" x14ac:dyDescent="0.35">
      <c r="A61" s="136">
        <v>40987</v>
      </c>
      <c r="B61" s="137">
        <v>105.09</v>
      </c>
      <c r="C61" s="138">
        <v>5.1000000000000004E-2</v>
      </c>
      <c r="D61" s="137">
        <v>107.96</v>
      </c>
      <c r="E61" s="138">
        <v>5.9500000000000004E-2</v>
      </c>
      <c r="F61" s="137">
        <v>106.86</v>
      </c>
      <c r="G61" s="138">
        <v>6.2899999999999998E-2</v>
      </c>
      <c r="H61" s="137">
        <v>116.68</v>
      </c>
      <c r="I61" s="138">
        <v>6.7299999999999999E-2</v>
      </c>
    </row>
    <row r="62" spans="1:9" x14ac:dyDescent="0.35">
      <c r="A62" s="136">
        <v>40988</v>
      </c>
      <c r="B62" s="137">
        <v>105.07</v>
      </c>
      <c r="C62" s="138">
        <v>5.11E-2</v>
      </c>
      <c r="D62" s="137">
        <v>108.76</v>
      </c>
      <c r="E62" s="138">
        <v>5.8500000000000003E-2</v>
      </c>
      <c r="F62" s="137">
        <v>107.37</v>
      </c>
      <c r="G62" s="138">
        <v>6.2400000000000004E-2</v>
      </c>
      <c r="H62" s="137">
        <v>117.35</v>
      </c>
      <c r="I62" s="138">
        <v>6.6799999999999998E-2</v>
      </c>
    </row>
    <row r="63" spans="1:9" x14ac:dyDescent="0.35">
      <c r="A63" s="136">
        <v>40989</v>
      </c>
      <c r="B63" s="137">
        <v>104.79</v>
      </c>
      <c r="C63" s="138">
        <v>5.1700000000000003E-2</v>
      </c>
      <c r="D63" s="137">
        <v>108.16</v>
      </c>
      <c r="E63" s="138">
        <v>5.9200000000000003E-2</v>
      </c>
      <c r="F63" s="137">
        <v>106.59</v>
      </c>
      <c r="G63" s="138">
        <v>6.3200000000000006E-2</v>
      </c>
      <c r="H63" s="137">
        <v>116.48</v>
      </c>
      <c r="I63" s="138">
        <v>6.7500000000000004E-2</v>
      </c>
    </row>
    <row r="64" spans="1:9" x14ac:dyDescent="0.35">
      <c r="A64" s="136">
        <v>40990</v>
      </c>
      <c r="B64" s="137">
        <v>105.04</v>
      </c>
      <c r="C64" s="138">
        <v>5.11E-2</v>
      </c>
      <c r="D64" s="137">
        <v>108.91</v>
      </c>
      <c r="E64" s="138">
        <v>5.8300000000000005E-2</v>
      </c>
      <c r="F64" s="137">
        <v>107.27</v>
      </c>
      <c r="G64" s="138">
        <v>6.25E-2</v>
      </c>
      <c r="H64" s="137">
        <v>117.2</v>
      </c>
      <c r="I64" s="138">
        <v>6.6900000000000001E-2</v>
      </c>
    </row>
    <row r="65" spans="1:9" x14ac:dyDescent="0.35">
      <c r="A65" s="133">
        <v>40994</v>
      </c>
      <c r="B65" s="134">
        <v>104.85</v>
      </c>
      <c r="C65" s="135">
        <v>5.1500000000000004E-2</v>
      </c>
      <c r="D65" s="134">
        <v>108.54</v>
      </c>
      <c r="E65" s="135">
        <v>5.8700000000000002E-2</v>
      </c>
      <c r="F65" s="134">
        <v>106.74</v>
      </c>
      <c r="G65" s="135">
        <v>6.3100000000000003E-2</v>
      </c>
      <c r="H65" s="134">
        <v>116.7</v>
      </c>
      <c r="I65" s="135">
        <v>6.7299999999999999E-2</v>
      </c>
    </row>
    <row r="66" spans="1:9" x14ac:dyDescent="0.35">
      <c r="A66" s="133">
        <v>40995</v>
      </c>
      <c r="B66" s="134">
        <v>104.71</v>
      </c>
      <c r="C66" s="135">
        <v>5.1800000000000006E-2</v>
      </c>
      <c r="D66" s="134">
        <v>108.04</v>
      </c>
      <c r="E66" s="135">
        <v>5.9400000000000001E-2</v>
      </c>
      <c r="F66" s="134">
        <v>106.17</v>
      </c>
      <c r="G66" s="135">
        <v>6.3600000000000004E-2</v>
      </c>
      <c r="H66" s="134">
        <v>116</v>
      </c>
      <c r="I66" s="135">
        <v>6.7900000000000002E-2</v>
      </c>
    </row>
    <row r="67" spans="1:9" x14ac:dyDescent="0.35">
      <c r="A67" s="133">
        <v>40996</v>
      </c>
      <c r="B67" s="134">
        <v>104.67</v>
      </c>
      <c r="C67" s="135">
        <v>5.1900000000000002E-2</v>
      </c>
      <c r="D67" s="134">
        <v>108.28</v>
      </c>
      <c r="E67" s="135">
        <v>5.91E-2</v>
      </c>
      <c r="F67" s="134">
        <v>106.28</v>
      </c>
      <c r="G67" s="135">
        <v>6.3500000000000001E-2</v>
      </c>
      <c r="H67" s="134">
        <v>116.23</v>
      </c>
      <c r="I67" s="135">
        <v>6.7699999999999996E-2</v>
      </c>
    </row>
    <row r="68" spans="1:9" x14ac:dyDescent="0.35">
      <c r="A68" s="133">
        <v>40997</v>
      </c>
      <c r="B68" s="134">
        <v>104.71</v>
      </c>
      <c r="C68" s="135">
        <v>5.1800000000000006E-2</v>
      </c>
      <c r="D68" s="134">
        <v>108.42</v>
      </c>
      <c r="E68" s="135">
        <v>5.8900000000000001E-2</v>
      </c>
      <c r="F68" s="134">
        <v>106.57</v>
      </c>
      <c r="G68" s="135">
        <v>6.3200000000000006E-2</v>
      </c>
      <c r="H68" s="134">
        <v>116.61</v>
      </c>
      <c r="I68" s="135">
        <v>6.7400000000000002E-2</v>
      </c>
    </row>
    <row r="69" spans="1:9" x14ac:dyDescent="0.35">
      <c r="A69" s="133">
        <v>40998</v>
      </c>
      <c r="B69" s="134">
        <v>104.67</v>
      </c>
      <c r="C69" s="135">
        <v>5.1900000000000002E-2</v>
      </c>
      <c r="D69" s="134">
        <v>108.08</v>
      </c>
      <c r="E69" s="135">
        <v>5.9300000000000005E-2</v>
      </c>
      <c r="F69" s="134">
        <v>106.3</v>
      </c>
      <c r="G69" s="135">
        <v>6.3500000000000001E-2</v>
      </c>
      <c r="H69" s="134">
        <v>115.99</v>
      </c>
      <c r="I69" s="135">
        <v>6.7900000000000002E-2</v>
      </c>
    </row>
    <row r="70" spans="1:9" x14ac:dyDescent="0.35">
      <c r="A70" s="136">
        <v>41001</v>
      </c>
      <c r="B70" s="137">
        <v>105.11</v>
      </c>
      <c r="C70" s="138">
        <v>5.0900000000000001E-2</v>
      </c>
      <c r="D70" s="137">
        <v>108.91</v>
      </c>
      <c r="E70" s="138">
        <v>5.8300000000000005E-2</v>
      </c>
      <c r="F70" s="137">
        <v>107.2</v>
      </c>
      <c r="G70" s="138">
        <v>6.2600000000000003E-2</v>
      </c>
      <c r="H70" s="137">
        <v>117.36</v>
      </c>
      <c r="I70" s="138">
        <v>6.6799999999999998E-2</v>
      </c>
    </row>
    <row r="71" spans="1:9" x14ac:dyDescent="0.35">
      <c r="A71" s="136">
        <v>41002</v>
      </c>
      <c r="B71" s="137">
        <v>104.95</v>
      </c>
      <c r="C71" s="138">
        <v>5.1300000000000005E-2</v>
      </c>
      <c r="D71" s="137">
        <v>108.91</v>
      </c>
      <c r="E71" s="138">
        <v>5.8300000000000005E-2</v>
      </c>
      <c r="F71" s="137">
        <v>107.17</v>
      </c>
      <c r="G71" s="138">
        <v>6.2600000000000003E-2</v>
      </c>
      <c r="H71" s="137">
        <v>117.22</v>
      </c>
      <c r="I71" s="138">
        <v>6.6900000000000001E-2</v>
      </c>
    </row>
    <row r="72" spans="1:9" x14ac:dyDescent="0.35">
      <c r="A72" s="136">
        <v>41003</v>
      </c>
      <c r="B72" s="137">
        <v>104.95</v>
      </c>
      <c r="C72" s="138">
        <v>5.1200000000000002E-2</v>
      </c>
      <c r="D72" s="137">
        <v>108.46</v>
      </c>
      <c r="E72" s="138">
        <v>5.8800000000000005E-2</v>
      </c>
      <c r="F72" s="137">
        <v>106.62</v>
      </c>
      <c r="G72" s="138">
        <v>6.3200000000000006E-2</v>
      </c>
      <c r="H72" s="137">
        <v>116.67</v>
      </c>
      <c r="I72" s="138">
        <v>6.7299999999999999E-2</v>
      </c>
    </row>
    <row r="73" spans="1:9" x14ac:dyDescent="0.35">
      <c r="A73" s="136">
        <v>41004</v>
      </c>
      <c r="B73" s="137">
        <v>104.96</v>
      </c>
      <c r="C73" s="138">
        <v>5.1200000000000002E-2</v>
      </c>
      <c r="D73" s="137">
        <v>108.29</v>
      </c>
      <c r="E73" s="138">
        <v>5.9000000000000004E-2</v>
      </c>
      <c r="F73" s="137">
        <v>106.59</v>
      </c>
      <c r="G73" s="138">
        <v>6.3200000000000006E-2</v>
      </c>
      <c r="H73" s="137">
        <v>116.57</v>
      </c>
      <c r="I73" s="138">
        <v>6.7400000000000002E-2</v>
      </c>
    </row>
    <row r="74" spans="1:9" x14ac:dyDescent="0.35">
      <c r="A74" s="133">
        <v>41008</v>
      </c>
      <c r="B74" s="134">
        <v>104.99</v>
      </c>
      <c r="C74" s="135">
        <v>5.11E-2</v>
      </c>
      <c r="D74" s="134">
        <v>108.07</v>
      </c>
      <c r="E74" s="135">
        <v>5.9300000000000005E-2</v>
      </c>
      <c r="F74" s="134">
        <v>106.42</v>
      </c>
      <c r="G74" s="135">
        <v>6.3399999999999998E-2</v>
      </c>
      <c r="H74" s="134">
        <v>116.38</v>
      </c>
      <c r="I74" s="135">
        <v>6.7600000000000007E-2</v>
      </c>
    </row>
    <row r="75" spans="1:9" x14ac:dyDescent="0.35">
      <c r="A75" s="133">
        <v>41009</v>
      </c>
      <c r="B75" s="134">
        <v>104.99</v>
      </c>
      <c r="C75" s="135">
        <v>5.11E-2</v>
      </c>
      <c r="D75" s="134">
        <v>108.21</v>
      </c>
      <c r="E75" s="135">
        <v>5.91E-2</v>
      </c>
      <c r="F75" s="134">
        <v>106.12</v>
      </c>
      <c r="G75" s="135">
        <v>6.3700000000000007E-2</v>
      </c>
      <c r="H75" s="134">
        <v>116.47</v>
      </c>
      <c r="I75" s="135">
        <v>6.7500000000000004E-2</v>
      </c>
    </row>
    <row r="76" spans="1:9" x14ac:dyDescent="0.35">
      <c r="A76" s="133">
        <v>41010</v>
      </c>
      <c r="B76" s="134">
        <v>104.82</v>
      </c>
      <c r="C76" s="135">
        <v>5.1500000000000004E-2</v>
      </c>
      <c r="D76" s="134">
        <v>107.92</v>
      </c>
      <c r="E76" s="135">
        <v>5.9500000000000004E-2</v>
      </c>
      <c r="F76" s="134">
        <v>105.81</v>
      </c>
      <c r="G76" s="135">
        <v>6.4000000000000001E-2</v>
      </c>
      <c r="H76" s="134">
        <v>116.02</v>
      </c>
      <c r="I76" s="135">
        <v>6.7799999999999999E-2</v>
      </c>
    </row>
    <row r="77" spans="1:9" x14ac:dyDescent="0.35">
      <c r="A77" s="133">
        <v>41011</v>
      </c>
      <c r="B77" s="134">
        <v>104.78</v>
      </c>
      <c r="C77" s="135">
        <v>5.16E-2</v>
      </c>
      <c r="D77" s="134">
        <v>107.99</v>
      </c>
      <c r="E77" s="135">
        <v>5.9400000000000001E-2</v>
      </c>
      <c r="F77" s="134">
        <v>106.01</v>
      </c>
      <c r="G77" s="135">
        <v>6.3800000000000009E-2</v>
      </c>
      <c r="H77" s="134">
        <v>115.97</v>
      </c>
      <c r="I77" s="135">
        <v>6.7900000000000002E-2</v>
      </c>
    </row>
    <row r="78" spans="1:9" x14ac:dyDescent="0.35">
      <c r="A78" s="133">
        <v>41012</v>
      </c>
      <c r="B78" s="134">
        <v>104.72</v>
      </c>
      <c r="C78" s="135">
        <v>5.1700000000000003E-2</v>
      </c>
      <c r="D78" s="134">
        <v>107.42</v>
      </c>
      <c r="E78" s="135">
        <v>6.0100000000000001E-2</v>
      </c>
      <c r="F78" s="134">
        <v>105.43</v>
      </c>
      <c r="G78" s="135">
        <v>6.4399999999999999E-2</v>
      </c>
      <c r="H78" s="134">
        <v>115.32</v>
      </c>
      <c r="I78" s="135">
        <v>6.8400000000000002E-2</v>
      </c>
    </row>
    <row r="79" spans="1:9" x14ac:dyDescent="0.35">
      <c r="A79" s="136">
        <v>41015</v>
      </c>
      <c r="B79" s="137">
        <v>104.66</v>
      </c>
      <c r="C79" s="138">
        <v>5.1800000000000006E-2</v>
      </c>
      <c r="D79" s="137">
        <v>107.22</v>
      </c>
      <c r="E79" s="138">
        <v>6.0400000000000002E-2</v>
      </c>
      <c r="F79" s="137">
        <v>105.27</v>
      </c>
      <c r="G79" s="138">
        <v>6.4500000000000002E-2</v>
      </c>
      <c r="H79" s="137">
        <v>115.12</v>
      </c>
      <c r="I79" s="138">
        <v>6.8600000000000008E-2</v>
      </c>
    </row>
    <row r="80" spans="1:9" x14ac:dyDescent="0.35">
      <c r="A80" s="136">
        <v>41016</v>
      </c>
      <c r="B80" s="137">
        <v>104.49</v>
      </c>
      <c r="C80" s="138">
        <v>5.2200000000000003E-2</v>
      </c>
      <c r="D80" s="137">
        <v>106.47</v>
      </c>
      <c r="E80" s="138">
        <v>6.13E-2</v>
      </c>
      <c r="F80" s="137">
        <v>104.21</v>
      </c>
      <c r="G80" s="138">
        <v>6.5600000000000006E-2</v>
      </c>
      <c r="H80" s="137">
        <v>114.16</v>
      </c>
      <c r="I80" s="138">
        <v>6.9400000000000003E-2</v>
      </c>
    </row>
    <row r="81" spans="1:9" x14ac:dyDescent="0.35">
      <c r="A81" s="136">
        <v>41017</v>
      </c>
      <c r="B81" s="137">
        <v>104.77</v>
      </c>
      <c r="C81" s="138">
        <v>5.16E-2</v>
      </c>
      <c r="D81" s="137">
        <v>107.5</v>
      </c>
      <c r="E81" s="138">
        <v>6.0000000000000005E-2</v>
      </c>
      <c r="F81" s="137">
        <v>105.22</v>
      </c>
      <c r="G81" s="138">
        <v>6.4600000000000005E-2</v>
      </c>
      <c r="H81" s="137">
        <v>115.52</v>
      </c>
      <c r="I81" s="138">
        <v>6.83E-2</v>
      </c>
    </row>
    <row r="82" spans="1:9" x14ac:dyDescent="0.35">
      <c r="A82" s="136">
        <v>41018</v>
      </c>
      <c r="B82" s="137">
        <v>104.76</v>
      </c>
      <c r="C82" s="138">
        <v>5.16E-2</v>
      </c>
      <c r="D82" s="137">
        <v>108.17</v>
      </c>
      <c r="E82" s="138">
        <v>5.9200000000000003E-2</v>
      </c>
      <c r="F82" s="137">
        <v>106.07</v>
      </c>
      <c r="G82" s="138">
        <v>6.3700000000000007E-2</v>
      </c>
      <c r="H82" s="137">
        <v>116.19</v>
      </c>
      <c r="I82" s="138">
        <v>6.7699999999999996E-2</v>
      </c>
    </row>
    <row r="83" spans="1:9" x14ac:dyDescent="0.35">
      <c r="A83" s="136">
        <v>41019</v>
      </c>
      <c r="B83" s="137">
        <v>104.89</v>
      </c>
      <c r="C83" s="138">
        <v>5.1300000000000005E-2</v>
      </c>
      <c r="D83" s="137">
        <v>108.45</v>
      </c>
      <c r="E83" s="138">
        <v>5.8800000000000005E-2</v>
      </c>
      <c r="F83" s="137">
        <v>106.38</v>
      </c>
      <c r="G83" s="138">
        <v>6.3399999999999998E-2</v>
      </c>
      <c r="H83" s="137">
        <v>116.44</v>
      </c>
      <c r="I83" s="138">
        <v>6.7500000000000004E-2</v>
      </c>
    </row>
    <row r="84" spans="1:9" x14ac:dyDescent="0.35">
      <c r="A84" s="133">
        <v>41022</v>
      </c>
      <c r="B84" s="134">
        <v>104.71</v>
      </c>
      <c r="C84" s="135">
        <v>5.1700000000000003E-2</v>
      </c>
      <c r="D84" s="134">
        <v>108.75</v>
      </c>
      <c r="E84" s="135">
        <v>5.8400000000000001E-2</v>
      </c>
      <c r="F84" s="134">
        <v>106.83</v>
      </c>
      <c r="G84" s="135">
        <v>6.3E-2</v>
      </c>
      <c r="H84" s="134">
        <v>116.76</v>
      </c>
      <c r="I84" s="135">
        <v>6.720000000000001E-2</v>
      </c>
    </row>
    <row r="85" spans="1:9" x14ac:dyDescent="0.35">
      <c r="A85" s="133">
        <v>41023</v>
      </c>
      <c r="B85" s="134">
        <v>104.68</v>
      </c>
      <c r="C85" s="135">
        <v>5.1700000000000003E-2</v>
      </c>
      <c r="D85" s="134">
        <v>108.5</v>
      </c>
      <c r="E85" s="135">
        <v>5.8700000000000002E-2</v>
      </c>
      <c r="F85" s="134">
        <v>106.56</v>
      </c>
      <c r="G85" s="135">
        <v>6.3200000000000006E-2</v>
      </c>
      <c r="H85" s="134">
        <v>116.42</v>
      </c>
      <c r="I85" s="135">
        <v>6.7500000000000004E-2</v>
      </c>
    </row>
    <row r="86" spans="1:9" x14ac:dyDescent="0.35">
      <c r="A86" s="133">
        <v>41024</v>
      </c>
      <c r="B86" s="134">
        <v>104.69</v>
      </c>
      <c r="C86" s="135">
        <v>5.1700000000000003E-2</v>
      </c>
      <c r="D86" s="134">
        <v>108.47</v>
      </c>
      <c r="E86" s="135">
        <v>5.8800000000000005E-2</v>
      </c>
      <c r="F86" s="134">
        <v>106.57000000000001</v>
      </c>
      <c r="G86" s="135">
        <v>6.3200000000000006E-2</v>
      </c>
      <c r="H86" s="134">
        <v>116.52000000000001</v>
      </c>
      <c r="I86" s="135">
        <v>6.7400000000000002E-2</v>
      </c>
    </row>
    <row r="87" spans="1:9" x14ac:dyDescent="0.35">
      <c r="A87" s="133">
        <v>41025</v>
      </c>
      <c r="B87" s="134">
        <v>104.84</v>
      </c>
      <c r="C87" s="135">
        <v>5.1400000000000001E-2</v>
      </c>
      <c r="D87" s="134">
        <v>108.38</v>
      </c>
      <c r="E87" s="135">
        <v>5.8900000000000001E-2</v>
      </c>
      <c r="F87" s="134">
        <v>106.71000000000001</v>
      </c>
      <c r="G87" s="135">
        <v>6.3100000000000003E-2</v>
      </c>
      <c r="H87" s="134">
        <v>116.77</v>
      </c>
      <c r="I87" s="135">
        <v>6.720000000000001E-2</v>
      </c>
    </row>
    <row r="88" spans="1:9" x14ac:dyDescent="0.35">
      <c r="A88" s="133">
        <v>41026</v>
      </c>
      <c r="B88" s="134">
        <v>104.72</v>
      </c>
      <c r="C88" s="135">
        <v>5.1700000000000003E-2</v>
      </c>
      <c r="D88" s="134">
        <v>108.4</v>
      </c>
      <c r="E88" s="135">
        <v>5.8900000000000001E-2</v>
      </c>
      <c r="F88" s="134">
        <v>106.47</v>
      </c>
      <c r="G88" s="135">
        <v>6.3300000000000009E-2</v>
      </c>
      <c r="H88" s="134">
        <v>116.6</v>
      </c>
      <c r="I88" s="135">
        <v>6.7400000000000002E-2</v>
      </c>
    </row>
    <row r="89" spans="1:9" x14ac:dyDescent="0.35">
      <c r="A89" s="136">
        <v>41029</v>
      </c>
      <c r="B89" s="137">
        <v>104.68</v>
      </c>
      <c r="C89" s="138">
        <v>5.1700000000000003E-2</v>
      </c>
      <c r="D89" s="137">
        <v>108.25</v>
      </c>
      <c r="E89" s="138">
        <v>5.9000000000000004E-2</v>
      </c>
      <c r="F89" s="137">
        <v>106.19</v>
      </c>
      <c r="G89" s="138">
        <v>6.3600000000000004E-2</v>
      </c>
      <c r="H89" s="137">
        <v>116.25</v>
      </c>
      <c r="I89" s="138">
        <v>6.7600000000000007E-2</v>
      </c>
    </row>
    <row r="90" spans="1:9" x14ac:dyDescent="0.35">
      <c r="A90" s="136">
        <v>41030</v>
      </c>
      <c r="B90" s="137">
        <v>104.65</v>
      </c>
      <c r="C90" s="138">
        <v>5.1800000000000006E-2</v>
      </c>
      <c r="D90" s="137">
        <v>108.04</v>
      </c>
      <c r="E90" s="138">
        <v>5.9300000000000005E-2</v>
      </c>
      <c r="F90" s="137">
        <v>105.98</v>
      </c>
      <c r="G90" s="138">
        <v>6.3800000000000009E-2</v>
      </c>
      <c r="H90" s="137">
        <v>116</v>
      </c>
      <c r="I90" s="138">
        <v>6.7799999999999999E-2</v>
      </c>
    </row>
    <row r="91" spans="1:9" x14ac:dyDescent="0.35">
      <c r="A91" s="136">
        <v>41031</v>
      </c>
      <c r="B91" s="137">
        <v>104.64</v>
      </c>
      <c r="C91" s="138">
        <v>5.1800000000000006E-2</v>
      </c>
      <c r="D91" s="137">
        <v>107.56</v>
      </c>
      <c r="E91" s="138">
        <v>5.9900000000000002E-2</v>
      </c>
      <c r="F91" s="137">
        <v>105.5</v>
      </c>
      <c r="G91" s="138">
        <v>6.4299999999999996E-2</v>
      </c>
      <c r="H91" s="137">
        <v>115.54</v>
      </c>
      <c r="I91" s="138">
        <v>6.8199999999999997E-2</v>
      </c>
    </row>
    <row r="92" spans="1:9" x14ac:dyDescent="0.35">
      <c r="A92" s="136">
        <v>41032</v>
      </c>
      <c r="B92" s="137">
        <v>104.59</v>
      </c>
      <c r="C92" s="138">
        <v>5.1900000000000002E-2</v>
      </c>
      <c r="D92" s="137">
        <v>107.46</v>
      </c>
      <c r="E92" s="138">
        <v>6.0000000000000005E-2</v>
      </c>
      <c r="F92" s="137">
        <v>105.69</v>
      </c>
      <c r="G92" s="138">
        <v>6.4100000000000004E-2</v>
      </c>
      <c r="H92" s="137">
        <v>115.55</v>
      </c>
      <c r="I92" s="138">
        <v>6.8199999999999997E-2</v>
      </c>
    </row>
    <row r="93" spans="1:9" x14ac:dyDescent="0.35">
      <c r="A93" s="136">
        <v>41033</v>
      </c>
      <c r="B93" s="137">
        <v>104.39</v>
      </c>
      <c r="C93" s="138">
        <v>5.2300000000000006E-2</v>
      </c>
      <c r="D93" s="137">
        <v>107.23</v>
      </c>
      <c r="E93" s="138">
        <v>6.0299999999999999E-2</v>
      </c>
      <c r="F93" s="137">
        <v>105.39</v>
      </c>
      <c r="G93" s="138">
        <v>6.4399999999999999E-2</v>
      </c>
      <c r="H93" s="137">
        <v>115.33</v>
      </c>
      <c r="I93" s="138">
        <v>6.8400000000000002E-2</v>
      </c>
    </row>
    <row r="94" spans="1:9" x14ac:dyDescent="0.35">
      <c r="A94" s="133">
        <v>41036</v>
      </c>
      <c r="B94" s="134">
        <v>104.26</v>
      </c>
      <c r="C94" s="135">
        <v>5.2600000000000001E-2</v>
      </c>
      <c r="D94" s="134">
        <v>106.79</v>
      </c>
      <c r="E94" s="135">
        <v>6.0900000000000003E-2</v>
      </c>
      <c r="F94" s="134">
        <v>104.95</v>
      </c>
      <c r="G94" s="135">
        <v>6.4799999999999996E-2</v>
      </c>
      <c r="H94" s="134">
        <v>114.88</v>
      </c>
      <c r="I94" s="135">
        <v>6.88E-2</v>
      </c>
    </row>
    <row r="95" spans="1:9" x14ac:dyDescent="0.35">
      <c r="A95" s="133">
        <v>41037</v>
      </c>
      <c r="B95" s="134">
        <v>104.2</v>
      </c>
      <c r="C95" s="135">
        <v>5.28E-2</v>
      </c>
      <c r="D95" s="134">
        <v>107.25</v>
      </c>
      <c r="E95" s="135">
        <v>6.0299999999999999E-2</v>
      </c>
      <c r="F95" s="134">
        <v>105.29</v>
      </c>
      <c r="G95" s="135">
        <v>6.4500000000000002E-2</v>
      </c>
      <c r="H95" s="134">
        <v>115.25</v>
      </c>
      <c r="I95" s="135">
        <v>6.8500000000000005E-2</v>
      </c>
    </row>
    <row r="96" spans="1:9" x14ac:dyDescent="0.35">
      <c r="A96" s="133">
        <v>41038</v>
      </c>
      <c r="B96" s="134">
        <v>104.06</v>
      </c>
      <c r="C96" s="135">
        <v>5.3100000000000001E-2</v>
      </c>
      <c r="D96" s="134">
        <v>106.23</v>
      </c>
      <c r="E96" s="135">
        <v>6.1600000000000002E-2</v>
      </c>
      <c r="F96" s="134">
        <v>104.41000000000001</v>
      </c>
      <c r="G96" s="135">
        <v>6.54E-2</v>
      </c>
      <c r="H96" s="134">
        <v>114.35</v>
      </c>
      <c r="I96" s="135">
        <v>6.9199999999999998E-2</v>
      </c>
    </row>
    <row r="97" spans="1:9" x14ac:dyDescent="0.35">
      <c r="A97" s="133">
        <v>41039</v>
      </c>
      <c r="B97" s="134">
        <v>104.02000000000001</v>
      </c>
      <c r="C97" s="135">
        <v>5.3200000000000004E-2</v>
      </c>
      <c r="D97" s="134">
        <v>106.02000000000001</v>
      </c>
      <c r="E97" s="135">
        <v>6.1900000000000004E-2</v>
      </c>
      <c r="F97" s="134">
        <v>104.05000000000001</v>
      </c>
      <c r="G97" s="135">
        <v>6.5799999999999997E-2</v>
      </c>
      <c r="H97" s="134">
        <v>114.07</v>
      </c>
      <c r="I97" s="135">
        <v>6.9500000000000006E-2</v>
      </c>
    </row>
    <row r="98" spans="1:9" x14ac:dyDescent="0.35">
      <c r="A98" s="133">
        <v>41040</v>
      </c>
      <c r="B98" s="134">
        <v>103.86</v>
      </c>
      <c r="C98" s="135">
        <v>5.3500000000000006E-2</v>
      </c>
      <c r="D98" s="134">
        <v>105.67</v>
      </c>
      <c r="E98" s="135">
        <v>6.2300000000000001E-2</v>
      </c>
      <c r="F98" s="134">
        <v>103.87</v>
      </c>
      <c r="G98" s="135">
        <v>6.59E-2</v>
      </c>
      <c r="H98" s="134">
        <v>114.01</v>
      </c>
      <c r="I98" s="135">
        <v>6.9500000000000006E-2</v>
      </c>
    </row>
    <row r="99" spans="1:9" x14ac:dyDescent="0.35">
      <c r="A99" s="136">
        <v>41043</v>
      </c>
      <c r="B99" s="137">
        <v>103.94</v>
      </c>
      <c r="C99" s="138">
        <v>5.33E-2</v>
      </c>
      <c r="D99" s="137">
        <v>105.18</v>
      </c>
      <c r="E99" s="138">
        <v>6.3E-2</v>
      </c>
      <c r="F99" s="137">
        <v>103.36</v>
      </c>
      <c r="G99" s="138">
        <v>6.6500000000000004E-2</v>
      </c>
      <c r="H99" s="137">
        <v>113.32</v>
      </c>
      <c r="I99" s="138">
        <v>7.010000000000001E-2</v>
      </c>
    </row>
    <row r="100" spans="1:9" x14ac:dyDescent="0.35">
      <c r="A100" s="136">
        <v>41044</v>
      </c>
      <c r="B100" s="137">
        <v>103.73</v>
      </c>
      <c r="C100" s="138">
        <v>5.3800000000000001E-2</v>
      </c>
      <c r="D100" s="137">
        <v>104.64</v>
      </c>
      <c r="E100" s="138">
        <v>6.3700000000000007E-2</v>
      </c>
      <c r="F100" s="137">
        <v>102.75</v>
      </c>
      <c r="G100" s="138">
        <v>6.7100000000000007E-2</v>
      </c>
      <c r="H100" s="137">
        <v>112.53</v>
      </c>
      <c r="I100" s="138">
        <v>7.0800000000000002E-2</v>
      </c>
    </row>
    <row r="101" spans="1:9" x14ac:dyDescent="0.35">
      <c r="A101" s="136">
        <v>41045</v>
      </c>
      <c r="B101" s="137">
        <v>103.48</v>
      </c>
      <c r="C101" s="138">
        <v>5.4400000000000004E-2</v>
      </c>
      <c r="D101" s="137">
        <v>103.26</v>
      </c>
      <c r="E101" s="138">
        <v>6.5600000000000006E-2</v>
      </c>
      <c r="F101" s="137">
        <v>101.65</v>
      </c>
      <c r="G101" s="138">
        <v>6.83E-2</v>
      </c>
      <c r="H101" s="137">
        <v>110.97</v>
      </c>
      <c r="I101" s="138">
        <v>7.2099999999999997E-2</v>
      </c>
    </row>
    <row r="102" spans="1:9" x14ac:dyDescent="0.35">
      <c r="A102" s="133">
        <v>41050</v>
      </c>
      <c r="B102" s="134">
        <v>103.23</v>
      </c>
      <c r="C102" s="135">
        <v>5.4900000000000004E-2</v>
      </c>
      <c r="D102" s="134">
        <v>103.03</v>
      </c>
      <c r="E102" s="135">
        <v>6.59E-2</v>
      </c>
      <c r="F102" s="134">
        <v>101.33</v>
      </c>
      <c r="G102" s="135">
        <v>6.8600000000000008E-2</v>
      </c>
      <c r="H102" s="134">
        <v>110.6</v>
      </c>
      <c r="I102" s="135">
        <v>7.2400000000000006E-2</v>
      </c>
    </row>
    <row r="103" spans="1:9" x14ac:dyDescent="0.35">
      <c r="A103" s="133">
        <v>41051</v>
      </c>
      <c r="B103" s="134">
        <v>103.35</v>
      </c>
      <c r="C103" s="135">
        <v>5.4600000000000003E-2</v>
      </c>
      <c r="D103" s="134">
        <v>104.02</v>
      </c>
      <c r="E103" s="135">
        <v>6.4500000000000002E-2</v>
      </c>
      <c r="F103" s="134">
        <v>102.28</v>
      </c>
      <c r="G103" s="135">
        <v>6.7600000000000007E-2</v>
      </c>
      <c r="H103" s="134">
        <v>111.39</v>
      </c>
      <c r="I103" s="135">
        <v>7.17E-2</v>
      </c>
    </row>
    <row r="104" spans="1:9" x14ac:dyDescent="0.35">
      <c r="A104" s="133">
        <v>41052</v>
      </c>
      <c r="B104" s="134">
        <v>103.41</v>
      </c>
      <c r="C104" s="135">
        <v>5.45E-2</v>
      </c>
      <c r="D104" s="134">
        <v>104.33</v>
      </c>
      <c r="E104" s="135">
        <v>6.4100000000000004E-2</v>
      </c>
      <c r="F104" s="134">
        <v>102.34</v>
      </c>
      <c r="G104" s="135">
        <v>6.7500000000000004E-2</v>
      </c>
      <c r="H104" s="134">
        <v>112.23</v>
      </c>
      <c r="I104" s="135">
        <v>7.1000000000000008E-2</v>
      </c>
    </row>
    <row r="105" spans="1:9" x14ac:dyDescent="0.35">
      <c r="A105" s="133">
        <v>41053</v>
      </c>
      <c r="B105" s="134">
        <v>103.42</v>
      </c>
      <c r="C105" s="135">
        <v>5.45E-2</v>
      </c>
      <c r="D105" s="134">
        <v>103.77</v>
      </c>
      <c r="E105" s="135">
        <v>6.4899999999999999E-2</v>
      </c>
      <c r="F105" s="134">
        <v>101.79</v>
      </c>
      <c r="G105" s="135">
        <v>6.8100000000000008E-2</v>
      </c>
      <c r="H105" s="134">
        <v>111.69</v>
      </c>
      <c r="I105" s="135">
        <v>7.1500000000000008E-2</v>
      </c>
    </row>
    <row r="106" spans="1:9" x14ac:dyDescent="0.35">
      <c r="A106" s="133">
        <v>41054</v>
      </c>
      <c r="B106" s="134">
        <v>103.18</v>
      </c>
      <c r="C106" s="135">
        <v>5.5E-2</v>
      </c>
      <c r="D106" s="134">
        <v>103.35</v>
      </c>
      <c r="E106" s="135">
        <v>6.54E-2</v>
      </c>
      <c r="F106" s="134">
        <v>101.28</v>
      </c>
      <c r="G106" s="135">
        <v>6.8699999999999997E-2</v>
      </c>
      <c r="H106" s="134">
        <v>110.65</v>
      </c>
      <c r="I106" s="135">
        <v>7.2400000000000006E-2</v>
      </c>
    </row>
    <row r="107" spans="1:9" x14ac:dyDescent="0.35">
      <c r="A107" s="136">
        <v>41057</v>
      </c>
      <c r="B107" s="137">
        <v>103.05</v>
      </c>
      <c r="C107" s="138">
        <v>5.5300000000000002E-2</v>
      </c>
      <c r="D107" s="137">
        <v>103.35</v>
      </c>
      <c r="E107" s="138">
        <v>6.54E-2</v>
      </c>
      <c r="F107" s="137">
        <v>101.76</v>
      </c>
      <c r="G107" s="138">
        <v>6.8199999999999997E-2</v>
      </c>
      <c r="H107" s="137">
        <v>110.46</v>
      </c>
      <c r="I107" s="138">
        <v>7.2599999999999998E-2</v>
      </c>
    </row>
    <row r="108" spans="1:9" x14ac:dyDescent="0.35">
      <c r="A108" s="136">
        <v>41058</v>
      </c>
      <c r="B108" s="137">
        <v>103.1</v>
      </c>
      <c r="C108" s="138">
        <v>5.5200000000000006E-2</v>
      </c>
      <c r="D108" s="137">
        <v>103.35</v>
      </c>
      <c r="E108" s="138">
        <v>6.54E-2</v>
      </c>
      <c r="F108" s="137">
        <v>101.39</v>
      </c>
      <c r="G108" s="138">
        <v>6.8500000000000005E-2</v>
      </c>
      <c r="H108" s="137">
        <v>110.48</v>
      </c>
      <c r="I108" s="138">
        <v>7.2500000000000009E-2</v>
      </c>
    </row>
    <row r="109" spans="1:9" x14ac:dyDescent="0.35">
      <c r="A109" s="136">
        <v>41059</v>
      </c>
      <c r="B109" s="137">
        <v>103.13</v>
      </c>
      <c r="C109" s="138">
        <v>5.5100000000000003E-2</v>
      </c>
      <c r="D109" s="137">
        <v>103.66</v>
      </c>
      <c r="E109" s="138">
        <v>6.5000000000000002E-2</v>
      </c>
      <c r="F109" s="137">
        <v>101.5</v>
      </c>
      <c r="G109" s="138">
        <v>6.8400000000000002E-2</v>
      </c>
      <c r="H109" s="137">
        <v>110.72</v>
      </c>
      <c r="I109" s="138">
        <v>7.2300000000000003E-2</v>
      </c>
    </row>
    <row r="110" spans="1:9" x14ac:dyDescent="0.35">
      <c r="A110" s="136">
        <v>41060</v>
      </c>
      <c r="B110" s="137">
        <v>103.09</v>
      </c>
      <c r="C110" s="138">
        <v>5.5200000000000006E-2</v>
      </c>
      <c r="D110" s="137">
        <v>103.67</v>
      </c>
      <c r="E110" s="138">
        <v>6.5000000000000002E-2</v>
      </c>
      <c r="F110" s="137">
        <v>101.3</v>
      </c>
      <c r="G110" s="138">
        <v>6.8600000000000008E-2</v>
      </c>
      <c r="H110" s="137">
        <v>110.71</v>
      </c>
      <c r="I110" s="138">
        <v>7.2300000000000003E-2</v>
      </c>
    </row>
    <row r="111" spans="1:9" x14ac:dyDescent="0.35">
      <c r="A111" s="136">
        <v>41061</v>
      </c>
      <c r="B111" s="137">
        <v>102.96</v>
      </c>
      <c r="C111" s="138">
        <v>5.5500000000000001E-2</v>
      </c>
      <c r="D111" s="137">
        <v>103.9</v>
      </c>
      <c r="E111" s="138">
        <v>6.4700000000000008E-2</v>
      </c>
      <c r="F111" s="137">
        <v>101.42</v>
      </c>
      <c r="G111" s="138">
        <v>6.8500000000000005E-2</v>
      </c>
      <c r="H111" s="137">
        <v>110.8</v>
      </c>
      <c r="I111" s="138">
        <v>7.2300000000000003E-2</v>
      </c>
    </row>
    <row r="112" spans="1:9" x14ac:dyDescent="0.35">
      <c r="A112" s="133">
        <v>41064</v>
      </c>
      <c r="B112" s="134">
        <v>103.14</v>
      </c>
      <c r="C112" s="135">
        <v>5.5100000000000003E-2</v>
      </c>
      <c r="D112" s="134">
        <v>103.85</v>
      </c>
      <c r="E112" s="135">
        <v>6.4700000000000008E-2</v>
      </c>
      <c r="F112" s="134">
        <v>101.42</v>
      </c>
      <c r="G112" s="135">
        <v>6.8500000000000005E-2</v>
      </c>
      <c r="H112" s="134">
        <v>110.6</v>
      </c>
      <c r="I112" s="135">
        <v>7.2400000000000006E-2</v>
      </c>
    </row>
    <row r="113" spans="1:9" x14ac:dyDescent="0.35">
      <c r="A113" s="133">
        <v>41065</v>
      </c>
      <c r="B113" s="134">
        <v>103.25</v>
      </c>
      <c r="C113" s="135">
        <v>5.4800000000000001E-2</v>
      </c>
      <c r="D113" s="134">
        <v>103.79</v>
      </c>
      <c r="E113" s="135">
        <v>6.4799999999999996E-2</v>
      </c>
      <c r="F113" s="134">
        <v>101.64</v>
      </c>
      <c r="G113" s="135">
        <v>6.83E-2</v>
      </c>
      <c r="H113" s="134">
        <v>110.79</v>
      </c>
      <c r="I113" s="135">
        <v>7.2300000000000003E-2</v>
      </c>
    </row>
    <row r="114" spans="1:9" x14ac:dyDescent="0.35">
      <c r="A114" s="133">
        <v>41066</v>
      </c>
      <c r="B114" s="134">
        <v>102.99</v>
      </c>
      <c r="C114" s="135">
        <v>5.5400000000000005E-2</v>
      </c>
      <c r="D114" s="134">
        <v>103.67</v>
      </c>
      <c r="E114" s="135">
        <v>6.5000000000000002E-2</v>
      </c>
      <c r="F114" s="134">
        <v>101.51</v>
      </c>
      <c r="G114" s="135">
        <v>6.8400000000000002E-2</v>
      </c>
      <c r="H114" s="134">
        <v>110.75</v>
      </c>
      <c r="I114" s="135">
        <v>7.2300000000000003E-2</v>
      </c>
    </row>
    <row r="115" spans="1:9" x14ac:dyDescent="0.35">
      <c r="A115" s="133">
        <v>41067</v>
      </c>
      <c r="B115" s="134">
        <v>103.17</v>
      </c>
      <c r="C115" s="135">
        <v>5.5E-2</v>
      </c>
      <c r="D115" s="134">
        <v>104.23</v>
      </c>
      <c r="E115" s="135">
        <v>6.4200000000000007E-2</v>
      </c>
      <c r="F115" s="134">
        <v>102.25</v>
      </c>
      <c r="G115" s="135">
        <v>6.7600000000000007E-2</v>
      </c>
      <c r="H115" s="134">
        <v>111.44</v>
      </c>
      <c r="I115" s="135">
        <v>7.17E-2</v>
      </c>
    </row>
    <row r="116" spans="1:9" x14ac:dyDescent="0.35">
      <c r="A116" s="133">
        <v>41068</v>
      </c>
      <c r="B116" s="134">
        <v>103.19</v>
      </c>
      <c r="C116" s="135">
        <v>5.4900000000000004E-2</v>
      </c>
      <c r="D116" s="134">
        <v>104.27</v>
      </c>
      <c r="E116" s="135">
        <v>6.4200000000000007E-2</v>
      </c>
      <c r="F116" s="134">
        <v>102.31</v>
      </c>
      <c r="G116" s="135">
        <v>6.7600000000000007E-2</v>
      </c>
      <c r="H116" s="134">
        <v>111.51</v>
      </c>
      <c r="I116" s="135">
        <v>7.1599999999999997E-2</v>
      </c>
    </row>
    <row r="117" spans="1:9" x14ac:dyDescent="0.35">
      <c r="A117" s="136">
        <v>41071</v>
      </c>
      <c r="B117" s="137">
        <v>103.25</v>
      </c>
      <c r="C117" s="138">
        <v>5.4800000000000001E-2</v>
      </c>
      <c r="D117" s="137">
        <v>104.76</v>
      </c>
      <c r="E117" s="138">
        <v>6.3500000000000001E-2</v>
      </c>
      <c r="F117" s="137">
        <v>102.52</v>
      </c>
      <c r="G117" s="138">
        <v>6.7299999999999999E-2</v>
      </c>
      <c r="H117" s="137">
        <v>111.75</v>
      </c>
      <c r="I117" s="138">
        <v>7.1400000000000005E-2</v>
      </c>
    </row>
    <row r="118" spans="1:9" x14ac:dyDescent="0.35">
      <c r="A118" s="136">
        <v>41072</v>
      </c>
      <c r="B118" s="137">
        <v>103.2</v>
      </c>
      <c r="C118" s="138">
        <v>5.4900000000000004E-2</v>
      </c>
      <c r="D118" s="137">
        <v>104.26</v>
      </c>
      <c r="E118" s="138">
        <v>6.4200000000000007E-2</v>
      </c>
      <c r="F118" s="137">
        <v>102.31</v>
      </c>
      <c r="G118" s="138">
        <v>6.7600000000000007E-2</v>
      </c>
      <c r="H118" s="137">
        <v>111.47</v>
      </c>
      <c r="I118" s="138">
        <v>7.17E-2</v>
      </c>
    </row>
    <row r="119" spans="1:9" x14ac:dyDescent="0.35">
      <c r="A119" s="136">
        <v>41073</v>
      </c>
      <c r="B119" s="137">
        <v>103.23</v>
      </c>
      <c r="C119" s="138">
        <v>5.4800000000000001E-2</v>
      </c>
      <c r="D119" s="137">
        <v>104.46</v>
      </c>
      <c r="E119" s="138">
        <v>6.3899999999999998E-2</v>
      </c>
      <c r="F119" s="137">
        <v>102.39</v>
      </c>
      <c r="G119" s="138">
        <v>6.7500000000000004E-2</v>
      </c>
      <c r="H119" s="137">
        <v>111.64</v>
      </c>
      <c r="I119" s="138">
        <v>7.1500000000000008E-2</v>
      </c>
    </row>
    <row r="120" spans="1:9" x14ac:dyDescent="0.35">
      <c r="A120" s="136">
        <v>41074</v>
      </c>
      <c r="B120" s="137">
        <v>103.22</v>
      </c>
      <c r="C120" s="138">
        <v>5.4900000000000004E-2</v>
      </c>
      <c r="D120" s="137">
        <v>104.44</v>
      </c>
      <c r="E120" s="138">
        <v>6.3899999999999998E-2</v>
      </c>
      <c r="F120" s="137">
        <v>102.38</v>
      </c>
      <c r="G120" s="138">
        <v>6.7500000000000004E-2</v>
      </c>
      <c r="H120" s="137">
        <v>111.69</v>
      </c>
      <c r="I120" s="138">
        <v>7.1500000000000008E-2</v>
      </c>
    </row>
    <row r="121" spans="1:9" x14ac:dyDescent="0.35">
      <c r="A121" s="136">
        <v>41075</v>
      </c>
      <c r="B121" s="137">
        <v>103.37</v>
      </c>
      <c r="C121" s="138">
        <v>5.45E-2</v>
      </c>
      <c r="D121" s="137">
        <v>104.53</v>
      </c>
      <c r="E121" s="138">
        <v>6.3800000000000009E-2</v>
      </c>
      <c r="F121" s="137">
        <v>102.55</v>
      </c>
      <c r="G121" s="138">
        <v>6.7299999999999999E-2</v>
      </c>
      <c r="H121" s="137">
        <v>111.77</v>
      </c>
      <c r="I121" s="138">
        <v>7.1400000000000005E-2</v>
      </c>
    </row>
    <row r="122" spans="1:9" x14ac:dyDescent="0.35">
      <c r="A122" s="133">
        <v>41078</v>
      </c>
      <c r="B122" s="134">
        <v>103.62</v>
      </c>
      <c r="C122" s="135">
        <v>5.3900000000000003E-2</v>
      </c>
      <c r="D122" s="134">
        <v>105.23</v>
      </c>
      <c r="E122" s="135">
        <v>6.2899999999999998E-2</v>
      </c>
      <c r="F122" s="134">
        <v>103.22</v>
      </c>
      <c r="G122" s="135">
        <v>6.6600000000000006E-2</v>
      </c>
      <c r="H122" s="134">
        <v>112.66</v>
      </c>
      <c r="I122" s="135">
        <v>7.0599999999999996E-2</v>
      </c>
    </row>
    <row r="123" spans="1:9" x14ac:dyDescent="0.35">
      <c r="A123" s="133">
        <v>41079</v>
      </c>
      <c r="B123" s="134">
        <v>103.4</v>
      </c>
      <c r="C123" s="135">
        <v>5.4400000000000004E-2</v>
      </c>
      <c r="D123" s="134">
        <v>104.7</v>
      </c>
      <c r="E123" s="135">
        <v>6.3600000000000004E-2</v>
      </c>
      <c r="F123" s="134">
        <v>102.72</v>
      </c>
      <c r="G123" s="135">
        <v>6.7100000000000007E-2</v>
      </c>
      <c r="H123" s="134">
        <v>112.1</v>
      </c>
      <c r="I123" s="135">
        <v>7.1099999999999997E-2</v>
      </c>
    </row>
    <row r="124" spans="1:9" x14ac:dyDescent="0.35">
      <c r="A124" s="133">
        <v>41080</v>
      </c>
      <c r="B124" s="134">
        <v>103.53</v>
      </c>
      <c r="C124" s="135">
        <v>5.4100000000000002E-2</v>
      </c>
      <c r="D124" s="134">
        <v>105.29</v>
      </c>
      <c r="E124" s="135">
        <v>6.2800000000000009E-2</v>
      </c>
      <c r="F124" s="134">
        <v>103.05</v>
      </c>
      <c r="G124" s="135">
        <v>6.6799999999999998E-2</v>
      </c>
      <c r="H124" s="134">
        <v>112.45</v>
      </c>
      <c r="I124" s="135">
        <v>7.0800000000000002E-2</v>
      </c>
    </row>
    <row r="125" spans="1:9" x14ac:dyDescent="0.35">
      <c r="A125" s="133">
        <v>41081</v>
      </c>
      <c r="B125" s="134">
        <v>103.72</v>
      </c>
      <c r="C125" s="135">
        <v>5.3700000000000005E-2</v>
      </c>
      <c r="D125" s="134">
        <v>106.59</v>
      </c>
      <c r="E125" s="135">
        <v>6.1100000000000002E-2</v>
      </c>
      <c r="F125" s="134">
        <v>105.02</v>
      </c>
      <c r="G125" s="135">
        <v>6.4700000000000008E-2</v>
      </c>
      <c r="H125" s="134">
        <v>114.91</v>
      </c>
      <c r="I125" s="135">
        <v>6.8699999999999997E-2</v>
      </c>
    </row>
    <row r="126" spans="1:9" x14ac:dyDescent="0.35">
      <c r="A126" s="133">
        <v>41082</v>
      </c>
      <c r="B126" s="134">
        <v>103.7</v>
      </c>
      <c r="C126" s="135">
        <v>5.3700000000000005E-2</v>
      </c>
      <c r="D126" s="134">
        <v>106.92</v>
      </c>
      <c r="E126" s="135">
        <v>6.0600000000000001E-2</v>
      </c>
      <c r="F126" s="134">
        <v>104.95</v>
      </c>
      <c r="G126" s="135">
        <v>6.4799999999999996E-2</v>
      </c>
      <c r="H126" s="134">
        <v>115.03</v>
      </c>
      <c r="I126" s="135">
        <v>6.8600000000000008E-2</v>
      </c>
    </row>
    <row r="127" spans="1:9" x14ac:dyDescent="0.35">
      <c r="A127" s="136">
        <v>41085</v>
      </c>
      <c r="B127" s="137">
        <v>103.64</v>
      </c>
      <c r="C127" s="138">
        <v>5.3800000000000001E-2</v>
      </c>
      <c r="D127" s="137">
        <v>106.27</v>
      </c>
      <c r="E127" s="138">
        <v>6.1500000000000006E-2</v>
      </c>
      <c r="F127" s="137">
        <v>104.3</v>
      </c>
      <c r="G127" s="138">
        <v>6.5500000000000003E-2</v>
      </c>
      <c r="H127" s="137">
        <v>114.35</v>
      </c>
      <c r="I127" s="138">
        <v>6.9199999999999998E-2</v>
      </c>
    </row>
    <row r="128" spans="1:9" x14ac:dyDescent="0.35">
      <c r="A128" s="136">
        <v>41086</v>
      </c>
      <c r="B128" s="137">
        <v>103.45</v>
      </c>
      <c r="C128" s="138">
        <v>5.4300000000000001E-2</v>
      </c>
      <c r="D128" s="137">
        <v>105.4</v>
      </c>
      <c r="E128" s="138">
        <v>6.2600000000000003E-2</v>
      </c>
      <c r="F128" s="137">
        <v>103.19</v>
      </c>
      <c r="G128" s="138">
        <v>6.6600000000000006E-2</v>
      </c>
      <c r="H128" s="137">
        <v>113.56</v>
      </c>
      <c r="I128" s="138">
        <v>6.9900000000000004E-2</v>
      </c>
    </row>
    <row r="129" spans="1:9" x14ac:dyDescent="0.35">
      <c r="A129" s="136">
        <v>41087</v>
      </c>
      <c r="B129" s="137">
        <v>103.47</v>
      </c>
      <c r="C129" s="138">
        <v>5.4200000000000005E-2</v>
      </c>
      <c r="D129" s="137">
        <v>105.57</v>
      </c>
      <c r="E129" s="138">
        <v>6.2400000000000004E-2</v>
      </c>
      <c r="F129" s="137">
        <v>103.48</v>
      </c>
      <c r="G129" s="138">
        <v>6.6299999999999998E-2</v>
      </c>
      <c r="H129" s="137">
        <v>113.64</v>
      </c>
      <c r="I129" s="138">
        <v>6.9800000000000001E-2</v>
      </c>
    </row>
    <row r="130" spans="1:9" x14ac:dyDescent="0.35">
      <c r="A130" s="136">
        <v>41088</v>
      </c>
      <c r="B130" s="137">
        <v>103.62</v>
      </c>
      <c r="C130" s="138">
        <v>5.3900000000000003E-2</v>
      </c>
      <c r="D130" s="137">
        <v>105.94</v>
      </c>
      <c r="E130" s="138">
        <v>6.1900000000000004E-2</v>
      </c>
      <c r="F130" s="137">
        <v>103.85</v>
      </c>
      <c r="G130" s="138">
        <v>6.59E-2</v>
      </c>
      <c r="H130" s="137">
        <v>114.05</v>
      </c>
      <c r="I130" s="138">
        <v>6.9400000000000003E-2</v>
      </c>
    </row>
    <row r="131" spans="1:9" x14ac:dyDescent="0.35">
      <c r="A131" s="136">
        <v>41089</v>
      </c>
      <c r="B131" s="137">
        <v>103.39</v>
      </c>
      <c r="C131" s="138">
        <v>5.4400000000000004E-2</v>
      </c>
      <c r="D131" s="137">
        <v>105.96</v>
      </c>
      <c r="E131" s="138">
        <v>6.1900000000000004E-2</v>
      </c>
      <c r="F131" s="137">
        <v>103.6</v>
      </c>
      <c r="G131" s="138">
        <v>6.6200000000000009E-2</v>
      </c>
      <c r="H131" s="137">
        <v>114</v>
      </c>
      <c r="I131" s="138">
        <v>6.9500000000000006E-2</v>
      </c>
    </row>
    <row r="132" spans="1:9" x14ac:dyDescent="0.35">
      <c r="A132" s="133">
        <v>41092</v>
      </c>
      <c r="B132" s="134">
        <v>103.76</v>
      </c>
      <c r="C132" s="135">
        <v>5.3500000000000006E-2</v>
      </c>
      <c r="D132" s="134">
        <v>107.43</v>
      </c>
      <c r="E132" s="135">
        <v>6.0000000000000005E-2</v>
      </c>
      <c r="F132" s="134">
        <v>105.56</v>
      </c>
      <c r="G132" s="135">
        <v>6.4200000000000007E-2</v>
      </c>
      <c r="H132" s="134">
        <v>116.35</v>
      </c>
      <c r="I132" s="135">
        <v>6.7500000000000004E-2</v>
      </c>
    </row>
    <row r="133" spans="1:9" x14ac:dyDescent="0.35">
      <c r="A133" s="133">
        <v>41093</v>
      </c>
      <c r="B133" s="134">
        <v>103.68</v>
      </c>
      <c r="C133" s="135">
        <v>5.3700000000000005E-2</v>
      </c>
      <c r="D133" s="134">
        <v>106.88</v>
      </c>
      <c r="E133" s="135">
        <v>6.0700000000000004E-2</v>
      </c>
      <c r="F133" s="134">
        <v>105.07</v>
      </c>
      <c r="G133" s="135">
        <v>6.4700000000000008E-2</v>
      </c>
      <c r="H133" s="134">
        <v>115.76</v>
      </c>
      <c r="I133" s="135">
        <v>6.8000000000000005E-2</v>
      </c>
    </row>
    <row r="134" spans="1:9" x14ac:dyDescent="0.35">
      <c r="A134" s="133">
        <v>41094</v>
      </c>
      <c r="B134" s="134">
        <v>103.73</v>
      </c>
      <c r="C134" s="135">
        <v>5.3600000000000002E-2</v>
      </c>
      <c r="D134" s="134">
        <v>107.61</v>
      </c>
      <c r="E134" s="135">
        <v>5.9700000000000003E-2</v>
      </c>
      <c r="F134" s="134">
        <v>105.62</v>
      </c>
      <c r="G134" s="135">
        <v>6.4100000000000004E-2</v>
      </c>
      <c r="H134" s="134">
        <v>116.79</v>
      </c>
      <c r="I134" s="135">
        <v>6.7100000000000007E-2</v>
      </c>
    </row>
    <row r="135" spans="1:9" x14ac:dyDescent="0.35">
      <c r="A135" s="133">
        <v>41095</v>
      </c>
      <c r="B135" s="134">
        <v>103.63</v>
      </c>
      <c r="C135" s="135">
        <v>5.3800000000000001E-2</v>
      </c>
      <c r="D135" s="134">
        <v>107.14</v>
      </c>
      <c r="E135" s="135">
        <v>6.0299999999999999E-2</v>
      </c>
      <c r="F135" s="134">
        <v>105.16</v>
      </c>
      <c r="G135" s="135">
        <v>6.4600000000000005E-2</v>
      </c>
      <c r="H135" s="134">
        <v>116.44</v>
      </c>
      <c r="I135" s="135">
        <v>6.7400000000000002E-2</v>
      </c>
    </row>
    <row r="136" spans="1:9" x14ac:dyDescent="0.35">
      <c r="A136" s="133">
        <v>41096</v>
      </c>
      <c r="B136" s="134">
        <v>103.66</v>
      </c>
      <c r="C136" s="135">
        <v>5.3700000000000005E-2</v>
      </c>
      <c r="D136" s="134">
        <v>107.3</v>
      </c>
      <c r="E136" s="135">
        <v>6.0100000000000001E-2</v>
      </c>
      <c r="F136" s="134">
        <v>105.16</v>
      </c>
      <c r="G136" s="135">
        <v>6.4600000000000005E-2</v>
      </c>
      <c r="H136" s="134">
        <v>116.42</v>
      </c>
      <c r="I136" s="135">
        <v>6.7500000000000004E-2</v>
      </c>
    </row>
    <row r="137" spans="1:9" x14ac:dyDescent="0.35">
      <c r="A137" s="136">
        <v>41099</v>
      </c>
      <c r="B137" s="137">
        <v>103.5</v>
      </c>
      <c r="C137" s="138">
        <v>5.4100000000000002E-2</v>
      </c>
      <c r="D137" s="137">
        <v>106.74</v>
      </c>
      <c r="E137" s="138">
        <v>6.08E-2</v>
      </c>
      <c r="F137" s="137">
        <v>105.3</v>
      </c>
      <c r="G137" s="138">
        <v>6.4399999999999999E-2</v>
      </c>
      <c r="H137" s="137">
        <v>115.88</v>
      </c>
      <c r="I137" s="138">
        <v>6.7900000000000002E-2</v>
      </c>
    </row>
    <row r="138" spans="1:9" x14ac:dyDescent="0.35">
      <c r="A138" s="136">
        <v>41100</v>
      </c>
      <c r="B138" s="137">
        <v>103.62</v>
      </c>
      <c r="C138" s="138">
        <v>5.3800000000000001E-2</v>
      </c>
      <c r="D138" s="137">
        <v>106.86</v>
      </c>
      <c r="E138" s="138">
        <v>6.0700000000000004E-2</v>
      </c>
      <c r="F138" s="137">
        <v>104.79</v>
      </c>
      <c r="G138" s="138">
        <v>6.5000000000000002E-2</v>
      </c>
      <c r="H138" s="137">
        <v>115.99</v>
      </c>
      <c r="I138" s="138">
        <v>6.7799999999999999E-2</v>
      </c>
    </row>
    <row r="139" spans="1:9" x14ac:dyDescent="0.35">
      <c r="A139" s="136">
        <v>41101</v>
      </c>
      <c r="B139" s="137">
        <v>103.67</v>
      </c>
      <c r="C139" s="138">
        <v>5.3700000000000005E-2</v>
      </c>
      <c r="D139" s="137">
        <v>106.79</v>
      </c>
      <c r="E139" s="138">
        <v>6.08E-2</v>
      </c>
      <c r="F139" s="137">
        <v>104.77</v>
      </c>
      <c r="G139" s="138">
        <v>6.5000000000000002E-2</v>
      </c>
      <c r="H139" s="137">
        <v>116.05</v>
      </c>
      <c r="I139" s="138">
        <v>6.7799999999999999E-2</v>
      </c>
    </row>
    <row r="140" spans="1:9" x14ac:dyDescent="0.35">
      <c r="A140" s="136">
        <v>41102</v>
      </c>
      <c r="B140" s="137">
        <v>103.71</v>
      </c>
      <c r="C140" s="138">
        <v>5.3600000000000002E-2</v>
      </c>
      <c r="D140" s="137">
        <v>107.19</v>
      </c>
      <c r="E140" s="138">
        <v>6.0200000000000004E-2</v>
      </c>
      <c r="F140" s="137">
        <v>105.97</v>
      </c>
      <c r="G140" s="138">
        <v>6.3800000000000009E-2</v>
      </c>
      <c r="H140" s="137">
        <v>116.72</v>
      </c>
      <c r="I140" s="138">
        <v>6.720000000000001E-2</v>
      </c>
    </row>
    <row r="141" spans="1:9" x14ac:dyDescent="0.35">
      <c r="A141" s="136">
        <v>41103</v>
      </c>
      <c r="B141" s="137">
        <v>103.5</v>
      </c>
      <c r="C141" s="138">
        <v>5.4100000000000002E-2</v>
      </c>
      <c r="D141" s="137">
        <v>106.93</v>
      </c>
      <c r="E141" s="138">
        <v>6.0600000000000001E-2</v>
      </c>
      <c r="F141" s="137">
        <v>105.16</v>
      </c>
      <c r="G141" s="138">
        <v>6.4600000000000005E-2</v>
      </c>
      <c r="H141" s="137">
        <v>116.54</v>
      </c>
      <c r="I141" s="138">
        <v>6.7299999999999999E-2</v>
      </c>
    </row>
    <row r="142" spans="1:9" x14ac:dyDescent="0.35">
      <c r="A142" s="133">
        <v>41106</v>
      </c>
      <c r="B142" s="134">
        <v>103.67</v>
      </c>
      <c r="C142" s="135">
        <v>5.3700000000000005E-2</v>
      </c>
      <c r="D142" s="134">
        <v>107.89</v>
      </c>
      <c r="E142" s="135">
        <v>5.9300000000000005E-2</v>
      </c>
      <c r="F142" s="134">
        <v>105.94</v>
      </c>
      <c r="G142" s="135">
        <v>6.3800000000000009E-2</v>
      </c>
      <c r="H142" s="134">
        <v>116.93</v>
      </c>
      <c r="I142" s="135">
        <v>6.7000000000000004E-2</v>
      </c>
    </row>
    <row r="143" spans="1:9" x14ac:dyDescent="0.35">
      <c r="A143" s="133">
        <v>41107</v>
      </c>
      <c r="B143" s="134">
        <v>103.59</v>
      </c>
      <c r="C143" s="135">
        <v>5.3800000000000001E-2</v>
      </c>
      <c r="D143" s="134">
        <v>108.11</v>
      </c>
      <c r="E143" s="135">
        <v>5.9000000000000004E-2</v>
      </c>
      <c r="F143" s="134">
        <v>106.22</v>
      </c>
      <c r="G143" s="135">
        <v>6.3500000000000001E-2</v>
      </c>
      <c r="H143" s="134">
        <v>117.25</v>
      </c>
      <c r="I143" s="135">
        <v>6.6799999999999998E-2</v>
      </c>
    </row>
    <row r="144" spans="1:9" x14ac:dyDescent="0.35">
      <c r="A144" s="133">
        <v>41108</v>
      </c>
      <c r="B144" s="134">
        <v>103.65</v>
      </c>
      <c r="C144" s="135">
        <v>5.3700000000000005E-2</v>
      </c>
      <c r="D144" s="134">
        <v>109.17</v>
      </c>
      <c r="E144" s="135">
        <v>5.7700000000000001E-2</v>
      </c>
      <c r="F144" s="134">
        <v>107.5</v>
      </c>
      <c r="G144" s="135">
        <v>6.2200000000000005E-2</v>
      </c>
      <c r="H144" s="134">
        <v>119.23</v>
      </c>
      <c r="I144" s="135">
        <v>6.5200000000000008E-2</v>
      </c>
    </row>
    <row r="145" spans="1:9" x14ac:dyDescent="0.35">
      <c r="A145" s="133">
        <v>41109</v>
      </c>
      <c r="B145" s="134">
        <v>103.93</v>
      </c>
      <c r="C145" s="135">
        <v>5.3000000000000005E-2</v>
      </c>
      <c r="D145" s="134">
        <v>109.62</v>
      </c>
      <c r="E145" s="135">
        <v>5.7100000000000005E-2</v>
      </c>
      <c r="F145" s="134">
        <v>108.06</v>
      </c>
      <c r="G145" s="135">
        <v>6.1700000000000005E-2</v>
      </c>
      <c r="H145" s="134">
        <v>120.15</v>
      </c>
      <c r="I145" s="135">
        <v>6.4399999999999999E-2</v>
      </c>
    </row>
    <row r="146" spans="1:9" x14ac:dyDescent="0.35">
      <c r="A146" s="133">
        <v>41110</v>
      </c>
      <c r="B146" s="134">
        <v>104.12</v>
      </c>
      <c r="C146" s="135">
        <v>5.2600000000000001E-2</v>
      </c>
      <c r="D146" s="134">
        <v>109.61</v>
      </c>
      <c r="E146" s="135">
        <v>5.7100000000000005E-2</v>
      </c>
      <c r="F146" s="134">
        <v>108.24</v>
      </c>
      <c r="G146" s="135">
        <v>6.1500000000000006E-2</v>
      </c>
      <c r="H146" s="134">
        <v>120.26</v>
      </c>
      <c r="I146" s="135">
        <v>6.4399999999999999E-2</v>
      </c>
    </row>
    <row r="147" spans="1:9" x14ac:dyDescent="0.35">
      <c r="A147" s="136">
        <v>41113</v>
      </c>
      <c r="B147" s="137">
        <v>104.36</v>
      </c>
      <c r="C147" s="138">
        <v>5.2000000000000005E-2</v>
      </c>
      <c r="D147" s="137">
        <v>109.68</v>
      </c>
      <c r="E147" s="138">
        <v>5.7000000000000002E-2</v>
      </c>
      <c r="F147" s="137">
        <v>108.64</v>
      </c>
      <c r="G147" s="138">
        <v>6.1100000000000002E-2</v>
      </c>
      <c r="H147" s="137">
        <v>120.62</v>
      </c>
      <c r="I147" s="138">
        <v>6.4100000000000004E-2</v>
      </c>
    </row>
    <row r="148" spans="1:9" x14ac:dyDescent="0.35">
      <c r="A148" s="136">
        <v>41114</v>
      </c>
      <c r="B148" s="137">
        <v>104.21</v>
      </c>
      <c r="C148" s="138">
        <v>5.2300000000000006E-2</v>
      </c>
      <c r="D148" s="137">
        <v>108.74</v>
      </c>
      <c r="E148" s="138">
        <v>5.8200000000000002E-2</v>
      </c>
      <c r="F148" s="137">
        <v>107.58</v>
      </c>
      <c r="G148" s="138">
        <v>6.2100000000000002E-2</v>
      </c>
      <c r="H148" s="137">
        <v>119.08</v>
      </c>
      <c r="I148" s="138">
        <v>6.5299999999999997E-2</v>
      </c>
    </row>
    <row r="149" spans="1:9" x14ac:dyDescent="0.35">
      <c r="A149" s="136">
        <v>41115</v>
      </c>
      <c r="B149" s="137">
        <v>104.13</v>
      </c>
      <c r="C149" s="138">
        <v>5.2500000000000005E-2</v>
      </c>
      <c r="D149" s="137">
        <v>108.65</v>
      </c>
      <c r="E149" s="138">
        <v>5.8300000000000005E-2</v>
      </c>
      <c r="F149" s="137">
        <v>107.18</v>
      </c>
      <c r="G149" s="138">
        <v>6.25E-2</v>
      </c>
      <c r="H149" s="137">
        <v>118.87</v>
      </c>
      <c r="I149" s="138">
        <v>6.54E-2</v>
      </c>
    </row>
    <row r="150" spans="1:9" x14ac:dyDescent="0.35">
      <c r="A150" s="136">
        <v>41116</v>
      </c>
      <c r="B150" s="137">
        <v>103.89</v>
      </c>
      <c r="C150" s="138">
        <v>5.3100000000000001E-2</v>
      </c>
      <c r="D150" s="137">
        <v>109.09</v>
      </c>
      <c r="E150" s="138">
        <v>5.7800000000000004E-2</v>
      </c>
      <c r="F150" s="137">
        <v>107.31</v>
      </c>
      <c r="G150" s="138">
        <v>6.2400000000000004E-2</v>
      </c>
      <c r="H150" s="137">
        <v>119.39</v>
      </c>
      <c r="I150" s="138">
        <v>6.5000000000000002E-2</v>
      </c>
    </row>
    <row r="151" spans="1:9" x14ac:dyDescent="0.35">
      <c r="A151" s="136">
        <v>41117</v>
      </c>
      <c r="B151" s="137">
        <v>104.08</v>
      </c>
      <c r="C151" s="138">
        <v>5.2600000000000001E-2</v>
      </c>
      <c r="D151" s="137">
        <v>109.52</v>
      </c>
      <c r="E151" s="138">
        <v>5.7200000000000001E-2</v>
      </c>
      <c r="F151" s="137">
        <v>107.81</v>
      </c>
      <c r="G151" s="138">
        <v>6.1900000000000004E-2</v>
      </c>
      <c r="H151" s="137">
        <v>119.87</v>
      </c>
      <c r="I151" s="138">
        <v>6.4600000000000005E-2</v>
      </c>
    </row>
    <row r="152" spans="1:9" x14ac:dyDescent="0.35">
      <c r="A152" s="133">
        <v>41120</v>
      </c>
      <c r="B152" s="134">
        <v>104.06</v>
      </c>
      <c r="C152" s="135">
        <v>5.2700000000000004E-2</v>
      </c>
      <c r="D152" s="134">
        <v>109.93</v>
      </c>
      <c r="E152" s="135">
        <v>5.67E-2</v>
      </c>
      <c r="F152" s="134">
        <v>108.64</v>
      </c>
      <c r="G152" s="135">
        <v>6.1100000000000002E-2</v>
      </c>
      <c r="H152" s="134">
        <v>120.76</v>
      </c>
      <c r="I152" s="135">
        <v>6.3899999999999998E-2</v>
      </c>
    </row>
    <row r="153" spans="1:9" x14ac:dyDescent="0.35">
      <c r="A153" s="133">
        <v>41121</v>
      </c>
      <c r="B153" s="134">
        <v>104.09</v>
      </c>
      <c r="C153" s="135">
        <v>5.2600000000000001E-2</v>
      </c>
      <c r="D153" s="134">
        <v>109.92</v>
      </c>
      <c r="E153" s="135">
        <v>5.67E-2</v>
      </c>
      <c r="F153" s="134">
        <v>108.13</v>
      </c>
      <c r="G153" s="135">
        <v>6.1600000000000002E-2</v>
      </c>
      <c r="H153" s="134">
        <v>120.3</v>
      </c>
      <c r="I153" s="135">
        <v>6.4299999999999996E-2</v>
      </c>
    </row>
    <row r="154" spans="1:9" x14ac:dyDescent="0.35">
      <c r="A154" s="133">
        <v>41122</v>
      </c>
      <c r="B154" s="134">
        <v>104.09</v>
      </c>
      <c r="C154" s="135">
        <v>5.2600000000000001E-2</v>
      </c>
      <c r="D154" s="134">
        <v>110.04</v>
      </c>
      <c r="E154" s="135">
        <v>5.6500000000000002E-2</v>
      </c>
      <c r="F154" s="134">
        <v>108.17</v>
      </c>
      <c r="G154" s="135">
        <v>6.1500000000000006E-2</v>
      </c>
      <c r="H154" s="134">
        <v>119.98</v>
      </c>
      <c r="I154" s="135">
        <v>6.4600000000000005E-2</v>
      </c>
    </row>
    <row r="155" spans="1:9" x14ac:dyDescent="0.35">
      <c r="A155" s="133">
        <v>41123</v>
      </c>
      <c r="B155" s="134">
        <v>104.10000000000001</v>
      </c>
      <c r="C155" s="135">
        <v>5.2600000000000001E-2</v>
      </c>
      <c r="D155" s="134">
        <v>109.85000000000001</v>
      </c>
      <c r="E155" s="135">
        <v>5.6800000000000003E-2</v>
      </c>
      <c r="F155" s="134">
        <v>108.07000000000001</v>
      </c>
      <c r="G155" s="135">
        <v>6.1600000000000002E-2</v>
      </c>
      <c r="H155" s="134">
        <v>120.25</v>
      </c>
      <c r="I155" s="135">
        <v>6.4299999999999996E-2</v>
      </c>
    </row>
    <row r="156" spans="1:9" x14ac:dyDescent="0.35">
      <c r="A156" s="133">
        <v>41124</v>
      </c>
      <c r="B156" s="134">
        <v>103.88000000000001</v>
      </c>
      <c r="C156" s="135">
        <v>5.3100000000000001E-2</v>
      </c>
      <c r="D156" s="134">
        <v>109.5</v>
      </c>
      <c r="E156" s="135">
        <v>5.7200000000000001E-2</v>
      </c>
      <c r="F156" s="134">
        <v>107.66</v>
      </c>
      <c r="G156" s="135">
        <v>6.2E-2</v>
      </c>
      <c r="H156" s="134">
        <v>119.71</v>
      </c>
      <c r="I156" s="135">
        <v>6.4799999999999996E-2</v>
      </c>
    </row>
    <row r="157" spans="1:9" x14ac:dyDescent="0.35">
      <c r="A157" s="136">
        <v>41127</v>
      </c>
      <c r="B157" s="137">
        <v>104.07000000000001</v>
      </c>
      <c r="C157" s="138">
        <v>5.2600000000000001E-2</v>
      </c>
      <c r="D157" s="137">
        <v>110.07</v>
      </c>
      <c r="E157" s="138">
        <v>5.6500000000000002E-2</v>
      </c>
      <c r="F157" s="137">
        <v>108.15</v>
      </c>
      <c r="G157" s="138">
        <v>6.1600000000000002E-2</v>
      </c>
      <c r="H157" s="137">
        <v>120.26</v>
      </c>
      <c r="I157" s="138">
        <v>6.4299999999999996E-2</v>
      </c>
    </row>
    <row r="158" spans="1:9" x14ac:dyDescent="0.35">
      <c r="A158" s="136">
        <v>41128</v>
      </c>
      <c r="B158" s="137">
        <v>104.06</v>
      </c>
      <c r="C158" s="138">
        <v>5.2600000000000001E-2</v>
      </c>
      <c r="D158" s="137">
        <v>109.84</v>
      </c>
      <c r="E158" s="138">
        <v>5.6800000000000003E-2</v>
      </c>
      <c r="F158" s="137">
        <v>107.84</v>
      </c>
      <c r="G158" s="138">
        <v>6.1900000000000004E-2</v>
      </c>
      <c r="H158" s="137">
        <v>119.88000000000001</v>
      </c>
      <c r="I158" s="138">
        <v>6.4600000000000005E-2</v>
      </c>
    </row>
    <row r="159" spans="1:9" x14ac:dyDescent="0.35">
      <c r="A159" s="136">
        <v>41129</v>
      </c>
      <c r="B159" s="137">
        <v>104.03</v>
      </c>
      <c r="C159" s="138">
        <v>5.2700000000000004E-2</v>
      </c>
      <c r="D159" s="137">
        <v>109.68</v>
      </c>
      <c r="E159" s="138">
        <v>5.7000000000000002E-2</v>
      </c>
      <c r="F159" s="137">
        <v>107.7</v>
      </c>
      <c r="G159" s="138">
        <v>6.2E-2</v>
      </c>
      <c r="H159" s="137">
        <v>119.7</v>
      </c>
      <c r="I159" s="138">
        <v>6.4799999999999996E-2</v>
      </c>
    </row>
    <row r="160" spans="1:9" x14ac:dyDescent="0.35">
      <c r="A160" s="136">
        <v>41130</v>
      </c>
      <c r="B160" s="137">
        <v>104.03</v>
      </c>
      <c r="C160" s="138">
        <v>5.2700000000000004E-2</v>
      </c>
      <c r="D160" s="137">
        <v>109.6</v>
      </c>
      <c r="E160" s="138">
        <v>5.7100000000000005E-2</v>
      </c>
      <c r="F160" s="137">
        <v>107.65</v>
      </c>
      <c r="G160" s="138">
        <v>6.2100000000000002E-2</v>
      </c>
      <c r="H160" s="137">
        <v>119.09</v>
      </c>
      <c r="I160" s="138">
        <v>6.5299999999999997E-2</v>
      </c>
    </row>
    <row r="161" spans="1:9" x14ac:dyDescent="0.35">
      <c r="A161" s="136">
        <v>41131</v>
      </c>
      <c r="B161" s="137">
        <v>103.91</v>
      </c>
      <c r="C161" s="138">
        <v>5.3000000000000005E-2</v>
      </c>
      <c r="D161" s="137">
        <v>109.39</v>
      </c>
      <c r="E161" s="138">
        <v>5.7300000000000004E-2</v>
      </c>
      <c r="F161" s="137">
        <v>107.38</v>
      </c>
      <c r="G161" s="138">
        <v>6.2300000000000001E-2</v>
      </c>
      <c r="H161" s="137">
        <v>119.51</v>
      </c>
      <c r="I161" s="138">
        <v>6.4899999999999999E-2</v>
      </c>
    </row>
    <row r="162" spans="1:9" x14ac:dyDescent="0.35">
      <c r="A162" s="133">
        <v>41134</v>
      </c>
      <c r="B162" s="134">
        <v>103.75</v>
      </c>
      <c r="C162" s="135">
        <v>5.33E-2</v>
      </c>
      <c r="D162" s="134">
        <v>108.97</v>
      </c>
      <c r="E162" s="135">
        <v>5.79E-2</v>
      </c>
      <c r="F162" s="134">
        <v>107.06</v>
      </c>
      <c r="G162" s="135">
        <v>6.2600000000000003E-2</v>
      </c>
      <c r="H162" s="134">
        <v>118.77</v>
      </c>
      <c r="I162" s="135">
        <v>6.5500000000000003E-2</v>
      </c>
    </row>
    <row r="163" spans="1:9" x14ac:dyDescent="0.35">
      <c r="A163" s="133">
        <v>41135</v>
      </c>
      <c r="B163" s="134">
        <v>103.56</v>
      </c>
      <c r="C163" s="135">
        <v>5.3800000000000001E-2</v>
      </c>
      <c r="D163" s="134">
        <v>108.05</v>
      </c>
      <c r="E163" s="135">
        <v>5.91E-2</v>
      </c>
      <c r="F163" s="134">
        <v>106.21</v>
      </c>
      <c r="G163" s="135">
        <v>6.3500000000000001E-2</v>
      </c>
      <c r="H163" s="134">
        <v>117.57</v>
      </c>
      <c r="I163" s="135">
        <v>6.6500000000000004E-2</v>
      </c>
    </row>
    <row r="164" spans="1:9" x14ac:dyDescent="0.35">
      <c r="A164" s="133">
        <v>41136</v>
      </c>
      <c r="B164" s="134">
        <v>103.56</v>
      </c>
      <c r="C164" s="135">
        <v>5.3800000000000001E-2</v>
      </c>
      <c r="D164" s="134">
        <v>108.28</v>
      </c>
      <c r="E164" s="135">
        <v>5.8800000000000005E-2</v>
      </c>
      <c r="F164" s="134">
        <v>106.66</v>
      </c>
      <c r="G164" s="135">
        <v>6.3E-2</v>
      </c>
      <c r="H164" s="134">
        <v>118.01</v>
      </c>
      <c r="I164" s="135">
        <v>6.6100000000000006E-2</v>
      </c>
    </row>
    <row r="165" spans="1:9" x14ac:dyDescent="0.35">
      <c r="A165" s="133">
        <v>41137</v>
      </c>
      <c r="B165" s="134">
        <v>102.96</v>
      </c>
      <c r="C165" s="135">
        <v>5.5200000000000006E-2</v>
      </c>
      <c r="D165" s="134">
        <v>108.11</v>
      </c>
      <c r="E165" s="135">
        <v>5.9000000000000004E-2</v>
      </c>
      <c r="F165" s="134">
        <v>106.34</v>
      </c>
      <c r="G165" s="135">
        <v>6.3399999999999998E-2</v>
      </c>
      <c r="H165" s="134">
        <v>117.91</v>
      </c>
      <c r="I165" s="135">
        <v>6.6200000000000009E-2</v>
      </c>
    </row>
    <row r="166" spans="1:9" x14ac:dyDescent="0.35">
      <c r="A166" s="136">
        <v>41144</v>
      </c>
      <c r="B166" s="137">
        <v>102.97</v>
      </c>
      <c r="C166" s="138">
        <v>5.5200000000000006E-2</v>
      </c>
      <c r="D166" s="137">
        <v>108</v>
      </c>
      <c r="E166" s="138">
        <v>5.91E-2</v>
      </c>
      <c r="F166" s="137">
        <v>106.25</v>
      </c>
      <c r="G166" s="138">
        <v>6.3399999999999998E-2</v>
      </c>
      <c r="H166" s="137">
        <v>117.83</v>
      </c>
      <c r="I166" s="138">
        <v>6.6200000000000009E-2</v>
      </c>
    </row>
    <row r="167" spans="1:9" x14ac:dyDescent="0.35">
      <c r="A167" s="136">
        <v>41145</v>
      </c>
      <c r="B167" s="137">
        <v>102.67</v>
      </c>
      <c r="C167" s="138">
        <v>5.5900000000000005E-2</v>
      </c>
      <c r="D167" s="137">
        <v>107.08</v>
      </c>
      <c r="E167" s="138">
        <v>6.0299999999999999E-2</v>
      </c>
      <c r="F167" s="137">
        <v>105.86</v>
      </c>
      <c r="G167" s="138">
        <v>6.3800000000000009E-2</v>
      </c>
      <c r="H167" s="137">
        <v>116.37</v>
      </c>
      <c r="I167" s="138">
        <v>6.7400000000000002E-2</v>
      </c>
    </row>
    <row r="168" spans="1:9" x14ac:dyDescent="0.35">
      <c r="A168" s="133">
        <v>41148</v>
      </c>
      <c r="B168" s="134">
        <v>102.59</v>
      </c>
      <c r="C168" s="135">
        <v>5.6100000000000004E-2</v>
      </c>
      <c r="D168" s="134">
        <v>106.58</v>
      </c>
      <c r="E168" s="135">
        <v>6.1000000000000006E-2</v>
      </c>
      <c r="F168" s="134">
        <v>104.84</v>
      </c>
      <c r="G168" s="135">
        <v>6.4899999999999999E-2</v>
      </c>
      <c r="H168" s="134">
        <v>115.73</v>
      </c>
      <c r="I168" s="135">
        <v>6.8000000000000005E-2</v>
      </c>
    </row>
    <row r="169" spans="1:9" x14ac:dyDescent="0.35">
      <c r="A169" s="133">
        <v>41149</v>
      </c>
      <c r="B169" s="134">
        <v>102.45</v>
      </c>
      <c r="C169" s="135">
        <v>5.6400000000000006E-2</v>
      </c>
      <c r="D169" s="134">
        <v>106.44</v>
      </c>
      <c r="E169" s="135">
        <v>6.1100000000000002E-2</v>
      </c>
      <c r="F169" s="134">
        <v>104.85</v>
      </c>
      <c r="G169" s="135">
        <v>6.4899999999999999E-2</v>
      </c>
      <c r="H169" s="134">
        <v>115.18</v>
      </c>
      <c r="I169" s="135">
        <v>6.8400000000000002E-2</v>
      </c>
    </row>
    <row r="170" spans="1:9" x14ac:dyDescent="0.35">
      <c r="A170" s="133">
        <v>41150</v>
      </c>
      <c r="B170" s="134">
        <v>102.65</v>
      </c>
      <c r="C170" s="135">
        <v>5.5900000000000005E-2</v>
      </c>
      <c r="D170" s="134">
        <v>106.22</v>
      </c>
      <c r="E170" s="135">
        <v>6.1400000000000003E-2</v>
      </c>
      <c r="F170" s="134">
        <v>105.06</v>
      </c>
      <c r="G170" s="135">
        <v>6.4700000000000008E-2</v>
      </c>
      <c r="H170" s="134">
        <v>114.8</v>
      </c>
      <c r="I170" s="135">
        <v>6.8699999999999997E-2</v>
      </c>
    </row>
    <row r="171" spans="1:9" x14ac:dyDescent="0.35">
      <c r="A171" s="133">
        <v>41151</v>
      </c>
      <c r="B171" s="134">
        <v>102.25</v>
      </c>
      <c r="C171" s="135">
        <v>5.6900000000000006E-2</v>
      </c>
      <c r="D171" s="134">
        <v>105.29</v>
      </c>
      <c r="E171" s="135">
        <v>6.2700000000000006E-2</v>
      </c>
      <c r="F171" s="134">
        <v>103.8</v>
      </c>
      <c r="G171" s="135">
        <v>6.6000000000000003E-2</v>
      </c>
      <c r="H171" s="134">
        <v>113.57</v>
      </c>
      <c r="I171" s="135">
        <v>6.9800000000000001E-2</v>
      </c>
    </row>
    <row r="172" spans="1:9" x14ac:dyDescent="0.35">
      <c r="A172" s="133">
        <v>41152</v>
      </c>
      <c r="B172" s="134">
        <v>102.4</v>
      </c>
      <c r="C172" s="135">
        <v>5.6600000000000004E-2</v>
      </c>
      <c r="D172" s="134">
        <v>105.37</v>
      </c>
      <c r="E172" s="135">
        <v>6.2600000000000003E-2</v>
      </c>
      <c r="F172" s="134">
        <v>104.03</v>
      </c>
      <c r="G172" s="135">
        <v>6.5700000000000008E-2</v>
      </c>
      <c r="H172" s="134">
        <v>113.65</v>
      </c>
      <c r="I172" s="135">
        <v>6.9699999999999998E-2</v>
      </c>
    </row>
    <row r="173" spans="1:9" x14ac:dyDescent="0.35">
      <c r="A173" s="136">
        <v>41155</v>
      </c>
      <c r="B173" s="137">
        <v>102.69</v>
      </c>
      <c r="C173" s="138">
        <v>5.5800000000000002E-2</v>
      </c>
      <c r="D173" s="137">
        <v>105.84</v>
      </c>
      <c r="E173" s="138">
        <v>6.1900000000000004E-2</v>
      </c>
      <c r="F173" s="137">
        <v>104.93</v>
      </c>
      <c r="G173" s="138">
        <v>6.4799999999999996E-2</v>
      </c>
      <c r="H173" s="137">
        <v>114.6</v>
      </c>
      <c r="I173" s="138">
        <v>6.8900000000000003E-2</v>
      </c>
    </row>
    <row r="174" spans="1:9" x14ac:dyDescent="0.35">
      <c r="A174" s="136">
        <v>41156</v>
      </c>
      <c r="B174" s="137">
        <v>102.88</v>
      </c>
      <c r="C174" s="138">
        <v>5.5400000000000005E-2</v>
      </c>
      <c r="D174" s="137">
        <v>107.25</v>
      </c>
      <c r="E174" s="138">
        <v>6.0100000000000001E-2</v>
      </c>
      <c r="F174" s="137">
        <v>106.14</v>
      </c>
      <c r="G174" s="138">
        <v>6.3500000000000001E-2</v>
      </c>
      <c r="H174" s="137">
        <v>117.2</v>
      </c>
      <c r="I174" s="138">
        <v>6.6700000000000009E-2</v>
      </c>
    </row>
    <row r="175" spans="1:9" x14ac:dyDescent="0.35">
      <c r="A175" s="136">
        <v>41157</v>
      </c>
      <c r="B175" s="137">
        <v>102.75</v>
      </c>
      <c r="C175" s="138">
        <v>5.57E-2</v>
      </c>
      <c r="D175" s="137">
        <v>107.1</v>
      </c>
      <c r="E175" s="138">
        <v>6.0299999999999999E-2</v>
      </c>
      <c r="F175" s="137">
        <v>105.66</v>
      </c>
      <c r="G175" s="138">
        <v>6.4000000000000001E-2</v>
      </c>
      <c r="H175" s="137">
        <v>116.32</v>
      </c>
      <c r="I175" s="138">
        <v>6.7500000000000004E-2</v>
      </c>
    </row>
    <row r="176" spans="1:9" x14ac:dyDescent="0.35">
      <c r="A176" s="136">
        <v>41158</v>
      </c>
      <c r="B176" s="137">
        <v>102.72</v>
      </c>
      <c r="C176" s="138">
        <v>5.57E-2</v>
      </c>
      <c r="D176" s="137">
        <v>106.97</v>
      </c>
      <c r="E176" s="138">
        <v>6.0400000000000002E-2</v>
      </c>
      <c r="F176" s="137">
        <v>105.71</v>
      </c>
      <c r="G176" s="138">
        <v>6.4000000000000001E-2</v>
      </c>
      <c r="H176" s="137">
        <v>116.37</v>
      </c>
      <c r="I176" s="138">
        <v>6.7400000000000002E-2</v>
      </c>
    </row>
    <row r="177" spans="1:9" x14ac:dyDescent="0.35">
      <c r="A177" s="136">
        <v>41159</v>
      </c>
      <c r="B177" s="137">
        <v>102.78</v>
      </c>
      <c r="C177" s="138">
        <v>5.5600000000000004E-2</v>
      </c>
      <c r="D177" s="137">
        <v>107.45</v>
      </c>
      <c r="E177" s="138">
        <v>5.9800000000000006E-2</v>
      </c>
      <c r="F177" s="137">
        <v>106.4</v>
      </c>
      <c r="G177" s="138">
        <v>6.3300000000000009E-2</v>
      </c>
      <c r="H177" s="137">
        <v>117.35</v>
      </c>
      <c r="I177" s="138">
        <v>6.6600000000000006E-2</v>
      </c>
    </row>
    <row r="178" spans="1:9" x14ac:dyDescent="0.35">
      <c r="A178" s="133">
        <v>41162</v>
      </c>
      <c r="B178" s="134">
        <v>102.74</v>
      </c>
      <c r="C178" s="135">
        <v>5.57E-2</v>
      </c>
      <c r="D178" s="134">
        <v>107.75</v>
      </c>
      <c r="E178" s="135">
        <v>5.9400000000000001E-2</v>
      </c>
      <c r="F178" s="134">
        <v>106.63</v>
      </c>
      <c r="G178" s="135">
        <v>6.3E-2</v>
      </c>
      <c r="H178" s="134">
        <v>117.56</v>
      </c>
      <c r="I178" s="135">
        <v>6.6400000000000001E-2</v>
      </c>
    </row>
    <row r="179" spans="1:9" x14ac:dyDescent="0.35">
      <c r="A179" s="133">
        <v>41163</v>
      </c>
      <c r="B179" s="134">
        <v>102.84</v>
      </c>
      <c r="C179" s="135">
        <v>5.5400000000000005E-2</v>
      </c>
      <c r="D179" s="134">
        <v>107.76</v>
      </c>
      <c r="E179" s="135">
        <v>5.9400000000000001E-2</v>
      </c>
      <c r="F179" s="134">
        <v>106.25</v>
      </c>
      <c r="G179" s="135">
        <v>6.3399999999999998E-2</v>
      </c>
      <c r="H179" s="134">
        <v>117.48</v>
      </c>
      <c r="I179" s="135">
        <v>6.6500000000000004E-2</v>
      </c>
    </row>
    <row r="180" spans="1:9" x14ac:dyDescent="0.35">
      <c r="A180" s="133">
        <v>41164</v>
      </c>
      <c r="B180" s="134">
        <v>102.77</v>
      </c>
      <c r="C180" s="135">
        <v>5.5600000000000004E-2</v>
      </c>
      <c r="D180" s="134">
        <v>107.86</v>
      </c>
      <c r="E180" s="135">
        <v>5.9200000000000003E-2</v>
      </c>
      <c r="F180" s="134">
        <v>106.76</v>
      </c>
      <c r="G180" s="135">
        <v>6.2899999999999998E-2</v>
      </c>
      <c r="H180" s="134">
        <v>117.36</v>
      </c>
      <c r="I180" s="135">
        <v>6.6600000000000006E-2</v>
      </c>
    </row>
    <row r="181" spans="1:9" x14ac:dyDescent="0.35">
      <c r="A181" s="133">
        <v>41165</v>
      </c>
      <c r="B181" s="134">
        <v>103.22</v>
      </c>
      <c r="C181" s="135">
        <v>5.45E-2</v>
      </c>
      <c r="D181" s="134">
        <v>107.97</v>
      </c>
      <c r="E181" s="135">
        <v>5.91E-2</v>
      </c>
      <c r="F181" s="134">
        <v>106.91</v>
      </c>
      <c r="G181" s="135">
        <v>6.2800000000000009E-2</v>
      </c>
      <c r="H181" s="134">
        <v>117.97</v>
      </c>
      <c r="I181" s="135">
        <v>6.6100000000000006E-2</v>
      </c>
    </row>
    <row r="182" spans="1:9" x14ac:dyDescent="0.35">
      <c r="A182" s="133">
        <v>41166</v>
      </c>
      <c r="B182" s="134">
        <v>103.46</v>
      </c>
      <c r="C182" s="135">
        <v>5.3900000000000003E-2</v>
      </c>
      <c r="D182" s="134">
        <v>108.64</v>
      </c>
      <c r="E182" s="135">
        <v>5.8200000000000002E-2</v>
      </c>
      <c r="F182" s="134">
        <v>107.24</v>
      </c>
      <c r="G182" s="135">
        <v>6.2400000000000004E-2</v>
      </c>
      <c r="H182" s="134">
        <v>118.49</v>
      </c>
      <c r="I182" s="135">
        <v>6.5700000000000008E-2</v>
      </c>
    </row>
    <row r="183" spans="1:9" x14ac:dyDescent="0.35">
      <c r="A183" s="136">
        <v>41169</v>
      </c>
      <c r="B183" s="137">
        <v>103.51</v>
      </c>
      <c r="C183" s="138">
        <v>5.3800000000000001E-2</v>
      </c>
      <c r="D183" s="137">
        <v>108.95</v>
      </c>
      <c r="E183" s="138">
        <v>5.7800000000000004E-2</v>
      </c>
      <c r="F183" s="137">
        <v>107.41</v>
      </c>
      <c r="G183" s="138">
        <v>6.2300000000000001E-2</v>
      </c>
      <c r="H183" s="137">
        <v>118.95</v>
      </c>
      <c r="I183" s="138">
        <v>6.5299999999999997E-2</v>
      </c>
    </row>
    <row r="184" spans="1:9" x14ac:dyDescent="0.35">
      <c r="A184" s="136">
        <v>41170</v>
      </c>
      <c r="B184" s="137">
        <v>103.39</v>
      </c>
      <c r="C184" s="138">
        <v>5.4100000000000002E-2</v>
      </c>
      <c r="D184" s="137">
        <v>108.27000000000001</v>
      </c>
      <c r="E184" s="138">
        <v>5.8700000000000002E-2</v>
      </c>
      <c r="F184" s="137">
        <v>106.88</v>
      </c>
      <c r="G184" s="138">
        <v>6.2800000000000009E-2</v>
      </c>
      <c r="H184" s="137">
        <v>117.80000000000001</v>
      </c>
      <c r="I184" s="138">
        <v>6.6299999999999998E-2</v>
      </c>
    </row>
    <row r="185" spans="1:9" x14ac:dyDescent="0.35">
      <c r="A185" s="136">
        <v>41171</v>
      </c>
      <c r="B185" s="137">
        <v>103.5</v>
      </c>
      <c r="C185" s="138">
        <v>5.3800000000000001E-2</v>
      </c>
      <c r="D185" s="137">
        <v>108.09</v>
      </c>
      <c r="E185" s="138">
        <v>5.8900000000000001E-2</v>
      </c>
      <c r="F185" s="137">
        <v>106.88</v>
      </c>
      <c r="G185" s="138">
        <v>6.2800000000000009E-2</v>
      </c>
      <c r="H185" s="137">
        <v>117.42</v>
      </c>
      <c r="I185" s="138">
        <v>6.6600000000000006E-2</v>
      </c>
    </row>
    <row r="186" spans="1:9" x14ac:dyDescent="0.35">
      <c r="A186" s="136">
        <v>41172</v>
      </c>
      <c r="B186" s="137">
        <v>103.79</v>
      </c>
      <c r="C186" s="138">
        <v>5.3100000000000001E-2</v>
      </c>
      <c r="D186" s="137">
        <v>108.16</v>
      </c>
      <c r="E186" s="138">
        <v>5.8800000000000005E-2</v>
      </c>
      <c r="F186" s="137">
        <v>107.17</v>
      </c>
      <c r="G186" s="138">
        <v>6.25E-2</v>
      </c>
      <c r="H186" s="137">
        <v>117.81</v>
      </c>
      <c r="I186" s="138">
        <v>6.6200000000000009E-2</v>
      </c>
    </row>
    <row r="187" spans="1:9" x14ac:dyDescent="0.35">
      <c r="A187" s="136">
        <v>41173</v>
      </c>
      <c r="B187" s="137">
        <v>103.58</v>
      </c>
      <c r="C187" s="138">
        <v>5.3600000000000002E-2</v>
      </c>
      <c r="D187" s="137">
        <v>107.82</v>
      </c>
      <c r="E187" s="138">
        <v>5.9300000000000005E-2</v>
      </c>
      <c r="F187" s="137">
        <v>106.91</v>
      </c>
      <c r="G187" s="138">
        <v>6.2800000000000009E-2</v>
      </c>
      <c r="H187" s="137">
        <v>117.32</v>
      </c>
      <c r="I187" s="138">
        <v>6.6600000000000006E-2</v>
      </c>
    </row>
    <row r="188" spans="1:9" x14ac:dyDescent="0.35">
      <c r="A188" s="133">
        <v>41176</v>
      </c>
      <c r="B188" s="134">
        <v>103.57</v>
      </c>
      <c r="C188" s="135">
        <v>5.3600000000000002E-2</v>
      </c>
      <c r="D188" s="134">
        <v>107.56</v>
      </c>
      <c r="E188" s="135">
        <v>5.96E-2</v>
      </c>
      <c r="F188" s="134">
        <v>106.64</v>
      </c>
      <c r="G188" s="135">
        <v>6.3E-2</v>
      </c>
      <c r="H188" s="134">
        <v>117.14</v>
      </c>
      <c r="I188" s="135">
        <v>6.6799999999999998E-2</v>
      </c>
    </row>
    <row r="189" spans="1:9" x14ac:dyDescent="0.35">
      <c r="A189" s="133">
        <v>41177</v>
      </c>
      <c r="B189" s="134">
        <v>103.54</v>
      </c>
      <c r="C189" s="135">
        <v>5.3700000000000005E-2</v>
      </c>
      <c r="D189" s="134">
        <v>107.59</v>
      </c>
      <c r="E189" s="135">
        <v>5.96E-2</v>
      </c>
      <c r="F189" s="134">
        <v>106.61</v>
      </c>
      <c r="G189" s="135">
        <v>6.3100000000000003E-2</v>
      </c>
      <c r="H189" s="134">
        <v>116.92</v>
      </c>
      <c r="I189" s="135">
        <v>6.7000000000000004E-2</v>
      </c>
    </row>
    <row r="190" spans="1:9" x14ac:dyDescent="0.35">
      <c r="A190" s="133">
        <v>41178</v>
      </c>
      <c r="B190" s="134">
        <v>103.32000000000001</v>
      </c>
      <c r="C190" s="135">
        <v>5.4200000000000005E-2</v>
      </c>
      <c r="D190" s="134">
        <v>107.54</v>
      </c>
      <c r="E190" s="135">
        <v>5.96E-2</v>
      </c>
      <c r="F190" s="134">
        <v>106.29</v>
      </c>
      <c r="G190" s="135">
        <v>6.3399999999999998E-2</v>
      </c>
      <c r="H190" s="134">
        <v>116.66</v>
      </c>
      <c r="I190" s="135">
        <v>6.720000000000001E-2</v>
      </c>
    </row>
    <row r="191" spans="1:9" x14ac:dyDescent="0.35">
      <c r="A191" s="133">
        <v>41179</v>
      </c>
      <c r="B191" s="134">
        <v>102.88000000000001</v>
      </c>
      <c r="C191" s="135">
        <v>5.5300000000000002E-2</v>
      </c>
      <c r="D191" s="134">
        <v>107.24</v>
      </c>
      <c r="E191" s="135">
        <v>6.0000000000000005E-2</v>
      </c>
      <c r="F191" s="134">
        <v>105.65</v>
      </c>
      <c r="G191" s="135">
        <v>6.4000000000000001E-2</v>
      </c>
      <c r="H191" s="134">
        <v>116.27</v>
      </c>
      <c r="I191" s="135">
        <v>6.7500000000000004E-2</v>
      </c>
    </row>
    <row r="192" spans="1:9" x14ac:dyDescent="0.35">
      <c r="A192" s="133">
        <v>41180</v>
      </c>
      <c r="B192" s="134">
        <v>103.28</v>
      </c>
      <c r="C192" s="135">
        <v>5.4300000000000001E-2</v>
      </c>
      <c r="D192" s="134">
        <v>107.49</v>
      </c>
      <c r="E192" s="135">
        <v>5.9700000000000003E-2</v>
      </c>
      <c r="F192" s="134">
        <v>106.28</v>
      </c>
      <c r="G192" s="135">
        <v>6.3399999999999998E-2</v>
      </c>
      <c r="H192" s="134">
        <v>116.72</v>
      </c>
      <c r="I192" s="135">
        <v>6.7100000000000007E-2</v>
      </c>
    </row>
    <row r="193" spans="1:9" x14ac:dyDescent="0.35">
      <c r="A193" s="136">
        <v>41183</v>
      </c>
      <c r="B193" s="137">
        <v>103.16000000000001</v>
      </c>
      <c r="C193" s="138">
        <v>5.4600000000000003E-2</v>
      </c>
      <c r="D193" s="137">
        <v>107.92</v>
      </c>
      <c r="E193" s="138">
        <v>5.91E-2</v>
      </c>
      <c r="F193" s="137">
        <v>106.49000000000001</v>
      </c>
      <c r="G193" s="138">
        <v>6.3200000000000006E-2</v>
      </c>
      <c r="H193" s="137">
        <v>116.99000000000001</v>
      </c>
      <c r="I193" s="138">
        <v>6.6900000000000001E-2</v>
      </c>
    </row>
    <row r="194" spans="1:9" x14ac:dyDescent="0.35">
      <c r="A194" s="136">
        <v>41184</v>
      </c>
      <c r="B194" s="137">
        <v>103.33</v>
      </c>
      <c r="C194" s="138">
        <v>5.4200000000000005E-2</v>
      </c>
      <c r="D194" s="137">
        <v>108.4</v>
      </c>
      <c r="E194" s="138">
        <v>5.8500000000000003E-2</v>
      </c>
      <c r="F194" s="137">
        <v>107.12</v>
      </c>
      <c r="G194" s="138">
        <v>6.25E-2</v>
      </c>
      <c r="H194" s="137">
        <v>118.01</v>
      </c>
      <c r="I194" s="138">
        <v>6.6100000000000006E-2</v>
      </c>
    </row>
    <row r="195" spans="1:9" x14ac:dyDescent="0.35">
      <c r="A195" s="136">
        <v>41185</v>
      </c>
      <c r="B195" s="137">
        <v>103.17</v>
      </c>
      <c r="C195" s="138">
        <v>5.45E-2</v>
      </c>
      <c r="D195" s="137">
        <v>108.27</v>
      </c>
      <c r="E195" s="138">
        <v>5.8700000000000002E-2</v>
      </c>
      <c r="F195" s="137">
        <v>106.95</v>
      </c>
      <c r="G195" s="138">
        <v>6.2700000000000006E-2</v>
      </c>
      <c r="H195" s="137">
        <v>117.73</v>
      </c>
      <c r="I195" s="138">
        <v>6.6299999999999998E-2</v>
      </c>
    </row>
    <row r="196" spans="1:9" x14ac:dyDescent="0.35">
      <c r="A196" s="136">
        <v>41186</v>
      </c>
      <c r="B196" s="137">
        <v>103.23</v>
      </c>
      <c r="C196" s="138">
        <v>5.4400000000000004E-2</v>
      </c>
      <c r="D196" s="137">
        <v>108.27</v>
      </c>
      <c r="E196" s="138">
        <v>5.8700000000000002E-2</v>
      </c>
      <c r="F196" s="137">
        <v>106.92</v>
      </c>
      <c r="G196" s="138">
        <v>6.2700000000000006E-2</v>
      </c>
      <c r="H196" s="137">
        <v>117.89</v>
      </c>
      <c r="I196" s="138">
        <v>6.6200000000000009E-2</v>
      </c>
    </row>
    <row r="197" spans="1:9" x14ac:dyDescent="0.35">
      <c r="A197" s="136">
        <v>41187</v>
      </c>
      <c r="B197" s="137">
        <v>103.51</v>
      </c>
      <c r="C197" s="138">
        <v>5.3700000000000005E-2</v>
      </c>
      <c r="D197" s="137">
        <v>108.71</v>
      </c>
      <c r="E197" s="138">
        <v>5.8100000000000006E-2</v>
      </c>
      <c r="F197" s="137">
        <v>107.24</v>
      </c>
      <c r="G197" s="138">
        <v>6.2400000000000004E-2</v>
      </c>
      <c r="H197" s="137">
        <v>118.35</v>
      </c>
      <c r="I197" s="138">
        <v>6.5799999999999997E-2</v>
      </c>
    </row>
    <row r="198" spans="1:9" x14ac:dyDescent="0.35">
      <c r="A198" s="133">
        <v>41190</v>
      </c>
      <c r="B198" s="134">
        <v>103.24</v>
      </c>
      <c r="C198" s="135">
        <v>5.4400000000000004E-2</v>
      </c>
      <c r="D198" s="134">
        <v>108.5</v>
      </c>
      <c r="E198" s="135">
        <v>5.8400000000000001E-2</v>
      </c>
      <c r="F198" s="134">
        <v>107.14</v>
      </c>
      <c r="G198" s="135">
        <v>6.25E-2</v>
      </c>
      <c r="H198" s="134">
        <v>118.13</v>
      </c>
      <c r="I198" s="135">
        <v>6.6000000000000003E-2</v>
      </c>
    </row>
    <row r="199" spans="1:9" x14ac:dyDescent="0.35">
      <c r="A199" s="133">
        <v>41191</v>
      </c>
      <c r="B199" s="134">
        <v>103.2</v>
      </c>
      <c r="C199" s="135">
        <v>5.45E-2</v>
      </c>
      <c r="D199" s="134">
        <v>108.33</v>
      </c>
      <c r="E199" s="135">
        <v>5.8600000000000006E-2</v>
      </c>
      <c r="F199" s="134">
        <v>106.98</v>
      </c>
      <c r="G199" s="135">
        <v>6.2700000000000006E-2</v>
      </c>
      <c r="H199" s="134">
        <v>117.92</v>
      </c>
      <c r="I199" s="135">
        <v>6.6100000000000006E-2</v>
      </c>
    </row>
    <row r="200" spans="1:9" x14ac:dyDescent="0.35">
      <c r="A200" s="133">
        <v>41192</v>
      </c>
      <c r="B200" s="134">
        <v>103.11</v>
      </c>
      <c r="C200" s="135">
        <v>5.4700000000000006E-2</v>
      </c>
      <c r="D200" s="134">
        <v>107.95</v>
      </c>
      <c r="E200" s="135">
        <v>5.91E-2</v>
      </c>
      <c r="F200" s="134">
        <v>106.79</v>
      </c>
      <c r="G200" s="135">
        <v>6.2899999999999998E-2</v>
      </c>
      <c r="H200" s="134">
        <v>117.62</v>
      </c>
      <c r="I200" s="135">
        <v>6.6400000000000001E-2</v>
      </c>
    </row>
    <row r="201" spans="1:9" x14ac:dyDescent="0.35">
      <c r="A201" s="133">
        <v>41193</v>
      </c>
      <c r="B201" s="134">
        <v>103.18</v>
      </c>
      <c r="C201" s="135">
        <v>5.45E-2</v>
      </c>
      <c r="D201" s="134">
        <v>108.06</v>
      </c>
      <c r="E201" s="135">
        <v>5.8900000000000001E-2</v>
      </c>
      <c r="F201" s="134">
        <v>106.69</v>
      </c>
      <c r="G201" s="135">
        <v>6.3E-2</v>
      </c>
      <c r="H201" s="134">
        <v>117.47</v>
      </c>
      <c r="I201" s="135">
        <v>6.6500000000000004E-2</v>
      </c>
    </row>
    <row r="202" spans="1:9" x14ac:dyDescent="0.35">
      <c r="A202" s="133">
        <v>41194</v>
      </c>
      <c r="B202" s="134">
        <v>103.28</v>
      </c>
      <c r="C202" s="135">
        <v>5.4200000000000005E-2</v>
      </c>
      <c r="D202" s="134">
        <v>108.52</v>
      </c>
      <c r="E202" s="135">
        <v>5.8300000000000005E-2</v>
      </c>
      <c r="F202" s="134">
        <v>106.98</v>
      </c>
      <c r="G202" s="135">
        <v>6.2700000000000006E-2</v>
      </c>
      <c r="H202" s="134">
        <v>118.03</v>
      </c>
      <c r="I202" s="135">
        <v>6.6000000000000003E-2</v>
      </c>
    </row>
    <row r="203" spans="1:9" x14ac:dyDescent="0.35">
      <c r="A203" s="136">
        <v>41197</v>
      </c>
      <c r="B203" s="137">
        <v>103.34</v>
      </c>
      <c r="C203" s="138">
        <v>5.4100000000000002E-2</v>
      </c>
      <c r="D203" s="137">
        <v>108.54</v>
      </c>
      <c r="E203" s="138">
        <v>5.8300000000000005E-2</v>
      </c>
      <c r="F203" s="137">
        <v>106.85</v>
      </c>
      <c r="G203" s="138">
        <v>6.2800000000000009E-2</v>
      </c>
      <c r="H203" s="137">
        <v>117.99</v>
      </c>
      <c r="I203" s="138">
        <v>6.6100000000000006E-2</v>
      </c>
    </row>
    <row r="204" spans="1:9" x14ac:dyDescent="0.35">
      <c r="A204" s="136">
        <v>41198</v>
      </c>
      <c r="B204" s="137">
        <v>103.61</v>
      </c>
      <c r="C204" s="138">
        <v>5.3400000000000003E-2</v>
      </c>
      <c r="D204" s="137">
        <v>109.01</v>
      </c>
      <c r="E204" s="138">
        <v>5.7700000000000001E-2</v>
      </c>
      <c r="F204" s="137">
        <v>107.43</v>
      </c>
      <c r="G204" s="138">
        <v>6.2200000000000005E-2</v>
      </c>
      <c r="H204" s="137">
        <v>118.5</v>
      </c>
      <c r="I204" s="138">
        <v>6.5700000000000008E-2</v>
      </c>
    </row>
    <row r="205" spans="1:9" x14ac:dyDescent="0.35">
      <c r="A205" s="136">
        <v>41199</v>
      </c>
      <c r="B205" s="137">
        <v>103.88</v>
      </c>
      <c r="C205" s="138">
        <v>5.2700000000000004E-2</v>
      </c>
      <c r="D205" s="137">
        <v>109.64</v>
      </c>
      <c r="E205" s="138">
        <v>5.6800000000000003E-2</v>
      </c>
      <c r="F205" s="137">
        <v>107.89</v>
      </c>
      <c r="G205" s="138">
        <v>6.1800000000000001E-2</v>
      </c>
      <c r="H205" s="137">
        <v>119.42</v>
      </c>
      <c r="I205" s="138">
        <v>6.4899999999999999E-2</v>
      </c>
    </row>
    <row r="206" spans="1:9" x14ac:dyDescent="0.35">
      <c r="A206" s="136">
        <v>41200</v>
      </c>
      <c r="B206" s="137">
        <v>103.96</v>
      </c>
      <c r="C206" s="138">
        <v>5.2500000000000005E-2</v>
      </c>
      <c r="D206" s="137">
        <v>109.53</v>
      </c>
      <c r="E206" s="138">
        <v>5.7000000000000002E-2</v>
      </c>
      <c r="F206" s="137">
        <v>107.67</v>
      </c>
      <c r="G206" s="138">
        <v>6.2E-2</v>
      </c>
      <c r="H206" s="137">
        <v>119.15</v>
      </c>
      <c r="I206" s="138">
        <v>6.5100000000000005E-2</v>
      </c>
    </row>
    <row r="207" spans="1:9" x14ac:dyDescent="0.35">
      <c r="A207" s="136">
        <v>41201</v>
      </c>
      <c r="B207" s="137">
        <v>103.88</v>
      </c>
      <c r="C207" s="138">
        <v>5.2700000000000004E-2</v>
      </c>
      <c r="D207" s="137">
        <v>109.49</v>
      </c>
      <c r="E207" s="138">
        <v>5.7000000000000002E-2</v>
      </c>
      <c r="F207" s="137">
        <v>107.54</v>
      </c>
      <c r="G207" s="138">
        <v>6.2100000000000002E-2</v>
      </c>
      <c r="H207" s="137">
        <v>119.15</v>
      </c>
      <c r="I207" s="138">
        <v>6.5100000000000005E-2</v>
      </c>
    </row>
    <row r="208" spans="1:9" x14ac:dyDescent="0.35">
      <c r="A208" s="133">
        <v>41204</v>
      </c>
      <c r="B208" s="134">
        <v>103.76</v>
      </c>
      <c r="C208" s="135">
        <v>5.3000000000000005E-2</v>
      </c>
      <c r="D208" s="134">
        <v>109.44</v>
      </c>
      <c r="E208" s="135">
        <v>5.7100000000000005E-2</v>
      </c>
      <c r="F208" s="134">
        <v>107.69</v>
      </c>
      <c r="G208" s="135">
        <v>6.2E-2</v>
      </c>
      <c r="H208" s="134">
        <v>119.16</v>
      </c>
      <c r="I208" s="135">
        <v>6.5100000000000005E-2</v>
      </c>
    </row>
    <row r="209" spans="1:9" x14ac:dyDescent="0.35">
      <c r="A209" s="133">
        <v>41205</v>
      </c>
      <c r="B209" s="134">
        <v>103.8</v>
      </c>
      <c r="C209" s="135">
        <v>5.2900000000000003E-2</v>
      </c>
      <c r="D209" s="134">
        <v>109.5</v>
      </c>
      <c r="E209" s="135">
        <v>5.7000000000000002E-2</v>
      </c>
      <c r="F209" s="134">
        <v>107.48</v>
      </c>
      <c r="G209" s="135">
        <v>6.2200000000000005E-2</v>
      </c>
      <c r="H209" s="134">
        <v>119</v>
      </c>
      <c r="I209" s="135">
        <v>6.5200000000000008E-2</v>
      </c>
    </row>
    <row r="210" spans="1:9" x14ac:dyDescent="0.35">
      <c r="A210" s="133">
        <v>41206</v>
      </c>
      <c r="B210" s="134">
        <v>103.73</v>
      </c>
      <c r="C210" s="135">
        <v>5.3100000000000001E-2</v>
      </c>
      <c r="D210" s="134">
        <v>109.54</v>
      </c>
      <c r="E210" s="135">
        <v>5.7000000000000002E-2</v>
      </c>
      <c r="F210" s="134">
        <v>107.42</v>
      </c>
      <c r="G210" s="135">
        <v>6.2200000000000005E-2</v>
      </c>
      <c r="H210" s="134">
        <v>119.19</v>
      </c>
      <c r="I210" s="135">
        <v>6.5100000000000005E-2</v>
      </c>
    </row>
    <row r="211" spans="1:9" x14ac:dyDescent="0.35">
      <c r="A211" s="133">
        <v>41207</v>
      </c>
      <c r="B211" s="134">
        <v>103.68</v>
      </c>
      <c r="C211" s="135">
        <v>5.3200000000000004E-2</v>
      </c>
      <c r="D211" s="134">
        <v>109.36</v>
      </c>
      <c r="E211" s="135">
        <v>5.7200000000000001E-2</v>
      </c>
      <c r="F211" s="134">
        <v>107.39</v>
      </c>
      <c r="G211" s="135">
        <v>6.2300000000000001E-2</v>
      </c>
      <c r="H211" s="134">
        <v>119.24</v>
      </c>
      <c r="I211" s="135">
        <v>6.5100000000000005E-2</v>
      </c>
    </row>
    <row r="212" spans="1:9" x14ac:dyDescent="0.35">
      <c r="A212" s="136">
        <v>41211</v>
      </c>
      <c r="B212" s="137">
        <v>103.59</v>
      </c>
      <c r="C212" s="138">
        <v>5.3400000000000003E-2</v>
      </c>
      <c r="D212" s="137">
        <v>109.4</v>
      </c>
      <c r="E212" s="138">
        <v>5.7100000000000005E-2</v>
      </c>
      <c r="F212" s="137">
        <v>107.45</v>
      </c>
      <c r="G212" s="138">
        <v>6.2200000000000005E-2</v>
      </c>
      <c r="H212" s="137">
        <v>119.34</v>
      </c>
      <c r="I212" s="138">
        <v>6.5000000000000002E-2</v>
      </c>
    </row>
    <row r="213" spans="1:9" x14ac:dyDescent="0.35">
      <c r="A213" s="136">
        <v>41212</v>
      </c>
      <c r="B213" s="137">
        <v>103.98</v>
      </c>
      <c r="C213" s="138">
        <v>5.2400000000000002E-2</v>
      </c>
      <c r="D213" s="137">
        <v>109.51</v>
      </c>
      <c r="E213" s="138">
        <v>5.7000000000000002E-2</v>
      </c>
      <c r="F213" s="137">
        <v>107.49</v>
      </c>
      <c r="G213" s="138">
        <v>6.2100000000000002E-2</v>
      </c>
      <c r="H213" s="137">
        <v>119.35</v>
      </c>
      <c r="I213" s="138">
        <v>6.5000000000000002E-2</v>
      </c>
    </row>
    <row r="214" spans="1:9" x14ac:dyDescent="0.35">
      <c r="A214" s="136">
        <v>41213</v>
      </c>
      <c r="B214" s="137">
        <v>103.99</v>
      </c>
      <c r="C214" s="138">
        <v>5.2400000000000002E-2</v>
      </c>
      <c r="D214" s="137">
        <v>109.59</v>
      </c>
      <c r="E214" s="138">
        <v>5.6900000000000006E-2</v>
      </c>
      <c r="F214" s="137">
        <v>107.58</v>
      </c>
      <c r="G214" s="138">
        <v>6.2100000000000002E-2</v>
      </c>
      <c r="H214" s="137">
        <v>119.53</v>
      </c>
      <c r="I214" s="138">
        <v>6.4799999999999996E-2</v>
      </c>
    </row>
    <row r="215" spans="1:9" x14ac:dyDescent="0.35">
      <c r="A215" s="136">
        <v>41214</v>
      </c>
      <c r="B215" s="137">
        <v>103.96</v>
      </c>
      <c r="C215" s="138">
        <v>5.2400000000000002E-2</v>
      </c>
      <c r="D215" s="137">
        <v>109.88</v>
      </c>
      <c r="E215" s="138">
        <v>5.6500000000000002E-2</v>
      </c>
      <c r="F215" s="137">
        <v>108.04</v>
      </c>
      <c r="G215" s="138">
        <v>6.1600000000000002E-2</v>
      </c>
      <c r="H215" s="137">
        <v>120.18</v>
      </c>
      <c r="I215" s="138">
        <v>6.4299999999999996E-2</v>
      </c>
    </row>
    <row r="216" spans="1:9" x14ac:dyDescent="0.35">
      <c r="A216" s="136">
        <v>41215</v>
      </c>
      <c r="B216" s="137">
        <v>104.24</v>
      </c>
      <c r="C216" s="138">
        <v>5.1700000000000003E-2</v>
      </c>
      <c r="D216" s="137">
        <v>110.28</v>
      </c>
      <c r="E216" s="138">
        <v>5.6000000000000001E-2</v>
      </c>
      <c r="F216" s="137">
        <v>108.89</v>
      </c>
      <c r="G216" s="138">
        <v>6.08E-2</v>
      </c>
      <c r="H216" s="137">
        <v>120.97</v>
      </c>
      <c r="I216" s="138">
        <v>6.3700000000000007E-2</v>
      </c>
    </row>
    <row r="217" spans="1:9" x14ac:dyDescent="0.35">
      <c r="A217" s="133">
        <v>41218</v>
      </c>
      <c r="B217" s="134">
        <v>104.15</v>
      </c>
      <c r="C217" s="135">
        <v>5.1900000000000002E-2</v>
      </c>
      <c r="D217" s="134">
        <v>110.23</v>
      </c>
      <c r="E217" s="135">
        <v>5.6000000000000001E-2</v>
      </c>
      <c r="F217" s="134">
        <v>108.86</v>
      </c>
      <c r="G217" s="135">
        <v>6.08E-2</v>
      </c>
      <c r="H217" s="134">
        <v>121.16</v>
      </c>
      <c r="I217" s="135">
        <v>6.3500000000000001E-2</v>
      </c>
    </row>
    <row r="218" spans="1:9" x14ac:dyDescent="0.35">
      <c r="A218" s="133">
        <v>41219</v>
      </c>
      <c r="B218" s="134">
        <v>104.18</v>
      </c>
      <c r="C218" s="135">
        <v>5.1900000000000002E-2</v>
      </c>
      <c r="D218" s="134">
        <v>110.34</v>
      </c>
      <c r="E218" s="135">
        <v>5.5900000000000005E-2</v>
      </c>
      <c r="F218" s="134">
        <v>108.81</v>
      </c>
      <c r="G218" s="135">
        <v>6.08E-2</v>
      </c>
      <c r="H218" s="134">
        <v>121.1</v>
      </c>
      <c r="I218" s="135">
        <v>6.3600000000000004E-2</v>
      </c>
    </row>
    <row r="219" spans="1:9" x14ac:dyDescent="0.35">
      <c r="A219" s="133">
        <v>41220</v>
      </c>
      <c r="B219" s="134">
        <v>104.16</v>
      </c>
      <c r="C219" s="135">
        <v>5.1900000000000002E-2</v>
      </c>
      <c r="D219" s="134">
        <v>110.22</v>
      </c>
      <c r="E219" s="135">
        <v>5.6000000000000001E-2</v>
      </c>
      <c r="F219" s="134">
        <v>108.53</v>
      </c>
      <c r="G219" s="135">
        <v>6.1100000000000002E-2</v>
      </c>
      <c r="H219" s="134">
        <v>120.7</v>
      </c>
      <c r="I219" s="135">
        <v>6.3899999999999998E-2</v>
      </c>
    </row>
    <row r="220" spans="1:9" x14ac:dyDescent="0.35">
      <c r="A220" s="133">
        <v>41221</v>
      </c>
      <c r="B220" s="134">
        <v>104.13</v>
      </c>
      <c r="C220" s="135">
        <v>5.2000000000000005E-2</v>
      </c>
      <c r="D220" s="134">
        <v>110.27</v>
      </c>
      <c r="E220" s="135">
        <v>5.6000000000000001E-2</v>
      </c>
      <c r="F220" s="134">
        <v>108.51</v>
      </c>
      <c r="G220" s="135">
        <v>6.1100000000000002E-2</v>
      </c>
      <c r="H220" s="134">
        <v>120.57</v>
      </c>
      <c r="I220" s="135">
        <v>6.4000000000000001E-2</v>
      </c>
    </row>
    <row r="221" spans="1:9" x14ac:dyDescent="0.35">
      <c r="A221" s="133">
        <v>41222</v>
      </c>
      <c r="B221" s="134">
        <v>104.18</v>
      </c>
      <c r="C221" s="135">
        <v>5.1800000000000006E-2</v>
      </c>
      <c r="D221" s="134">
        <v>110.53</v>
      </c>
      <c r="E221" s="135">
        <v>5.5600000000000004E-2</v>
      </c>
      <c r="F221" s="134">
        <v>108.54</v>
      </c>
      <c r="G221" s="135">
        <v>6.1100000000000002E-2</v>
      </c>
      <c r="H221" s="134">
        <v>120.77</v>
      </c>
      <c r="I221" s="135">
        <v>6.3800000000000009E-2</v>
      </c>
    </row>
    <row r="222" spans="1:9" x14ac:dyDescent="0.35">
      <c r="A222" s="136">
        <v>41225</v>
      </c>
      <c r="B222" s="137">
        <v>104.18</v>
      </c>
      <c r="C222" s="138">
        <v>5.1800000000000006E-2</v>
      </c>
      <c r="D222" s="137">
        <v>111.07</v>
      </c>
      <c r="E222" s="138">
        <v>5.4900000000000004E-2</v>
      </c>
      <c r="F222" s="137">
        <v>109.35</v>
      </c>
      <c r="G222" s="138">
        <v>6.0299999999999999E-2</v>
      </c>
      <c r="H222" s="137">
        <v>121.28</v>
      </c>
      <c r="I222" s="138">
        <v>6.3399999999999998E-2</v>
      </c>
    </row>
    <row r="223" spans="1:9" x14ac:dyDescent="0.35">
      <c r="A223" s="136">
        <v>41226</v>
      </c>
      <c r="B223" s="137">
        <v>104.3</v>
      </c>
      <c r="C223" s="138">
        <v>5.1500000000000004E-2</v>
      </c>
      <c r="D223" s="137">
        <v>111.64</v>
      </c>
      <c r="E223" s="138">
        <v>5.4200000000000005E-2</v>
      </c>
      <c r="F223" s="137">
        <v>110.29</v>
      </c>
      <c r="G223" s="138">
        <v>5.9400000000000001E-2</v>
      </c>
      <c r="H223" s="137">
        <v>122.33</v>
      </c>
      <c r="I223" s="138">
        <v>6.2600000000000003E-2</v>
      </c>
    </row>
    <row r="224" spans="1:9" x14ac:dyDescent="0.35">
      <c r="A224" s="136">
        <v>41227</v>
      </c>
      <c r="B224" s="137">
        <v>104.52</v>
      </c>
      <c r="C224" s="138">
        <v>5.1000000000000004E-2</v>
      </c>
      <c r="D224" s="137">
        <v>111.75</v>
      </c>
      <c r="E224" s="138">
        <v>5.4100000000000002E-2</v>
      </c>
      <c r="F224" s="137">
        <v>110.32</v>
      </c>
      <c r="G224" s="138">
        <v>5.9300000000000005E-2</v>
      </c>
      <c r="H224" s="137">
        <v>122.48</v>
      </c>
      <c r="I224" s="138">
        <v>6.25E-2</v>
      </c>
    </row>
    <row r="225" spans="1:9" x14ac:dyDescent="0.35">
      <c r="A225" s="133">
        <v>41232</v>
      </c>
      <c r="B225" s="134">
        <v>104.46</v>
      </c>
      <c r="C225" s="135">
        <v>5.11E-2</v>
      </c>
      <c r="D225" s="134">
        <v>111.99</v>
      </c>
      <c r="E225" s="135">
        <v>5.3700000000000005E-2</v>
      </c>
      <c r="F225" s="134">
        <v>110.35</v>
      </c>
      <c r="G225" s="135">
        <v>5.9300000000000005E-2</v>
      </c>
      <c r="H225" s="134">
        <v>122.38</v>
      </c>
      <c r="I225" s="135">
        <v>6.2600000000000003E-2</v>
      </c>
    </row>
    <row r="226" spans="1:9" x14ac:dyDescent="0.35">
      <c r="A226" s="133">
        <v>41233</v>
      </c>
      <c r="B226" s="134">
        <v>104.71</v>
      </c>
      <c r="C226" s="135">
        <v>5.0500000000000003E-2</v>
      </c>
      <c r="D226" s="134">
        <v>112.14</v>
      </c>
      <c r="E226" s="135">
        <v>5.3600000000000002E-2</v>
      </c>
      <c r="F226" s="134">
        <v>110.32</v>
      </c>
      <c r="G226" s="135">
        <v>5.9300000000000005E-2</v>
      </c>
      <c r="H226" s="134">
        <v>122.52</v>
      </c>
      <c r="I226" s="135">
        <v>6.25E-2</v>
      </c>
    </row>
    <row r="227" spans="1:9" x14ac:dyDescent="0.35">
      <c r="A227" s="133">
        <v>41234</v>
      </c>
      <c r="B227" s="134">
        <v>104.79</v>
      </c>
      <c r="C227" s="135">
        <v>5.0200000000000002E-2</v>
      </c>
      <c r="D227" s="134">
        <v>111.99</v>
      </c>
      <c r="E227" s="135">
        <v>5.3700000000000005E-2</v>
      </c>
      <c r="F227" s="134">
        <v>109.96</v>
      </c>
      <c r="G227" s="135">
        <v>5.9700000000000003E-2</v>
      </c>
      <c r="H227" s="134">
        <v>122.23</v>
      </c>
      <c r="I227" s="135">
        <v>6.2700000000000006E-2</v>
      </c>
    </row>
    <row r="228" spans="1:9" x14ac:dyDescent="0.35">
      <c r="A228" s="133">
        <v>41235</v>
      </c>
      <c r="B228" s="134">
        <v>104.87</v>
      </c>
      <c r="C228" s="135">
        <v>0.05</v>
      </c>
      <c r="D228" s="134">
        <v>111.96</v>
      </c>
      <c r="E228" s="135">
        <v>5.3800000000000001E-2</v>
      </c>
      <c r="F228" s="134">
        <v>109.99</v>
      </c>
      <c r="G228" s="135">
        <v>5.96E-2</v>
      </c>
      <c r="H228" s="134">
        <v>122.31</v>
      </c>
      <c r="I228" s="135">
        <v>6.2600000000000003E-2</v>
      </c>
    </row>
    <row r="229" spans="1:9" x14ac:dyDescent="0.35">
      <c r="A229" s="133">
        <v>41236</v>
      </c>
      <c r="B229" s="134">
        <v>104.74</v>
      </c>
      <c r="C229" s="135">
        <v>5.04E-2</v>
      </c>
      <c r="D229" s="134">
        <v>112.14</v>
      </c>
      <c r="E229" s="135">
        <v>5.3500000000000006E-2</v>
      </c>
      <c r="F229" s="134">
        <v>110.43</v>
      </c>
      <c r="G229" s="135">
        <v>5.9200000000000003E-2</v>
      </c>
      <c r="H229" s="134">
        <v>122.86</v>
      </c>
      <c r="I229" s="135">
        <v>6.2200000000000005E-2</v>
      </c>
    </row>
    <row r="230" spans="1:9" x14ac:dyDescent="0.35">
      <c r="A230" s="136">
        <v>41239</v>
      </c>
      <c r="B230" s="137">
        <v>104.65</v>
      </c>
      <c r="C230" s="138">
        <v>5.0600000000000006E-2</v>
      </c>
      <c r="D230" s="137">
        <v>111.77</v>
      </c>
      <c r="E230" s="138">
        <v>5.4000000000000006E-2</v>
      </c>
      <c r="F230" s="137">
        <v>110.59</v>
      </c>
      <c r="G230" s="138">
        <v>5.91E-2</v>
      </c>
      <c r="H230" s="137">
        <v>122.58</v>
      </c>
      <c r="I230" s="138">
        <v>6.2400000000000004E-2</v>
      </c>
    </row>
    <row r="231" spans="1:9" x14ac:dyDescent="0.35">
      <c r="A231" s="136">
        <v>41240</v>
      </c>
      <c r="B231" s="137">
        <v>104.42</v>
      </c>
      <c r="C231" s="138">
        <v>5.11E-2</v>
      </c>
      <c r="D231" s="137">
        <v>111.61</v>
      </c>
      <c r="E231" s="138">
        <v>5.4200000000000005E-2</v>
      </c>
      <c r="F231" s="137">
        <v>110.47</v>
      </c>
      <c r="G231" s="138">
        <v>5.9200000000000003E-2</v>
      </c>
      <c r="H231" s="137">
        <v>121.91</v>
      </c>
      <c r="I231" s="138">
        <v>6.2899999999999998E-2</v>
      </c>
    </row>
    <row r="232" spans="1:9" x14ac:dyDescent="0.35">
      <c r="A232" s="136">
        <v>41241</v>
      </c>
      <c r="B232" s="137">
        <v>104.94</v>
      </c>
      <c r="C232" s="138">
        <v>4.9800000000000004E-2</v>
      </c>
      <c r="D232" s="137">
        <v>111.75</v>
      </c>
      <c r="E232" s="138">
        <v>5.4000000000000006E-2</v>
      </c>
      <c r="F232" s="137">
        <v>110.43</v>
      </c>
      <c r="G232" s="138">
        <v>5.9200000000000003E-2</v>
      </c>
      <c r="H232" s="137">
        <v>122.38</v>
      </c>
      <c r="I232" s="138">
        <v>6.2600000000000003E-2</v>
      </c>
    </row>
    <row r="233" spans="1:9" x14ac:dyDescent="0.35">
      <c r="A233" s="136">
        <v>41242</v>
      </c>
      <c r="B233" s="137">
        <v>105.23</v>
      </c>
      <c r="C233" s="138">
        <v>4.9100000000000005E-2</v>
      </c>
      <c r="D233" s="137">
        <v>111.9</v>
      </c>
      <c r="E233" s="138">
        <v>5.3800000000000001E-2</v>
      </c>
      <c r="F233" s="137">
        <v>110.65</v>
      </c>
      <c r="G233" s="138">
        <v>5.9000000000000004E-2</v>
      </c>
      <c r="H233" s="137">
        <v>122.75</v>
      </c>
      <c r="I233" s="138">
        <v>6.2300000000000001E-2</v>
      </c>
    </row>
    <row r="234" spans="1:9" x14ac:dyDescent="0.35">
      <c r="A234" s="136">
        <v>41243</v>
      </c>
      <c r="B234" s="137">
        <v>105.24</v>
      </c>
      <c r="C234" s="138">
        <v>4.9100000000000005E-2</v>
      </c>
      <c r="D234" s="137">
        <v>111.94</v>
      </c>
      <c r="E234" s="138">
        <v>5.3800000000000001E-2</v>
      </c>
      <c r="F234" s="137">
        <v>110.81</v>
      </c>
      <c r="G234" s="138">
        <v>5.8800000000000005E-2</v>
      </c>
      <c r="H234" s="137">
        <v>122.84</v>
      </c>
      <c r="I234" s="138">
        <v>6.2200000000000005E-2</v>
      </c>
    </row>
    <row r="235" spans="1:9" x14ac:dyDescent="0.35">
      <c r="A235" s="133">
        <v>41246</v>
      </c>
      <c r="B235" s="134">
        <v>105.7</v>
      </c>
      <c r="C235" s="135">
        <v>4.7900000000000005E-2</v>
      </c>
      <c r="D235" s="134">
        <v>112.44</v>
      </c>
      <c r="E235" s="135">
        <v>5.3100000000000001E-2</v>
      </c>
      <c r="F235" s="134">
        <v>110.89</v>
      </c>
      <c r="G235" s="135">
        <v>5.8800000000000005E-2</v>
      </c>
      <c r="H235" s="134">
        <v>123.06</v>
      </c>
      <c r="I235" s="135">
        <v>6.2E-2</v>
      </c>
    </row>
    <row r="236" spans="1:9" x14ac:dyDescent="0.35">
      <c r="A236" s="133">
        <v>41247</v>
      </c>
      <c r="B236" s="134">
        <v>105.65</v>
      </c>
      <c r="C236" s="135">
        <v>4.8000000000000001E-2</v>
      </c>
      <c r="D236" s="134">
        <v>112.48</v>
      </c>
      <c r="E236" s="135">
        <v>5.3100000000000001E-2</v>
      </c>
      <c r="F236" s="134">
        <v>110.87</v>
      </c>
      <c r="G236" s="135">
        <v>5.8800000000000005E-2</v>
      </c>
      <c r="H236" s="134">
        <v>123.07</v>
      </c>
      <c r="I236" s="135">
        <v>6.2E-2</v>
      </c>
    </row>
    <row r="237" spans="1:9" x14ac:dyDescent="0.35">
      <c r="A237" s="133">
        <v>41248</v>
      </c>
      <c r="B237" s="134">
        <v>105.63</v>
      </c>
      <c r="C237" s="135">
        <v>4.8000000000000001E-2</v>
      </c>
      <c r="D237" s="134">
        <v>112.28</v>
      </c>
      <c r="E237" s="135">
        <v>5.33E-2</v>
      </c>
      <c r="F237" s="134">
        <v>110.73</v>
      </c>
      <c r="G237" s="135">
        <v>5.8900000000000001E-2</v>
      </c>
      <c r="H237" s="134">
        <v>122.55</v>
      </c>
      <c r="I237" s="135">
        <v>6.2400000000000004E-2</v>
      </c>
    </row>
    <row r="238" spans="1:9" x14ac:dyDescent="0.35">
      <c r="A238" s="133">
        <v>41249</v>
      </c>
      <c r="B238" s="134">
        <v>105.7</v>
      </c>
      <c r="C238" s="135">
        <v>4.7900000000000005E-2</v>
      </c>
      <c r="D238" s="134">
        <v>112.11</v>
      </c>
      <c r="E238" s="135">
        <v>5.3500000000000006E-2</v>
      </c>
      <c r="F238" s="134">
        <v>110.66</v>
      </c>
      <c r="G238" s="135">
        <v>5.9000000000000004E-2</v>
      </c>
      <c r="H238" s="134">
        <v>122.7</v>
      </c>
      <c r="I238" s="135">
        <v>6.2300000000000001E-2</v>
      </c>
    </row>
    <row r="239" spans="1:9" x14ac:dyDescent="0.35">
      <c r="A239" s="133">
        <v>41250</v>
      </c>
      <c r="B239" s="134">
        <v>105.68</v>
      </c>
      <c r="C239" s="135">
        <v>4.7900000000000005E-2</v>
      </c>
      <c r="D239" s="134">
        <v>112.24</v>
      </c>
      <c r="E239" s="135">
        <v>5.3400000000000003E-2</v>
      </c>
      <c r="F239" s="134">
        <v>110.49</v>
      </c>
      <c r="G239" s="135">
        <v>5.91E-2</v>
      </c>
      <c r="H239" s="134">
        <v>122.49</v>
      </c>
      <c r="I239" s="135">
        <v>6.25E-2</v>
      </c>
    </row>
    <row r="240" spans="1:9" x14ac:dyDescent="0.35">
      <c r="A240" s="136">
        <v>41253</v>
      </c>
      <c r="B240" s="137">
        <v>105.58</v>
      </c>
      <c r="C240" s="138">
        <v>4.8100000000000004E-2</v>
      </c>
      <c r="D240" s="137">
        <v>112.16</v>
      </c>
      <c r="E240" s="138">
        <v>5.3500000000000006E-2</v>
      </c>
      <c r="F240" s="137">
        <v>110.25</v>
      </c>
      <c r="G240" s="138">
        <v>5.9400000000000001E-2</v>
      </c>
      <c r="H240" s="137">
        <v>122.22</v>
      </c>
      <c r="I240" s="138">
        <v>6.2700000000000006E-2</v>
      </c>
    </row>
    <row r="241" spans="1:9" x14ac:dyDescent="0.35">
      <c r="A241" s="136">
        <v>41254</v>
      </c>
      <c r="B241" s="137">
        <v>105.57</v>
      </c>
      <c r="C241" s="138">
        <v>4.8100000000000004E-2</v>
      </c>
      <c r="D241" s="137">
        <v>112.03</v>
      </c>
      <c r="E241" s="138">
        <v>5.3600000000000002E-2</v>
      </c>
      <c r="F241" s="137">
        <v>110.32</v>
      </c>
      <c r="G241" s="138">
        <v>5.9300000000000005E-2</v>
      </c>
      <c r="H241" s="137">
        <v>121.88</v>
      </c>
      <c r="I241" s="138">
        <v>6.2899999999999998E-2</v>
      </c>
    </row>
    <row r="242" spans="1:9" x14ac:dyDescent="0.35">
      <c r="A242" s="136">
        <v>41255</v>
      </c>
      <c r="B242" s="137">
        <v>105.75</v>
      </c>
      <c r="C242" s="138">
        <v>4.7700000000000006E-2</v>
      </c>
      <c r="D242" s="137">
        <v>112.54</v>
      </c>
      <c r="E242" s="138">
        <v>5.3000000000000005E-2</v>
      </c>
      <c r="F242" s="137">
        <v>110.56</v>
      </c>
      <c r="G242" s="138">
        <v>5.91E-2</v>
      </c>
      <c r="H242" s="137">
        <v>122.36</v>
      </c>
      <c r="I242" s="138">
        <v>6.2600000000000003E-2</v>
      </c>
    </row>
    <row r="243" spans="1:9" x14ac:dyDescent="0.35">
      <c r="A243" s="136">
        <v>41256</v>
      </c>
      <c r="B243" s="137">
        <v>105.82</v>
      </c>
      <c r="C243" s="138">
        <v>4.7500000000000001E-2</v>
      </c>
      <c r="D243" s="137">
        <v>112.83</v>
      </c>
      <c r="E243" s="138">
        <v>5.2600000000000001E-2</v>
      </c>
      <c r="F243" s="137">
        <v>110.87</v>
      </c>
      <c r="G243" s="138">
        <v>5.8800000000000005E-2</v>
      </c>
      <c r="H243" s="137">
        <v>122.72</v>
      </c>
      <c r="I243" s="138">
        <v>6.2300000000000001E-2</v>
      </c>
    </row>
    <row r="244" spans="1:9" x14ac:dyDescent="0.35">
      <c r="A244" s="136">
        <v>41257</v>
      </c>
      <c r="B244" s="137">
        <v>105.77</v>
      </c>
      <c r="C244" s="138">
        <v>4.7600000000000003E-2</v>
      </c>
      <c r="D244" s="137">
        <v>113.2</v>
      </c>
      <c r="E244" s="138">
        <v>5.21E-2</v>
      </c>
      <c r="F244" s="137">
        <v>110.78</v>
      </c>
      <c r="G244" s="138">
        <v>5.8800000000000005E-2</v>
      </c>
      <c r="H244" s="137">
        <v>122.93</v>
      </c>
      <c r="I244" s="138">
        <v>6.2100000000000002E-2</v>
      </c>
    </row>
    <row r="245" spans="1:9" x14ac:dyDescent="0.35">
      <c r="A245" s="133">
        <v>41260</v>
      </c>
      <c r="B245" s="134">
        <v>105.71</v>
      </c>
      <c r="C245" s="135">
        <v>4.7700000000000006E-2</v>
      </c>
      <c r="D245" s="134">
        <v>113.19</v>
      </c>
      <c r="E245" s="135">
        <v>5.21E-2</v>
      </c>
      <c r="F245" s="134">
        <v>110.78</v>
      </c>
      <c r="G245" s="135">
        <v>5.8800000000000005E-2</v>
      </c>
      <c r="H245" s="134">
        <v>120.98</v>
      </c>
      <c r="I245" s="135">
        <v>6.3600000000000004E-2</v>
      </c>
    </row>
    <row r="246" spans="1:9" x14ac:dyDescent="0.35">
      <c r="A246" s="133">
        <v>41261</v>
      </c>
      <c r="B246" s="134">
        <v>105.89</v>
      </c>
      <c r="C246" s="135">
        <v>4.7300000000000002E-2</v>
      </c>
      <c r="D246" s="134">
        <v>113.27</v>
      </c>
      <c r="E246" s="135">
        <v>5.2000000000000005E-2</v>
      </c>
      <c r="F246" s="134">
        <v>110.8</v>
      </c>
      <c r="G246" s="135">
        <v>5.8800000000000005E-2</v>
      </c>
      <c r="H246" s="134">
        <v>122.72</v>
      </c>
      <c r="I246" s="135">
        <v>6.2300000000000001E-2</v>
      </c>
    </row>
    <row r="247" spans="1:9" x14ac:dyDescent="0.35">
      <c r="A247" s="133">
        <v>41262</v>
      </c>
      <c r="B247" s="134">
        <v>105.9</v>
      </c>
      <c r="C247" s="135">
        <v>4.7300000000000002E-2</v>
      </c>
      <c r="D247" s="134">
        <v>113.45</v>
      </c>
      <c r="E247" s="135">
        <v>5.1800000000000006E-2</v>
      </c>
      <c r="F247" s="134">
        <v>110.85</v>
      </c>
      <c r="G247" s="135">
        <v>5.8800000000000005E-2</v>
      </c>
      <c r="H247" s="134">
        <v>122.93</v>
      </c>
      <c r="I247" s="135">
        <v>6.2100000000000002E-2</v>
      </c>
    </row>
    <row r="248" spans="1:9" x14ac:dyDescent="0.35">
      <c r="A248" s="133">
        <v>41263</v>
      </c>
      <c r="B248" s="134">
        <v>106.05</v>
      </c>
      <c r="C248" s="135">
        <v>4.6900000000000004E-2</v>
      </c>
      <c r="D248" s="134">
        <v>113.63</v>
      </c>
      <c r="E248" s="135">
        <v>5.16E-2</v>
      </c>
      <c r="F248" s="134">
        <v>110.83</v>
      </c>
      <c r="G248" s="135">
        <v>5.8800000000000005E-2</v>
      </c>
      <c r="H248" s="134">
        <v>122.9</v>
      </c>
      <c r="I248" s="135">
        <v>6.2100000000000002E-2</v>
      </c>
    </row>
    <row r="249" spans="1:9" x14ac:dyDescent="0.35">
      <c r="A249" s="133">
        <v>41264</v>
      </c>
      <c r="B249" s="134">
        <v>106.5</v>
      </c>
      <c r="C249" s="135">
        <v>4.5700000000000005E-2</v>
      </c>
      <c r="D249" s="134">
        <v>113.64</v>
      </c>
      <c r="E249" s="135">
        <v>5.1500000000000004E-2</v>
      </c>
      <c r="F249" s="134">
        <v>110.84</v>
      </c>
      <c r="G249" s="135">
        <v>5.8800000000000005E-2</v>
      </c>
      <c r="H249" s="134">
        <v>122.76</v>
      </c>
      <c r="I249" s="135">
        <v>6.2200000000000005E-2</v>
      </c>
    </row>
    <row r="250" spans="1:9" x14ac:dyDescent="0.35">
      <c r="A250" s="136">
        <v>41269</v>
      </c>
      <c r="B250" s="137">
        <v>105.9</v>
      </c>
      <c r="C250" s="138">
        <v>4.7200000000000006E-2</v>
      </c>
      <c r="D250" s="137">
        <v>113.28</v>
      </c>
      <c r="E250" s="138">
        <v>5.2000000000000005E-2</v>
      </c>
      <c r="F250" s="137">
        <v>110.7</v>
      </c>
      <c r="G250" s="138">
        <v>5.8900000000000001E-2</v>
      </c>
      <c r="H250" s="137">
        <v>122.14</v>
      </c>
      <c r="I250" s="138">
        <v>6.2700000000000006E-2</v>
      </c>
    </row>
    <row r="251" spans="1:9" x14ac:dyDescent="0.35">
      <c r="A251" s="136">
        <v>41270</v>
      </c>
      <c r="B251" s="137">
        <v>105.96</v>
      </c>
      <c r="C251" s="138">
        <v>4.7E-2</v>
      </c>
      <c r="D251" s="137">
        <v>113.47</v>
      </c>
      <c r="E251" s="138">
        <v>5.1700000000000003E-2</v>
      </c>
      <c r="F251" s="137">
        <v>110.76</v>
      </c>
      <c r="G251" s="138">
        <v>5.8800000000000005E-2</v>
      </c>
      <c r="H251" s="137">
        <v>122.64</v>
      </c>
      <c r="I251" s="138">
        <v>6.2300000000000001E-2</v>
      </c>
    </row>
    <row r="252" spans="1:9" x14ac:dyDescent="0.35">
      <c r="A252" s="136">
        <v>41271</v>
      </c>
      <c r="B252" s="137">
        <v>106.04</v>
      </c>
      <c r="C252" s="138">
        <v>4.6800000000000001E-2</v>
      </c>
      <c r="D252" s="137">
        <v>113.63</v>
      </c>
      <c r="E252" s="138">
        <v>5.1500000000000004E-2</v>
      </c>
      <c r="F252" s="137">
        <v>110.8</v>
      </c>
      <c r="G252" s="138">
        <v>5.8800000000000005E-2</v>
      </c>
      <c r="H252" s="137">
        <v>122.49</v>
      </c>
      <c r="I252" s="138">
        <v>6.2400000000000004E-2</v>
      </c>
    </row>
  </sheetData>
  <mergeCells count="18">
    <mergeCell ref="F4:G4"/>
    <mergeCell ref="H4:I4"/>
    <mergeCell ref="B5:C5"/>
    <mergeCell ref="D5:E5"/>
    <mergeCell ref="F5:G5"/>
    <mergeCell ref="H5:I5"/>
    <mergeCell ref="A1:I1"/>
    <mergeCell ref="A2:A6"/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51"/>
  <sheetViews>
    <sheetView topLeftCell="A222" workbookViewId="0">
      <selection activeCell="A55" sqref="A55"/>
    </sheetView>
  </sheetViews>
  <sheetFormatPr defaultColWidth="0" defaultRowHeight="14.5" x14ac:dyDescent="0.35"/>
  <cols>
    <col min="1" max="1" width="12.453125" style="47" customWidth="1"/>
    <col min="2" max="9" width="10" style="47" customWidth="1"/>
    <col min="10" max="10" width="9.1796875" customWidth="1"/>
    <col min="11" max="16384" width="9.1796875" hidden="1"/>
  </cols>
  <sheetData>
    <row r="1" spans="1:9" x14ac:dyDescent="0.35">
      <c r="A1" s="480" t="s">
        <v>72</v>
      </c>
      <c r="B1" s="481"/>
      <c r="C1" s="481"/>
      <c r="D1" s="481"/>
      <c r="E1" s="481"/>
      <c r="F1" s="481"/>
      <c r="G1" s="481"/>
      <c r="H1" s="481"/>
      <c r="I1" s="481"/>
    </row>
    <row r="2" spans="1:9" x14ac:dyDescent="0.35">
      <c r="A2" s="482" t="s">
        <v>73</v>
      </c>
      <c r="B2" s="485" t="s">
        <v>74</v>
      </c>
      <c r="C2" s="485"/>
      <c r="D2" s="485" t="s">
        <v>75</v>
      </c>
      <c r="E2" s="485"/>
      <c r="F2" s="485" t="s">
        <v>76</v>
      </c>
      <c r="G2" s="485"/>
      <c r="H2" s="485" t="s">
        <v>77</v>
      </c>
      <c r="I2" s="485"/>
    </row>
    <row r="3" spans="1:9" x14ac:dyDescent="0.35">
      <c r="A3" s="483"/>
      <c r="B3" s="485" t="s">
        <v>78</v>
      </c>
      <c r="C3" s="485"/>
      <c r="D3" s="485" t="s">
        <v>79</v>
      </c>
      <c r="E3" s="485"/>
      <c r="F3" s="485" t="s">
        <v>80</v>
      </c>
      <c r="G3" s="485"/>
      <c r="H3" s="485" t="s">
        <v>81</v>
      </c>
      <c r="I3" s="485"/>
    </row>
    <row r="4" spans="1:9" x14ac:dyDescent="0.35">
      <c r="A4" s="483"/>
      <c r="B4" s="486">
        <v>5.2499999999999998E-2</v>
      </c>
      <c r="C4" s="486"/>
      <c r="D4" s="486">
        <v>5.6250000000000001E-2</v>
      </c>
      <c r="E4" s="486"/>
      <c r="F4" s="486">
        <v>6.1249999999999999E-2</v>
      </c>
      <c r="G4" s="486"/>
      <c r="H4" s="486">
        <v>6.6250000000000003E-2</v>
      </c>
      <c r="I4" s="486"/>
    </row>
    <row r="5" spans="1:9" x14ac:dyDescent="0.35">
      <c r="A5" s="483"/>
      <c r="B5" s="479">
        <v>43235</v>
      </c>
      <c r="C5" s="479"/>
      <c r="D5" s="479">
        <v>45061</v>
      </c>
      <c r="E5" s="479"/>
      <c r="F5" s="479">
        <v>46888</v>
      </c>
      <c r="G5" s="479"/>
      <c r="H5" s="479">
        <v>12220</v>
      </c>
      <c r="I5" s="479"/>
    </row>
    <row r="6" spans="1:9" ht="29" x14ac:dyDescent="0.35">
      <c r="A6" s="484"/>
      <c r="B6" s="131" t="s">
        <v>82</v>
      </c>
      <c r="C6" s="132" t="s">
        <v>83</v>
      </c>
      <c r="D6" s="131" t="s">
        <v>82</v>
      </c>
      <c r="E6" s="132" t="s">
        <v>83</v>
      </c>
      <c r="F6" s="131" t="s">
        <v>82</v>
      </c>
      <c r="G6" s="132" t="s">
        <v>83</v>
      </c>
      <c r="H6" s="131" t="s">
        <v>82</v>
      </c>
      <c r="I6" s="132" t="s">
        <v>83</v>
      </c>
    </row>
    <row r="7" spans="1:9" x14ac:dyDescent="0.35">
      <c r="A7" s="133">
        <v>41276</v>
      </c>
      <c r="B7" s="134">
        <v>102.7</v>
      </c>
      <c r="C7" s="135">
        <v>4.6800000000000001E-2</v>
      </c>
      <c r="D7" s="134">
        <v>104.21</v>
      </c>
      <c r="E7" s="135">
        <v>5.1000000000000004E-2</v>
      </c>
      <c r="F7" s="134">
        <v>103.99</v>
      </c>
      <c r="G7" s="135">
        <v>5.74E-2</v>
      </c>
      <c r="H7" s="134">
        <v>106.3</v>
      </c>
      <c r="I7" s="135">
        <v>6.0900000000000003E-2</v>
      </c>
    </row>
    <row r="8" spans="1:9" x14ac:dyDescent="0.35">
      <c r="A8" s="133">
        <v>41277</v>
      </c>
      <c r="B8" s="134">
        <v>102.94</v>
      </c>
      <c r="C8" s="135">
        <v>4.6300000000000001E-2</v>
      </c>
      <c r="D8" s="134">
        <v>104.48</v>
      </c>
      <c r="E8" s="135">
        <v>5.0700000000000002E-2</v>
      </c>
      <c r="F8" s="134">
        <v>104.01</v>
      </c>
      <c r="G8" s="135">
        <v>5.7300000000000004E-2</v>
      </c>
      <c r="H8" s="134">
        <v>106.32</v>
      </c>
      <c r="I8" s="135">
        <v>6.0900000000000003E-2</v>
      </c>
    </row>
    <row r="9" spans="1:9" x14ac:dyDescent="0.35">
      <c r="A9" s="133">
        <v>41278</v>
      </c>
      <c r="B9" s="134">
        <v>103.12</v>
      </c>
      <c r="C9" s="135">
        <v>4.5900000000000003E-2</v>
      </c>
      <c r="D9" s="134">
        <v>104.51</v>
      </c>
      <c r="E9" s="135">
        <v>5.0600000000000006E-2</v>
      </c>
      <c r="F9" s="134">
        <v>103.96</v>
      </c>
      <c r="G9" s="135">
        <v>5.74E-2</v>
      </c>
      <c r="H9" s="134">
        <v>106.39</v>
      </c>
      <c r="I9" s="135">
        <v>6.08E-2</v>
      </c>
    </row>
    <row r="10" spans="1:9" x14ac:dyDescent="0.35">
      <c r="A10" s="136">
        <v>41281</v>
      </c>
      <c r="B10" s="137">
        <v>103.36</v>
      </c>
      <c r="C10" s="138">
        <v>4.5400000000000003E-2</v>
      </c>
      <c r="D10" s="137">
        <v>104.62</v>
      </c>
      <c r="E10" s="138">
        <v>5.0500000000000003E-2</v>
      </c>
      <c r="F10" s="137">
        <v>103.76</v>
      </c>
      <c r="G10" s="138">
        <v>5.7600000000000005E-2</v>
      </c>
      <c r="H10" s="137">
        <v>106.04</v>
      </c>
      <c r="I10" s="138">
        <v>6.1100000000000002E-2</v>
      </c>
    </row>
    <row r="11" spans="1:9" x14ac:dyDescent="0.35">
      <c r="A11" s="136">
        <v>41282</v>
      </c>
      <c r="B11" s="137">
        <v>103.5</v>
      </c>
      <c r="C11" s="138">
        <v>4.5100000000000001E-2</v>
      </c>
      <c r="D11" s="137">
        <v>104.6</v>
      </c>
      <c r="E11" s="138">
        <v>5.0500000000000003E-2</v>
      </c>
      <c r="F11" s="137">
        <v>103.56</v>
      </c>
      <c r="G11" s="138">
        <v>5.7800000000000004E-2</v>
      </c>
      <c r="H11" s="137">
        <v>106.02</v>
      </c>
      <c r="I11" s="138">
        <v>6.1100000000000002E-2</v>
      </c>
    </row>
    <row r="12" spans="1:9" x14ac:dyDescent="0.35">
      <c r="A12" s="136">
        <v>41283</v>
      </c>
      <c r="B12" s="137">
        <v>103.48</v>
      </c>
      <c r="C12" s="138">
        <v>4.5100000000000001E-2</v>
      </c>
      <c r="D12" s="137">
        <v>104.56</v>
      </c>
      <c r="E12" s="138">
        <v>5.0600000000000006E-2</v>
      </c>
      <c r="F12" s="137">
        <v>103.38</v>
      </c>
      <c r="G12" s="138">
        <v>5.79E-2</v>
      </c>
      <c r="H12" s="137">
        <v>105.88</v>
      </c>
      <c r="I12" s="138">
        <v>6.1200000000000004E-2</v>
      </c>
    </row>
    <row r="13" spans="1:9" x14ac:dyDescent="0.35">
      <c r="A13" s="136">
        <v>41284</v>
      </c>
      <c r="B13" s="137">
        <v>103.14</v>
      </c>
      <c r="C13" s="138">
        <v>4.58E-2</v>
      </c>
      <c r="D13" s="137">
        <v>103.56</v>
      </c>
      <c r="E13" s="138">
        <v>5.1800000000000006E-2</v>
      </c>
      <c r="F13" s="137">
        <v>102.36</v>
      </c>
      <c r="G13" s="138">
        <v>5.8900000000000001E-2</v>
      </c>
      <c r="H13" s="137">
        <v>104.52</v>
      </c>
      <c r="I13" s="138">
        <v>6.2400000000000004E-2</v>
      </c>
    </row>
    <row r="14" spans="1:9" x14ac:dyDescent="0.35">
      <c r="A14" s="136">
        <v>41285</v>
      </c>
      <c r="B14" s="137">
        <v>102.91</v>
      </c>
      <c r="C14" s="138">
        <v>4.6300000000000001E-2</v>
      </c>
      <c r="D14" s="137">
        <v>103.24</v>
      </c>
      <c r="E14" s="138">
        <v>5.2200000000000003E-2</v>
      </c>
      <c r="F14" s="137">
        <v>102.26</v>
      </c>
      <c r="G14" s="138">
        <v>5.9000000000000004E-2</v>
      </c>
      <c r="H14" s="137">
        <v>104.56</v>
      </c>
      <c r="I14" s="138">
        <v>6.2300000000000001E-2</v>
      </c>
    </row>
    <row r="15" spans="1:9" x14ac:dyDescent="0.35">
      <c r="A15" s="133">
        <v>41288</v>
      </c>
      <c r="B15" s="134">
        <v>103.02</v>
      </c>
      <c r="C15" s="135">
        <v>4.6100000000000002E-2</v>
      </c>
      <c r="D15" s="134">
        <v>103.3</v>
      </c>
      <c r="E15" s="135">
        <v>5.21E-2</v>
      </c>
      <c r="F15" s="134">
        <v>102.28</v>
      </c>
      <c r="G15" s="135">
        <v>5.9000000000000004E-2</v>
      </c>
      <c r="H15" s="134">
        <v>103.87</v>
      </c>
      <c r="I15" s="135">
        <v>6.2899999999999998E-2</v>
      </c>
    </row>
    <row r="16" spans="1:9" x14ac:dyDescent="0.35">
      <c r="A16" s="133">
        <v>41289</v>
      </c>
      <c r="B16" s="134">
        <v>103.05</v>
      </c>
      <c r="C16" s="135">
        <v>4.6000000000000006E-2</v>
      </c>
      <c r="D16" s="134">
        <v>103.33</v>
      </c>
      <c r="E16" s="135">
        <v>5.21E-2</v>
      </c>
      <c r="F16" s="134">
        <v>102.24</v>
      </c>
      <c r="G16" s="135">
        <v>5.9000000000000004E-2</v>
      </c>
      <c r="H16" s="134">
        <v>104.02</v>
      </c>
      <c r="I16" s="135">
        <v>6.2800000000000009E-2</v>
      </c>
    </row>
    <row r="17" spans="1:9" x14ac:dyDescent="0.35">
      <c r="A17" s="133">
        <v>41290</v>
      </c>
      <c r="B17" s="134">
        <v>103.74</v>
      </c>
      <c r="C17" s="135">
        <v>4.4600000000000001E-2</v>
      </c>
      <c r="D17" s="134">
        <v>103.74</v>
      </c>
      <c r="E17" s="135">
        <v>5.16E-2</v>
      </c>
      <c r="F17" s="134">
        <v>102.19</v>
      </c>
      <c r="G17" s="135">
        <v>5.91E-2</v>
      </c>
      <c r="H17" s="134">
        <v>103.55</v>
      </c>
      <c r="I17" s="135">
        <v>6.3200000000000006E-2</v>
      </c>
    </row>
    <row r="18" spans="1:9" x14ac:dyDescent="0.35">
      <c r="A18" s="133">
        <v>41291</v>
      </c>
      <c r="B18" s="134">
        <v>103.81</v>
      </c>
      <c r="C18" s="135">
        <v>4.4400000000000002E-2</v>
      </c>
      <c r="D18" s="134">
        <v>103.1</v>
      </c>
      <c r="E18" s="135">
        <v>5.2400000000000002E-2</v>
      </c>
      <c r="F18" s="134">
        <v>102.03</v>
      </c>
      <c r="G18" s="135">
        <v>5.9300000000000005E-2</v>
      </c>
      <c r="H18" s="134">
        <v>103.32</v>
      </c>
      <c r="I18" s="135">
        <v>6.3399999999999998E-2</v>
      </c>
    </row>
    <row r="19" spans="1:9" x14ac:dyDescent="0.35">
      <c r="A19" s="133">
        <v>41292</v>
      </c>
      <c r="B19" s="134">
        <v>102.91</v>
      </c>
      <c r="C19" s="135">
        <v>4.6300000000000001E-2</v>
      </c>
      <c r="D19" s="134">
        <v>103.16</v>
      </c>
      <c r="E19" s="135">
        <v>5.2300000000000006E-2</v>
      </c>
      <c r="F19" s="134">
        <v>102.03</v>
      </c>
      <c r="G19" s="135">
        <v>5.9300000000000005E-2</v>
      </c>
      <c r="H19" s="134">
        <v>103.46</v>
      </c>
      <c r="I19" s="135">
        <v>6.3300000000000009E-2</v>
      </c>
    </row>
    <row r="20" spans="1:9" x14ac:dyDescent="0.35">
      <c r="A20" s="136">
        <v>41295</v>
      </c>
      <c r="B20" s="137">
        <v>102.97</v>
      </c>
      <c r="C20" s="138">
        <v>4.6200000000000005E-2</v>
      </c>
      <c r="D20" s="137">
        <v>103.26</v>
      </c>
      <c r="E20" s="138">
        <v>5.2200000000000003E-2</v>
      </c>
      <c r="F20" s="137">
        <v>102.27</v>
      </c>
      <c r="G20" s="138">
        <v>5.9000000000000004E-2</v>
      </c>
      <c r="H20" s="137">
        <v>103.72</v>
      </c>
      <c r="I20" s="138">
        <v>6.3E-2</v>
      </c>
    </row>
    <row r="21" spans="1:9" x14ac:dyDescent="0.35">
      <c r="A21" s="136">
        <v>41296</v>
      </c>
      <c r="B21" s="137">
        <v>103.05</v>
      </c>
      <c r="C21" s="138">
        <v>4.6000000000000006E-2</v>
      </c>
      <c r="D21" s="137">
        <v>103.52</v>
      </c>
      <c r="E21" s="138">
        <v>5.1800000000000006E-2</v>
      </c>
      <c r="F21" s="137">
        <v>102.5</v>
      </c>
      <c r="G21" s="138">
        <v>5.8800000000000005E-2</v>
      </c>
      <c r="H21" s="137">
        <v>104.09</v>
      </c>
      <c r="I21" s="138">
        <v>6.2700000000000006E-2</v>
      </c>
    </row>
    <row r="22" spans="1:9" x14ac:dyDescent="0.35">
      <c r="A22" s="136">
        <v>41297</v>
      </c>
      <c r="B22" s="137">
        <v>103.17</v>
      </c>
      <c r="C22" s="138">
        <v>4.5700000000000005E-2</v>
      </c>
      <c r="D22" s="137">
        <v>103.56</v>
      </c>
      <c r="E22" s="138">
        <v>5.1800000000000006E-2</v>
      </c>
      <c r="F22" s="137">
        <v>102.72</v>
      </c>
      <c r="G22" s="138">
        <v>5.8600000000000006E-2</v>
      </c>
      <c r="H22" s="137">
        <v>104.32</v>
      </c>
      <c r="I22" s="138">
        <v>6.25E-2</v>
      </c>
    </row>
    <row r="23" spans="1:9" x14ac:dyDescent="0.35">
      <c r="A23" s="136">
        <v>41299</v>
      </c>
      <c r="B23" s="137">
        <v>103.12</v>
      </c>
      <c r="C23" s="138">
        <v>4.58E-2</v>
      </c>
      <c r="D23" s="137">
        <v>103.79</v>
      </c>
      <c r="E23" s="138">
        <v>5.1500000000000004E-2</v>
      </c>
      <c r="F23" s="137">
        <v>102.76</v>
      </c>
      <c r="G23" s="138">
        <v>5.8500000000000003E-2</v>
      </c>
      <c r="H23" s="137">
        <v>104.56</v>
      </c>
      <c r="I23" s="138">
        <v>6.2300000000000001E-2</v>
      </c>
    </row>
    <row r="24" spans="1:9" x14ac:dyDescent="0.35">
      <c r="A24" s="133">
        <v>41302</v>
      </c>
      <c r="B24" s="134">
        <v>103.07</v>
      </c>
      <c r="C24" s="135">
        <v>4.5900000000000003E-2</v>
      </c>
      <c r="D24" s="134">
        <v>103.94</v>
      </c>
      <c r="E24" s="135">
        <v>5.1300000000000005E-2</v>
      </c>
      <c r="F24" s="134">
        <v>102.79</v>
      </c>
      <c r="G24" s="135">
        <v>5.8500000000000003E-2</v>
      </c>
      <c r="H24" s="134">
        <v>104.89</v>
      </c>
      <c r="I24" s="135">
        <v>6.2E-2</v>
      </c>
    </row>
    <row r="25" spans="1:9" x14ac:dyDescent="0.35">
      <c r="A25" s="133">
        <v>41303</v>
      </c>
      <c r="B25" s="134">
        <v>103</v>
      </c>
      <c r="C25" s="135">
        <v>4.6100000000000002E-2</v>
      </c>
      <c r="D25" s="134">
        <v>103.71</v>
      </c>
      <c r="E25" s="135">
        <v>5.16E-2</v>
      </c>
      <c r="F25" s="134">
        <v>102.58</v>
      </c>
      <c r="G25" s="135">
        <v>5.8700000000000002E-2</v>
      </c>
      <c r="H25" s="134">
        <v>104.76</v>
      </c>
      <c r="I25" s="135">
        <v>6.2100000000000002E-2</v>
      </c>
    </row>
    <row r="26" spans="1:9" x14ac:dyDescent="0.35">
      <c r="A26" s="133">
        <v>41304</v>
      </c>
      <c r="B26" s="134">
        <v>102.89</v>
      </c>
      <c r="C26" s="135">
        <v>4.6300000000000001E-2</v>
      </c>
      <c r="D26" s="134">
        <v>103.21</v>
      </c>
      <c r="E26" s="135">
        <v>5.2200000000000003E-2</v>
      </c>
      <c r="F26" s="134">
        <v>102.21</v>
      </c>
      <c r="G26" s="135">
        <v>5.91E-2</v>
      </c>
      <c r="H26" s="134">
        <v>104.73</v>
      </c>
      <c r="I26" s="135">
        <v>6.2200000000000005E-2</v>
      </c>
    </row>
    <row r="27" spans="1:9" x14ac:dyDescent="0.35">
      <c r="A27" s="133">
        <v>41305</v>
      </c>
      <c r="B27" s="134">
        <v>102.7</v>
      </c>
      <c r="C27" s="135">
        <v>4.6700000000000005E-2</v>
      </c>
      <c r="D27" s="134">
        <v>102.86</v>
      </c>
      <c r="E27" s="135">
        <v>5.2700000000000004E-2</v>
      </c>
      <c r="F27" s="134">
        <v>101.73</v>
      </c>
      <c r="G27" s="135">
        <v>5.9500000000000004E-2</v>
      </c>
      <c r="H27" s="134">
        <v>104.28</v>
      </c>
      <c r="I27" s="135">
        <v>6.25E-2</v>
      </c>
    </row>
    <row r="28" spans="1:9" x14ac:dyDescent="0.35">
      <c r="A28" s="133">
        <v>41306</v>
      </c>
      <c r="B28" s="134">
        <v>102.48</v>
      </c>
      <c r="C28" s="135">
        <v>4.7200000000000006E-2</v>
      </c>
      <c r="D28" s="134">
        <v>102.58</v>
      </c>
      <c r="E28" s="135">
        <v>5.3000000000000005E-2</v>
      </c>
      <c r="F28" s="134">
        <v>101.46</v>
      </c>
      <c r="G28" s="135">
        <v>5.9800000000000006E-2</v>
      </c>
      <c r="H28" s="134">
        <v>103.87</v>
      </c>
      <c r="I28" s="135">
        <v>6.2899999999999998E-2</v>
      </c>
    </row>
    <row r="29" spans="1:9" x14ac:dyDescent="0.35">
      <c r="A29" s="136">
        <v>41309</v>
      </c>
      <c r="B29" s="137">
        <v>102.65</v>
      </c>
      <c r="C29" s="138">
        <v>4.6800000000000001E-2</v>
      </c>
      <c r="D29" s="137">
        <v>103.24</v>
      </c>
      <c r="E29" s="138">
        <v>5.2200000000000003E-2</v>
      </c>
      <c r="F29" s="137">
        <v>102.19</v>
      </c>
      <c r="G29" s="138">
        <v>5.91E-2</v>
      </c>
      <c r="H29" s="137">
        <v>104.77</v>
      </c>
      <c r="I29" s="138">
        <v>6.2100000000000002E-2</v>
      </c>
    </row>
    <row r="30" spans="1:9" x14ac:dyDescent="0.35">
      <c r="A30" s="136">
        <v>41310</v>
      </c>
      <c r="B30" s="137">
        <v>102.72</v>
      </c>
      <c r="C30" s="138">
        <v>4.6700000000000005E-2</v>
      </c>
      <c r="D30" s="137">
        <v>103.01</v>
      </c>
      <c r="E30" s="138">
        <v>5.2500000000000005E-2</v>
      </c>
      <c r="F30" s="137">
        <v>102.02</v>
      </c>
      <c r="G30" s="138">
        <v>5.9300000000000005E-2</v>
      </c>
      <c r="H30" s="137">
        <v>104.44</v>
      </c>
      <c r="I30" s="138">
        <v>6.2400000000000004E-2</v>
      </c>
    </row>
    <row r="31" spans="1:9" x14ac:dyDescent="0.35">
      <c r="A31" s="136">
        <v>41311</v>
      </c>
      <c r="B31" s="137">
        <v>102.54</v>
      </c>
      <c r="C31" s="138">
        <v>4.7E-2</v>
      </c>
      <c r="D31" s="137">
        <v>103.21</v>
      </c>
      <c r="E31" s="138">
        <v>5.2200000000000003E-2</v>
      </c>
      <c r="F31" s="137">
        <v>102.22</v>
      </c>
      <c r="G31" s="138">
        <v>5.91E-2</v>
      </c>
      <c r="H31" s="137">
        <v>104.78</v>
      </c>
      <c r="I31" s="138">
        <v>6.2100000000000002E-2</v>
      </c>
    </row>
    <row r="32" spans="1:9" x14ac:dyDescent="0.35">
      <c r="A32" s="136">
        <v>41312</v>
      </c>
      <c r="B32" s="137">
        <v>102.55</v>
      </c>
      <c r="C32" s="138">
        <v>4.7E-2</v>
      </c>
      <c r="D32" s="137">
        <v>103.06</v>
      </c>
      <c r="E32" s="138">
        <v>5.2400000000000002E-2</v>
      </c>
      <c r="F32" s="137">
        <v>102.01</v>
      </c>
      <c r="G32" s="138">
        <v>5.9300000000000005E-2</v>
      </c>
      <c r="H32" s="137">
        <v>104.72</v>
      </c>
      <c r="I32" s="138">
        <v>6.2200000000000005E-2</v>
      </c>
    </row>
    <row r="33" spans="1:9" x14ac:dyDescent="0.35">
      <c r="A33" s="136">
        <v>41313</v>
      </c>
      <c r="B33" s="137">
        <v>102.55</v>
      </c>
      <c r="C33" s="138">
        <v>4.7E-2</v>
      </c>
      <c r="D33" s="137">
        <v>103.11</v>
      </c>
      <c r="E33" s="138">
        <v>5.2300000000000006E-2</v>
      </c>
      <c r="F33" s="137">
        <v>102.04</v>
      </c>
      <c r="G33" s="138">
        <v>5.9200000000000003E-2</v>
      </c>
      <c r="H33" s="137">
        <v>104.71</v>
      </c>
      <c r="I33" s="138">
        <v>6.2200000000000005E-2</v>
      </c>
    </row>
    <row r="34" spans="1:9" x14ac:dyDescent="0.35">
      <c r="A34" s="133">
        <v>41316</v>
      </c>
      <c r="B34" s="134">
        <v>102.51</v>
      </c>
      <c r="C34" s="135">
        <v>4.7100000000000003E-2</v>
      </c>
      <c r="D34" s="134">
        <v>103.2</v>
      </c>
      <c r="E34" s="135">
        <v>5.2200000000000003E-2</v>
      </c>
      <c r="F34" s="134">
        <v>102.1</v>
      </c>
      <c r="G34" s="135">
        <v>5.9200000000000003E-2</v>
      </c>
      <c r="H34" s="134">
        <v>104.7</v>
      </c>
      <c r="I34" s="135">
        <v>6.2200000000000005E-2</v>
      </c>
    </row>
    <row r="35" spans="1:9" x14ac:dyDescent="0.35">
      <c r="A35" s="133">
        <v>41317</v>
      </c>
      <c r="B35" s="134">
        <v>102.58</v>
      </c>
      <c r="C35" s="135">
        <v>4.6900000000000004E-2</v>
      </c>
      <c r="D35" s="134">
        <v>103.1</v>
      </c>
      <c r="E35" s="135">
        <v>5.2300000000000006E-2</v>
      </c>
      <c r="F35" s="134">
        <v>102.01</v>
      </c>
      <c r="G35" s="135">
        <v>5.9300000000000005E-2</v>
      </c>
      <c r="H35" s="134">
        <v>104.76</v>
      </c>
      <c r="I35" s="135">
        <v>6.2100000000000002E-2</v>
      </c>
    </row>
    <row r="36" spans="1:9" x14ac:dyDescent="0.35">
      <c r="A36" s="133">
        <v>41318</v>
      </c>
      <c r="B36" s="134">
        <v>102.57</v>
      </c>
      <c r="C36" s="135">
        <v>4.7E-2</v>
      </c>
      <c r="D36" s="134">
        <v>103.2</v>
      </c>
      <c r="E36" s="135">
        <v>5.2200000000000003E-2</v>
      </c>
      <c r="F36" s="134">
        <v>102.02</v>
      </c>
      <c r="G36" s="135">
        <v>5.9300000000000005E-2</v>
      </c>
      <c r="H36" s="134">
        <v>104.77</v>
      </c>
      <c r="I36" s="135">
        <v>6.2100000000000002E-2</v>
      </c>
    </row>
    <row r="37" spans="1:9" x14ac:dyDescent="0.35">
      <c r="A37" s="133">
        <v>41319</v>
      </c>
      <c r="B37" s="134">
        <v>102.51</v>
      </c>
      <c r="C37" s="135">
        <v>4.7100000000000003E-2</v>
      </c>
      <c r="D37" s="134">
        <v>102.98</v>
      </c>
      <c r="E37" s="135">
        <v>5.2500000000000005E-2</v>
      </c>
      <c r="F37" s="134">
        <v>101.78</v>
      </c>
      <c r="G37" s="135">
        <v>5.9500000000000004E-2</v>
      </c>
      <c r="H37" s="134">
        <v>104.5</v>
      </c>
      <c r="I37" s="135">
        <v>6.2400000000000004E-2</v>
      </c>
    </row>
    <row r="38" spans="1:9" x14ac:dyDescent="0.35">
      <c r="A38" s="133">
        <v>41320</v>
      </c>
      <c r="B38" s="134">
        <v>102.56</v>
      </c>
      <c r="C38" s="135">
        <v>4.7E-2</v>
      </c>
      <c r="D38" s="134">
        <v>103.14</v>
      </c>
      <c r="E38" s="135">
        <v>5.2300000000000006E-2</v>
      </c>
      <c r="F38" s="134">
        <v>102.07</v>
      </c>
      <c r="G38" s="135">
        <v>5.9200000000000003E-2</v>
      </c>
      <c r="H38" s="134">
        <v>104.58</v>
      </c>
      <c r="I38" s="135">
        <v>6.2300000000000001E-2</v>
      </c>
    </row>
    <row r="39" spans="1:9" x14ac:dyDescent="0.35">
      <c r="A39" s="136">
        <v>41323</v>
      </c>
      <c r="B39" s="137">
        <v>102.6</v>
      </c>
      <c r="C39" s="138">
        <v>4.6900000000000004E-2</v>
      </c>
      <c r="D39" s="137">
        <v>103.21</v>
      </c>
      <c r="E39" s="138">
        <v>5.2200000000000003E-2</v>
      </c>
      <c r="F39" s="137">
        <v>102.26</v>
      </c>
      <c r="G39" s="138">
        <v>5.9000000000000004E-2</v>
      </c>
      <c r="H39" s="137">
        <v>104.89</v>
      </c>
      <c r="I39" s="138">
        <v>6.2E-2</v>
      </c>
    </row>
    <row r="40" spans="1:9" x14ac:dyDescent="0.35">
      <c r="A40" s="136">
        <v>41324</v>
      </c>
      <c r="B40" s="137">
        <v>102.49</v>
      </c>
      <c r="C40" s="138">
        <v>4.7100000000000003E-2</v>
      </c>
      <c r="D40" s="137">
        <v>103.09</v>
      </c>
      <c r="E40" s="138">
        <v>5.2300000000000006E-2</v>
      </c>
      <c r="F40" s="137">
        <v>101.91</v>
      </c>
      <c r="G40" s="138">
        <v>5.9400000000000001E-2</v>
      </c>
      <c r="H40" s="137">
        <v>104.78</v>
      </c>
      <c r="I40" s="138">
        <v>6.2100000000000002E-2</v>
      </c>
    </row>
    <row r="41" spans="1:9" x14ac:dyDescent="0.35">
      <c r="A41" s="136">
        <v>41325</v>
      </c>
      <c r="B41" s="137">
        <v>102.49</v>
      </c>
      <c r="C41" s="138">
        <v>4.7100000000000003E-2</v>
      </c>
      <c r="D41" s="137">
        <v>103.08</v>
      </c>
      <c r="E41" s="138">
        <v>5.2400000000000002E-2</v>
      </c>
      <c r="F41" s="137">
        <v>102.03</v>
      </c>
      <c r="G41" s="138">
        <v>5.9200000000000003E-2</v>
      </c>
      <c r="H41" s="137">
        <v>104.88</v>
      </c>
      <c r="I41" s="138">
        <v>6.2E-2</v>
      </c>
    </row>
    <row r="42" spans="1:9" x14ac:dyDescent="0.35">
      <c r="A42" s="136">
        <v>41326</v>
      </c>
      <c r="B42" s="137">
        <v>102.58</v>
      </c>
      <c r="C42" s="138">
        <v>4.6900000000000004E-2</v>
      </c>
      <c r="D42" s="137">
        <v>103.06</v>
      </c>
      <c r="E42" s="138">
        <v>5.2400000000000002E-2</v>
      </c>
      <c r="F42" s="137">
        <v>101.98</v>
      </c>
      <c r="G42" s="138">
        <v>5.9300000000000005E-2</v>
      </c>
      <c r="H42" s="137">
        <v>104.87</v>
      </c>
      <c r="I42" s="138">
        <v>6.2E-2</v>
      </c>
    </row>
    <row r="43" spans="1:9" x14ac:dyDescent="0.35">
      <c r="A43" s="136">
        <v>41327</v>
      </c>
      <c r="B43" s="137">
        <v>102.48</v>
      </c>
      <c r="C43" s="138">
        <v>4.7100000000000003E-2</v>
      </c>
      <c r="D43" s="137">
        <v>103.01</v>
      </c>
      <c r="E43" s="138">
        <v>5.2400000000000002E-2</v>
      </c>
      <c r="F43" s="137">
        <v>101.82</v>
      </c>
      <c r="G43" s="138">
        <v>5.9500000000000004E-2</v>
      </c>
      <c r="H43" s="137">
        <v>104.7</v>
      </c>
      <c r="I43" s="138">
        <v>6.2200000000000005E-2</v>
      </c>
    </row>
    <row r="44" spans="1:9" x14ac:dyDescent="0.35">
      <c r="A44" s="133">
        <v>41330</v>
      </c>
      <c r="B44" s="134">
        <v>102.47</v>
      </c>
      <c r="C44" s="135">
        <v>4.7100000000000003E-2</v>
      </c>
      <c r="D44" s="134">
        <v>103.03</v>
      </c>
      <c r="E44" s="135">
        <v>5.2400000000000002E-2</v>
      </c>
      <c r="F44" s="134">
        <v>101.74</v>
      </c>
      <c r="G44" s="135">
        <v>5.9500000000000004E-2</v>
      </c>
      <c r="H44" s="134">
        <v>104.47</v>
      </c>
      <c r="I44" s="135">
        <v>6.2400000000000004E-2</v>
      </c>
    </row>
    <row r="45" spans="1:9" x14ac:dyDescent="0.35">
      <c r="A45" s="133">
        <v>41331</v>
      </c>
      <c r="B45" s="134">
        <v>102.46</v>
      </c>
      <c r="C45" s="135">
        <v>4.7200000000000006E-2</v>
      </c>
      <c r="D45" s="134">
        <v>102.8</v>
      </c>
      <c r="E45" s="135">
        <v>5.2700000000000004E-2</v>
      </c>
      <c r="F45" s="134">
        <v>101.75</v>
      </c>
      <c r="G45" s="135">
        <v>5.9500000000000004E-2</v>
      </c>
      <c r="H45" s="134">
        <v>104.29</v>
      </c>
      <c r="I45" s="135">
        <v>6.25E-2</v>
      </c>
    </row>
    <row r="46" spans="1:9" x14ac:dyDescent="0.35">
      <c r="A46" s="133">
        <v>41332</v>
      </c>
      <c r="B46" s="134">
        <v>102.21</v>
      </c>
      <c r="C46" s="135">
        <v>4.7700000000000006E-2</v>
      </c>
      <c r="D46" s="134">
        <v>102.71</v>
      </c>
      <c r="E46" s="135">
        <v>5.28E-2</v>
      </c>
      <c r="F46" s="134">
        <v>101.63</v>
      </c>
      <c r="G46" s="135">
        <v>5.96E-2</v>
      </c>
      <c r="H46" s="134">
        <v>104.36</v>
      </c>
      <c r="I46" s="135">
        <v>6.25E-2</v>
      </c>
    </row>
    <row r="47" spans="1:9" x14ac:dyDescent="0.35">
      <c r="A47" s="133">
        <v>41333</v>
      </c>
      <c r="B47" s="134">
        <v>102.23</v>
      </c>
      <c r="C47" s="135">
        <v>4.7600000000000003E-2</v>
      </c>
      <c r="D47" s="134">
        <v>102.45</v>
      </c>
      <c r="E47" s="135">
        <v>5.3100000000000001E-2</v>
      </c>
      <c r="F47" s="134">
        <v>101.41</v>
      </c>
      <c r="G47" s="135">
        <v>5.9900000000000002E-2</v>
      </c>
      <c r="H47" s="134">
        <v>104.25</v>
      </c>
      <c r="I47" s="135">
        <v>6.2600000000000003E-2</v>
      </c>
    </row>
    <row r="48" spans="1:9" x14ac:dyDescent="0.35">
      <c r="A48" s="133">
        <v>41334</v>
      </c>
      <c r="B48" s="134">
        <v>102.07</v>
      </c>
      <c r="C48" s="135">
        <v>4.8000000000000001E-2</v>
      </c>
      <c r="D48" s="134">
        <v>102.18</v>
      </c>
      <c r="E48" s="135">
        <v>5.3500000000000006E-2</v>
      </c>
      <c r="F48" s="134">
        <v>101.17</v>
      </c>
      <c r="G48" s="135">
        <v>6.0100000000000001E-2</v>
      </c>
      <c r="H48" s="134">
        <v>103.88</v>
      </c>
      <c r="I48" s="135">
        <v>6.2899999999999998E-2</v>
      </c>
    </row>
    <row r="49" spans="1:9" x14ac:dyDescent="0.35">
      <c r="A49" s="136">
        <v>41337</v>
      </c>
      <c r="B49" s="137">
        <v>102.03</v>
      </c>
      <c r="C49" s="138">
        <v>4.8100000000000004E-2</v>
      </c>
      <c r="D49" s="137">
        <v>102.12</v>
      </c>
      <c r="E49" s="138">
        <v>5.3600000000000002E-2</v>
      </c>
      <c r="F49" s="137">
        <v>101.26</v>
      </c>
      <c r="G49" s="138">
        <v>6.0000000000000005E-2</v>
      </c>
      <c r="H49" s="137">
        <v>104.07</v>
      </c>
      <c r="I49" s="138">
        <v>6.2700000000000006E-2</v>
      </c>
    </row>
    <row r="50" spans="1:9" x14ac:dyDescent="0.35">
      <c r="A50" s="136">
        <v>41338</v>
      </c>
      <c r="B50" s="137">
        <v>102.19</v>
      </c>
      <c r="C50" s="138">
        <v>4.7700000000000006E-2</v>
      </c>
      <c r="D50" s="137">
        <v>102.11</v>
      </c>
      <c r="E50" s="138">
        <v>5.3600000000000002E-2</v>
      </c>
      <c r="F50" s="137">
        <v>101.41</v>
      </c>
      <c r="G50" s="138">
        <v>5.9900000000000002E-2</v>
      </c>
      <c r="H50" s="137">
        <v>104.26</v>
      </c>
      <c r="I50" s="138">
        <v>6.2600000000000003E-2</v>
      </c>
    </row>
    <row r="51" spans="1:9" x14ac:dyDescent="0.35">
      <c r="A51" s="136">
        <v>41339</v>
      </c>
      <c r="B51" s="137">
        <v>102.23</v>
      </c>
      <c r="C51" s="138">
        <v>4.7600000000000003E-2</v>
      </c>
      <c r="D51" s="137">
        <v>102.42</v>
      </c>
      <c r="E51" s="138">
        <v>5.3200000000000004E-2</v>
      </c>
      <c r="F51" s="137">
        <v>101.46</v>
      </c>
      <c r="G51" s="138">
        <v>5.9800000000000006E-2</v>
      </c>
      <c r="H51" s="137">
        <v>104.54</v>
      </c>
      <c r="I51" s="138">
        <v>6.2300000000000001E-2</v>
      </c>
    </row>
    <row r="52" spans="1:9" x14ac:dyDescent="0.35">
      <c r="A52" s="136">
        <v>41340</v>
      </c>
      <c r="B52" s="137">
        <v>102.38</v>
      </c>
      <c r="C52" s="138">
        <v>4.7300000000000002E-2</v>
      </c>
      <c r="D52" s="137">
        <v>102.53</v>
      </c>
      <c r="E52" s="138">
        <v>5.3000000000000005E-2</v>
      </c>
      <c r="F52" s="137">
        <v>101.8</v>
      </c>
      <c r="G52" s="138">
        <v>5.9500000000000004E-2</v>
      </c>
      <c r="H52" s="137">
        <v>104.72</v>
      </c>
      <c r="I52" s="138">
        <v>6.2200000000000005E-2</v>
      </c>
    </row>
    <row r="53" spans="1:9" x14ac:dyDescent="0.35">
      <c r="A53" s="136">
        <v>41341</v>
      </c>
      <c r="B53" s="137">
        <v>102.26</v>
      </c>
      <c r="C53" s="138">
        <v>4.7600000000000003E-2</v>
      </c>
      <c r="D53" s="137">
        <v>102.44</v>
      </c>
      <c r="E53" s="138">
        <v>5.3200000000000004E-2</v>
      </c>
      <c r="F53" s="137">
        <v>101.71</v>
      </c>
      <c r="G53" s="138">
        <v>5.96E-2</v>
      </c>
      <c r="H53" s="137">
        <v>104.73</v>
      </c>
      <c r="I53" s="138">
        <v>6.2200000000000005E-2</v>
      </c>
    </row>
    <row r="54" spans="1:9" x14ac:dyDescent="0.35">
      <c r="A54" s="133">
        <v>41344</v>
      </c>
      <c r="B54" s="134">
        <v>102.19</v>
      </c>
      <c r="C54" s="135">
        <v>4.7700000000000006E-2</v>
      </c>
      <c r="D54" s="134">
        <v>102.29</v>
      </c>
      <c r="E54" s="135">
        <v>5.33E-2</v>
      </c>
      <c r="F54" s="134">
        <v>101.49</v>
      </c>
      <c r="G54" s="135">
        <v>5.9800000000000006E-2</v>
      </c>
      <c r="H54" s="134">
        <v>104.3</v>
      </c>
      <c r="I54" s="135">
        <v>6.25E-2</v>
      </c>
    </row>
    <row r="55" spans="1:9" x14ac:dyDescent="0.35">
      <c r="A55" s="133">
        <v>41346</v>
      </c>
      <c r="B55" s="134">
        <v>102.07</v>
      </c>
      <c r="C55" s="135">
        <v>4.8000000000000001E-2</v>
      </c>
      <c r="D55" s="134">
        <v>102.15</v>
      </c>
      <c r="E55" s="135">
        <v>5.3500000000000006E-2</v>
      </c>
      <c r="F55" s="134">
        <v>101.27</v>
      </c>
      <c r="G55" s="135">
        <v>6.0000000000000005E-2</v>
      </c>
      <c r="H55" s="134">
        <v>104.25</v>
      </c>
      <c r="I55" s="135">
        <v>6.2600000000000003E-2</v>
      </c>
    </row>
    <row r="56" spans="1:9" x14ac:dyDescent="0.35">
      <c r="A56" s="133">
        <v>41347</v>
      </c>
      <c r="B56" s="134">
        <v>101.82</v>
      </c>
      <c r="C56" s="135">
        <v>4.8500000000000001E-2</v>
      </c>
      <c r="D56" s="134">
        <v>101.86</v>
      </c>
      <c r="E56" s="135">
        <v>5.3900000000000003E-2</v>
      </c>
      <c r="F56" s="134">
        <v>100.76</v>
      </c>
      <c r="G56" s="135">
        <v>6.0500000000000005E-2</v>
      </c>
      <c r="H56" s="134">
        <v>104.01</v>
      </c>
      <c r="I56" s="135">
        <v>6.2800000000000009E-2</v>
      </c>
    </row>
    <row r="57" spans="1:9" x14ac:dyDescent="0.35">
      <c r="A57" s="133">
        <v>41348</v>
      </c>
      <c r="B57" s="134">
        <v>101.72</v>
      </c>
      <c r="C57" s="135">
        <v>4.87E-2</v>
      </c>
      <c r="D57" s="134">
        <v>101.81</v>
      </c>
      <c r="E57" s="135">
        <v>5.4000000000000006E-2</v>
      </c>
      <c r="F57" s="134">
        <v>100.62</v>
      </c>
      <c r="G57" s="135">
        <v>6.0700000000000004E-2</v>
      </c>
      <c r="H57" s="134">
        <v>103.74</v>
      </c>
      <c r="I57" s="135">
        <v>6.3E-2</v>
      </c>
    </row>
    <row r="58" spans="1:9" x14ac:dyDescent="0.35">
      <c r="A58" s="136">
        <v>41351</v>
      </c>
      <c r="B58" s="137">
        <v>101.47</v>
      </c>
      <c r="C58" s="138">
        <v>4.9300000000000004E-2</v>
      </c>
      <c r="D58" s="137">
        <v>101.4</v>
      </c>
      <c r="E58" s="138">
        <v>5.45E-2</v>
      </c>
      <c r="F58" s="137">
        <v>100.4</v>
      </c>
      <c r="G58" s="138">
        <v>6.0900000000000003E-2</v>
      </c>
      <c r="H58" s="137">
        <v>103.35</v>
      </c>
      <c r="I58" s="138">
        <v>6.3300000000000009E-2</v>
      </c>
    </row>
    <row r="59" spans="1:9" x14ac:dyDescent="0.35">
      <c r="A59" s="136">
        <v>41352</v>
      </c>
      <c r="B59" s="137">
        <v>101.59</v>
      </c>
      <c r="C59" s="138">
        <v>4.9000000000000002E-2</v>
      </c>
      <c r="D59" s="137">
        <v>101.46</v>
      </c>
      <c r="E59" s="138">
        <v>5.4400000000000004E-2</v>
      </c>
      <c r="F59" s="137">
        <v>100.52</v>
      </c>
      <c r="G59" s="138">
        <v>6.08E-2</v>
      </c>
      <c r="H59" s="137">
        <v>103.56</v>
      </c>
      <c r="I59" s="138">
        <v>6.3100000000000003E-2</v>
      </c>
    </row>
    <row r="60" spans="1:9" x14ac:dyDescent="0.35">
      <c r="A60" s="136">
        <v>41353</v>
      </c>
      <c r="B60" s="137">
        <v>101.62</v>
      </c>
      <c r="C60" s="138">
        <v>4.8900000000000006E-2</v>
      </c>
      <c r="D60" s="137">
        <v>101.44</v>
      </c>
      <c r="E60" s="138">
        <v>5.4400000000000004E-2</v>
      </c>
      <c r="F60" s="137">
        <v>100.43</v>
      </c>
      <c r="G60" s="138">
        <v>6.0900000000000003E-2</v>
      </c>
      <c r="H60" s="137">
        <v>103.42</v>
      </c>
      <c r="I60" s="138">
        <v>6.3300000000000009E-2</v>
      </c>
    </row>
    <row r="61" spans="1:9" x14ac:dyDescent="0.35">
      <c r="A61" s="136">
        <v>41354</v>
      </c>
      <c r="B61" s="137">
        <v>101.58</v>
      </c>
      <c r="C61" s="138">
        <v>4.9000000000000002E-2</v>
      </c>
      <c r="D61" s="137">
        <v>101.45</v>
      </c>
      <c r="E61" s="138">
        <v>5.4400000000000004E-2</v>
      </c>
      <c r="F61" s="137">
        <v>100.49</v>
      </c>
      <c r="G61" s="138">
        <v>6.08E-2</v>
      </c>
      <c r="H61" s="137">
        <v>103.43</v>
      </c>
      <c r="I61" s="138">
        <v>6.3300000000000009E-2</v>
      </c>
    </row>
    <row r="62" spans="1:9" x14ac:dyDescent="0.35">
      <c r="A62" s="136">
        <v>41355</v>
      </c>
      <c r="B62" s="137">
        <v>101.47</v>
      </c>
      <c r="C62" s="138">
        <v>4.9300000000000004E-2</v>
      </c>
      <c r="D62" s="137">
        <v>101.32</v>
      </c>
      <c r="E62" s="138">
        <v>5.4600000000000003E-2</v>
      </c>
      <c r="F62" s="137">
        <v>100.13</v>
      </c>
      <c r="G62" s="138">
        <v>6.1200000000000004E-2</v>
      </c>
      <c r="H62" s="137">
        <v>103.05</v>
      </c>
      <c r="I62" s="138">
        <v>6.3600000000000004E-2</v>
      </c>
    </row>
    <row r="63" spans="1:9" x14ac:dyDescent="0.35">
      <c r="A63" s="133">
        <v>41358</v>
      </c>
      <c r="B63" s="134">
        <v>101.33</v>
      </c>
      <c r="C63" s="135">
        <v>4.9600000000000005E-2</v>
      </c>
      <c r="D63" s="134">
        <v>101.39</v>
      </c>
      <c r="E63" s="135">
        <v>5.45E-2</v>
      </c>
      <c r="F63" s="134">
        <v>99.99</v>
      </c>
      <c r="G63" s="135">
        <v>6.13E-2</v>
      </c>
      <c r="H63" s="134">
        <v>102.89</v>
      </c>
      <c r="I63" s="135">
        <v>6.3700000000000007E-2</v>
      </c>
    </row>
    <row r="64" spans="1:9" x14ac:dyDescent="0.35">
      <c r="A64" s="133">
        <v>41359</v>
      </c>
      <c r="B64" s="134">
        <v>101.27</v>
      </c>
      <c r="C64" s="135">
        <v>4.9700000000000001E-2</v>
      </c>
      <c r="D64" s="134">
        <v>101.29</v>
      </c>
      <c r="E64" s="135">
        <v>5.4600000000000003E-2</v>
      </c>
      <c r="F64" s="134">
        <v>99.7</v>
      </c>
      <c r="G64" s="135">
        <v>6.1600000000000002E-2</v>
      </c>
      <c r="H64" s="134">
        <v>102.7</v>
      </c>
      <c r="I64" s="135">
        <v>6.3899999999999998E-2</v>
      </c>
    </row>
    <row r="65" spans="1:9" x14ac:dyDescent="0.35">
      <c r="A65" s="133">
        <v>41360</v>
      </c>
      <c r="B65" s="134">
        <v>101.15</v>
      </c>
      <c r="C65" s="135">
        <v>0.05</v>
      </c>
      <c r="D65" s="134">
        <v>100.89</v>
      </c>
      <c r="E65" s="135">
        <v>5.5100000000000003E-2</v>
      </c>
      <c r="F65" s="134">
        <v>98.61</v>
      </c>
      <c r="G65" s="135">
        <v>6.2700000000000006E-2</v>
      </c>
      <c r="H65" s="134">
        <v>101.38</v>
      </c>
      <c r="I65" s="135">
        <v>6.5100000000000005E-2</v>
      </c>
    </row>
    <row r="66" spans="1:9" x14ac:dyDescent="0.35">
      <c r="A66" s="133">
        <v>41361</v>
      </c>
      <c r="B66" s="134">
        <v>101.09</v>
      </c>
      <c r="C66" s="135">
        <v>5.0100000000000006E-2</v>
      </c>
      <c r="D66" s="134">
        <v>100.82</v>
      </c>
      <c r="E66" s="135">
        <v>5.5200000000000006E-2</v>
      </c>
      <c r="F66" s="134">
        <v>98.36</v>
      </c>
      <c r="G66" s="135">
        <v>6.3E-2</v>
      </c>
      <c r="H66" s="134">
        <v>101.22</v>
      </c>
      <c r="I66" s="135">
        <v>6.5200000000000008E-2</v>
      </c>
    </row>
    <row r="67" spans="1:9" x14ac:dyDescent="0.35">
      <c r="A67" s="136">
        <v>41365</v>
      </c>
      <c r="B67" s="137">
        <v>101.16</v>
      </c>
      <c r="C67" s="138">
        <v>4.99E-2</v>
      </c>
      <c r="D67" s="137">
        <v>100.79</v>
      </c>
      <c r="E67" s="138">
        <v>5.5300000000000002E-2</v>
      </c>
      <c r="F67" s="137">
        <v>98.89</v>
      </c>
      <c r="G67" s="138">
        <v>6.2400000000000004E-2</v>
      </c>
      <c r="H67" s="137">
        <v>101.88</v>
      </c>
      <c r="I67" s="138">
        <v>6.4600000000000005E-2</v>
      </c>
    </row>
    <row r="68" spans="1:9" x14ac:dyDescent="0.35">
      <c r="A68" s="136">
        <v>41366</v>
      </c>
      <c r="B68" s="137">
        <v>100.98</v>
      </c>
      <c r="C68" s="138">
        <v>5.0300000000000004E-2</v>
      </c>
      <c r="D68" s="137">
        <v>100.62</v>
      </c>
      <c r="E68" s="138">
        <v>5.5500000000000001E-2</v>
      </c>
      <c r="F68" s="137">
        <v>98.71</v>
      </c>
      <c r="G68" s="138">
        <v>6.2600000000000003E-2</v>
      </c>
      <c r="H68" s="137">
        <v>101.25</v>
      </c>
      <c r="I68" s="138">
        <v>6.5200000000000008E-2</v>
      </c>
    </row>
    <row r="69" spans="1:9" x14ac:dyDescent="0.35">
      <c r="A69" s="136">
        <v>41367</v>
      </c>
      <c r="B69" s="137">
        <v>101.07</v>
      </c>
      <c r="C69" s="138">
        <v>5.0100000000000006E-2</v>
      </c>
      <c r="D69" s="137">
        <v>100.98</v>
      </c>
      <c r="E69" s="138">
        <v>5.5E-2</v>
      </c>
      <c r="F69" s="137">
        <v>98.79</v>
      </c>
      <c r="G69" s="138">
        <v>6.25E-2</v>
      </c>
      <c r="H69" s="137">
        <v>101.17</v>
      </c>
      <c r="I69" s="138">
        <v>6.5200000000000008E-2</v>
      </c>
    </row>
    <row r="70" spans="1:9" x14ac:dyDescent="0.35">
      <c r="A70" s="136">
        <v>41368</v>
      </c>
      <c r="B70" s="137">
        <v>101.04</v>
      </c>
      <c r="C70" s="138">
        <v>5.0200000000000002E-2</v>
      </c>
      <c r="D70" s="137">
        <v>101.13</v>
      </c>
      <c r="E70" s="138">
        <v>5.4800000000000001E-2</v>
      </c>
      <c r="F70" s="137">
        <v>99.01</v>
      </c>
      <c r="G70" s="138">
        <v>6.2300000000000001E-2</v>
      </c>
      <c r="H70" s="137">
        <v>101.41</v>
      </c>
      <c r="I70" s="138">
        <v>6.5000000000000002E-2</v>
      </c>
    </row>
    <row r="71" spans="1:9" x14ac:dyDescent="0.35">
      <c r="A71" s="136">
        <v>41369</v>
      </c>
      <c r="B71" s="137">
        <v>100.94</v>
      </c>
      <c r="C71" s="138">
        <v>5.04E-2</v>
      </c>
      <c r="D71" s="137">
        <v>100.88</v>
      </c>
      <c r="E71" s="138">
        <v>5.5100000000000003E-2</v>
      </c>
      <c r="F71" s="137">
        <v>98.83</v>
      </c>
      <c r="G71" s="138">
        <v>6.25E-2</v>
      </c>
      <c r="H71" s="137">
        <v>101.05</v>
      </c>
      <c r="I71" s="138">
        <v>6.5299999999999997E-2</v>
      </c>
    </row>
    <row r="72" spans="1:9" x14ac:dyDescent="0.35">
      <c r="A72" s="133">
        <v>41372</v>
      </c>
      <c r="B72" s="134">
        <v>100.74</v>
      </c>
      <c r="C72" s="135">
        <v>5.0900000000000001E-2</v>
      </c>
      <c r="D72" s="134">
        <v>100.45</v>
      </c>
      <c r="E72" s="135">
        <v>5.57E-2</v>
      </c>
      <c r="F72" s="134">
        <v>98.11</v>
      </c>
      <c r="G72" s="135">
        <v>6.3300000000000009E-2</v>
      </c>
      <c r="H72" s="134">
        <v>100.34</v>
      </c>
      <c r="I72" s="135">
        <v>6.6000000000000003E-2</v>
      </c>
    </row>
    <row r="73" spans="1:9" x14ac:dyDescent="0.35">
      <c r="A73" s="133">
        <v>41373</v>
      </c>
      <c r="B73" s="134">
        <v>100.42</v>
      </c>
      <c r="C73" s="135">
        <v>5.16E-2</v>
      </c>
      <c r="D73" s="134">
        <v>99.47</v>
      </c>
      <c r="E73" s="135">
        <v>5.7000000000000002E-2</v>
      </c>
      <c r="F73" s="134">
        <v>97.89</v>
      </c>
      <c r="G73" s="135">
        <v>6.3500000000000001E-2</v>
      </c>
      <c r="H73" s="134">
        <v>99.42</v>
      </c>
      <c r="I73" s="135">
        <v>6.6799999999999998E-2</v>
      </c>
    </row>
    <row r="74" spans="1:9" x14ac:dyDescent="0.35">
      <c r="A74" s="133">
        <v>41374</v>
      </c>
      <c r="B74" s="134">
        <v>100.71</v>
      </c>
      <c r="C74" s="135">
        <v>5.0900000000000001E-2</v>
      </c>
      <c r="D74" s="134">
        <v>100.29</v>
      </c>
      <c r="E74" s="135">
        <v>5.5900000000000005E-2</v>
      </c>
      <c r="F74" s="134">
        <v>98.82</v>
      </c>
      <c r="G74" s="135">
        <v>6.25E-2</v>
      </c>
      <c r="H74" s="134">
        <v>100.8</v>
      </c>
      <c r="I74" s="135">
        <v>6.5600000000000006E-2</v>
      </c>
    </row>
    <row r="75" spans="1:9" x14ac:dyDescent="0.35">
      <c r="A75" s="133">
        <v>41375</v>
      </c>
      <c r="B75" s="134">
        <v>100.74</v>
      </c>
      <c r="C75" s="135">
        <v>5.0900000000000001E-2</v>
      </c>
      <c r="D75" s="134">
        <v>100.63</v>
      </c>
      <c r="E75" s="135">
        <v>5.5500000000000001E-2</v>
      </c>
      <c r="F75" s="134">
        <v>99.45</v>
      </c>
      <c r="G75" s="135">
        <v>6.1900000000000004E-2</v>
      </c>
      <c r="H75" s="134">
        <v>101.38</v>
      </c>
      <c r="I75" s="135">
        <v>6.5100000000000005E-2</v>
      </c>
    </row>
    <row r="76" spans="1:9" x14ac:dyDescent="0.35">
      <c r="A76" s="133">
        <v>41376</v>
      </c>
      <c r="B76" s="134">
        <v>101.11</v>
      </c>
      <c r="C76" s="135">
        <v>0.05</v>
      </c>
      <c r="D76" s="134">
        <v>101.17</v>
      </c>
      <c r="E76" s="135">
        <v>5.4800000000000001E-2</v>
      </c>
      <c r="F76" s="134">
        <v>100.09</v>
      </c>
      <c r="G76" s="135">
        <v>6.1200000000000004E-2</v>
      </c>
      <c r="H76" s="134">
        <v>102.21</v>
      </c>
      <c r="I76" s="135">
        <v>6.4299999999999996E-2</v>
      </c>
    </row>
    <row r="77" spans="1:9" x14ac:dyDescent="0.35">
      <c r="A77" s="136">
        <v>41379</v>
      </c>
      <c r="B77" s="137">
        <v>100.87</v>
      </c>
      <c r="C77" s="138">
        <v>5.0600000000000006E-2</v>
      </c>
      <c r="D77" s="137">
        <v>101.52</v>
      </c>
      <c r="E77" s="138">
        <v>5.4300000000000001E-2</v>
      </c>
      <c r="F77" s="137">
        <v>100</v>
      </c>
      <c r="G77" s="138">
        <v>6.13E-2</v>
      </c>
      <c r="H77" s="137">
        <v>102.39</v>
      </c>
      <c r="I77" s="138">
        <v>6.4200000000000007E-2</v>
      </c>
    </row>
    <row r="78" spans="1:9" x14ac:dyDescent="0.35">
      <c r="A78" s="136">
        <v>41380</v>
      </c>
      <c r="B78" s="137">
        <v>100.67</v>
      </c>
      <c r="C78" s="138">
        <v>5.1000000000000004E-2</v>
      </c>
      <c r="D78" s="137">
        <v>101.38</v>
      </c>
      <c r="E78" s="138">
        <v>5.45E-2</v>
      </c>
      <c r="F78" s="137">
        <v>99.59</v>
      </c>
      <c r="G78" s="138">
        <v>6.1700000000000005E-2</v>
      </c>
      <c r="H78" s="137">
        <v>102.2</v>
      </c>
      <c r="I78" s="138">
        <v>6.4299999999999996E-2</v>
      </c>
    </row>
    <row r="79" spans="1:9" x14ac:dyDescent="0.35">
      <c r="A79" s="136">
        <v>41381</v>
      </c>
      <c r="B79" s="137">
        <v>100.67</v>
      </c>
      <c r="C79" s="138">
        <v>5.1000000000000004E-2</v>
      </c>
      <c r="D79" s="137">
        <v>101.42</v>
      </c>
      <c r="E79" s="138">
        <v>5.4400000000000004E-2</v>
      </c>
      <c r="F79" s="137">
        <v>100.08</v>
      </c>
      <c r="G79" s="138">
        <v>6.1200000000000004E-2</v>
      </c>
      <c r="H79" s="137">
        <v>102.58</v>
      </c>
      <c r="I79" s="138">
        <v>6.4000000000000001E-2</v>
      </c>
    </row>
    <row r="80" spans="1:9" x14ac:dyDescent="0.35">
      <c r="A80" s="136">
        <v>41382</v>
      </c>
      <c r="B80" s="137">
        <v>100.52</v>
      </c>
      <c r="C80" s="138">
        <v>5.1400000000000001E-2</v>
      </c>
      <c r="D80" s="137">
        <v>101.44</v>
      </c>
      <c r="E80" s="138">
        <v>5.4400000000000004E-2</v>
      </c>
      <c r="F80" s="137">
        <v>99.92</v>
      </c>
      <c r="G80" s="138">
        <v>6.1400000000000003E-2</v>
      </c>
      <c r="H80" s="137">
        <v>102.27</v>
      </c>
      <c r="I80" s="138">
        <v>6.4299999999999996E-2</v>
      </c>
    </row>
    <row r="81" spans="1:9" x14ac:dyDescent="0.35">
      <c r="A81" s="136">
        <v>41383</v>
      </c>
      <c r="B81" s="137">
        <v>100.96</v>
      </c>
      <c r="C81" s="138">
        <v>5.04E-2</v>
      </c>
      <c r="D81" s="137">
        <v>101.57</v>
      </c>
      <c r="E81" s="138">
        <v>5.4300000000000001E-2</v>
      </c>
      <c r="F81" s="137">
        <v>100.05</v>
      </c>
      <c r="G81" s="138">
        <v>6.1200000000000004E-2</v>
      </c>
      <c r="H81" s="137">
        <v>102.43</v>
      </c>
      <c r="I81" s="138">
        <v>6.4100000000000004E-2</v>
      </c>
    </row>
    <row r="82" spans="1:9" x14ac:dyDescent="0.35">
      <c r="A82" s="133">
        <v>41386</v>
      </c>
      <c r="B82" s="134">
        <v>101.15</v>
      </c>
      <c r="C82" s="135">
        <v>4.99E-2</v>
      </c>
      <c r="D82" s="134">
        <v>101.58</v>
      </c>
      <c r="E82" s="135">
        <v>5.4200000000000005E-2</v>
      </c>
      <c r="F82" s="134">
        <v>100.16</v>
      </c>
      <c r="G82" s="135">
        <v>6.1100000000000002E-2</v>
      </c>
      <c r="H82" s="134">
        <v>102.38</v>
      </c>
      <c r="I82" s="135">
        <v>6.4200000000000007E-2</v>
      </c>
    </row>
    <row r="83" spans="1:9" x14ac:dyDescent="0.35">
      <c r="A83" s="133">
        <v>41387</v>
      </c>
      <c r="B83" s="134">
        <v>101.43</v>
      </c>
      <c r="C83" s="135">
        <v>4.9300000000000004E-2</v>
      </c>
      <c r="D83" s="134">
        <v>101.59</v>
      </c>
      <c r="E83" s="135">
        <v>5.4200000000000005E-2</v>
      </c>
      <c r="F83" s="134">
        <v>100.24</v>
      </c>
      <c r="G83" s="135">
        <v>6.1000000000000006E-2</v>
      </c>
      <c r="H83" s="134">
        <v>102.46</v>
      </c>
      <c r="I83" s="135">
        <v>6.4100000000000004E-2</v>
      </c>
    </row>
    <row r="84" spans="1:9" x14ac:dyDescent="0.35">
      <c r="A84" s="133">
        <v>41388</v>
      </c>
      <c r="B84" s="134">
        <v>101.55</v>
      </c>
      <c r="C84" s="135">
        <v>4.9000000000000002E-2</v>
      </c>
      <c r="D84" s="134">
        <v>101.4</v>
      </c>
      <c r="E84" s="135">
        <v>5.45E-2</v>
      </c>
      <c r="F84" s="134">
        <v>100.27</v>
      </c>
      <c r="G84" s="135">
        <v>6.1000000000000006E-2</v>
      </c>
      <c r="H84" s="134">
        <v>103.59</v>
      </c>
      <c r="I84" s="135">
        <v>6.3100000000000003E-2</v>
      </c>
    </row>
    <row r="85" spans="1:9" x14ac:dyDescent="0.35">
      <c r="A85" s="133">
        <v>41389</v>
      </c>
      <c r="B85" s="134">
        <v>101.64</v>
      </c>
      <c r="C85" s="135">
        <v>4.8800000000000003E-2</v>
      </c>
      <c r="D85" s="134">
        <v>101.51</v>
      </c>
      <c r="E85" s="135">
        <v>5.4300000000000001E-2</v>
      </c>
      <c r="F85" s="134">
        <v>100.46</v>
      </c>
      <c r="G85" s="135">
        <v>6.08E-2</v>
      </c>
      <c r="H85" s="134">
        <v>102.69</v>
      </c>
      <c r="I85" s="135">
        <v>6.3899999999999998E-2</v>
      </c>
    </row>
    <row r="86" spans="1:9" x14ac:dyDescent="0.35">
      <c r="A86" s="133">
        <v>41390</v>
      </c>
      <c r="B86" s="134">
        <v>101.61</v>
      </c>
      <c r="C86" s="135">
        <v>4.8900000000000006E-2</v>
      </c>
      <c r="D86" s="134">
        <v>101.47</v>
      </c>
      <c r="E86" s="135">
        <v>5.4400000000000004E-2</v>
      </c>
      <c r="F86" s="134">
        <v>100.32</v>
      </c>
      <c r="G86" s="135">
        <v>6.1000000000000006E-2</v>
      </c>
      <c r="H86" s="134">
        <v>102.54</v>
      </c>
      <c r="I86" s="135">
        <v>6.4000000000000001E-2</v>
      </c>
    </row>
    <row r="87" spans="1:9" x14ac:dyDescent="0.35">
      <c r="A87" s="136">
        <v>41393</v>
      </c>
      <c r="B87" s="137">
        <v>101.79</v>
      </c>
      <c r="C87" s="138">
        <v>4.8500000000000001E-2</v>
      </c>
      <c r="D87" s="137">
        <v>101.36</v>
      </c>
      <c r="E87" s="138">
        <v>5.45E-2</v>
      </c>
      <c r="F87" s="137">
        <v>100.29</v>
      </c>
      <c r="G87" s="138">
        <v>6.1000000000000006E-2</v>
      </c>
      <c r="H87" s="137">
        <v>102.51</v>
      </c>
      <c r="I87" s="138">
        <v>6.4100000000000004E-2</v>
      </c>
    </row>
    <row r="88" spans="1:9" x14ac:dyDescent="0.35">
      <c r="A88" s="136">
        <v>41394</v>
      </c>
      <c r="B88" s="137">
        <v>101.8</v>
      </c>
      <c r="C88" s="138">
        <v>4.8500000000000001E-2</v>
      </c>
      <c r="D88" s="137">
        <v>101.29</v>
      </c>
      <c r="E88" s="138">
        <v>5.4600000000000003E-2</v>
      </c>
      <c r="F88" s="137">
        <v>100.25</v>
      </c>
      <c r="G88" s="138">
        <v>6.1000000000000006E-2</v>
      </c>
      <c r="H88" s="137">
        <v>102.5</v>
      </c>
      <c r="I88" s="138">
        <v>6.4100000000000004E-2</v>
      </c>
    </row>
    <row r="89" spans="1:9" x14ac:dyDescent="0.35">
      <c r="A89" s="136">
        <v>41395</v>
      </c>
      <c r="B89" s="137">
        <v>101.77</v>
      </c>
      <c r="C89" s="138">
        <v>4.8500000000000001E-2</v>
      </c>
      <c r="D89" s="137">
        <v>101.02</v>
      </c>
      <c r="E89" s="138">
        <v>5.5E-2</v>
      </c>
      <c r="F89" s="137">
        <v>100.05</v>
      </c>
      <c r="G89" s="138">
        <v>6.1200000000000004E-2</v>
      </c>
      <c r="H89" s="137">
        <v>102.3</v>
      </c>
      <c r="I89" s="138">
        <v>6.4200000000000007E-2</v>
      </c>
    </row>
    <row r="90" spans="1:9" x14ac:dyDescent="0.35">
      <c r="A90" s="136">
        <v>41396</v>
      </c>
      <c r="B90" s="137">
        <v>101.92</v>
      </c>
      <c r="C90" s="138">
        <v>4.82E-2</v>
      </c>
      <c r="D90" s="137">
        <v>101.02</v>
      </c>
      <c r="E90" s="138">
        <v>5.5E-2</v>
      </c>
      <c r="F90" s="137">
        <v>100.02</v>
      </c>
      <c r="G90" s="138">
        <v>6.13E-2</v>
      </c>
      <c r="H90" s="137">
        <v>102.29</v>
      </c>
      <c r="I90" s="138">
        <v>6.4200000000000007E-2</v>
      </c>
    </row>
    <row r="91" spans="1:9" x14ac:dyDescent="0.35">
      <c r="A91" s="136">
        <v>41397</v>
      </c>
      <c r="B91" s="137">
        <v>101.64</v>
      </c>
      <c r="C91" s="138">
        <v>4.8800000000000003E-2</v>
      </c>
      <c r="D91" s="137">
        <v>100.5</v>
      </c>
      <c r="E91" s="138">
        <v>5.5600000000000004E-2</v>
      </c>
      <c r="F91" s="137">
        <v>99.37</v>
      </c>
      <c r="G91" s="138">
        <v>6.1900000000000004E-2</v>
      </c>
      <c r="H91" s="137">
        <v>101.17</v>
      </c>
      <c r="I91" s="138">
        <v>6.5200000000000008E-2</v>
      </c>
    </row>
    <row r="92" spans="1:9" x14ac:dyDescent="0.35">
      <c r="A92" s="133">
        <v>41400</v>
      </c>
      <c r="B92" s="134">
        <v>101.38</v>
      </c>
      <c r="C92" s="135">
        <v>4.9399999999999999E-2</v>
      </c>
      <c r="D92" s="134">
        <v>100.4</v>
      </c>
      <c r="E92" s="135">
        <v>5.5800000000000002E-2</v>
      </c>
      <c r="F92" s="134">
        <v>99.22</v>
      </c>
      <c r="G92" s="135">
        <v>6.2100000000000002E-2</v>
      </c>
      <c r="H92" s="134">
        <v>101.24</v>
      </c>
      <c r="I92" s="135">
        <v>6.5200000000000008E-2</v>
      </c>
    </row>
    <row r="93" spans="1:9" x14ac:dyDescent="0.35">
      <c r="A93" s="133">
        <v>41401</v>
      </c>
      <c r="B93" s="134">
        <v>101.31</v>
      </c>
      <c r="C93" s="135">
        <v>4.9600000000000005E-2</v>
      </c>
      <c r="D93" s="134">
        <v>100.55</v>
      </c>
      <c r="E93" s="135">
        <v>5.5600000000000004E-2</v>
      </c>
      <c r="F93" s="134">
        <v>98.89</v>
      </c>
      <c r="G93" s="135">
        <v>6.2400000000000004E-2</v>
      </c>
      <c r="H93" s="134">
        <v>101.29</v>
      </c>
      <c r="I93" s="135">
        <v>6.5100000000000005E-2</v>
      </c>
    </row>
    <row r="94" spans="1:9" x14ac:dyDescent="0.35">
      <c r="A94" s="133">
        <v>41402</v>
      </c>
      <c r="B94" s="134">
        <v>101.66</v>
      </c>
      <c r="C94" s="135">
        <v>4.8800000000000003E-2</v>
      </c>
      <c r="D94" s="134">
        <v>101.21</v>
      </c>
      <c r="E94" s="135">
        <v>5.4700000000000006E-2</v>
      </c>
      <c r="F94" s="134">
        <v>99.93</v>
      </c>
      <c r="G94" s="135">
        <v>6.1400000000000003E-2</v>
      </c>
      <c r="H94" s="134">
        <v>101.99</v>
      </c>
      <c r="I94" s="135">
        <v>6.4500000000000002E-2</v>
      </c>
    </row>
    <row r="95" spans="1:9" x14ac:dyDescent="0.35">
      <c r="A95" s="133">
        <v>41404</v>
      </c>
      <c r="B95" s="134">
        <v>101.66</v>
      </c>
      <c r="C95" s="135">
        <v>4.8800000000000003E-2</v>
      </c>
      <c r="D95" s="134">
        <v>101.31</v>
      </c>
      <c r="E95" s="135">
        <v>5.4600000000000003E-2</v>
      </c>
      <c r="F95" s="134">
        <v>100.31</v>
      </c>
      <c r="G95" s="135">
        <v>6.1000000000000006E-2</v>
      </c>
      <c r="H95" s="134">
        <v>102.42</v>
      </c>
      <c r="I95" s="135">
        <v>6.4100000000000004E-2</v>
      </c>
    </row>
    <row r="96" spans="1:9" x14ac:dyDescent="0.35">
      <c r="A96" s="136">
        <v>41407</v>
      </c>
      <c r="B96" s="137">
        <v>101.71</v>
      </c>
      <c r="C96" s="138">
        <v>4.87E-2</v>
      </c>
      <c r="D96" s="137">
        <v>101.54</v>
      </c>
      <c r="E96" s="138">
        <v>5.4300000000000001E-2</v>
      </c>
      <c r="F96" s="137">
        <v>100.59</v>
      </c>
      <c r="G96" s="138">
        <v>6.0700000000000004E-2</v>
      </c>
      <c r="H96" s="137">
        <v>102.62</v>
      </c>
      <c r="I96" s="138">
        <v>6.4000000000000001E-2</v>
      </c>
    </row>
    <row r="97" spans="1:9" x14ac:dyDescent="0.35">
      <c r="A97" s="136">
        <v>41408</v>
      </c>
      <c r="B97" s="137">
        <v>101.69</v>
      </c>
      <c r="C97" s="138">
        <v>4.87E-2</v>
      </c>
      <c r="D97" s="137">
        <v>101.49</v>
      </c>
      <c r="E97" s="138">
        <v>5.4300000000000001E-2</v>
      </c>
      <c r="F97" s="137">
        <v>100.49</v>
      </c>
      <c r="G97" s="138">
        <v>6.08E-2</v>
      </c>
      <c r="H97" s="137">
        <v>102.63</v>
      </c>
      <c r="I97" s="138">
        <v>6.4000000000000001E-2</v>
      </c>
    </row>
    <row r="98" spans="1:9" x14ac:dyDescent="0.35">
      <c r="A98" s="136">
        <v>41409</v>
      </c>
      <c r="B98" s="137">
        <v>101.68</v>
      </c>
      <c r="C98" s="138">
        <v>4.87E-2</v>
      </c>
      <c r="D98" s="137">
        <v>101.49</v>
      </c>
      <c r="E98" s="138">
        <v>5.4300000000000001E-2</v>
      </c>
      <c r="F98" s="137">
        <v>100.27</v>
      </c>
      <c r="G98" s="138">
        <v>6.1000000000000006E-2</v>
      </c>
      <c r="H98" s="137">
        <v>102.6</v>
      </c>
      <c r="I98" s="138">
        <v>6.4000000000000001E-2</v>
      </c>
    </row>
    <row r="99" spans="1:9" x14ac:dyDescent="0.35">
      <c r="A99" s="136">
        <v>41410</v>
      </c>
      <c r="B99" s="137">
        <v>101.59</v>
      </c>
      <c r="C99" s="138">
        <v>4.8900000000000006E-2</v>
      </c>
      <c r="D99" s="137">
        <v>100.99</v>
      </c>
      <c r="E99" s="138">
        <v>5.5E-2</v>
      </c>
      <c r="F99" s="137">
        <v>99.76</v>
      </c>
      <c r="G99" s="138">
        <v>6.1500000000000006E-2</v>
      </c>
      <c r="H99" s="137">
        <v>101.84</v>
      </c>
      <c r="I99" s="138">
        <v>6.4600000000000005E-2</v>
      </c>
    </row>
    <row r="100" spans="1:9" x14ac:dyDescent="0.35">
      <c r="A100" s="136">
        <v>41411</v>
      </c>
      <c r="B100" s="137">
        <v>101.61</v>
      </c>
      <c r="C100" s="138">
        <v>4.8900000000000006E-2</v>
      </c>
      <c r="D100" s="137">
        <v>100.55</v>
      </c>
      <c r="E100" s="138">
        <v>5.5600000000000004E-2</v>
      </c>
      <c r="F100" s="137">
        <v>99.39</v>
      </c>
      <c r="G100" s="138">
        <v>6.1900000000000004E-2</v>
      </c>
      <c r="H100" s="137">
        <v>101.45</v>
      </c>
      <c r="I100" s="138">
        <v>6.5000000000000002E-2</v>
      </c>
    </row>
    <row r="101" spans="1:9" x14ac:dyDescent="0.35">
      <c r="A101" s="133">
        <v>41414</v>
      </c>
      <c r="B101" s="134">
        <v>101.6</v>
      </c>
      <c r="C101" s="135">
        <v>4.8900000000000006E-2</v>
      </c>
      <c r="D101" s="134">
        <v>100.28</v>
      </c>
      <c r="E101" s="135">
        <v>5.5900000000000005E-2</v>
      </c>
      <c r="F101" s="134">
        <v>99.17</v>
      </c>
      <c r="G101" s="135">
        <v>6.2200000000000005E-2</v>
      </c>
      <c r="H101" s="134">
        <v>101.27</v>
      </c>
      <c r="I101" s="135">
        <v>6.5200000000000008E-2</v>
      </c>
    </row>
    <row r="102" spans="1:9" x14ac:dyDescent="0.35">
      <c r="A102" s="133">
        <v>41415</v>
      </c>
      <c r="B102" s="134">
        <v>101.55</v>
      </c>
      <c r="C102" s="135">
        <v>4.9000000000000002E-2</v>
      </c>
      <c r="D102" s="134">
        <v>100.23</v>
      </c>
      <c r="E102" s="135">
        <v>5.6000000000000001E-2</v>
      </c>
      <c r="F102" s="134">
        <v>99.09</v>
      </c>
      <c r="G102" s="135">
        <v>6.2200000000000005E-2</v>
      </c>
      <c r="H102" s="134">
        <v>101.01</v>
      </c>
      <c r="I102" s="135">
        <v>6.54E-2</v>
      </c>
    </row>
    <row r="103" spans="1:9" x14ac:dyDescent="0.35">
      <c r="A103" s="133">
        <v>41416</v>
      </c>
      <c r="B103" s="134">
        <v>101.5</v>
      </c>
      <c r="C103" s="135">
        <v>4.9100000000000005E-2</v>
      </c>
      <c r="D103" s="134">
        <v>99.8</v>
      </c>
      <c r="E103" s="135">
        <v>5.6600000000000004E-2</v>
      </c>
      <c r="F103" s="134">
        <v>98.45</v>
      </c>
      <c r="G103" s="135">
        <v>6.2899999999999998E-2</v>
      </c>
      <c r="H103" s="134">
        <v>100.52</v>
      </c>
      <c r="I103" s="135">
        <v>6.5799999999999997E-2</v>
      </c>
    </row>
    <row r="104" spans="1:9" x14ac:dyDescent="0.35">
      <c r="A104" s="133">
        <v>41417</v>
      </c>
      <c r="B104" s="134">
        <v>101.24</v>
      </c>
      <c r="C104" s="135">
        <v>4.9700000000000001E-2</v>
      </c>
      <c r="D104" s="134">
        <v>99.44</v>
      </c>
      <c r="E104" s="135">
        <v>5.7000000000000002E-2</v>
      </c>
      <c r="F104" s="134">
        <v>98.04</v>
      </c>
      <c r="G104" s="135">
        <v>6.3300000000000009E-2</v>
      </c>
      <c r="H104" s="134">
        <v>99.79</v>
      </c>
      <c r="I104" s="135">
        <v>6.6500000000000004E-2</v>
      </c>
    </row>
    <row r="105" spans="1:9" x14ac:dyDescent="0.35">
      <c r="A105" s="133">
        <v>41418</v>
      </c>
      <c r="B105" s="134">
        <v>101.06</v>
      </c>
      <c r="C105" s="135">
        <v>5.0100000000000006E-2</v>
      </c>
      <c r="D105" s="134">
        <v>99.08</v>
      </c>
      <c r="E105" s="135">
        <v>5.7500000000000002E-2</v>
      </c>
      <c r="F105" s="134">
        <v>97.14</v>
      </c>
      <c r="G105" s="135">
        <v>6.4299999999999996E-2</v>
      </c>
      <c r="H105" s="134">
        <v>99.15</v>
      </c>
      <c r="I105" s="135">
        <v>6.7100000000000007E-2</v>
      </c>
    </row>
    <row r="106" spans="1:9" x14ac:dyDescent="0.35">
      <c r="A106" s="136">
        <v>41421</v>
      </c>
      <c r="B106" s="137">
        <v>100.88</v>
      </c>
      <c r="C106" s="138">
        <v>5.0500000000000003E-2</v>
      </c>
      <c r="D106" s="137">
        <v>99.09</v>
      </c>
      <c r="E106" s="138">
        <v>5.7500000000000002E-2</v>
      </c>
      <c r="F106" s="137">
        <v>97.15</v>
      </c>
      <c r="G106" s="138">
        <v>6.4299999999999996E-2</v>
      </c>
      <c r="H106" s="137">
        <v>98.97</v>
      </c>
      <c r="I106" s="138">
        <v>6.720000000000001E-2</v>
      </c>
    </row>
    <row r="107" spans="1:9" x14ac:dyDescent="0.35">
      <c r="A107" s="136">
        <v>41422</v>
      </c>
      <c r="B107" s="137">
        <v>100.11</v>
      </c>
      <c r="C107" s="138">
        <v>5.2300000000000006E-2</v>
      </c>
      <c r="D107" s="137">
        <v>98.15</v>
      </c>
      <c r="E107" s="138">
        <v>5.8800000000000005E-2</v>
      </c>
      <c r="F107" s="137">
        <v>95.75</v>
      </c>
      <c r="G107" s="138">
        <v>6.5799999999999997E-2</v>
      </c>
      <c r="H107" s="137">
        <v>97.35</v>
      </c>
      <c r="I107" s="138">
        <v>6.88E-2</v>
      </c>
    </row>
    <row r="108" spans="1:9" x14ac:dyDescent="0.35">
      <c r="A108" s="136">
        <v>41423</v>
      </c>
      <c r="B108" s="137">
        <v>99.97</v>
      </c>
      <c r="C108" s="138">
        <v>5.2600000000000001E-2</v>
      </c>
      <c r="D108" s="137">
        <v>97.7</v>
      </c>
      <c r="E108" s="138">
        <v>5.9400000000000001E-2</v>
      </c>
      <c r="F108" s="137">
        <v>95.66</v>
      </c>
      <c r="G108" s="138">
        <v>6.59E-2</v>
      </c>
      <c r="H108" s="137">
        <v>97.07</v>
      </c>
      <c r="I108" s="138">
        <v>6.9000000000000006E-2</v>
      </c>
    </row>
    <row r="109" spans="1:9" x14ac:dyDescent="0.35">
      <c r="A109" s="136">
        <v>41424</v>
      </c>
      <c r="B109" s="137">
        <v>100.14</v>
      </c>
      <c r="C109" s="138">
        <v>5.2200000000000003E-2</v>
      </c>
      <c r="D109" s="137">
        <v>97.61</v>
      </c>
      <c r="E109" s="138">
        <v>5.9500000000000004E-2</v>
      </c>
      <c r="F109" s="137">
        <v>95.47</v>
      </c>
      <c r="G109" s="138">
        <v>6.6100000000000006E-2</v>
      </c>
      <c r="H109" s="137">
        <v>97.19</v>
      </c>
      <c r="I109" s="138">
        <v>6.8900000000000003E-2</v>
      </c>
    </row>
    <row r="110" spans="1:9" x14ac:dyDescent="0.35">
      <c r="A110" s="136">
        <v>41425</v>
      </c>
      <c r="B110" s="137">
        <v>100.08</v>
      </c>
      <c r="C110" s="138">
        <v>5.2400000000000002E-2</v>
      </c>
      <c r="D110" s="137">
        <v>97.44</v>
      </c>
      <c r="E110" s="138">
        <v>5.9700000000000003E-2</v>
      </c>
      <c r="F110" s="137">
        <v>95.67</v>
      </c>
      <c r="G110" s="138">
        <v>6.59E-2</v>
      </c>
      <c r="H110" s="137">
        <v>97.59</v>
      </c>
      <c r="I110" s="138">
        <v>6.8500000000000005E-2</v>
      </c>
    </row>
    <row r="111" spans="1:9" x14ac:dyDescent="0.35">
      <c r="A111" s="133">
        <v>41428</v>
      </c>
      <c r="B111" s="134">
        <v>100.25</v>
      </c>
      <c r="C111" s="135">
        <v>5.2000000000000005E-2</v>
      </c>
      <c r="D111" s="134">
        <v>97.46</v>
      </c>
      <c r="E111" s="135">
        <v>5.9700000000000003E-2</v>
      </c>
      <c r="F111" s="134">
        <v>95.46</v>
      </c>
      <c r="G111" s="135">
        <v>6.6100000000000006E-2</v>
      </c>
      <c r="H111" s="134">
        <v>97.24</v>
      </c>
      <c r="I111" s="135">
        <v>6.8900000000000003E-2</v>
      </c>
    </row>
    <row r="112" spans="1:9" x14ac:dyDescent="0.35">
      <c r="A112" s="133">
        <v>41429</v>
      </c>
      <c r="B112" s="134">
        <v>100.13</v>
      </c>
      <c r="C112" s="135">
        <v>5.2200000000000003E-2</v>
      </c>
      <c r="D112" s="134">
        <v>97.36</v>
      </c>
      <c r="E112" s="135">
        <v>5.9900000000000002E-2</v>
      </c>
      <c r="F112" s="134">
        <v>95.42</v>
      </c>
      <c r="G112" s="135">
        <v>6.6200000000000009E-2</v>
      </c>
      <c r="H112" s="134">
        <v>97.4</v>
      </c>
      <c r="I112" s="135">
        <v>6.8699999999999997E-2</v>
      </c>
    </row>
    <row r="113" spans="1:9" x14ac:dyDescent="0.35">
      <c r="A113" s="133">
        <v>41430</v>
      </c>
      <c r="B113" s="134">
        <v>100.04</v>
      </c>
      <c r="C113" s="135">
        <v>5.2400000000000002E-2</v>
      </c>
      <c r="D113" s="134">
        <v>97.11</v>
      </c>
      <c r="E113" s="135">
        <v>6.0200000000000004E-2</v>
      </c>
      <c r="F113" s="134">
        <v>95.07</v>
      </c>
      <c r="G113" s="135">
        <v>6.6600000000000006E-2</v>
      </c>
      <c r="H113" s="134">
        <v>96.7</v>
      </c>
      <c r="I113" s="135">
        <v>6.9400000000000003E-2</v>
      </c>
    </row>
    <row r="114" spans="1:9" x14ac:dyDescent="0.35">
      <c r="A114" s="133">
        <v>41432</v>
      </c>
      <c r="B114" s="134">
        <v>99.78</v>
      </c>
      <c r="C114" s="135">
        <v>5.3100000000000001E-2</v>
      </c>
      <c r="D114" s="134">
        <v>96.35</v>
      </c>
      <c r="E114" s="135">
        <v>6.13E-2</v>
      </c>
      <c r="F114" s="134">
        <v>94.15</v>
      </c>
      <c r="G114" s="135">
        <v>6.7600000000000007E-2</v>
      </c>
      <c r="H114" s="134">
        <v>96.18</v>
      </c>
      <c r="I114" s="135">
        <v>6.9900000000000004E-2</v>
      </c>
    </row>
    <row r="115" spans="1:9" x14ac:dyDescent="0.35">
      <c r="A115" s="136">
        <v>41435</v>
      </c>
      <c r="B115" s="137">
        <v>99.4</v>
      </c>
      <c r="C115" s="138">
        <v>5.3900000000000003E-2</v>
      </c>
      <c r="D115" s="137">
        <v>95.42</v>
      </c>
      <c r="E115" s="138">
        <v>6.2600000000000003E-2</v>
      </c>
      <c r="F115" s="137">
        <v>93.23</v>
      </c>
      <c r="G115" s="138">
        <v>6.8600000000000008E-2</v>
      </c>
      <c r="H115" s="137">
        <v>94.56</v>
      </c>
      <c r="I115" s="138">
        <v>7.1400000000000005E-2</v>
      </c>
    </row>
    <row r="116" spans="1:9" x14ac:dyDescent="0.35">
      <c r="A116" s="136">
        <v>41436</v>
      </c>
      <c r="B116" s="137">
        <v>99.3</v>
      </c>
      <c r="C116" s="138">
        <v>5.4200000000000005E-2</v>
      </c>
      <c r="D116" s="137">
        <v>94.29</v>
      </c>
      <c r="E116" s="138">
        <v>6.4200000000000007E-2</v>
      </c>
      <c r="F116" s="137">
        <v>92.03</v>
      </c>
      <c r="G116" s="138">
        <v>7.0000000000000007E-2</v>
      </c>
      <c r="H116" s="137">
        <v>93.49</v>
      </c>
      <c r="I116" s="138">
        <v>7.2500000000000009E-2</v>
      </c>
    </row>
    <row r="117" spans="1:9" x14ac:dyDescent="0.35">
      <c r="A117" s="136">
        <v>41437</v>
      </c>
      <c r="B117" s="137">
        <v>98.62</v>
      </c>
      <c r="C117" s="138">
        <v>5.5800000000000002E-2</v>
      </c>
      <c r="D117" s="137">
        <v>93.27</v>
      </c>
      <c r="E117" s="138">
        <v>6.5600000000000006E-2</v>
      </c>
      <c r="F117" s="137">
        <v>90.34</v>
      </c>
      <c r="G117" s="138">
        <v>7.2000000000000008E-2</v>
      </c>
      <c r="H117" s="137">
        <v>92.72</v>
      </c>
      <c r="I117" s="138">
        <v>7.3300000000000004E-2</v>
      </c>
    </row>
    <row r="118" spans="1:9" x14ac:dyDescent="0.35">
      <c r="A118" s="136">
        <v>41438</v>
      </c>
      <c r="B118" s="137">
        <v>97.85</v>
      </c>
      <c r="C118" s="138">
        <v>5.7600000000000005E-2</v>
      </c>
      <c r="D118" s="137">
        <v>93.97</v>
      </c>
      <c r="E118" s="138">
        <v>6.4600000000000005E-2</v>
      </c>
      <c r="F118" s="137">
        <v>92</v>
      </c>
      <c r="G118" s="138">
        <v>7.0000000000000007E-2</v>
      </c>
      <c r="H118" s="137">
        <v>92.83</v>
      </c>
      <c r="I118" s="138">
        <v>7.3200000000000001E-2</v>
      </c>
    </row>
    <row r="119" spans="1:9" x14ac:dyDescent="0.35">
      <c r="A119" s="136">
        <v>41439</v>
      </c>
      <c r="B119" s="137">
        <v>98.02</v>
      </c>
      <c r="C119" s="138">
        <v>5.7200000000000001E-2</v>
      </c>
      <c r="D119" s="137">
        <v>94.5</v>
      </c>
      <c r="E119" s="138">
        <v>6.3899999999999998E-2</v>
      </c>
      <c r="F119" s="137">
        <v>92.33</v>
      </c>
      <c r="G119" s="138">
        <v>6.9600000000000009E-2</v>
      </c>
      <c r="H119" s="137">
        <v>94.1</v>
      </c>
      <c r="I119" s="138">
        <v>7.1900000000000006E-2</v>
      </c>
    </row>
    <row r="120" spans="1:9" x14ac:dyDescent="0.35">
      <c r="A120" s="133">
        <v>41442</v>
      </c>
      <c r="B120" s="134">
        <v>98.19</v>
      </c>
      <c r="C120" s="135">
        <v>5.6800000000000003E-2</v>
      </c>
      <c r="D120" s="134">
        <v>95.03</v>
      </c>
      <c r="E120" s="135">
        <v>6.3100000000000003E-2</v>
      </c>
      <c r="F120" s="134">
        <v>93.27</v>
      </c>
      <c r="G120" s="135">
        <v>6.8600000000000008E-2</v>
      </c>
      <c r="H120" s="134">
        <v>94.64</v>
      </c>
      <c r="I120" s="135">
        <v>7.1400000000000005E-2</v>
      </c>
    </row>
    <row r="121" spans="1:9" x14ac:dyDescent="0.35">
      <c r="A121" s="133">
        <v>41443</v>
      </c>
      <c r="B121" s="134">
        <v>97.72</v>
      </c>
      <c r="C121" s="135">
        <v>5.79E-2</v>
      </c>
      <c r="D121" s="134">
        <v>94.08</v>
      </c>
      <c r="E121" s="135">
        <v>6.4500000000000002E-2</v>
      </c>
      <c r="F121" s="134">
        <v>93.1</v>
      </c>
      <c r="G121" s="135">
        <v>6.88E-2</v>
      </c>
      <c r="H121" s="134">
        <v>93.87</v>
      </c>
      <c r="I121" s="135">
        <v>7.2099999999999997E-2</v>
      </c>
    </row>
    <row r="122" spans="1:9" x14ac:dyDescent="0.35">
      <c r="A122" s="133">
        <v>41444</v>
      </c>
      <c r="B122" s="134">
        <v>97.06</v>
      </c>
      <c r="C122" s="135">
        <v>5.9500000000000004E-2</v>
      </c>
      <c r="D122" s="134">
        <v>93.3</v>
      </c>
      <c r="E122" s="135">
        <v>6.5600000000000006E-2</v>
      </c>
      <c r="F122" s="134">
        <v>91.03</v>
      </c>
      <c r="G122" s="135">
        <v>7.1099999999999997E-2</v>
      </c>
      <c r="H122" s="134">
        <v>92.71</v>
      </c>
      <c r="I122" s="135">
        <v>7.3300000000000004E-2</v>
      </c>
    </row>
    <row r="123" spans="1:9" x14ac:dyDescent="0.35">
      <c r="A123" s="133">
        <v>41445</v>
      </c>
      <c r="B123" s="134">
        <v>96.25</v>
      </c>
      <c r="C123" s="135">
        <v>6.1500000000000006E-2</v>
      </c>
      <c r="D123" s="134">
        <v>91.98</v>
      </c>
      <c r="E123" s="135">
        <v>6.7500000000000004E-2</v>
      </c>
      <c r="F123" s="134">
        <v>88.95</v>
      </c>
      <c r="G123" s="135">
        <v>7.3599999999999999E-2</v>
      </c>
      <c r="H123" s="134">
        <v>91.07</v>
      </c>
      <c r="I123" s="135">
        <v>7.4999999999999997E-2</v>
      </c>
    </row>
    <row r="124" spans="1:9" x14ac:dyDescent="0.35">
      <c r="A124" s="133">
        <v>41446</v>
      </c>
      <c r="B124" s="134">
        <v>96.35</v>
      </c>
      <c r="C124" s="135">
        <v>6.13E-2</v>
      </c>
      <c r="D124" s="134">
        <v>91.3</v>
      </c>
      <c r="E124" s="135">
        <v>6.8500000000000005E-2</v>
      </c>
      <c r="F124" s="134">
        <v>89.41</v>
      </c>
      <c r="G124" s="135">
        <v>7.3099999999999998E-2</v>
      </c>
      <c r="H124" s="134">
        <v>91.18</v>
      </c>
      <c r="I124" s="135">
        <v>7.4900000000000008E-2</v>
      </c>
    </row>
    <row r="125" spans="1:9" x14ac:dyDescent="0.35">
      <c r="A125" s="136">
        <v>41449</v>
      </c>
      <c r="B125" s="137">
        <v>96.03</v>
      </c>
      <c r="C125" s="138">
        <v>6.2100000000000002E-2</v>
      </c>
      <c r="D125" s="137">
        <v>90.44</v>
      </c>
      <c r="E125" s="138">
        <v>6.9800000000000001E-2</v>
      </c>
      <c r="F125" s="137">
        <v>88.35</v>
      </c>
      <c r="G125" s="138">
        <v>7.4400000000000008E-2</v>
      </c>
      <c r="H125" s="137">
        <v>89.73</v>
      </c>
      <c r="I125" s="138">
        <v>7.640000000000001E-2</v>
      </c>
    </row>
    <row r="126" spans="1:9" x14ac:dyDescent="0.35">
      <c r="A126" s="136">
        <v>41450</v>
      </c>
      <c r="B126" s="137">
        <v>95.72</v>
      </c>
      <c r="C126" s="138">
        <v>6.2800000000000009E-2</v>
      </c>
      <c r="D126" s="137">
        <v>89.88</v>
      </c>
      <c r="E126" s="138">
        <v>7.0699999999999999E-2</v>
      </c>
      <c r="F126" s="137">
        <v>88</v>
      </c>
      <c r="G126" s="138">
        <v>7.4800000000000005E-2</v>
      </c>
      <c r="H126" s="137">
        <v>88.92</v>
      </c>
      <c r="I126" s="138">
        <v>7.7300000000000008E-2</v>
      </c>
    </row>
    <row r="127" spans="1:9" x14ac:dyDescent="0.35">
      <c r="A127" s="136">
        <v>41451</v>
      </c>
      <c r="B127" s="137">
        <v>95.84</v>
      </c>
      <c r="C127" s="138">
        <v>6.2600000000000003E-2</v>
      </c>
      <c r="D127" s="137">
        <v>90.37</v>
      </c>
      <c r="E127" s="138">
        <v>6.9900000000000004E-2</v>
      </c>
      <c r="F127" s="137">
        <v>87.94</v>
      </c>
      <c r="G127" s="138">
        <v>7.4900000000000008E-2</v>
      </c>
      <c r="H127" s="137">
        <v>88.65</v>
      </c>
      <c r="I127" s="138">
        <v>7.7600000000000002E-2</v>
      </c>
    </row>
    <row r="128" spans="1:9" x14ac:dyDescent="0.35">
      <c r="A128" s="136">
        <v>41452</v>
      </c>
      <c r="B128" s="137">
        <v>95.28</v>
      </c>
      <c r="C128" s="138">
        <v>6.3899999999999998E-2</v>
      </c>
      <c r="D128" s="137">
        <v>89.16</v>
      </c>
      <c r="E128" s="138">
        <v>7.1800000000000003E-2</v>
      </c>
      <c r="F128" s="137">
        <v>86.91</v>
      </c>
      <c r="G128" s="138">
        <v>7.6100000000000001E-2</v>
      </c>
      <c r="H128" s="137">
        <v>87.83</v>
      </c>
      <c r="I128" s="138">
        <v>7.85E-2</v>
      </c>
    </row>
    <row r="129" spans="1:9" x14ac:dyDescent="0.35">
      <c r="A129" s="136">
        <v>41453</v>
      </c>
      <c r="B129" s="137">
        <v>95.37</v>
      </c>
      <c r="C129" s="138">
        <v>6.3700000000000007E-2</v>
      </c>
      <c r="D129" s="137">
        <v>89.68</v>
      </c>
      <c r="E129" s="138">
        <v>7.1000000000000008E-2</v>
      </c>
      <c r="F129" s="137">
        <v>87.64</v>
      </c>
      <c r="G129" s="138">
        <v>7.5200000000000003E-2</v>
      </c>
      <c r="H129" s="137">
        <v>88.34</v>
      </c>
      <c r="I129" s="138">
        <v>7.7899999999999997E-2</v>
      </c>
    </row>
    <row r="130" spans="1:9" x14ac:dyDescent="0.35">
      <c r="A130" s="133">
        <v>41456</v>
      </c>
      <c r="B130" s="134">
        <v>95.33</v>
      </c>
      <c r="C130" s="135">
        <v>6.3800000000000009E-2</v>
      </c>
      <c r="D130" s="134">
        <v>89.65</v>
      </c>
      <c r="E130" s="135">
        <v>7.1099999999999997E-2</v>
      </c>
      <c r="F130" s="134">
        <v>87.25</v>
      </c>
      <c r="G130" s="135">
        <v>7.5700000000000003E-2</v>
      </c>
      <c r="H130" s="134">
        <v>88.57</v>
      </c>
      <c r="I130" s="135">
        <v>7.7700000000000005E-2</v>
      </c>
    </row>
    <row r="131" spans="1:9" x14ac:dyDescent="0.35">
      <c r="A131" s="133">
        <v>41457</v>
      </c>
      <c r="B131" s="134">
        <v>95.71</v>
      </c>
      <c r="C131" s="135">
        <v>6.2899999999999998E-2</v>
      </c>
      <c r="D131" s="134">
        <v>89.13</v>
      </c>
      <c r="E131" s="135">
        <v>7.1900000000000006E-2</v>
      </c>
      <c r="F131" s="134">
        <v>87.16</v>
      </c>
      <c r="G131" s="135">
        <v>7.5800000000000006E-2</v>
      </c>
      <c r="H131" s="134">
        <v>88.53</v>
      </c>
      <c r="I131" s="135">
        <v>7.7700000000000005E-2</v>
      </c>
    </row>
    <row r="132" spans="1:9" x14ac:dyDescent="0.35">
      <c r="A132" s="133">
        <v>41458</v>
      </c>
      <c r="B132" s="134">
        <v>95.35</v>
      </c>
      <c r="C132" s="135">
        <v>6.3800000000000009E-2</v>
      </c>
      <c r="D132" s="134">
        <v>88.94</v>
      </c>
      <c r="E132" s="135">
        <v>7.2099999999999997E-2</v>
      </c>
      <c r="F132" s="134">
        <v>86.75</v>
      </c>
      <c r="G132" s="135">
        <v>7.6300000000000007E-2</v>
      </c>
      <c r="H132" s="134">
        <v>87.58</v>
      </c>
      <c r="I132" s="135">
        <v>7.8700000000000006E-2</v>
      </c>
    </row>
    <row r="133" spans="1:9" x14ac:dyDescent="0.35">
      <c r="A133" s="133">
        <v>41459</v>
      </c>
      <c r="B133" s="134">
        <v>94.53</v>
      </c>
      <c r="C133" s="135">
        <v>6.59E-2</v>
      </c>
      <c r="D133" s="134">
        <v>88.46</v>
      </c>
      <c r="E133" s="135">
        <v>7.2900000000000006E-2</v>
      </c>
      <c r="F133" s="134">
        <v>86.38</v>
      </c>
      <c r="G133" s="135">
        <v>7.6800000000000007E-2</v>
      </c>
      <c r="H133" s="134">
        <v>87.32</v>
      </c>
      <c r="I133" s="135">
        <v>7.9000000000000001E-2</v>
      </c>
    </row>
    <row r="134" spans="1:9" x14ac:dyDescent="0.35">
      <c r="A134" s="133">
        <v>41460</v>
      </c>
      <c r="B134" s="134">
        <v>94.23</v>
      </c>
      <c r="C134" s="135">
        <v>6.6600000000000006E-2</v>
      </c>
      <c r="D134" s="134">
        <v>88.3</v>
      </c>
      <c r="E134" s="135">
        <v>7.3099999999999998E-2</v>
      </c>
      <c r="F134" s="134">
        <v>86.12</v>
      </c>
      <c r="G134" s="135">
        <v>7.7100000000000002E-2</v>
      </c>
      <c r="H134" s="134">
        <v>87.08</v>
      </c>
      <c r="I134" s="135">
        <v>7.9300000000000009E-2</v>
      </c>
    </row>
    <row r="135" spans="1:9" x14ac:dyDescent="0.35">
      <c r="A135" s="136">
        <v>41463</v>
      </c>
      <c r="B135" s="137">
        <v>93.48</v>
      </c>
      <c r="C135" s="138">
        <v>6.8600000000000008E-2</v>
      </c>
      <c r="D135" s="137">
        <v>85.87</v>
      </c>
      <c r="E135" s="138">
        <v>7.6999999999999999E-2</v>
      </c>
      <c r="F135" s="137">
        <v>84.15</v>
      </c>
      <c r="G135" s="138">
        <v>7.9700000000000007E-2</v>
      </c>
      <c r="H135" s="137">
        <v>84.82</v>
      </c>
      <c r="I135" s="138">
        <v>8.1900000000000001E-2</v>
      </c>
    </row>
    <row r="136" spans="1:9" x14ac:dyDescent="0.35">
      <c r="A136" s="136">
        <v>41464</v>
      </c>
      <c r="B136" s="137">
        <v>93.29</v>
      </c>
      <c r="C136" s="138">
        <v>6.9100000000000009E-2</v>
      </c>
      <c r="D136" s="137">
        <v>85.65</v>
      </c>
      <c r="E136" s="138">
        <v>7.7399999999999997E-2</v>
      </c>
      <c r="F136" s="137">
        <v>83.39</v>
      </c>
      <c r="G136" s="138">
        <v>8.0700000000000008E-2</v>
      </c>
      <c r="H136" s="137">
        <v>83.62</v>
      </c>
      <c r="I136" s="138">
        <v>8.3299999999999999E-2</v>
      </c>
    </row>
    <row r="137" spans="1:9" x14ac:dyDescent="0.35">
      <c r="A137" s="136">
        <v>41465</v>
      </c>
      <c r="B137" s="137">
        <v>92.6</v>
      </c>
      <c r="C137" s="138">
        <v>7.0800000000000002E-2</v>
      </c>
      <c r="D137" s="137">
        <v>84.06</v>
      </c>
      <c r="E137" s="138">
        <v>0.08</v>
      </c>
      <c r="F137" s="137">
        <v>82.1</v>
      </c>
      <c r="G137" s="138">
        <v>8.2400000000000001E-2</v>
      </c>
      <c r="H137" s="137">
        <v>82.45</v>
      </c>
      <c r="I137" s="138">
        <v>8.4699999999999998E-2</v>
      </c>
    </row>
    <row r="138" spans="1:9" x14ac:dyDescent="0.35">
      <c r="A138" s="136">
        <v>41466</v>
      </c>
      <c r="B138" s="137">
        <v>92.44</v>
      </c>
      <c r="C138" s="138">
        <v>7.1300000000000002E-2</v>
      </c>
      <c r="D138" s="137">
        <v>85.64</v>
      </c>
      <c r="E138" s="138">
        <v>7.7399999999999997E-2</v>
      </c>
      <c r="F138" s="137">
        <v>83</v>
      </c>
      <c r="G138" s="138">
        <v>8.1200000000000008E-2</v>
      </c>
      <c r="H138" s="137">
        <v>83.94</v>
      </c>
      <c r="I138" s="138">
        <v>8.2900000000000001E-2</v>
      </c>
    </row>
    <row r="139" spans="1:9" x14ac:dyDescent="0.35">
      <c r="A139" s="136">
        <v>41467</v>
      </c>
      <c r="B139" s="137">
        <v>92.05</v>
      </c>
      <c r="C139" s="138">
        <v>7.2300000000000003E-2</v>
      </c>
      <c r="D139" s="137">
        <v>83.73</v>
      </c>
      <c r="E139" s="138">
        <v>8.0500000000000002E-2</v>
      </c>
      <c r="F139" s="137">
        <v>81.739999999999995</v>
      </c>
      <c r="G139" s="138">
        <v>8.2900000000000001E-2</v>
      </c>
      <c r="H139" s="137">
        <v>81.99</v>
      </c>
      <c r="I139" s="138">
        <v>8.5199999999999998E-2</v>
      </c>
    </row>
    <row r="140" spans="1:9" x14ac:dyDescent="0.35">
      <c r="A140" s="133">
        <v>41470</v>
      </c>
      <c r="B140" s="134">
        <v>91.31</v>
      </c>
      <c r="C140" s="135">
        <v>7.4300000000000005E-2</v>
      </c>
      <c r="D140" s="134">
        <v>83.12</v>
      </c>
      <c r="E140" s="135">
        <v>8.1600000000000006E-2</v>
      </c>
      <c r="F140" s="134">
        <v>81.349999999999994</v>
      </c>
      <c r="G140" s="135">
        <v>8.3400000000000002E-2</v>
      </c>
      <c r="H140" s="134">
        <v>81.53</v>
      </c>
      <c r="I140" s="135">
        <v>8.5800000000000001E-2</v>
      </c>
    </row>
    <row r="141" spans="1:9" x14ac:dyDescent="0.35">
      <c r="A141" s="133">
        <v>41471</v>
      </c>
      <c r="B141" s="134">
        <v>90.82</v>
      </c>
      <c r="C141" s="135">
        <v>7.5600000000000001E-2</v>
      </c>
      <c r="D141" s="134">
        <v>82.58</v>
      </c>
      <c r="E141" s="135">
        <v>8.2500000000000004E-2</v>
      </c>
      <c r="F141" s="134">
        <v>80.39</v>
      </c>
      <c r="G141" s="135">
        <v>8.48E-2</v>
      </c>
      <c r="H141" s="134">
        <v>80.56</v>
      </c>
      <c r="I141" s="135">
        <v>8.7000000000000008E-2</v>
      </c>
    </row>
    <row r="142" spans="1:9" x14ac:dyDescent="0.35">
      <c r="A142" s="133">
        <v>41472</v>
      </c>
      <c r="B142" s="134">
        <v>90.58</v>
      </c>
      <c r="C142" s="135">
        <v>7.6200000000000004E-2</v>
      </c>
      <c r="D142" s="134">
        <v>82.85</v>
      </c>
      <c r="E142" s="135">
        <v>8.2000000000000003E-2</v>
      </c>
      <c r="F142" s="134">
        <v>79.900000000000006</v>
      </c>
      <c r="G142" s="135">
        <v>8.5400000000000004E-2</v>
      </c>
      <c r="H142" s="134">
        <v>80.36</v>
      </c>
      <c r="I142" s="135">
        <v>8.72E-2</v>
      </c>
    </row>
    <row r="143" spans="1:9" x14ac:dyDescent="0.35">
      <c r="A143" s="133">
        <v>41473</v>
      </c>
      <c r="B143" s="134">
        <v>90.89</v>
      </c>
      <c r="C143" s="135">
        <v>7.5400000000000009E-2</v>
      </c>
      <c r="D143" s="134">
        <v>83.88</v>
      </c>
      <c r="E143" s="135">
        <v>8.0299999999999996E-2</v>
      </c>
      <c r="F143" s="134">
        <v>80.34</v>
      </c>
      <c r="G143" s="135">
        <v>8.48E-2</v>
      </c>
      <c r="H143" s="134">
        <v>81.06</v>
      </c>
      <c r="I143" s="135">
        <v>8.6400000000000005E-2</v>
      </c>
    </row>
    <row r="144" spans="1:9" x14ac:dyDescent="0.35">
      <c r="A144" s="133">
        <v>41474</v>
      </c>
      <c r="B144" s="134">
        <v>91.3</v>
      </c>
      <c r="C144" s="135">
        <v>7.4300000000000005E-2</v>
      </c>
      <c r="D144" s="134">
        <v>84.81</v>
      </c>
      <c r="E144" s="135">
        <v>7.8800000000000009E-2</v>
      </c>
      <c r="F144" s="134">
        <v>81.91</v>
      </c>
      <c r="G144" s="135">
        <v>8.270000000000001E-2</v>
      </c>
      <c r="H144" s="134">
        <v>82.54</v>
      </c>
      <c r="I144" s="135">
        <v>8.4600000000000009E-2</v>
      </c>
    </row>
    <row r="145" spans="1:9" x14ac:dyDescent="0.35">
      <c r="A145" s="136">
        <v>41477</v>
      </c>
      <c r="B145" s="137">
        <v>92.35</v>
      </c>
      <c r="C145" s="138">
        <v>7.1599999999999997E-2</v>
      </c>
      <c r="D145" s="137">
        <v>85.54</v>
      </c>
      <c r="E145" s="138">
        <v>7.7600000000000002E-2</v>
      </c>
      <c r="F145" s="137">
        <v>83.8</v>
      </c>
      <c r="G145" s="138">
        <v>8.0200000000000007E-2</v>
      </c>
      <c r="H145" s="137">
        <v>84.49</v>
      </c>
      <c r="I145" s="138">
        <v>8.2299999999999998E-2</v>
      </c>
    </row>
    <row r="146" spans="1:9" x14ac:dyDescent="0.35">
      <c r="A146" s="136">
        <v>41478</v>
      </c>
      <c r="B146" s="137">
        <v>93.25</v>
      </c>
      <c r="C146" s="138">
        <v>6.93E-2</v>
      </c>
      <c r="D146" s="137">
        <v>89.29</v>
      </c>
      <c r="E146" s="138">
        <v>7.17E-2</v>
      </c>
      <c r="F146" s="137">
        <v>87.97</v>
      </c>
      <c r="G146" s="138">
        <v>7.4900000000000008E-2</v>
      </c>
      <c r="H146" s="137">
        <v>88.93</v>
      </c>
      <c r="I146" s="138">
        <v>7.7300000000000008E-2</v>
      </c>
    </row>
    <row r="147" spans="1:9" x14ac:dyDescent="0.35">
      <c r="A147" s="136">
        <v>41479</v>
      </c>
      <c r="B147" s="137">
        <v>93.03</v>
      </c>
      <c r="C147" s="138">
        <v>6.9800000000000001E-2</v>
      </c>
      <c r="D147" s="137">
        <v>87.66</v>
      </c>
      <c r="E147" s="138">
        <v>7.4200000000000002E-2</v>
      </c>
      <c r="F147" s="137">
        <v>86.62</v>
      </c>
      <c r="G147" s="138">
        <v>7.6499999999999999E-2</v>
      </c>
      <c r="H147" s="137">
        <v>87.12</v>
      </c>
      <c r="I147" s="138">
        <v>7.9300000000000009E-2</v>
      </c>
    </row>
    <row r="148" spans="1:9" x14ac:dyDescent="0.35">
      <c r="A148" s="136">
        <v>41480</v>
      </c>
      <c r="B148" s="137">
        <v>92.33</v>
      </c>
      <c r="C148" s="138">
        <v>7.17E-2</v>
      </c>
      <c r="D148" s="137">
        <v>84.76</v>
      </c>
      <c r="E148" s="138">
        <v>7.8899999999999998E-2</v>
      </c>
      <c r="F148" s="137">
        <v>84.76</v>
      </c>
      <c r="G148" s="138">
        <v>7.8899999999999998E-2</v>
      </c>
      <c r="H148" s="137">
        <v>84.38</v>
      </c>
      <c r="I148" s="138">
        <v>8.2400000000000001E-2</v>
      </c>
    </row>
    <row r="149" spans="1:9" x14ac:dyDescent="0.35">
      <c r="A149" s="136">
        <v>41481</v>
      </c>
      <c r="B149" s="137">
        <v>92.01</v>
      </c>
      <c r="C149" s="138">
        <v>7.2500000000000009E-2</v>
      </c>
      <c r="D149" s="137">
        <v>84.92</v>
      </c>
      <c r="E149" s="138">
        <v>7.8600000000000003E-2</v>
      </c>
      <c r="F149" s="137">
        <v>82.99</v>
      </c>
      <c r="G149" s="138">
        <v>8.1200000000000008E-2</v>
      </c>
      <c r="H149" s="137">
        <v>83.14</v>
      </c>
      <c r="I149" s="138">
        <v>8.3799999999999999E-2</v>
      </c>
    </row>
    <row r="150" spans="1:9" x14ac:dyDescent="0.35">
      <c r="A150" s="133">
        <v>41484</v>
      </c>
      <c r="B150" s="134">
        <v>92.17</v>
      </c>
      <c r="C150" s="135">
        <v>7.2099999999999997E-2</v>
      </c>
      <c r="D150" s="134">
        <v>84.45</v>
      </c>
      <c r="E150" s="135">
        <v>7.9399999999999998E-2</v>
      </c>
      <c r="F150" s="134">
        <v>82.63</v>
      </c>
      <c r="G150" s="135">
        <v>8.1700000000000009E-2</v>
      </c>
      <c r="H150" s="134">
        <v>83.15</v>
      </c>
      <c r="I150" s="135">
        <v>8.3799999999999999E-2</v>
      </c>
    </row>
    <row r="151" spans="1:9" x14ac:dyDescent="0.35">
      <c r="A151" s="133">
        <v>41485</v>
      </c>
      <c r="B151" s="134">
        <v>92.03</v>
      </c>
      <c r="C151" s="135">
        <v>7.2500000000000009E-2</v>
      </c>
      <c r="D151" s="134">
        <v>84.22</v>
      </c>
      <c r="E151" s="135">
        <v>7.9799999999999996E-2</v>
      </c>
      <c r="F151" s="134">
        <v>82.68</v>
      </c>
      <c r="G151" s="135">
        <v>8.1700000000000009E-2</v>
      </c>
      <c r="H151" s="134">
        <v>83.23</v>
      </c>
      <c r="I151" s="135">
        <v>8.3699999999999997E-2</v>
      </c>
    </row>
    <row r="152" spans="1:9" x14ac:dyDescent="0.35">
      <c r="A152" s="133">
        <v>41486</v>
      </c>
      <c r="B152" s="134">
        <v>91.41</v>
      </c>
      <c r="C152" s="135">
        <v>7.4200000000000002E-2</v>
      </c>
      <c r="D152" s="134">
        <v>84.39</v>
      </c>
      <c r="E152" s="135">
        <v>7.9500000000000001E-2</v>
      </c>
      <c r="F152" s="134">
        <v>82.63</v>
      </c>
      <c r="G152" s="135">
        <v>8.1700000000000009E-2</v>
      </c>
      <c r="H152" s="134">
        <v>83.27</v>
      </c>
      <c r="I152" s="135">
        <v>8.3699999999999997E-2</v>
      </c>
    </row>
    <row r="153" spans="1:9" x14ac:dyDescent="0.35">
      <c r="A153" s="133">
        <v>41487</v>
      </c>
      <c r="B153" s="134">
        <v>91.89</v>
      </c>
      <c r="C153" s="135">
        <v>7.2900000000000006E-2</v>
      </c>
      <c r="D153" s="134">
        <v>86.17</v>
      </c>
      <c r="E153" s="135">
        <v>7.6600000000000001E-2</v>
      </c>
      <c r="F153" s="134">
        <v>84.25</v>
      </c>
      <c r="G153" s="135">
        <v>7.9600000000000004E-2</v>
      </c>
      <c r="H153" s="134">
        <v>85.43</v>
      </c>
      <c r="I153" s="135">
        <v>8.1200000000000008E-2</v>
      </c>
    </row>
    <row r="154" spans="1:9" x14ac:dyDescent="0.35">
      <c r="A154" s="133">
        <v>41488</v>
      </c>
      <c r="B154" s="134">
        <v>92.23</v>
      </c>
      <c r="C154" s="135">
        <v>7.2000000000000008E-2</v>
      </c>
      <c r="D154" s="134">
        <v>86.81</v>
      </c>
      <c r="E154" s="135">
        <v>7.5600000000000001E-2</v>
      </c>
      <c r="F154" s="134">
        <v>84.82</v>
      </c>
      <c r="G154" s="135">
        <v>7.8899999999999998E-2</v>
      </c>
      <c r="H154" s="134">
        <v>84.54</v>
      </c>
      <c r="I154" s="135">
        <v>8.2200000000000009E-2</v>
      </c>
    </row>
    <row r="155" spans="1:9" x14ac:dyDescent="0.35">
      <c r="A155" s="136">
        <v>41498</v>
      </c>
      <c r="B155" s="137">
        <v>92.14</v>
      </c>
      <c r="C155" s="138">
        <v>7.2400000000000006E-2</v>
      </c>
      <c r="D155" s="137">
        <v>86.62</v>
      </c>
      <c r="E155" s="138">
        <v>7.5900000000000009E-2</v>
      </c>
      <c r="F155" s="137">
        <v>84.84</v>
      </c>
      <c r="G155" s="138">
        <v>7.8800000000000009E-2</v>
      </c>
      <c r="H155" s="137">
        <v>85.79</v>
      </c>
      <c r="I155" s="138">
        <v>8.0799999999999997E-2</v>
      </c>
    </row>
    <row r="156" spans="1:9" x14ac:dyDescent="0.35">
      <c r="A156" s="136">
        <v>41499</v>
      </c>
      <c r="B156" s="137">
        <v>92.19</v>
      </c>
      <c r="C156" s="138">
        <v>7.22E-2</v>
      </c>
      <c r="D156" s="137">
        <v>86.04</v>
      </c>
      <c r="E156" s="138">
        <v>7.6899999999999996E-2</v>
      </c>
      <c r="F156" s="137">
        <v>84.59</v>
      </c>
      <c r="G156" s="138">
        <v>7.9200000000000007E-2</v>
      </c>
      <c r="H156" s="137">
        <v>85.79</v>
      </c>
      <c r="I156" s="138">
        <v>8.0799999999999997E-2</v>
      </c>
    </row>
    <row r="157" spans="1:9" x14ac:dyDescent="0.35">
      <c r="A157" s="136">
        <v>41500</v>
      </c>
      <c r="B157" s="137">
        <v>92.12</v>
      </c>
      <c r="C157" s="138">
        <v>7.2400000000000006E-2</v>
      </c>
      <c r="D157" s="137">
        <v>85.71</v>
      </c>
      <c r="E157" s="138">
        <v>7.7399999999999997E-2</v>
      </c>
      <c r="F157" s="137">
        <v>83.91</v>
      </c>
      <c r="G157" s="138">
        <v>8.0100000000000005E-2</v>
      </c>
      <c r="H157" s="137">
        <v>85.2</v>
      </c>
      <c r="I157" s="138">
        <v>8.14E-2</v>
      </c>
    </row>
    <row r="158" spans="1:9" x14ac:dyDescent="0.35">
      <c r="A158" s="136">
        <v>41501</v>
      </c>
      <c r="B158" s="137">
        <v>91.54</v>
      </c>
      <c r="C158" s="138">
        <v>7.3999999999999996E-2</v>
      </c>
      <c r="D158" s="137">
        <v>84.76</v>
      </c>
      <c r="E158" s="138">
        <v>7.9000000000000001E-2</v>
      </c>
      <c r="F158" s="137">
        <v>82.65</v>
      </c>
      <c r="G158" s="138">
        <v>8.1700000000000009E-2</v>
      </c>
      <c r="H158" s="137">
        <v>83.63</v>
      </c>
      <c r="I158" s="138">
        <v>8.3299999999999999E-2</v>
      </c>
    </row>
    <row r="159" spans="1:9" x14ac:dyDescent="0.35">
      <c r="A159" s="136">
        <v>41502</v>
      </c>
      <c r="B159" s="137">
        <v>91.35</v>
      </c>
      <c r="C159" s="138">
        <v>7.4499999999999997E-2</v>
      </c>
      <c r="D159" s="137">
        <v>83.98</v>
      </c>
      <c r="E159" s="138">
        <v>8.0299999999999996E-2</v>
      </c>
      <c r="F159" s="137">
        <v>81.58</v>
      </c>
      <c r="G159" s="138">
        <v>8.3199999999999996E-2</v>
      </c>
      <c r="H159" s="137">
        <v>82.9</v>
      </c>
      <c r="I159" s="138">
        <v>8.4199999999999997E-2</v>
      </c>
    </row>
    <row r="160" spans="1:9" x14ac:dyDescent="0.35">
      <c r="A160" s="133">
        <v>41505</v>
      </c>
      <c r="B160" s="134">
        <v>90.78</v>
      </c>
      <c r="C160" s="135">
        <v>7.6100000000000001E-2</v>
      </c>
      <c r="D160" s="134">
        <v>82.3</v>
      </c>
      <c r="E160" s="135">
        <v>8.3199999999999996E-2</v>
      </c>
      <c r="F160" s="134">
        <v>80.45</v>
      </c>
      <c r="G160" s="135">
        <v>8.48E-2</v>
      </c>
      <c r="H160" s="134">
        <v>80.97</v>
      </c>
      <c r="I160" s="135">
        <v>8.6500000000000007E-2</v>
      </c>
    </row>
    <row r="161" spans="1:9" x14ac:dyDescent="0.35">
      <c r="A161" s="133">
        <v>41506</v>
      </c>
      <c r="B161" s="134">
        <v>90.28</v>
      </c>
      <c r="C161" s="135">
        <v>7.7399999999999997E-2</v>
      </c>
      <c r="D161" s="134">
        <v>81.89</v>
      </c>
      <c r="E161" s="135">
        <v>8.3900000000000002E-2</v>
      </c>
      <c r="F161" s="134">
        <v>79.72</v>
      </c>
      <c r="G161" s="135">
        <v>8.5800000000000001E-2</v>
      </c>
      <c r="H161" s="134">
        <v>80.09</v>
      </c>
      <c r="I161" s="135">
        <v>8.7599999999999997E-2</v>
      </c>
    </row>
    <row r="162" spans="1:9" x14ac:dyDescent="0.35">
      <c r="A162" s="133">
        <v>41507</v>
      </c>
      <c r="B162" s="134">
        <v>90.39</v>
      </c>
      <c r="C162" s="135">
        <v>7.7200000000000005E-2</v>
      </c>
      <c r="D162" s="134">
        <v>81.239999999999995</v>
      </c>
      <c r="E162" s="135">
        <v>8.5000000000000006E-2</v>
      </c>
      <c r="F162" s="134">
        <v>78.11</v>
      </c>
      <c r="G162" s="135">
        <v>8.8099999999999998E-2</v>
      </c>
      <c r="H162" s="134">
        <v>79.150000000000006</v>
      </c>
      <c r="I162" s="135">
        <v>8.8800000000000004E-2</v>
      </c>
    </row>
    <row r="163" spans="1:9" x14ac:dyDescent="0.35">
      <c r="A163" s="133">
        <v>41508</v>
      </c>
      <c r="B163" s="134">
        <v>90.43</v>
      </c>
      <c r="C163" s="135">
        <v>7.7100000000000002E-2</v>
      </c>
      <c r="D163" s="134">
        <v>82.22</v>
      </c>
      <c r="E163" s="135">
        <v>8.3299999999999999E-2</v>
      </c>
      <c r="F163" s="134">
        <v>78.47</v>
      </c>
      <c r="G163" s="135">
        <v>8.7599999999999997E-2</v>
      </c>
      <c r="H163" s="134">
        <v>79.37</v>
      </c>
      <c r="I163" s="135">
        <v>8.8500000000000009E-2</v>
      </c>
    </row>
    <row r="164" spans="1:9" x14ac:dyDescent="0.35">
      <c r="A164" s="133">
        <v>41509</v>
      </c>
      <c r="B164" s="134">
        <v>90.45</v>
      </c>
      <c r="C164" s="135">
        <v>7.6999999999999999E-2</v>
      </c>
      <c r="D164" s="134">
        <v>82.04</v>
      </c>
      <c r="E164" s="135">
        <v>8.3600000000000008E-2</v>
      </c>
      <c r="F164" s="134">
        <v>78.34</v>
      </c>
      <c r="G164" s="135">
        <v>8.7800000000000003E-2</v>
      </c>
      <c r="H164" s="134">
        <v>79.69</v>
      </c>
      <c r="I164" s="135">
        <v>8.8099999999999998E-2</v>
      </c>
    </row>
    <row r="165" spans="1:9" x14ac:dyDescent="0.35">
      <c r="A165" s="136">
        <v>41512</v>
      </c>
      <c r="B165" s="137">
        <v>90.51</v>
      </c>
      <c r="C165" s="138">
        <v>7.6899999999999996E-2</v>
      </c>
      <c r="D165" s="137">
        <v>82.01</v>
      </c>
      <c r="E165" s="138">
        <v>8.3699999999999997E-2</v>
      </c>
      <c r="F165" s="137">
        <v>78.23</v>
      </c>
      <c r="G165" s="138">
        <v>8.7900000000000006E-2</v>
      </c>
      <c r="H165" s="137">
        <v>79.2</v>
      </c>
      <c r="I165" s="138">
        <v>8.8800000000000004E-2</v>
      </c>
    </row>
    <row r="166" spans="1:9" x14ac:dyDescent="0.35">
      <c r="A166" s="136">
        <v>41513</v>
      </c>
      <c r="B166" s="137">
        <v>90.01</v>
      </c>
      <c r="C166" s="138">
        <v>7.8300000000000008E-2</v>
      </c>
      <c r="D166" s="137">
        <v>80.58</v>
      </c>
      <c r="E166" s="138">
        <v>8.6199999999999999E-2</v>
      </c>
      <c r="F166" s="137">
        <v>77.650000000000006</v>
      </c>
      <c r="G166" s="138">
        <v>8.8800000000000004E-2</v>
      </c>
      <c r="H166" s="137">
        <v>78.3</v>
      </c>
      <c r="I166" s="138">
        <v>8.9900000000000008E-2</v>
      </c>
    </row>
    <row r="167" spans="1:9" x14ac:dyDescent="0.35">
      <c r="A167" s="136">
        <v>41514</v>
      </c>
      <c r="B167" s="137">
        <v>89.54</v>
      </c>
      <c r="C167" s="138">
        <v>7.9600000000000004E-2</v>
      </c>
      <c r="D167" s="137">
        <v>79.97</v>
      </c>
      <c r="E167" s="138">
        <v>8.7300000000000003E-2</v>
      </c>
      <c r="F167" s="137">
        <v>76.98</v>
      </c>
      <c r="G167" s="138">
        <v>8.9800000000000005E-2</v>
      </c>
      <c r="H167" s="137">
        <v>77.73</v>
      </c>
      <c r="I167" s="138">
        <v>9.0700000000000003E-2</v>
      </c>
    </row>
    <row r="168" spans="1:9" x14ac:dyDescent="0.35">
      <c r="A168" s="136">
        <v>41515</v>
      </c>
      <c r="B168" s="137">
        <v>89.26</v>
      </c>
      <c r="C168" s="138">
        <v>8.0399999999999999E-2</v>
      </c>
      <c r="D168" s="137">
        <v>79.42</v>
      </c>
      <c r="E168" s="138">
        <v>8.8300000000000003E-2</v>
      </c>
      <c r="F168" s="137">
        <v>76.83</v>
      </c>
      <c r="G168" s="138">
        <v>0.09</v>
      </c>
      <c r="H168" s="137">
        <v>76.760000000000005</v>
      </c>
      <c r="I168" s="138">
        <v>9.1999999999999998E-2</v>
      </c>
    </row>
    <row r="169" spans="1:9" x14ac:dyDescent="0.35">
      <c r="A169" s="136">
        <v>41516</v>
      </c>
      <c r="B169" s="137">
        <v>89.7</v>
      </c>
      <c r="C169" s="138">
        <v>7.9200000000000007E-2</v>
      </c>
      <c r="D169" s="137">
        <v>81.95</v>
      </c>
      <c r="E169" s="138">
        <v>8.3799999999999999E-2</v>
      </c>
      <c r="F169" s="137">
        <v>78.349999999999994</v>
      </c>
      <c r="G169" s="138">
        <v>8.7800000000000003E-2</v>
      </c>
      <c r="H169" s="137">
        <v>79.14</v>
      </c>
      <c r="I169" s="138">
        <v>8.8800000000000004E-2</v>
      </c>
    </row>
    <row r="170" spans="1:9" x14ac:dyDescent="0.35">
      <c r="A170" s="133">
        <v>41519</v>
      </c>
      <c r="B170" s="134">
        <v>90.04</v>
      </c>
      <c r="C170" s="135">
        <v>7.8300000000000008E-2</v>
      </c>
      <c r="D170" s="134">
        <v>82.3</v>
      </c>
      <c r="E170" s="135">
        <v>8.3199999999999996E-2</v>
      </c>
      <c r="F170" s="134">
        <v>79.41</v>
      </c>
      <c r="G170" s="135">
        <v>8.6300000000000002E-2</v>
      </c>
      <c r="H170" s="134">
        <v>79.98</v>
      </c>
      <c r="I170" s="135">
        <v>8.7800000000000003E-2</v>
      </c>
    </row>
    <row r="171" spans="1:9" x14ac:dyDescent="0.35">
      <c r="A171" s="133">
        <v>41520</v>
      </c>
      <c r="B171" s="134">
        <v>89.79</v>
      </c>
      <c r="C171" s="135">
        <v>7.9000000000000001E-2</v>
      </c>
      <c r="D171" s="134">
        <v>82.01</v>
      </c>
      <c r="E171" s="135">
        <v>8.3699999999999997E-2</v>
      </c>
      <c r="F171" s="134">
        <v>78.98</v>
      </c>
      <c r="G171" s="135">
        <v>8.6900000000000005E-2</v>
      </c>
      <c r="H171" s="134">
        <v>79.55</v>
      </c>
      <c r="I171" s="135">
        <v>8.8300000000000003E-2</v>
      </c>
    </row>
    <row r="172" spans="1:9" x14ac:dyDescent="0.35">
      <c r="A172" s="133">
        <v>41521</v>
      </c>
      <c r="B172" s="134">
        <v>89.3</v>
      </c>
      <c r="C172" s="135">
        <v>8.0299999999999996E-2</v>
      </c>
      <c r="D172" s="134">
        <v>80.260000000000005</v>
      </c>
      <c r="E172" s="135">
        <v>8.6800000000000002E-2</v>
      </c>
      <c r="F172" s="134">
        <v>77.87</v>
      </c>
      <c r="G172" s="135">
        <v>8.8500000000000009E-2</v>
      </c>
      <c r="H172" s="134">
        <v>78.14</v>
      </c>
      <c r="I172" s="135">
        <v>9.0200000000000002E-2</v>
      </c>
    </row>
    <row r="173" spans="1:9" x14ac:dyDescent="0.35">
      <c r="A173" s="133">
        <v>41522</v>
      </c>
      <c r="B173" s="134">
        <v>89.3</v>
      </c>
      <c r="C173" s="135">
        <v>8.0399999999999999E-2</v>
      </c>
      <c r="D173" s="134">
        <v>80.39</v>
      </c>
      <c r="E173" s="135">
        <v>8.6599999999999996E-2</v>
      </c>
      <c r="F173" s="134">
        <v>77.599999999999994</v>
      </c>
      <c r="G173" s="135">
        <v>8.8900000000000007E-2</v>
      </c>
      <c r="H173" s="134">
        <v>77.33</v>
      </c>
      <c r="I173" s="135">
        <v>9.1200000000000003E-2</v>
      </c>
    </row>
    <row r="174" spans="1:9" x14ac:dyDescent="0.35">
      <c r="A174" s="133">
        <v>41523</v>
      </c>
      <c r="B174" s="134">
        <v>89.23</v>
      </c>
      <c r="C174" s="135">
        <v>8.0600000000000005E-2</v>
      </c>
      <c r="D174" s="134">
        <v>79.58</v>
      </c>
      <c r="E174" s="135">
        <v>8.8000000000000009E-2</v>
      </c>
      <c r="F174" s="134">
        <v>76.599999999999994</v>
      </c>
      <c r="G174" s="135">
        <v>9.0400000000000008E-2</v>
      </c>
      <c r="H174" s="134">
        <v>76.88</v>
      </c>
      <c r="I174" s="135">
        <v>9.1800000000000007E-2</v>
      </c>
    </row>
    <row r="175" spans="1:9" x14ac:dyDescent="0.35">
      <c r="A175" s="136">
        <v>41526</v>
      </c>
      <c r="B175" s="137">
        <v>89.24</v>
      </c>
      <c r="C175" s="138">
        <v>8.0600000000000005E-2</v>
      </c>
      <c r="D175" s="137">
        <v>79.290000000000006</v>
      </c>
      <c r="E175" s="138">
        <v>8.8599999999999998E-2</v>
      </c>
      <c r="F175" s="137">
        <v>76.61</v>
      </c>
      <c r="G175" s="138">
        <v>9.0400000000000008E-2</v>
      </c>
      <c r="H175" s="137">
        <v>76.790000000000006</v>
      </c>
      <c r="I175" s="138">
        <v>9.1999999999999998E-2</v>
      </c>
    </row>
    <row r="176" spans="1:9" x14ac:dyDescent="0.35">
      <c r="A176" s="136">
        <v>41527</v>
      </c>
      <c r="B176" s="137">
        <v>89.3</v>
      </c>
      <c r="C176" s="138">
        <v>8.0399999999999999E-2</v>
      </c>
      <c r="D176" s="137">
        <v>79.72</v>
      </c>
      <c r="E176" s="138">
        <v>8.7800000000000003E-2</v>
      </c>
      <c r="F176" s="137">
        <v>76.290000000000006</v>
      </c>
      <c r="G176" s="138">
        <v>9.0800000000000006E-2</v>
      </c>
      <c r="H176" s="137">
        <v>76.55</v>
      </c>
      <c r="I176" s="138">
        <v>9.2300000000000007E-2</v>
      </c>
    </row>
    <row r="177" spans="1:9" x14ac:dyDescent="0.35">
      <c r="A177" s="136">
        <v>41528</v>
      </c>
      <c r="B177" s="137">
        <v>89.49</v>
      </c>
      <c r="C177" s="138">
        <v>7.9899999999999999E-2</v>
      </c>
      <c r="D177" s="137">
        <v>80.569999999999993</v>
      </c>
      <c r="E177" s="138">
        <v>8.6300000000000002E-2</v>
      </c>
      <c r="F177" s="137">
        <v>76.849999999999994</v>
      </c>
      <c r="G177" s="138">
        <v>0.09</v>
      </c>
      <c r="H177" s="137">
        <v>77.319999999999993</v>
      </c>
      <c r="I177" s="138">
        <v>9.1300000000000006E-2</v>
      </c>
    </row>
    <row r="178" spans="1:9" x14ac:dyDescent="0.35">
      <c r="A178" s="136">
        <v>41529</v>
      </c>
      <c r="B178" s="137">
        <v>89.72</v>
      </c>
      <c r="C178" s="138">
        <v>7.9300000000000009E-2</v>
      </c>
      <c r="D178" s="137">
        <v>80.739999999999995</v>
      </c>
      <c r="E178" s="138">
        <v>8.6000000000000007E-2</v>
      </c>
      <c r="F178" s="137">
        <v>76.95</v>
      </c>
      <c r="G178" s="138">
        <v>8.9900000000000008E-2</v>
      </c>
      <c r="H178" s="137">
        <v>77.430000000000007</v>
      </c>
      <c r="I178" s="138">
        <v>9.11E-2</v>
      </c>
    </row>
    <row r="179" spans="1:9" x14ac:dyDescent="0.35">
      <c r="A179" s="136">
        <v>41530</v>
      </c>
      <c r="B179" s="137">
        <v>90.19</v>
      </c>
      <c r="C179" s="138">
        <v>7.8E-2</v>
      </c>
      <c r="D179" s="137">
        <v>82.37</v>
      </c>
      <c r="E179" s="138">
        <v>8.3199999999999996E-2</v>
      </c>
      <c r="F179" s="137">
        <v>78.62</v>
      </c>
      <c r="G179" s="138">
        <v>8.7400000000000005E-2</v>
      </c>
      <c r="H179" s="137">
        <v>79.2</v>
      </c>
      <c r="I179" s="138">
        <v>8.8800000000000004E-2</v>
      </c>
    </row>
    <row r="180" spans="1:9" x14ac:dyDescent="0.35">
      <c r="A180" s="133">
        <v>41533</v>
      </c>
      <c r="B180" s="134">
        <v>90.41</v>
      </c>
      <c r="C180" s="135">
        <v>7.7399999999999997E-2</v>
      </c>
      <c r="D180" s="134">
        <v>84.35</v>
      </c>
      <c r="E180" s="135">
        <v>7.9799999999999996E-2</v>
      </c>
      <c r="F180" s="134">
        <v>80.67</v>
      </c>
      <c r="G180" s="135">
        <v>8.4500000000000006E-2</v>
      </c>
      <c r="H180" s="134">
        <v>82.02</v>
      </c>
      <c r="I180" s="135">
        <v>8.5300000000000001E-2</v>
      </c>
    </row>
    <row r="181" spans="1:9" x14ac:dyDescent="0.35">
      <c r="A181" s="133">
        <v>41534</v>
      </c>
      <c r="B181" s="134">
        <v>90.87</v>
      </c>
      <c r="C181" s="135">
        <v>7.6200000000000004E-2</v>
      </c>
      <c r="D181" s="134">
        <v>83.97</v>
      </c>
      <c r="E181" s="135">
        <v>8.0500000000000002E-2</v>
      </c>
      <c r="F181" s="134">
        <v>80.39</v>
      </c>
      <c r="G181" s="135">
        <v>8.4900000000000003E-2</v>
      </c>
      <c r="H181" s="134">
        <v>81.709999999999994</v>
      </c>
      <c r="I181" s="135">
        <v>8.5600000000000009E-2</v>
      </c>
    </row>
    <row r="182" spans="1:9" x14ac:dyDescent="0.35">
      <c r="A182" s="133">
        <v>41535</v>
      </c>
      <c r="B182" s="134">
        <v>90.65</v>
      </c>
      <c r="C182" s="135">
        <v>7.6800000000000007E-2</v>
      </c>
      <c r="D182" s="134">
        <v>83.37</v>
      </c>
      <c r="E182" s="135">
        <v>8.1500000000000003E-2</v>
      </c>
      <c r="F182" s="134">
        <v>79.739999999999995</v>
      </c>
      <c r="G182" s="135">
        <v>8.5800000000000001E-2</v>
      </c>
      <c r="H182" s="134">
        <v>81.739999999999995</v>
      </c>
      <c r="I182" s="135">
        <v>8.5600000000000009E-2</v>
      </c>
    </row>
    <row r="183" spans="1:9" x14ac:dyDescent="0.35">
      <c r="A183" s="133">
        <v>41536</v>
      </c>
      <c r="B183" s="134">
        <v>91.4</v>
      </c>
      <c r="C183" s="135">
        <v>7.4800000000000005E-2</v>
      </c>
      <c r="D183" s="134">
        <v>85.29</v>
      </c>
      <c r="E183" s="135">
        <v>7.8300000000000008E-2</v>
      </c>
      <c r="F183" s="134">
        <v>83.02</v>
      </c>
      <c r="G183" s="135">
        <v>8.1299999999999997E-2</v>
      </c>
      <c r="H183" s="134">
        <v>84.53</v>
      </c>
      <c r="I183" s="135">
        <v>8.2299999999999998E-2</v>
      </c>
    </row>
    <row r="184" spans="1:9" x14ac:dyDescent="0.35">
      <c r="A184" s="133">
        <v>41537</v>
      </c>
      <c r="B184" s="134">
        <v>91.51</v>
      </c>
      <c r="C184" s="135">
        <v>7.4499999999999997E-2</v>
      </c>
      <c r="D184" s="134">
        <v>85.09</v>
      </c>
      <c r="E184" s="135">
        <v>7.8600000000000003E-2</v>
      </c>
      <c r="F184" s="134">
        <v>82.15</v>
      </c>
      <c r="G184" s="135">
        <v>8.2500000000000004E-2</v>
      </c>
      <c r="H184" s="134">
        <v>83.91</v>
      </c>
      <c r="I184" s="135">
        <v>8.3000000000000004E-2</v>
      </c>
    </row>
    <row r="185" spans="1:9" x14ac:dyDescent="0.35">
      <c r="A185" s="136">
        <v>41540</v>
      </c>
      <c r="B185" s="137">
        <v>91.33</v>
      </c>
      <c r="C185" s="138">
        <v>7.4999999999999997E-2</v>
      </c>
      <c r="D185" s="137">
        <v>85.77</v>
      </c>
      <c r="E185" s="138">
        <v>7.7499999999999999E-2</v>
      </c>
      <c r="F185" s="137">
        <v>83.78</v>
      </c>
      <c r="G185" s="138">
        <v>8.0299999999999996E-2</v>
      </c>
      <c r="H185" s="137">
        <v>84.89</v>
      </c>
      <c r="I185" s="138">
        <v>8.1799999999999998E-2</v>
      </c>
    </row>
    <row r="186" spans="1:9" x14ac:dyDescent="0.35">
      <c r="A186" s="136">
        <v>41541</v>
      </c>
      <c r="B186" s="137">
        <v>91.21</v>
      </c>
      <c r="C186" s="138">
        <v>7.5300000000000006E-2</v>
      </c>
      <c r="D186" s="137">
        <v>84.8</v>
      </c>
      <c r="E186" s="138">
        <v>7.9100000000000004E-2</v>
      </c>
      <c r="F186" s="137">
        <v>82.46</v>
      </c>
      <c r="G186" s="138">
        <v>8.2100000000000006E-2</v>
      </c>
      <c r="H186" s="137">
        <v>83.6</v>
      </c>
      <c r="I186" s="138">
        <v>8.3400000000000002E-2</v>
      </c>
    </row>
    <row r="187" spans="1:9" x14ac:dyDescent="0.35">
      <c r="A187" s="136">
        <v>41542</v>
      </c>
      <c r="B187" s="137">
        <v>91.26</v>
      </c>
      <c r="C187" s="138">
        <v>7.5200000000000003E-2</v>
      </c>
      <c r="D187" s="137">
        <v>84.49</v>
      </c>
      <c r="E187" s="138">
        <v>7.9600000000000004E-2</v>
      </c>
      <c r="F187" s="137">
        <v>82.47</v>
      </c>
      <c r="G187" s="138">
        <v>8.2100000000000006E-2</v>
      </c>
      <c r="H187" s="137">
        <v>83.32</v>
      </c>
      <c r="I187" s="138">
        <v>8.3699999999999997E-2</v>
      </c>
    </row>
    <row r="188" spans="1:9" x14ac:dyDescent="0.35">
      <c r="A188" s="136">
        <v>41543</v>
      </c>
      <c r="B188" s="137">
        <v>91.62</v>
      </c>
      <c r="C188" s="138">
        <v>7.4200000000000002E-2</v>
      </c>
      <c r="D188" s="137">
        <v>84.49</v>
      </c>
      <c r="E188" s="138">
        <v>7.9600000000000004E-2</v>
      </c>
      <c r="F188" s="137">
        <v>82.24</v>
      </c>
      <c r="G188" s="138">
        <v>8.2400000000000001E-2</v>
      </c>
      <c r="H188" s="137">
        <v>83.16</v>
      </c>
      <c r="I188" s="138">
        <v>8.3900000000000002E-2</v>
      </c>
    </row>
    <row r="189" spans="1:9" x14ac:dyDescent="0.35">
      <c r="A189" s="136">
        <v>41544</v>
      </c>
      <c r="B189" s="137">
        <v>91.59</v>
      </c>
      <c r="C189" s="138">
        <v>7.4300000000000005E-2</v>
      </c>
      <c r="D189" s="137">
        <v>83.5</v>
      </c>
      <c r="E189" s="138">
        <v>8.1299999999999997E-2</v>
      </c>
      <c r="F189" s="137">
        <v>81.3</v>
      </c>
      <c r="G189" s="138">
        <v>8.3699999999999997E-2</v>
      </c>
      <c r="H189" s="137">
        <v>82.35</v>
      </c>
      <c r="I189" s="138">
        <v>8.4900000000000003E-2</v>
      </c>
    </row>
    <row r="190" spans="1:9" x14ac:dyDescent="0.35">
      <c r="A190" s="133">
        <v>41547</v>
      </c>
      <c r="B190" s="134">
        <v>90.84</v>
      </c>
      <c r="C190" s="135">
        <v>7.640000000000001E-2</v>
      </c>
      <c r="D190" s="134">
        <v>81.819999999999993</v>
      </c>
      <c r="E190" s="135">
        <v>8.4199999999999997E-2</v>
      </c>
      <c r="F190" s="134">
        <v>79.8</v>
      </c>
      <c r="G190" s="135">
        <v>8.5800000000000001E-2</v>
      </c>
      <c r="H190" s="134">
        <v>80.25</v>
      </c>
      <c r="I190" s="135">
        <v>8.7500000000000008E-2</v>
      </c>
    </row>
    <row r="191" spans="1:9" x14ac:dyDescent="0.35">
      <c r="A191" s="133">
        <v>41548</v>
      </c>
      <c r="B191" s="134">
        <v>90.58</v>
      </c>
      <c r="C191" s="135">
        <v>7.7200000000000005E-2</v>
      </c>
      <c r="D191" s="134">
        <v>82.21</v>
      </c>
      <c r="E191" s="135">
        <v>8.3600000000000008E-2</v>
      </c>
      <c r="F191" s="134">
        <v>79.67</v>
      </c>
      <c r="G191" s="135">
        <v>8.6000000000000007E-2</v>
      </c>
      <c r="H191" s="134">
        <v>80.42</v>
      </c>
      <c r="I191" s="135">
        <v>8.7300000000000003E-2</v>
      </c>
    </row>
    <row r="192" spans="1:9" x14ac:dyDescent="0.35">
      <c r="A192" s="133">
        <v>41549</v>
      </c>
      <c r="B192" s="134">
        <v>90.98</v>
      </c>
      <c r="C192" s="135">
        <v>7.6100000000000001E-2</v>
      </c>
      <c r="D192" s="134">
        <v>83.42</v>
      </c>
      <c r="E192" s="135">
        <v>8.1500000000000003E-2</v>
      </c>
      <c r="F192" s="134">
        <v>80.02</v>
      </c>
      <c r="G192" s="135">
        <v>8.5500000000000007E-2</v>
      </c>
      <c r="H192" s="134">
        <v>80.75</v>
      </c>
      <c r="I192" s="135">
        <v>8.6800000000000002E-2</v>
      </c>
    </row>
    <row r="193" spans="1:9" x14ac:dyDescent="0.35">
      <c r="A193" s="133">
        <v>41550</v>
      </c>
      <c r="B193" s="134">
        <v>91.21</v>
      </c>
      <c r="C193" s="135">
        <v>7.5400000000000009E-2</v>
      </c>
      <c r="D193" s="134">
        <v>83.71</v>
      </c>
      <c r="E193" s="135">
        <v>8.1000000000000003E-2</v>
      </c>
      <c r="F193" s="134">
        <v>81.08</v>
      </c>
      <c r="G193" s="135">
        <v>8.4000000000000005E-2</v>
      </c>
      <c r="H193" s="134">
        <v>82.12</v>
      </c>
      <c r="I193" s="135">
        <v>8.5199999999999998E-2</v>
      </c>
    </row>
    <row r="194" spans="1:9" x14ac:dyDescent="0.35">
      <c r="A194" s="133">
        <v>41551</v>
      </c>
      <c r="B194" s="134">
        <v>91.2</v>
      </c>
      <c r="C194" s="135">
        <v>7.5499999999999998E-2</v>
      </c>
      <c r="D194" s="134">
        <v>83.91</v>
      </c>
      <c r="E194" s="135">
        <v>8.0700000000000008E-2</v>
      </c>
      <c r="F194" s="134">
        <v>81.209999999999994</v>
      </c>
      <c r="G194" s="135">
        <v>8.3799999999999999E-2</v>
      </c>
      <c r="H194" s="134">
        <v>82.28</v>
      </c>
      <c r="I194" s="135">
        <v>8.5000000000000006E-2</v>
      </c>
    </row>
    <row r="195" spans="1:9" x14ac:dyDescent="0.35">
      <c r="A195" s="136">
        <v>41554</v>
      </c>
      <c r="B195" s="137">
        <v>91.23</v>
      </c>
      <c r="C195" s="138">
        <v>7.5400000000000009E-2</v>
      </c>
      <c r="D195" s="137">
        <v>83.83</v>
      </c>
      <c r="E195" s="138">
        <v>8.0799999999999997E-2</v>
      </c>
      <c r="F195" s="137">
        <v>81.19</v>
      </c>
      <c r="G195" s="138">
        <v>8.3900000000000002E-2</v>
      </c>
      <c r="H195" s="137">
        <v>82.04</v>
      </c>
      <c r="I195" s="138">
        <v>8.5300000000000001E-2</v>
      </c>
    </row>
    <row r="196" spans="1:9" x14ac:dyDescent="0.35">
      <c r="A196" s="136">
        <v>41555</v>
      </c>
      <c r="B196" s="137">
        <v>91.66</v>
      </c>
      <c r="C196" s="138">
        <v>7.4300000000000005E-2</v>
      </c>
      <c r="D196" s="137">
        <v>84.04</v>
      </c>
      <c r="E196" s="138">
        <v>8.0500000000000002E-2</v>
      </c>
      <c r="F196" s="137">
        <v>81.319999999999993</v>
      </c>
      <c r="G196" s="138">
        <v>8.3699999999999997E-2</v>
      </c>
      <c r="H196" s="137">
        <v>81.99</v>
      </c>
      <c r="I196" s="138">
        <v>8.5300000000000001E-2</v>
      </c>
    </row>
    <row r="197" spans="1:9" x14ac:dyDescent="0.35">
      <c r="A197" s="136">
        <v>41556</v>
      </c>
      <c r="B197" s="137">
        <v>91.82</v>
      </c>
      <c r="C197" s="138">
        <v>7.3800000000000004E-2</v>
      </c>
      <c r="D197" s="137">
        <v>84.04</v>
      </c>
      <c r="E197" s="138">
        <v>8.0500000000000002E-2</v>
      </c>
      <c r="F197" s="137">
        <v>81.23</v>
      </c>
      <c r="G197" s="138">
        <v>8.3799999999999999E-2</v>
      </c>
      <c r="H197" s="137">
        <v>81.84</v>
      </c>
      <c r="I197" s="138">
        <v>8.5500000000000007E-2</v>
      </c>
    </row>
    <row r="198" spans="1:9" x14ac:dyDescent="0.35">
      <c r="A198" s="136">
        <v>41557</v>
      </c>
      <c r="B198" s="137">
        <v>91.6</v>
      </c>
      <c r="C198" s="138">
        <v>7.4499999999999997E-2</v>
      </c>
      <c r="D198" s="137">
        <v>84.28</v>
      </c>
      <c r="E198" s="138">
        <v>8.0100000000000005E-2</v>
      </c>
      <c r="F198" s="137">
        <v>81.040000000000006</v>
      </c>
      <c r="G198" s="138">
        <v>8.4100000000000008E-2</v>
      </c>
      <c r="H198" s="137">
        <v>81.93</v>
      </c>
      <c r="I198" s="138">
        <v>8.5400000000000004E-2</v>
      </c>
    </row>
    <row r="199" spans="1:9" x14ac:dyDescent="0.35">
      <c r="A199" s="136">
        <v>41558</v>
      </c>
      <c r="B199" s="137">
        <v>91.74</v>
      </c>
      <c r="C199" s="138">
        <v>7.4099999999999999E-2</v>
      </c>
      <c r="D199" s="137">
        <v>84.36</v>
      </c>
      <c r="E199" s="138">
        <v>7.9899999999999999E-2</v>
      </c>
      <c r="F199" s="137">
        <v>81.430000000000007</v>
      </c>
      <c r="G199" s="138">
        <v>8.3500000000000005E-2</v>
      </c>
      <c r="H199" s="137">
        <v>82.35</v>
      </c>
      <c r="I199" s="138">
        <v>8.4900000000000003E-2</v>
      </c>
    </row>
    <row r="200" spans="1:9" x14ac:dyDescent="0.35">
      <c r="A200" s="133">
        <v>41563</v>
      </c>
      <c r="B200" s="134">
        <v>92.21</v>
      </c>
      <c r="C200" s="135">
        <v>7.2900000000000006E-2</v>
      </c>
      <c r="D200" s="134">
        <v>85.38</v>
      </c>
      <c r="E200" s="135">
        <v>7.8300000000000008E-2</v>
      </c>
      <c r="F200" s="134">
        <v>82.38</v>
      </c>
      <c r="G200" s="135">
        <v>8.2299999999999998E-2</v>
      </c>
      <c r="H200" s="134">
        <v>83.32</v>
      </c>
      <c r="I200" s="135">
        <v>8.3699999999999997E-2</v>
      </c>
    </row>
    <row r="201" spans="1:9" x14ac:dyDescent="0.35">
      <c r="A201" s="133">
        <v>41564</v>
      </c>
      <c r="B201" s="134">
        <v>92.56</v>
      </c>
      <c r="C201" s="135">
        <v>7.1900000000000006E-2</v>
      </c>
      <c r="D201" s="134">
        <v>86.41</v>
      </c>
      <c r="E201" s="135">
        <v>7.6600000000000001E-2</v>
      </c>
      <c r="F201" s="134">
        <v>83.45</v>
      </c>
      <c r="G201" s="135">
        <v>8.0799999999999997E-2</v>
      </c>
      <c r="H201" s="134">
        <v>84.65</v>
      </c>
      <c r="I201" s="135">
        <v>8.2200000000000009E-2</v>
      </c>
    </row>
    <row r="202" spans="1:9" x14ac:dyDescent="0.35">
      <c r="A202" s="133">
        <v>41565</v>
      </c>
      <c r="B202" s="134">
        <v>93.35</v>
      </c>
      <c r="C202" s="135">
        <v>6.9800000000000001E-2</v>
      </c>
      <c r="D202" s="134">
        <v>88.05</v>
      </c>
      <c r="E202" s="135">
        <v>7.3900000000000007E-2</v>
      </c>
      <c r="F202" s="134">
        <v>84.26</v>
      </c>
      <c r="G202" s="135">
        <v>7.9700000000000007E-2</v>
      </c>
      <c r="H202" s="134">
        <v>85.75</v>
      </c>
      <c r="I202" s="135">
        <v>8.09E-2</v>
      </c>
    </row>
    <row r="203" spans="1:9" x14ac:dyDescent="0.35">
      <c r="A203" s="136">
        <v>41568</v>
      </c>
      <c r="B203" s="137">
        <v>92.98</v>
      </c>
      <c r="C203" s="138">
        <v>7.0800000000000002E-2</v>
      </c>
      <c r="D203" s="137">
        <v>88.18</v>
      </c>
      <c r="E203" s="138">
        <v>7.3700000000000002E-2</v>
      </c>
      <c r="F203" s="137">
        <v>84.86</v>
      </c>
      <c r="G203" s="138">
        <v>7.9000000000000001E-2</v>
      </c>
      <c r="H203" s="137">
        <v>86.59</v>
      </c>
      <c r="I203" s="138">
        <v>7.9899999999999999E-2</v>
      </c>
    </row>
    <row r="204" spans="1:9" x14ac:dyDescent="0.35">
      <c r="A204" s="136">
        <v>41569</v>
      </c>
      <c r="B204" s="137">
        <v>92.49</v>
      </c>
      <c r="C204" s="138">
        <v>7.22E-2</v>
      </c>
      <c r="D204" s="137">
        <v>88.4</v>
      </c>
      <c r="E204" s="138">
        <v>7.3400000000000007E-2</v>
      </c>
      <c r="F204" s="137">
        <v>85.25</v>
      </c>
      <c r="G204" s="138">
        <v>7.85E-2</v>
      </c>
      <c r="H204" s="137">
        <v>86.92</v>
      </c>
      <c r="I204" s="138">
        <v>7.9600000000000004E-2</v>
      </c>
    </row>
    <row r="205" spans="1:9" x14ac:dyDescent="0.35">
      <c r="A205" s="136">
        <v>41570</v>
      </c>
      <c r="B205" s="137">
        <v>93.38</v>
      </c>
      <c r="C205" s="138">
        <v>6.9699999999999998E-2</v>
      </c>
      <c r="D205" s="137">
        <v>90</v>
      </c>
      <c r="E205" s="138">
        <v>7.0900000000000005E-2</v>
      </c>
      <c r="F205" s="137">
        <v>87.05</v>
      </c>
      <c r="G205" s="138">
        <v>7.6200000000000004E-2</v>
      </c>
      <c r="H205" s="137">
        <v>89.06</v>
      </c>
      <c r="I205" s="138">
        <v>7.7200000000000005E-2</v>
      </c>
    </row>
    <row r="206" spans="1:9" x14ac:dyDescent="0.35">
      <c r="A206" s="136">
        <v>41571</v>
      </c>
      <c r="B206" s="137">
        <v>93.44</v>
      </c>
      <c r="C206" s="138">
        <v>6.9600000000000009E-2</v>
      </c>
      <c r="D206" s="137">
        <v>89.81</v>
      </c>
      <c r="E206" s="138">
        <v>7.1199999999999999E-2</v>
      </c>
      <c r="F206" s="137">
        <v>87.18</v>
      </c>
      <c r="G206" s="138">
        <v>7.5999999999999998E-2</v>
      </c>
      <c r="H206" s="137">
        <v>89.06</v>
      </c>
      <c r="I206" s="138">
        <v>7.7200000000000005E-2</v>
      </c>
    </row>
    <row r="207" spans="1:9" x14ac:dyDescent="0.35">
      <c r="A207" s="136">
        <v>41572</v>
      </c>
      <c r="B207" s="137">
        <v>94.31</v>
      </c>
      <c r="C207" s="138">
        <v>6.7299999999999999E-2</v>
      </c>
      <c r="D207" s="137">
        <v>89.94</v>
      </c>
      <c r="E207" s="138">
        <v>7.1000000000000008E-2</v>
      </c>
      <c r="F207" s="137">
        <v>87.61</v>
      </c>
      <c r="G207" s="138">
        <v>7.5499999999999998E-2</v>
      </c>
      <c r="H207" s="137">
        <v>88.99</v>
      </c>
      <c r="I207" s="138">
        <v>7.7300000000000008E-2</v>
      </c>
    </row>
    <row r="208" spans="1:9" x14ac:dyDescent="0.35">
      <c r="A208" s="133">
        <v>41575</v>
      </c>
      <c r="B208" s="134">
        <v>94.61</v>
      </c>
      <c r="C208" s="135">
        <v>6.6500000000000004E-2</v>
      </c>
      <c r="D208" s="134">
        <v>91.25</v>
      </c>
      <c r="E208" s="135">
        <v>6.9000000000000006E-2</v>
      </c>
      <c r="F208" s="134">
        <v>88.36</v>
      </c>
      <c r="G208" s="135">
        <v>7.4499999999999997E-2</v>
      </c>
      <c r="H208" s="134">
        <v>89.68</v>
      </c>
      <c r="I208" s="135">
        <v>7.6499999999999999E-2</v>
      </c>
    </row>
    <row r="209" spans="1:9" x14ac:dyDescent="0.35">
      <c r="A209" s="133">
        <v>41576</v>
      </c>
      <c r="B209" s="134">
        <v>95.13</v>
      </c>
      <c r="C209" s="135">
        <v>6.5100000000000005E-2</v>
      </c>
      <c r="D209" s="134">
        <v>91.15</v>
      </c>
      <c r="E209" s="135">
        <v>6.9100000000000009E-2</v>
      </c>
      <c r="F209" s="134">
        <v>88.31</v>
      </c>
      <c r="G209" s="135">
        <v>7.46E-2</v>
      </c>
      <c r="H209" s="134">
        <v>89.75</v>
      </c>
      <c r="I209" s="135">
        <v>7.6499999999999999E-2</v>
      </c>
    </row>
    <row r="210" spans="1:9" x14ac:dyDescent="0.35">
      <c r="A210" s="133">
        <v>41577</v>
      </c>
      <c r="B210" s="134">
        <v>94.42</v>
      </c>
      <c r="C210" s="135">
        <v>6.7000000000000004E-2</v>
      </c>
      <c r="D210" s="134">
        <v>89.47</v>
      </c>
      <c r="E210" s="135">
        <v>7.17E-2</v>
      </c>
      <c r="F210" s="134">
        <v>87.2</v>
      </c>
      <c r="G210" s="135">
        <v>7.5999999999999998E-2</v>
      </c>
      <c r="H210" s="134">
        <v>88.63</v>
      </c>
      <c r="I210" s="135">
        <v>7.7700000000000005E-2</v>
      </c>
    </row>
    <row r="211" spans="1:9" x14ac:dyDescent="0.35">
      <c r="A211" s="133">
        <v>41578</v>
      </c>
      <c r="B211" s="134">
        <v>93.57</v>
      </c>
      <c r="C211" s="135">
        <v>6.93E-2</v>
      </c>
      <c r="D211" s="134">
        <v>87.67</v>
      </c>
      <c r="E211" s="135">
        <v>7.46E-2</v>
      </c>
      <c r="F211" s="134">
        <v>85.29</v>
      </c>
      <c r="G211" s="135">
        <v>7.8399999999999997E-2</v>
      </c>
      <c r="H211" s="134">
        <v>86.11</v>
      </c>
      <c r="I211" s="135">
        <v>8.0500000000000002E-2</v>
      </c>
    </row>
    <row r="212" spans="1:9" x14ac:dyDescent="0.35">
      <c r="A212" s="133">
        <v>41579</v>
      </c>
      <c r="B212" s="134">
        <v>93.3</v>
      </c>
      <c r="C212" s="135">
        <v>7.0000000000000007E-2</v>
      </c>
      <c r="D212" s="134">
        <v>87.16</v>
      </c>
      <c r="E212" s="135">
        <v>7.5400000000000009E-2</v>
      </c>
      <c r="F212" s="134">
        <v>84.91</v>
      </c>
      <c r="G212" s="135">
        <v>7.8899999999999998E-2</v>
      </c>
      <c r="H212" s="134">
        <v>85.82</v>
      </c>
      <c r="I212" s="135">
        <v>8.0799999999999997E-2</v>
      </c>
    </row>
    <row r="213" spans="1:9" x14ac:dyDescent="0.35">
      <c r="A213" s="136">
        <v>41582</v>
      </c>
      <c r="B213" s="137">
        <v>93.08</v>
      </c>
      <c r="C213" s="138">
        <v>7.0699999999999999E-2</v>
      </c>
      <c r="D213" s="137">
        <v>86.41</v>
      </c>
      <c r="E213" s="138">
        <v>7.6700000000000004E-2</v>
      </c>
      <c r="F213" s="137">
        <v>83.48</v>
      </c>
      <c r="G213" s="138">
        <v>8.0799999999999997E-2</v>
      </c>
      <c r="H213" s="137">
        <v>84.23</v>
      </c>
      <c r="I213" s="138">
        <v>8.270000000000001E-2</v>
      </c>
    </row>
    <row r="214" spans="1:9" x14ac:dyDescent="0.35">
      <c r="A214" s="136">
        <v>41584</v>
      </c>
      <c r="B214" s="137">
        <v>92.04</v>
      </c>
      <c r="C214" s="138">
        <v>7.3599999999999999E-2</v>
      </c>
      <c r="D214" s="137">
        <v>85.19</v>
      </c>
      <c r="E214" s="138">
        <v>7.8700000000000006E-2</v>
      </c>
      <c r="F214" s="137">
        <v>81.89</v>
      </c>
      <c r="G214" s="138">
        <v>8.3000000000000004E-2</v>
      </c>
      <c r="H214" s="137">
        <v>82.53</v>
      </c>
      <c r="I214" s="138">
        <v>8.4699999999999998E-2</v>
      </c>
    </row>
    <row r="215" spans="1:9" x14ac:dyDescent="0.35">
      <c r="A215" s="136">
        <v>41585</v>
      </c>
      <c r="B215" s="137">
        <v>92.42</v>
      </c>
      <c r="C215" s="138">
        <v>7.2500000000000009E-2</v>
      </c>
      <c r="D215" s="137">
        <v>85.78</v>
      </c>
      <c r="E215" s="138">
        <v>7.7700000000000005E-2</v>
      </c>
      <c r="F215" s="137">
        <v>82.12</v>
      </c>
      <c r="G215" s="138">
        <v>8.270000000000001E-2</v>
      </c>
      <c r="H215" s="137">
        <v>82.89</v>
      </c>
      <c r="I215" s="138">
        <v>8.43E-2</v>
      </c>
    </row>
    <row r="216" spans="1:9" x14ac:dyDescent="0.35">
      <c r="A216" s="136">
        <v>41586</v>
      </c>
      <c r="B216" s="137">
        <v>92.08</v>
      </c>
      <c r="C216" s="138">
        <v>7.350000000000001E-2</v>
      </c>
      <c r="D216" s="137">
        <v>85.36</v>
      </c>
      <c r="E216" s="138">
        <v>7.8399999999999997E-2</v>
      </c>
      <c r="F216" s="137">
        <v>81.62</v>
      </c>
      <c r="G216" s="138">
        <v>8.3400000000000002E-2</v>
      </c>
      <c r="H216" s="137">
        <v>82.41</v>
      </c>
      <c r="I216" s="138">
        <v>8.4900000000000003E-2</v>
      </c>
    </row>
    <row r="217" spans="1:9" x14ac:dyDescent="0.35">
      <c r="A217" s="133">
        <v>41589</v>
      </c>
      <c r="B217" s="134">
        <v>91.56</v>
      </c>
      <c r="C217" s="135">
        <v>7.4999999999999997E-2</v>
      </c>
      <c r="D217" s="134">
        <v>83.22</v>
      </c>
      <c r="E217" s="135">
        <v>8.2100000000000006E-2</v>
      </c>
      <c r="F217" s="134">
        <v>79.36</v>
      </c>
      <c r="G217" s="135">
        <v>8.6500000000000007E-2</v>
      </c>
      <c r="H217" s="134">
        <v>79.86</v>
      </c>
      <c r="I217" s="135">
        <v>8.8000000000000009E-2</v>
      </c>
    </row>
    <row r="218" spans="1:9" x14ac:dyDescent="0.35">
      <c r="A218" s="133">
        <v>41590</v>
      </c>
      <c r="B218" s="134">
        <v>90.75</v>
      </c>
      <c r="C218" s="135">
        <v>7.7300000000000008E-2</v>
      </c>
      <c r="D218" s="134">
        <v>82.28</v>
      </c>
      <c r="E218" s="135">
        <v>8.3699999999999997E-2</v>
      </c>
      <c r="F218" s="134">
        <v>78.98</v>
      </c>
      <c r="G218" s="135">
        <v>8.7099999999999997E-2</v>
      </c>
      <c r="H218" s="134">
        <v>79.39</v>
      </c>
      <c r="I218" s="135">
        <v>8.8599999999999998E-2</v>
      </c>
    </row>
    <row r="219" spans="1:9" x14ac:dyDescent="0.35">
      <c r="A219" s="133">
        <v>41591</v>
      </c>
      <c r="B219" s="134">
        <v>90.61</v>
      </c>
      <c r="C219" s="135">
        <v>7.7700000000000005E-2</v>
      </c>
      <c r="D219" s="134">
        <v>82.17</v>
      </c>
      <c r="E219" s="135">
        <v>8.3900000000000002E-2</v>
      </c>
      <c r="F219" s="134">
        <v>78.290000000000006</v>
      </c>
      <c r="G219" s="135">
        <v>8.8099999999999998E-2</v>
      </c>
      <c r="H219" s="134">
        <v>79.12</v>
      </c>
      <c r="I219" s="135">
        <v>8.900000000000001E-2</v>
      </c>
    </row>
    <row r="220" spans="1:9" x14ac:dyDescent="0.35">
      <c r="A220" s="133">
        <v>41592</v>
      </c>
      <c r="B220" s="134">
        <v>91</v>
      </c>
      <c r="C220" s="135">
        <v>7.6600000000000001E-2</v>
      </c>
      <c r="D220" s="134">
        <v>83.29</v>
      </c>
      <c r="E220" s="135">
        <v>8.2000000000000003E-2</v>
      </c>
      <c r="F220" s="134">
        <v>78.81</v>
      </c>
      <c r="G220" s="135">
        <v>8.7300000000000003E-2</v>
      </c>
      <c r="H220" s="134">
        <v>79.97</v>
      </c>
      <c r="I220" s="135">
        <v>8.7900000000000006E-2</v>
      </c>
    </row>
    <row r="221" spans="1:9" x14ac:dyDescent="0.35">
      <c r="A221" s="133">
        <v>41593</v>
      </c>
      <c r="B221" s="134">
        <v>90.55</v>
      </c>
      <c r="C221" s="135">
        <v>7.7899999999999997E-2</v>
      </c>
      <c r="D221" s="134">
        <v>82.75</v>
      </c>
      <c r="E221" s="135">
        <v>8.2900000000000001E-2</v>
      </c>
      <c r="F221" s="134">
        <v>78.56</v>
      </c>
      <c r="G221" s="135">
        <v>8.77E-2</v>
      </c>
      <c r="H221" s="134">
        <v>79.41</v>
      </c>
      <c r="I221" s="135">
        <v>8.8599999999999998E-2</v>
      </c>
    </row>
    <row r="222" spans="1:9" x14ac:dyDescent="0.35">
      <c r="A222" s="136">
        <v>41596</v>
      </c>
      <c r="B222" s="137">
        <v>90.51</v>
      </c>
      <c r="C222" s="138">
        <v>7.8E-2</v>
      </c>
      <c r="D222" s="137">
        <v>82.25</v>
      </c>
      <c r="E222" s="138">
        <v>8.3799999999999999E-2</v>
      </c>
      <c r="F222" s="137">
        <v>78.48</v>
      </c>
      <c r="G222" s="138">
        <v>8.7800000000000003E-2</v>
      </c>
      <c r="H222" s="137">
        <v>79.14</v>
      </c>
      <c r="I222" s="138">
        <v>8.900000000000001E-2</v>
      </c>
    </row>
    <row r="223" spans="1:9" x14ac:dyDescent="0.35">
      <c r="A223" s="136">
        <v>41597</v>
      </c>
      <c r="B223" s="137">
        <v>90.6</v>
      </c>
      <c r="C223" s="138">
        <v>7.7800000000000008E-2</v>
      </c>
      <c r="D223" s="137">
        <v>82.68</v>
      </c>
      <c r="E223" s="138">
        <v>8.3000000000000004E-2</v>
      </c>
      <c r="F223" s="137">
        <v>78.099999999999994</v>
      </c>
      <c r="G223" s="138">
        <v>8.8400000000000006E-2</v>
      </c>
      <c r="H223" s="137">
        <v>78.8</v>
      </c>
      <c r="I223" s="138">
        <v>8.9400000000000007E-2</v>
      </c>
    </row>
    <row r="224" spans="1:9" x14ac:dyDescent="0.35">
      <c r="A224" s="136">
        <v>41598</v>
      </c>
      <c r="B224" s="137">
        <v>90.7</v>
      </c>
      <c r="C224" s="138">
        <v>7.7499999999999999E-2</v>
      </c>
      <c r="D224" s="137">
        <v>82.77</v>
      </c>
      <c r="E224" s="138">
        <v>8.2900000000000001E-2</v>
      </c>
      <c r="F224" s="137">
        <v>78.13</v>
      </c>
      <c r="G224" s="138">
        <v>8.8300000000000003E-2</v>
      </c>
      <c r="H224" s="137">
        <v>79.02</v>
      </c>
      <c r="I224" s="138">
        <v>8.9099999999999999E-2</v>
      </c>
    </row>
    <row r="225" spans="1:9" x14ac:dyDescent="0.35">
      <c r="A225" s="136">
        <v>41599</v>
      </c>
      <c r="B225" s="137">
        <v>90.22</v>
      </c>
      <c r="C225" s="138">
        <v>7.8899999999999998E-2</v>
      </c>
      <c r="D225" s="137">
        <v>81.180000000000007</v>
      </c>
      <c r="E225" s="138">
        <v>8.5699999999999998E-2</v>
      </c>
      <c r="F225" s="137">
        <v>76.83</v>
      </c>
      <c r="G225" s="138">
        <v>9.0300000000000005E-2</v>
      </c>
      <c r="H225" s="137">
        <v>77.23</v>
      </c>
      <c r="I225" s="138">
        <v>9.1499999999999998E-2</v>
      </c>
    </row>
    <row r="226" spans="1:9" x14ac:dyDescent="0.35">
      <c r="A226" s="136">
        <v>41600</v>
      </c>
      <c r="B226" s="137">
        <v>90.16</v>
      </c>
      <c r="C226" s="138">
        <v>7.9100000000000004E-2</v>
      </c>
      <c r="D226" s="137">
        <v>81.290000000000006</v>
      </c>
      <c r="E226" s="138">
        <v>8.5500000000000007E-2</v>
      </c>
      <c r="F226" s="137">
        <v>76.540000000000006</v>
      </c>
      <c r="G226" s="138">
        <v>9.0700000000000003E-2</v>
      </c>
      <c r="H226" s="137">
        <v>77.2</v>
      </c>
      <c r="I226" s="138">
        <v>9.1499999999999998E-2</v>
      </c>
    </row>
    <row r="227" spans="1:9" x14ac:dyDescent="0.35">
      <c r="A227" s="133">
        <v>41603</v>
      </c>
      <c r="B227" s="134">
        <v>90.12</v>
      </c>
      <c r="C227" s="135">
        <v>7.9200000000000007E-2</v>
      </c>
      <c r="D227" s="134">
        <v>81.41</v>
      </c>
      <c r="E227" s="135">
        <v>8.5300000000000001E-2</v>
      </c>
      <c r="F227" s="134">
        <v>76.62</v>
      </c>
      <c r="G227" s="135">
        <v>9.06E-2</v>
      </c>
      <c r="H227" s="134">
        <v>77.38</v>
      </c>
      <c r="I227" s="135">
        <v>9.1300000000000006E-2</v>
      </c>
    </row>
    <row r="228" spans="1:9" x14ac:dyDescent="0.35">
      <c r="A228" s="133">
        <v>41604</v>
      </c>
      <c r="B228" s="134">
        <v>90.14</v>
      </c>
      <c r="C228" s="135">
        <v>7.9200000000000007E-2</v>
      </c>
      <c r="D228" s="134">
        <v>81.650000000000006</v>
      </c>
      <c r="E228" s="135">
        <v>8.4900000000000003E-2</v>
      </c>
      <c r="F228" s="134">
        <v>76.72</v>
      </c>
      <c r="G228" s="135">
        <v>9.0499999999999997E-2</v>
      </c>
      <c r="H228" s="134">
        <v>77.92</v>
      </c>
      <c r="I228" s="135">
        <v>9.06E-2</v>
      </c>
    </row>
    <row r="229" spans="1:9" x14ac:dyDescent="0.35">
      <c r="A229" s="133">
        <v>41605</v>
      </c>
      <c r="B229" s="134">
        <v>90.08</v>
      </c>
      <c r="C229" s="135">
        <v>7.9399999999999998E-2</v>
      </c>
      <c r="D229" s="134">
        <v>81.72</v>
      </c>
      <c r="E229" s="135">
        <v>8.48E-2</v>
      </c>
      <c r="F229" s="134">
        <v>76.91</v>
      </c>
      <c r="G229" s="135">
        <v>9.0200000000000002E-2</v>
      </c>
      <c r="H229" s="134">
        <v>77.58</v>
      </c>
      <c r="I229" s="135">
        <v>9.0999999999999998E-2</v>
      </c>
    </row>
    <row r="230" spans="1:9" x14ac:dyDescent="0.35">
      <c r="A230" s="133">
        <v>41606</v>
      </c>
      <c r="B230" s="134">
        <v>89.99</v>
      </c>
      <c r="C230" s="135">
        <v>7.9600000000000004E-2</v>
      </c>
      <c r="D230" s="134">
        <v>81.66</v>
      </c>
      <c r="E230" s="135">
        <v>8.4900000000000003E-2</v>
      </c>
      <c r="F230" s="134">
        <v>76.73</v>
      </c>
      <c r="G230" s="135">
        <v>9.0400000000000008E-2</v>
      </c>
      <c r="H230" s="134">
        <v>77.39</v>
      </c>
      <c r="I230" s="135">
        <v>9.1300000000000006E-2</v>
      </c>
    </row>
    <row r="231" spans="1:9" x14ac:dyDescent="0.35">
      <c r="A231" s="133">
        <v>41607</v>
      </c>
      <c r="B231" s="134">
        <v>89.67</v>
      </c>
      <c r="C231" s="135">
        <v>8.0600000000000005E-2</v>
      </c>
      <c r="D231" s="134">
        <v>81.06</v>
      </c>
      <c r="E231" s="135">
        <v>8.6000000000000007E-2</v>
      </c>
      <c r="F231" s="134">
        <v>76.260000000000005</v>
      </c>
      <c r="G231" s="135">
        <v>9.1200000000000003E-2</v>
      </c>
      <c r="H231" s="134">
        <v>77.08</v>
      </c>
      <c r="I231" s="135">
        <v>9.1700000000000004E-2</v>
      </c>
    </row>
    <row r="232" spans="1:9" x14ac:dyDescent="0.35">
      <c r="A232" s="136">
        <v>41610</v>
      </c>
      <c r="B232" s="137">
        <v>89.63</v>
      </c>
      <c r="C232" s="138">
        <v>8.0700000000000008E-2</v>
      </c>
      <c r="D232" s="137">
        <v>81.02</v>
      </c>
      <c r="E232" s="138">
        <v>8.6000000000000007E-2</v>
      </c>
      <c r="F232" s="137">
        <v>76.17</v>
      </c>
      <c r="G232" s="138">
        <v>9.1300000000000006E-2</v>
      </c>
      <c r="H232" s="137">
        <v>77.069999999999993</v>
      </c>
      <c r="I232" s="138">
        <v>9.1700000000000004E-2</v>
      </c>
    </row>
    <row r="233" spans="1:9" x14ac:dyDescent="0.35">
      <c r="A233" s="136">
        <v>41611</v>
      </c>
      <c r="B233" s="137">
        <v>89.6</v>
      </c>
      <c r="C233" s="138">
        <v>8.09E-2</v>
      </c>
      <c r="D233" s="137">
        <v>81.14</v>
      </c>
      <c r="E233" s="138">
        <v>8.5800000000000001E-2</v>
      </c>
      <c r="F233" s="137">
        <v>76.22</v>
      </c>
      <c r="G233" s="138">
        <v>9.1200000000000003E-2</v>
      </c>
      <c r="H233" s="137">
        <v>77.290000000000006</v>
      </c>
      <c r="I233" s="138">
        <v>9.1400000000000009E-2</v>
      </c>
    </row>
    <row r="234" spans="1:9" x14ac:dyDescent="0.35">
      <c r="A234" s="136">
        <v>41612</v>
      </c>
      <c r="B234" s="137">
        <v>89.48</v>
      </c>
      <c r="C234" s="138">
        <v>8.1200000000000008E-2</v>
      </c>
      <c r="D234" s="137">
        <v>81.489999999999995</v>
      </c>
      <c r="E234" s="138">
        <v>8.5199999999999998E-2</v>
      </c>
      <c r="F234" s="137">
        <v>76.52</v>
      </c>
      <c r="G234" s="138">
        <v>9.0800000000000006E-2</v>
      </c>
      <c r="H234" s="137">
        <v>77.22</v>
      </c>
      <c r="I234" s="138">
        <v>9.1499999999999998E-2</v>
      </c>
    </row>
    <row r="235" spans="1:9" x14ac:dyDescent="0.35">
      <c r="A235" s="136">
        <v>41613</v>
      </c>
      <c r="B235" s="137">
        <v>89.21</v>
      </c>
      <c r="C235" s="138">
        <v>8.2000000000000003E-2</v>
      </c>
      <c r="D235" s="137">
        <v>80.95</v>
      </c>
      <c r="E235" s="138">
        <v>8.6199999999999999E-2</v>
      </c>
      <c r="F235" s="137">
        <v>76.209999999999994</v>
      </c>
      <c r="G235" s="138">
        <v>9.1300000000000006E-2</v>
      </c>
      <c r="H235" s="137">
        <v>77.08</v>
      </c>
      <c r="I235" s="138">
        <v>9.1700000000000004E-2</v>
      </c>
    </row>
    <row r="236" spans="1:9" x14ac:dyDescent="0.35">
      <c r="A236" s="136">
        <v>41614</v>
      </c>
      <c r="B236" s="137">
        <v>89.19</v>
      </c>
      <c r="C236" s="138">
        <v>8.2100000000000006E-2</v>
      </c>
      <c r="D236" s="137">
        <v>80.489999999999995</v>
      </c>
      <c r="E236" s="138">
        <v>8.7000000000000008E-2</v>
      </c>
      <c r="F236" s="137">
        <v>76.150000000000006</v>
      </c>
      <c r="G236" s="138">
        <v>9.1300000000000006E-2</v>
      </c>
      <c r="H236" s="137">
        <v>77.069999999999993</v>
      </c>
      <c r="I236" s="138">
        <v>9.1700000000000004E-2</v>
      </c>
    </row>
    <row r="237" spans="1:9" x14ac:dyDescent="0.35">
      <c r="A237" s="133">
        <v>41617</v>
      </c>
      <c r="B237" s="134">
        <v>89.09</v>
      </c>
      <c r="C237" s="135">
        <v>8.2400000000000001E-2</v>
      </c>
      <c r="D237" s="134">
        <v>80.349999999999994</v>
      </c>
      <c r="E237" s="135">
        <v>8.7300000000000003E-2</v>
      </c>
      <c r="F237" s="134">
        <v>76.12</v>
      </c>
      <c r="G237" s="135">
        <v>9.1400000000000009E-2</v>
      </c>
      <c r="H237" s="134">
        <v>76.599999999999994</v>
      </c>
      <c r="I237" s="135">
        <v>9.2399999999999996E-2</v>
      </c>
    </row>
    <row r="238" spans="1:9" x14ac:dyDescent="0.35">
      <c r="A238" s="133">
        <v>41618</v>
      </c>
      <c r="B238" s="134">
        <v>89.29</v>
      </c>
      <c r="C238" s="135">
        <v>8.1900000000000001E-2</v>
      </c>
      <c r="D238" s="134">
        <v>80.39</v>
      </c>
      <c r="E238" s="135">
        <v>8.72E-2</v>
      </c>
      <c r="F238" s="134">
        <v>75.900000000000006</v>
      </c>
      <c r="G238" s="135">
        <v>9.1700000000000004E-2</v>
      </c>
      <c r="H238" s="134">
        <v>76.86</v>
      </c>
      <c r="I238" s="135">
        <v>9.1999999999999998E-2</v>
      </c>
    </row>
    <row r="239" spans="1:9" x14ac:dyDescent="0.35">
      <c r="A239" s="133">
        <v>41619</v>
      </c>
      <c r="B239" s="134">
        <v>89.44</v>
      </c>
      <c r="C239" s="135">
        <v>8.14E-2</v>
      </c>
      <c r="D239" s="134">
        <v>80.459999999999994</v>
      </c>
      <c r="E239" s="135">
        <v>8.7099999999999997E-2</v>
      </c>
      <c r="F239" s="134">
        <v>75.95</v>
      </c>
      <c r="G239" s="135">
        <v>9.1700000000000004E-2</v>
      </c>
      <c r="H239" s="134">
        <v>76.739999999999995</v>
      </c>
      <c r="I239" s="135">
        <v>9.2200000000000004E-2</v>
      </c>
    </row>
    <row r="240" spans="1:9" x14ac:dyDescent="0.35">
      <c r="A240" s="133">
        <v>41620</v>
      </c>
      <c r="B240" s="134">
        <v>89.46</v>
      </c>
      <c r="C240" s="135">
        <v>8.14E-2</v>
      </c>
      <c r="D240" s="134">
        <v>80.790000000000006</v>
      </c>
      <c r="E240" s="135">
        <v>8.6500000000000007E-2</v>
      </c>
      <c r="F240" s="134">
        <v>76.22</v>
      </c>
      <c r="G240" s="135">
        <v>9.1300000000000006E-2</v>
      </c>
      <c r="H240" s="134">
        <v>76.91</v>
      </c>
      <c r="I240" s="135">
        <v>9.1999999999999998E-2</v>
      </c>
    </row>
    <row r="241" spans="1:9" x14ac:dyDescent="0.35">
      <c r="A241" s="133">
        <v>41621</v>
      </c>
      <c r="B241" s="134">
        <v>89.82</v>
      </c>
      <c r="C241" s="135">
        <v>8.0399999999999999E-2</v>
      </c>
      <c r="D241" s="134">
        <v>81.260000000000005</v>
      </c>
      <c r="E241" s="135">
        <v>8.5699999999999998E-2</v>
      </c>
      <c r="F241" s="134">
        <v>76.63</v>
      </c>
      <c r="G241" s="135">
        <v>9.06E-2</v>
      </c>
      <c r="H241" s="134">
        <v>77.45</v>
      </c>
      <c r="I241" s="135">
        <v>9.1200000000000003E-2</v>
      </c>
    </row>
    <row r="242" spans="1:9" x14ac:dyDescent="0.35">
      <c r="A242" s="136">
        <v>41624</v>
      </c>
      <c r="B242" s="137">
        <v>90.02</v>
      </c>
      <c r="C242" s="138">
        <v>7.9799999999999996E-2</v>
      </c>
      <c r="D242" s="137">
        <v>81.63</v>
      </c>
      <c r="E242" s="138">
        <v>8.5000000000000006E-2</v>
      </c>
      <c r="F242" s="137">
        <v>77.11</v>
      </c>
      <c r="G242" s="138">
        <v>8.9900000000000008E-2</v>
      </c>
      <c r="H242" s="137">
        <v>77.84</v>
      </c>
      <c r="I242" s="138">
        <v>9.0700000000000003E-2</v>
      </c>
    </row>
    <row r="243" spans="1:9" x14ac:dyDescent="0.35">
      <c r="A243" s="136">
        <v>41625</v>
      </c>
      <c r="B243" s="137">
        <v>90.18</v>
      </c>
      <c r="C243" s="138">
        <v>7.9399999999999998E-2</v>
      </c>
      <c r="D243" s="137">
        <v>81.790000000000006</v>
      </c>
      <c r="E243" s="138">
        <v>8.48E-2</v>
      </c>
      <c r="F243" s="137">
        <v>77.42</v>
      </c>
      <c r="G243" s="138">
        <v>8.9499999999999996E-2</v>
      </c>
      <c r="H243" s="137">
        <v>77.989999999999995</v>
      </c>
      <c r="I243" s="138">
        <v>9.0499999999999997E-2</v>
      </c>
    </row>
    <row r="244" spans="1:9" x14ac:dyDescent="0.35">
      <c r="A244" s="136">
        <v>41626</v>
      </c>
      <c r="B244" s="137">
        <v>90.24</v>
      </c>
      <c r="C244" s="138">
        <v>7.9200000000000007E-2</v>
      </c>
      <c r="D244" s="137">
        <v>82.32</v>
      </c>
      <c r="E244" s="138">
        <v>8.3799999999999999E-2</v>
      </c>
      <c r="F244" s="137">
        <v>77.83</v>
      </c>
      <c r="G244" s="138">
        <v>8.8900000000000007E-2</v>
      </c>
      <c r="H244" s="137">
        <v>78.400000000000006</v>
      </c>
      <c r="I244" s="138">
        <v>0.09</v>
      </c>
    </row>
    <row r="245" spans="1:9" x14ac:dyDescent="0.35">
      <c r="A245" s="136">
        <v>41627</v>
      </c>
      <c r="B245" s="137">
        <v>90.23</v>
      </c>
      <c r="C245" s="138">
        <v>7.9300000000000009E-2</v>
      </c>
      <c r="D245" s="137">
        <v>82.22</v>
      </c>
      <c r="E245" s="138">
        <v>8.4000000000000005E-2</v>
      </c>
      <c r="F245" s="137">
        <v>77.63</v>
      </c>
      <c r="G245" s="138">
        <v>8.9200000000000002E-2</v>
      </c>
      <c r="H245" s="137">
        <v>78.459999999999994</v>
      </c>
      <c r="I245" s="138">
        <v>8.9900000000000008E-2</v>
      </c>
    </row>
    <row r="246" spans="1:9" x14ac:dyDescent="0.35">
      <c r="A246" s="136">
        <v>41628</v>
      </c>
      <c r="B246" s="137">
        <v>90.32</v>
      </c>
      <c r="C246" s="138">
        <v>7.9000000000000001E-2</v>
      </c>
      <c r="D246" s="137">
        <v>82.24</v>
      </c>
      <c r="E246" s="138">
        <v>8.4000000000000005E-2</v>
      </c>
      <c r="F246" s="137">
        <v>77.599999999999994</v>
      </c>
      <c r="G246" s="138">
        <v>8.9200000000000002E-2</v>
      </c>
      <c r="H246" s="137">
        <v>78.45</v>
      </c>
      <c r="I246" s="138">
        <v>8.9900000000000008E-2</v>
      </c>
    </row>
    <row r="247" spans="1:9" x14ac:dyDescent="0.35">
      <c r="A247" s="133">
        <v>41631</v>
      </c>
      <c r="B247" s="134">
        <v>90.17</v>
      </c>
      <c r="C247" s="135">
        <v>7.9500000000000001E-2</v>
      </c>
      <c r="D247" s="134">
        <v>82.21</v>
      </c>
      <c r="E247" s="135">
        <v>8.4100000000000008E-2</v>
      </c>
      <c r="F247" s="134">
        <v>77.61</v>
      </c>
      <c r="G247" s="135">
        <v>8.9200000000000002E-2</v>
      </c>
      <c r="H247" s="134">
        <v>78.489999999999995</v>
      </c>
      <c r="I247" s="135">
        <v>8.9900000000000008E-2</v>
      </c>
    </row>
    <row r="248" spans="1:9" x14ac:dyDescent="0.35">
      <c r="A248" s="133">
        <v>41632</v>
      </c>
      <c r="B248" s="134">
        <v>90.22</v>
      </c>
      <c r="C248" s="135">
        <v>7.9399999999999998E-2</v>
      </c>
      <c r="D248" s="134">
        <v>82.3</v>
      </c>
      <c r="E248" s="135">
        <v>8.3900000000000002E-2</v>
      </c>
      <c r="F248" s="134">
        <v>77.7</v>
      </c>
      <c r="G248" s="135">
        <v>8.9099999999999999E-2</v>
      </c>
      <c r="H248" s="134">
        <v>78.45</v>
      </c>
      <c r="I248" s="135">
        <v>8.9900000000000008E-2</v>
      </c>
    </row>
    <row r="249" spans="1:9" x14ac:dyDescent="0.35">
      <c r="A249" s="136">
        <v>41635</v>
      </c>
      <c r="B249" s="137">
        <v>90.27</v>
      </c>
      <c r="C249" s="138">
        <v>7.9300000000000009E-2</v>
      </c>
      <c r="D249" s="137">
        <v>82.25</v>
      </c>
      <c r="E249" s="138">
        <v>8.4000000000000005E-2</v>
      </c>
      <c r="F249" s="137">
        <v>77.77</v>
      </c>
      <c r="G249" s="138">
        <v>8.900000000000001E-2</v>
      </c>
      <c r="H249" s="137">
        <v>78.569999999999993</v>
      </c>
      <c r="I249" s="138">
        <v>8.9800000000000005E-2</v>
      </c>
    </row>
    <row r="250" spans="1:9" x14ac:dyDescent="0.35">
      <c r="A250" s="136">
        <v>41638</v>
      </c>
      <c r="B250" s="137">
        <v>90.23</v>
      </c>
      <c r="C250" s="138">
        <v>7.9399999999999998E-2</v>
      </c>
      <c r="D250" s="137">
        <v>82.16</v>
      </c>
      <c r="E250" s="138">
        <v>8.4199999999999997E-2</v>
      </c>
      <c r="F250" s="137">
        <v>77.72</v>
      </c>
      <c r="G250" s="138">
        <v>8.9099999999999999E-2</v>
      </c>
      <c r="H250" s="137">
        <v>78.61</v>
      </c>
      <c r="I250" s="138">
        <v>8.9700000000000002E-2</v>
      </c>
    </row>
    <row r="251" spans="1:9" x14ac:dyDescent="0.35">
      <c r="A251" s="136">
        <v>41639</v>
      </c>
      <c r="B251" s="137">
        <v>90.28</v>
      </c>
      <c r="C251" s="138">
        <v>7.9300000000000009E-2</v>
      </c>
      <c r="D251" s="137">
        <v>82.2</v>
      </c>
      <c r="E251" s="138">
        <v>8.4100000000000008E-2</v>
      </c>
      <c r="F251" s="137">
        <v>77.709999999999994</v>
      </c>
      <c r="G251" s="138">
        <v>8.9099999999999999E-2</v>
      </c>
      <c r="H251" s="137">
        <v>78.72</v>
      </c>
      <c r="I251" s="138">
        <v>8.9599999999999999E-2</v>
      </c>
    </row>
  </sheetData>
  <mergeCells count="18">
    <mergeCell ref="F4:G4"/>
    <mergeCell ref="H4:I4"/>
    <mergeCell ref="B5:C5"/>
    <mergeCell ref="D5:E5"/>
    <mergeCell ref="F5:G5"/>
    <mergeCell ref="H5:I5"/>
    <mergeCell ref="A1:I1"/>
    <mergeCell ref="A2:A6"/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49"/>
  <sheetViews>
    <sheetView workbookViewId="0">
      <pane ySplit="6" topLeftCell="A232" activePane="bottomLeft" state="frozen"/>
      <selection activeCell="A55" sqref="A55"/>
      <selection pane="bottomLeft" activeCell="A55" sqref="A55"/>
    </sheetView>
  </sheetViews>
  <sheetFormatPr defaultColWidth="0" defaultRowHeight="14.5" x14ac:dyDescent="0.35"/>
  <cols>
    <col min="1" max="1" width="12.453125" style="47" customWidth="1"/>
    <col min="2" max="9" width="10" style="47" customWidth="1"/>
    <col min="10" max="10" width="9.1796875" style="47" customWidth="1"/>
    <col min="11" max="16384" width="9.1796875" style="47" hidden="1"/>
  </cols>
  <sheetData>
    <row r="1" spans="1:10" x14ac:dyDescent="0.35">
      <c r="A1" s="480" t="s">
        <v>72</v>
      </c>
      <c r="B1" s="481"/>
      <c r="C1" s="481"/>
      <c r="D1" s="481"/>
      <c r="E1" s="481"/>
      <c r="F1" s="481"/>
      <c r="G1" s="481"/>
      <c r="H1" s="481"/>
      <c r="I1" s="481"/>
    </row>
    <row r="2" spans="1:10" x14ac:dyDescent="0.35">
      <c r="A2" s="482" t="s">
        <v>73</v>
      </c>
      <c r="B2" s="485" t="s">
        <v>74</v>
      </c>
      <c r="C2" s="485"/>
      <c r="D2" s="485" t="s">
        <v>75</v>
      </c>
      <c r="E2" s="485"/>
      <c r="F2" s="485" t="s">
        <v>76</v>
      </c>
      <c r="G2" s="485"/>
      <c r="H2" s="485" t="s">
        <v>77</v>
      </c>
      <c r="I2" s="485"/>
    </row>
    <row r="3" spans="1:10" x14ac:dyDescent="0.35">
      <c r="A3" s="483"/>
      <c r="B3" s="485" t="s">
        <v>84</v>
      </c>
      <c r="C3" s="485"/>
      <c r="D3" s="485" t="s">
        <v>85</v>
      </c>
      <c r="E3" s="485"/>
      <c r="F3" s="485" t="s">
        <v>86</v>
      </c>
      <c r="G3" s="485"/>
      <c r="H3" s="485" t="s">
        <v>87</v>
      </c>
      <c r="I3" s="485"/>
    </row>
    <row r="4" spans="1:10" x14ac:dyDescent="0.35">
      <c r="A4" s="483"/>
      <c r="B4" s="486">
        <v>7.8750000000000001E-2</v>
      </c>
      <c r="C4" s="486"/>
      <c r="D4" s="486">
        <v>8.3750000000000005E-2</v>
      </c>
      <c r="E4" s="486"/>
      <c r="F4" s="486">
        <v>0.09</v>
      </c>
      <c r="G4" s="486"/>
      <c r="H4" s="486">
        <v>8.3750000000000005E-2</v>
      </c>
      <c r="I4" s="486"/>
    </row>
    <row r="5" spans="1:10" x14ac:dyDescent="0.35">
      <c r="A5" s="483"/>
      <c r="B5" s="479">
        <v>43570</v>
      </c>
      <c r="C5" s="479"/>
      <c r="D5" s="479">
        <v>45366</v>
      </c>
      <c r="E5" s="479"/>
      <c r="F5" s="479">
        <v>47192</v>
      </c>
      <c r="G5" s="479"/>
      <c r="H5" s="479">
        <v>49018</v>
      </c>
      <c r="I5" s="479"/>
    </row>
    <row r="6" spans="1:10" ht="29" x14ac:dyDescent="0.35">
      <c r="A6" s="484"/>
      <c r="B6" s="131" t="s">
        <v>82</v>
      </c>
      <c r="C6" s="132" t="s">
        <v>83</v>
      </c>
      <c r="D6" s="131" t="s">
        <v>82</v>
      </c>
      <c r="E6" s="132" t="s">
        <v>83</v>
      </c>
      <c r="F6" s="131" t="s">
        <v>82</v>
      </c>
      <c r="G6" s="132" t="s">
        <v>83</v>
      </c>
      <c r="H6" s="131" t="s">
        <v>82</v>
      </c>
      <c r="I6" s="132" t="s">
        <v>83</v>
      </c>
    </row>
    <row r="7" spans="1:10" x14ac:dyDescent="0.35">
      <c r="A7" s="133">
        <v>41641</v>
      </c>
      <c r="B7" s="134">
        <v>100.86</v>
      </c>
      <c r="C7" s="135">
        <v>7.6700000000000004E-2</v>
      </c>
      <c r="D7" s="134">
        <v>95.37</v>
      </c>
      <c r="E7" s="135">
        <v>9.0800000000000006E-2</v>
      </c>
      <c r="F7" s="134">
        <v>99.54</v>
      </c>
      <c r="G7" s="135">
        <v>9.06E-2</v>
      </c>
      <c r="H7" s="134">
        <v>99.89</v>
      </c>
      <c r="I7" s="135">
        <v>8.3900000000000002E-2</v>
      </c>
      <c r="J7" s="139"/>
    </row>
    <row r="8" spans="1:10" x14ac:dyDescent="0.35">
      <c r="A8" s="133">
        <v>41642</v>
      </c>
      <c r="B8" s="134">
        <v>99.88</v>
      </c>
      <c r="C8" s="135">
        <v>7.9000000000000001E-2</v>
      </c>
      <c r="D8" s="134">
        <v>94.39</v>
      </c>
      <c r="E8" s="135">
        <v>9.2399999999999996E-2</v>
      </c>
      <c r="F8" s="134">
        <v>98.78</v>
      </c>
      <c r="G8" s="135">
        <v>9.1499999999999998E-2</v>
      </c>
      <c r="H8" s="134">
        <v>98.73</v>
      </c>
      <c r="I8" s="135">
        <v>8.5100000000000009E-2</v>
      </c>
      <c r="J8" s="139"/>
    </row>
    <row r="9" spans="1:10" x14ac:dyDescent="0.35">
      <c r="A9" s="136">
        <v>41645</v>
      </c>
      <c r="B9" s="137">
        <v>97</v>
      </c>
      <c r="C9" s="138">
        <v>8.6000000000000007E-2</v>
      </c>
      <c r="D9" s="137">
        <v>90.93</v>
      </c>
      <c r="E9" s="138">
        <v>9.8000000000000004E-2</v>
      </c>
      <c r="F9" s="137">
        <v>97.64</v>
      </c>
      <c r="G9" s="138">
        <v>9.2999999999999999E-2</v>
      </c>
      <c r="H9" s="137">
        <v>96.22</v>
      </c>
      <c r="I9" s="138">
        <v>8.7800000000000003E-2</v>
      </c>
      <c r="J9" s="139"/>
    </row>
    <row r="10" spans="1:10" x14ac:dyDescent="0.35">
      <c r="A10" s="136">
        <v>41646</v>
      </c>
      <c r="B10" s="137">
        <v>97.08</v>
      </c>
      <c r="C10" s="138">
        <v>8.5800000000000001E-2</v>
      </c>
      <c r="D10" s="137">
        <v>95.21</v>
      </c>
      <c r="E10" s="138">
        <v>9.11E-2</v>
      </c>
      <c r="F10" s="137">
        <v>96.02</v>
      </c>
      <c r="G10" s="138">
        <v>9.5000000000000001E-2</v>
      </c>
      <c r="H10" s="137">
        <v>89.95</v>
      </c>
      <c r="I10" s="138">
        <v>9.5100000000000004E-2</v>
      </c>
      <c r="J10" s="139"/>
    </row>
    <row r="11" spans="1:10" x14ac:dyDescent="0.35">
      <c r="A11" s="136">
        <v>41647</v>
      </c>
      <c r="B11" s="137">
        <v>97.46</v>
      </c>
      <c r="C11" s="138">
        <v>8.48E-2</v>
      </c>
      <c r="D11" s="137">
        <v>96.65</v>
      </c>
      <c r="E11" s="138">
        <v>8.8800000000000004E-2</v>
      </c>
      <c r="F11" s="137">
        <v>96.59</v>
      </c>
      <c r="G11" s="138">
        <v>9.4300000000000009E-2</v>
      </c>
      <c r="H11" s="137">
        <v>90.2</v>
      </c>
      <c r="I11" s="138">
        <v>9.4800000000000009E-2</v>
      </c>
      <c r="J11" s="139"/>
    </row>
    <row r="12" spans="1:10" x14ac:dyDescent="0.35">
      <c r="A12" s="136">
        <v>41648</v>
      </c>
      <c r="B12" s="137">
        <v>97.86</v>
      </c>
      <c r="C12" s="138">
        <v>8.3900000000000002E-2</v>
      </c>
      <c r="D12" s="137">
        <v>96.24</v>
      </c>
      <c r="E12" s="138">
        <v>8.9499999999999996E-2</v>
      </c>
      <c r="F12" s="137">
        <v>96.6</v>
      </c>
      <c r="G12" s="138">
        <v>9.4300000000000009E-2</v>
      </c>
      <c r="H12" s="137">
        <v>90.35</v>
      </c>
      <c r="I12" s="138">
        <v>9.4600000000000004E-2</v>
      </c>
      <c r="J12" s="139"/>
    </row>
    <row r="13" spans="1:10" x14ac:dyDescent="0.35">
      <c r="A13" s="136">
        <v>41649</v>
      </c>
      <c r="B13" s="137">
        <v>98.73</v>
      </c>
      <c r="C13" s="138">
        <v>8.1799999999999998E-2</v>
      </c>
      <c r="D13" s="137">
        <v>97.57</v>
      </c>
      <c r="E13" s="138">
        <v>8.7400000000000005E-2</v>
      </c>
      <c r="F13" s="137">
        <v>97.47</v>
      </c>
      <c r="G13" s="138">
        <v>9.3200000000000005E-2</v>
      </c>
      <c r="H13" s="137">
        <v>91.15</v>
      </c>
      <c r="I13" s="138">
        <v>9.3600000000000003E-2</v>
      </c>
      <c r="J13" s="139"/>
    </row>
    <row r="14" spans="1:10" x14ac:dyDescent="0.35">
      <c r="A14" s="133">
        <v>41652</v>
      </c>
      <c r="B14" s="134">
        <v>99.47</v>
      </c>
      <c r="C14" s="135">
        <v>0.08</v>
      </c>
      <c r="D14" s="134">
        <v>99.09</v>
      </c>
      <c r="E14" s="135">
        <v>8.5100000000000009E-2</v>
      </c>
      <c r="F14" s="134">
        <v>99.01</v>
      </c>
      <c r="G14" s="135">
        <v>9.1200000000000003E-2</v>
      </c>
      <c r="H14" s="134">
        <v>92.54</v>
      </c>
      <c r="I14" s="135">
        <v>9.1999999999999998E-2</v>
      </c>
      <c r="J14" s="139"/>
    </row>
    <row r="15" spans="1:10" x14ac:dyDescent="0.35">
      <c r="A15" s="133">
        <v>41654</v>
      </c>
      <c r="B15" s="134">
        <v>99.76</v>
      </c>
      <c r="C15" s="135">
        <v>7.9300000000000009E-2</v>
      </c>
      <c r="D15" s="134">
        <v>98.73</v>
      </c>
      <c r="E15" s="135">
        <v>8.5699999999999998E-2</v>
      </c>
      <c r="F15" s="134">
        <v>98.77</v>
      </c>
      <c r="G15" s="135">
        <v>9.1499999999999998E-2</v>
      </c>
      <c r="H15" s="134">
        <v>93.58</v>
      </c>
      <c r="I15" s="135">
        <v>9.0800000000000006E-2</v>
      </c>
      <c r="J15" s="139"/>
    </row>
    <row r="16" spans="1:10" x14ac:dyDescent="0.35">
      <c r="A16" s="133">
        <v>41655</v>
      </c>
      <c r="B16" s="134">
        <v>99.88</v>
      </c>
      <c r="C16" s="135">
        <v>7.9000000000000001E-2</v>
      </c>
      <c r="D16" s="134">
        <v>99.65</v>
      </c>
      <c r="E16" s="135">
        <v>8.43E-2</v>
      </c>
      <c r="F16" s="134">
        <v>100.01</v>
      </c>
      <c r="G16" s="135">
        <v>0.09</v>
      </c>
      <c r="H16" s="134">
        <v>95.09</v>
      </c>
      <c r="I16" s="135">
        <v>8.9099999999999999E-2</v>
      </c>
      <c r="J16" s="139"/>
    </row>
    <row r="17" spans="1:10" x14ac:dyDescent="0.35">
      <c r="A17" s="133">
        <v>41656</v>
      </c>
      <c r="B17" s="134">
        <v>100.76</v>
      </c>
      <c r="C17" s="135">
        <v>7.6999999999999999E-2</v>
      </c>
      <c r="D17" s="134">
        <v>100.11</v>
      </c>
      <c r="E17" s="135">
        <v>8.3600000000000008E-2</v>
      </c>
      <c r="F17" s="134">
        <v>100.73</v>
      </c>
      <c r="G17" s="135">
        <v>8.9099999999999999E-2</v>
      </c>
      <c r="H17" s="134">
        <v>96.34</v>
      </c>
      <c r="I17" s="135">
        <v>8.77E-2</v>
      </c>
      <c r="J17" s="139"/>
    </row>
    <row r="18" spans="1:10" x14ac:dyDescent="0.35">
      <c r="A18" s="136">
        <v>41659</v>
      </c>
      <c r="B18" s="137">
        <v>100.48</v>
      </c>
      <c r="C18" s="138">
        <v>7.7600000000000002E-2</v>
      </c>
      <c r="D18" s="137">
        <v>99.66</v>
      </c>
      <c r="E18" s="138">
        <v>8.43E-2</v>
      </c>
      <c r="F18" s="137">
        <v>100.23</v>
      </c>
      <c r="G18" s="138">
        <v>8.9700000000000002E-2</v>
      </c>
      <c r="H18" s="137">
        <v>95.95</v>
      </c>
      <c r="I18" s="138">
        <v>8.8099999999999998E-2</v>
      </c>
      <c r="J18" s="139"/>
    </row>
    <row r="19" spans="1:10" x14ac:dyDescent="0.35">
      <c r="A19" s="136">
        <v>41660</v>
      </c>
      <c r="B19" s="137">
        <v>100.32</v>
      </c>
      <c r="C19" s="138">
        <v>7.8E-2</v>
      </c>
      <c r="D19" s="137">
        <v>99.92</v>
      </c>
      <c r="E19" s="138">
        <v>8.3900000000000002E-2</v>
      </c>
      <c r="F19" s="137">
        <v>100.14</v>
      </c>
      <c r="G19" s="138">
        <v>8.9900000000000008E-2</v>
      </c>
      <c r="H19" s="137">
        <v>95.67</v>
      </c>
      <c r="I19" s="138">
        <v>8.8400000000000006E-2</v>
      </c>
      <c r="J19" s="139"/>
    </row>
    <row r="20" spans="1:10" x14ac:dyDescent="0.35">
      <c r="A20" s="136">
        <v>41661</v>
      </c>
      <c r="B20" s="137">
        <v>100.22</v>
      </c>
      <c r="C20" s="138">
        <v>7.8200000000000006E-2</v>
      </c>
      <c r="D20" s="137">
        <v>99.23</v>
      </c>
      <c r="E20" s="138">
        <v>8.4900000000000003E-2</v>
      </c>
      <c r="F20" s="137">
        <v>99.62</v>
      </c>
      <c r="G20" s="138">
        <v>9.0499999999999997E-2</v>
      </c>
      <c r="H20" s="137">
        <v>95.3</v>
      </c>
      <c r="I20" s="138">
        <v>8.8800000000000004E-2</v>
      </c>
      <c r="J20" s="139"/>
    </row>
    <row r="21" spans="1:10" x14ac:dyDescent="0.35">
      <c r="A21" s="136">
        <v>41662</v>
      </c>
      <c r="B21" s="137">
        <v>99.97</v>
      </c>
      <c r="C21" s="138">
        <v>7.8800000000000009E-2</v>
      </c>
      <c r="D21" s="137">
        <v>98.73</v>
      </c>
      <c r="E21" s="138">
        <v>8.5699999999999998E-2</v>
      </c>
      <c r="F21" s="137">
        <v>99.59</v>
      </c>
      <c r="G21" s="138">
        <v>9.0499999999999997E-2</v>
      </c>
      <c r="H21" s="137">
        <v>95.2</v>
      </c>
      <c r="I21" s="138">
        <v>8.8900000000000007E-2</v>
      </c>
      <c r="J21" s="139"/>
    </row>
    <row r="22" spans="1:10" x14ac:dyDescent="0.35">
      <c r="A22" s="136">
        <v>41663</v>
      </c>
      <c r="B22" s="137">
        <v>99.55</v>
      </c>
      <c r="C22" s="138">
        <v>7.9799999999999996E-2</v>
      </c>
      <c r="D22" s="137">
        <v>98.31</v>
      </c>
      <c r="E22" s="138">
        <v>8.6300000000000002E-2</v>
      </c>
      <c r="F22" s="137">
        <v>99.16</v>
      </c>
      <c r="G22" s="138">
        <v>9.11E-2</v>
      </c>
      <c r="H22" s="137">
        <v>94.28</v>
      </c>
      <c r="I22" s="138">
        <v>0.09</v>
      </c>
      <c r="J22" s="139"/>
    </row>
    <row r="23" spans="1:10" x14ac:dyDescent="0.35">
      <c r="A23" s="133">
        <v>41666</v>
      </c>
      <c r="B23" s="134">
        <v>99.37</v>
      </c>
      <c r="C23" s="135">
        <v>8.0299999999999996E-2</v>
      </c>
      <c r="D23" s="134">
        <v>96.4</v>
      </c>
      <c r="E23" s="135">
        <v>8.9200000000000002E-2</v>
      </c>
      <c r="F23" s="134">
        <v>96.78</v>
      </c>
      <c r="G23" s="135">
        <v>9.4100000000000003E-2</v>
      </c>
      <c r="H23" s="134">
        <v>91.18</v>
      </c>
      <c r="I23" s="135">
        <v>9.3600000000000003E-2</v>
      </c>
      <c r="J23" s="139"/>
    </row>
    <row r="24" spans="1:10" x14ac:dyDescent="0.35">
      <c r="A24" s="133">
        <v>41667</v>
      </c>
      <c r="B24" s="134">
        <v>99.24</v>
      </c>
      <c r="C24" s="135">
        <v>8.0600000000000005E-2</v>
      </c>
      <c r="D24" s="134">
        <v>95.69</v>
      </c>
      <c r="E24" s="135">
        <v>9.0400000000000008E-2</v>
      </c>
      <c r="F24" s="134">
        <v>95.81</v>
      </c>
      <c r="G24" s="135">
        <v>9.530000000000001E-2</v>
      </c>
      <c r="H24" s="134">
        <v>89.64</v>
      </c>
      <c r="I24" s="135">
        <v>9.5500000000000002E-2</v>
      </c>
      <c r="J24" s="139"/>
    </row>
    <row r="25" spans="1:10" x14ac:dyDescent="0.35">
      <c r="A25" s="133">
        <v>41668</v>
      </c>
      <c r="B25" s="134">
        <v>99.85</v>
      </c>
      <c r="C25" s="135">
        <v>7.9100000000000004E-2</v>
      </c>
      <c r="D25" s="134">
        <v>97.28</v>
      </c>
      <c r="E25" s="135">
        <v>8.7900000000000006E-2</v>
      </c>
      <c r="F25" s="134">
        <v>97.64</v>
      </c>
      <c r="G25" s="135">
        <v>9.2999999999999999E-2</v>
      </c>
      <c r="H25" s="134">
        <v>91.95</v>
      </c>
      <c r="I25" s="135">
        <v>9.2700000000000005E-2</v>
      </c>
      <c r="J25" s="139"/>
    </row>
    <row r="26" spans="1:10" x14ac:dyDescent="0.35">
      <c r="A26" s="133">
        <v>41669</v>
      </c>
      <c r="B26" s="134">
        <v>99.67</v>
      </c>
      <c r="C26" s="135">
        <v>7.9500000000000001E-2</v>
      </c>
      <c r="D26" s="134">
        <v>97.1</v>
      </c>
      <c r="E26" s="135">
        <v>8.8200000000000001E-2</v>
      </c>
      <c r="F26" s="134">
        <v>97.33</v>
      </c>
      <c r="G26" s="135">
        <v>9.3399999999999997E-2</v>
      </c>
      <c r="H26" s="134">
        <v>91.22</v>
      </c>
      <c r="I26" s="135">
        <v>9.35E-2</v>
      </c>
      <c r="J26" s="139"/>
    </row>
    <row r="27" spans="1:10" x14ac:dyDescent="0.35">
      <c r="A27" s="136">
        <v>41673</v>
      </c>
      <c r="B27" s="137">
        <v>99.66</v>
      </c>
      <c r="C27" s="138">
        <v>7.9600000000000004E-2</v>
      </c>
      <c r="D27" s="137">
        <v>96.64</v>
      </c>
      <c r="E27" s="138">
        <v>8.8900000000000007E-2</v>
      </c>
      <c r="F27" s="137">
        <v>96.75</v>
      </c>
      <c r="G27" s="138">
        <v>9.4100000000000003E-2</v>
      </c>
      <c r="H27" s="137">
        <v>90.16</v>
      </c>
      <c r="I27" s="138">
        <v>9.4800000000000009E-2</v>
      </c>
      <c r="J27" s="139"/>
    </row>
    <row r="28" spans="1:10" x14ac:dyDescent="0.35">
      <c r="A28" s="136">
        <v>41674</v>
      </c>
      <c r="B28" s="137">
        <v>99.47</v>
      </c>
      <c r="C28" s="138">
        <v>0.08</v>
      </c>
      <c r="D28" s="137">
        <v>95.31</v>
      </c>
      <c r="E28" s="138">
        <v>9.0999999999999998E-2</v>
      </c>
      <c r="F28" s="137">
        <v>95.49</v>
      </c>
      <c r="G28" s="138">
        <v>9.5700000000000007E-2</v>
      </c>
      <c r="H28" s="137">
        <v>89.34</v>
      </c>
      <c r="I28" s="138">
        <v>9.5799999999999996E-2</v>
      </c>
      <c r="J28" s="139"/>
    </row>
    <row r="29" spans="1:10" x14ac:dyDescent="0.35">
      <c r="A29" s="136">
        <v>41675</v>
      </c>
      <c r="B29" s="137">
        <v>99.16</v>
      </c>
      <c r="C29" s="138">
        <v>8.0799999999999997E-2</v>
      </c>
      <c r="D29" s="137">
        <v>96.03</v>
      </c>
      <c r="E29" s="138">
        <v>8.9800000000000005E-2</v>
      </c>
      <c r="F29" s="137">
        <v>96.12</v>
      </c>
      <c r="G29" s="138">
        <v>9.4899999999999998E-2</v>
      </c>
      <c r="H29" s="137">
        <v>89.77</v>
      </c>
      <c r="I29" s="138">
        <v>9.530000000000001E-2</v>
      </c>
      <c r="J29" s="139"/>
    </row>
    <row r="30" spans="1:10" x14ac:dyDescent="0.35">
      <c r="A30" s="136">
        <v>41676</v>
      </c>
      <c r="B30" s="137">
        <v>99.68</v>
      </c>
      <c r="C30" s="138">
        <v>7.9500000000000001E-2</v>
      </c>
      <c r="D30" s="137">
        <v>96.06</v>
      </c>
      <c r="E30" s="138">
        <v>8.9800000000000005E-2</v>
      </c>
      <c r="F30" s="137">
        <v>96.13</v>
      </c>
      <c r="G30" s="138">
        <v>9.4899999999999998E-2</v>
      </c>
      <c r="H30" s="137">
        <v>89.67</v>
      </c>
      <c r="I30" s="138">
        <v>9.5399999999999999E-2</v>
      </c>
      <c r="J30" s="139"/>
    </row>
    <row r="31" spans="1:10" x14ac:dyDescent="0.35">
      <c r="A31" s="136">
        <v>41677</v>
      </c>
      <c r="B31" s="137">
        <v>99.55</v>
      </c>
      <c r="C31" s="138">
        <v>7.9799999999999996E-2</v>
      </c>
      <c r="D31" s="137">
        <v>95.87</v>
      </c>
      <c r="E31" s="138">
        <v>9.01E-2</v>
      </c>
      <c r="F31" s="137">
        <v>95.82</v>
      </c>
      <c r="G31" s="138">
        <v>9.530000000000001E-2</v>
      </c>
      <c r="H31" s="137">
        <v>89.58</v>
      </c>
      <c r="I31" s="138">
        <v>9.5500000000000002E-2</v>
      </c>
      <c r="J31" s="139"/>
    </row>
    <row r="32" spans="1:10" x14ac:dyDescent="0.35">
      <c r="A32" s="133">
        <v>41680</v>
      </c>
      <c r="B32" s="134">
        <v>99.5</v>
      </c>
      <c r="C32" s="135">
        <v>0.08</v>
      </c>
      <c r="D32" s="134">
        <v>95.28</v>
      </c>
      <c r="E32" s="135">
        <v>9.0999999999999998E-2</v>
      </c>
      <c r="F32" s="134">
        <v>95.61</v>
      </c>
      <c r="G32" s="135">
        <v>9.5600000000000004E-2</v>
      </c>
      <c r="H32" s="134">
        <v>88.87</v>
      </c>
      <c r="I32" s="135">
        <v>9.64E-2</v>
      </c>
      <c r="J32" s="139"/>
    </row>
    <row r="33" spans="1:10" x14ac:dyDescent="0.35">
      <c r="A33" s="133">
        <v>41681</v>
      </c>
      <c r="B33" s="134">
        <v>99.68</v>
      </c>
      <c r="C33" s="135">
        <v>7.9500000000000001E-2</v>
      </c>
      <c r="D33" s="134">
        <v>95.98</v>
      </c>
      <c r="E33" s="135">
        <v>8.9900000000000008E-2</v>
      </c>
      <c r="F33" s="134">
        <v>96.01</v>
      </c>
      <c r="G33" s="135">
        <v>9.5100000000000004E-2</v>
      </c>
      <c r="H33" s="134">
        <v>89.490000000000009</v>
      </c>
      <c r="I33" s="135">
        <v>9.5700000000000007E-2</v>
      </c>
      <c r="J33" s="139"/>
    </row>
    <row r="34" spans="1:10" x14ac:dyDescent="0.35">
      <c r="A34" s="133">
        <v>41682</v>
      </c>
      <c r="B34" s="134">
        <v>100.05</v>
      </c>
      <c r="C34" s="135">
        <v>7.8600000000000003E-2</v>
      </c>
      <c r="D34" s="134">
        <v>97.53</v>
      </c>
      <c r="E34" s="135">
        <v>8.7500000000000008E-2</v>
      </c>
      <c r="F34" s="134">
        <v>97.550000000000011</v>
      </c>
      <c r="G34" s="135">
        <v>9.3100000000000002E-2</v>
      </c>
      <c r="H34" s="134">
        <v>91.19</v>
      </c>
      <c r="I34" s="135">
        <v>9.3600000000000003E-2</v>
      </c>
      <c r="J34" s="139"/>
    </row>
    <row r="35" spans="1:10" x14ac:dyDescent="0.35">
      <c r="A35" s="133">
        <v>41683</v>
      </c>
      <c r="B35" s="134">
        <v>100</v>
      </c>
      <c r="C35" s="135">
        <v>7.8800000000000009E-2</v>
      </c>
      <c r="D35" s="134">
        <v>97.690000000000012</v>
      </c>
      <c r="E35" s="135">
        <v>8.7300000000000003E-2</v>
      </c>
      <c r="F35" s="134">
        <v>97.7</v>
      </c>
      <c r="G35" s="135">
        <v>9.2899999999999996E-2</v>
      </c>
      <c r="H35" s="134">
        <v>91.300000000000011</v>
      </c>
      <c r="I35" s="135">
        <v>9.35E-2</v>
      </c>
      <c r="J35" s="139"/>
    </row>
    <row r="36" spans="1:10" x14ac:dyDescent="0.35">
      <c r="A36" s="133">
        <v>41684</v>
      </c>
      <c r="B36" s="134">
        <v>100.16</v>
      </c>
      <c r="C36" s="135">
        <v>7.8399999999999997E-2</v>
      </c>
      <c r="D36" s="134">
        <v>98.69</v>
      </c>
      <c r="E36" s="135">
        <v>8.5800000000000001E-2</v>
      </c>
      <c r="F36" s="134">
        <v>98.67</v>
      </c>
      <c r="G36" s="135">
        <v>9.1700000000000004E-2</v>
      </c>
      <c r="H36" s="134">
        <v>92.02</v>
      </c>
      <c r="I36" s="135">
        <v>9.2600000000000002E-2</v>
      </c>
      <c r="J36" s="139"/>
    </row>
    <row r="37" spans="1:10" x14ac:dyDescent="0.35">
      <c r="A37" s="136">
        <v>41687</v>
      </c>
      <c r="B37" s="137">
        <v>100.59</v>
      </c>
      <c r="C37" s="138">
        <v>7.7399999999999997E-2</v>
      </c>
      <c r="D37" s="137">
        <v>100.06</v>
      </c>
      <c r="E37" s="138">
        <v>8.3699999999999997E-2</v>
      </c>
      <c r="F37" s="137">
        <v>100.16000000000001</v>
      </c>
      <c r="G37" s="138">
        <v>8.9800000000000005E-2</v>
      </c>
      <c r="H37" s="137">
        <v>93.68</v>
      </c>
      <c r="I37" s="138">
        <v>9.0700000000000003E-2</v>
      </c>
      <c r="J37" s="139"/>
    </row>
    <row r="38" spans="1:10" x14ac:dyDescent="0.35">
      <c r="A38" s="136">
        <v>41688</v>
      </c>
      <c r="B38" s="137">
        <v>100.28</v>
      </c>
      <c r="C38" s="138">
        <v>7.8100000000000003E-2</v>
      </c>
      <c r="D38" s="137">
        <v>99.1</v>
      </c>
      <c r="E38" s="138">
        <v>8.5100000000000009E-2</v>
      </c>
      <c r="F38" s="137">
        <v>99.45</v>
      </c>
      <c r="G38" s="138">
        <v>9.0700000000000003E-2</v>
      </c>
      <c r="H38" s="137">
        <v>93.08</v>
      </c>
      <c r="I38" s="138">
        <v>9.1400000000000009E-2</v>
      </c>
      <c r="J38" s="139"/>
    </row>
    <row r="39" spans="1:10" x14ac:dyDescent="0.35">
      <c r="A39" s="136">
        <v>41689</v>
      </c>
      <c r="B39" s="137">
        <v>100.54</v>
      </c>
      <c r="C39" s="138">
        <v>7.7499999999999999E-2</v>
      </c>
      <c r="D39" s="137">
        <v>100.37</v>
      </c>
      <c r="E39" s="138">
        <v>8.3199999999999996E-2</v>
      </c>
      <c r="F39" s="137">
        <v>100.95</v>
      </c>
      <c r="G39" s="138">
        <v>8.8900000000000007E-2</v>
      </c>
      <c r="H39" s="137">
        <v>94.47</v>
      </c>
      <c r="I39" s="138">
        <v>8.9800000000000005E-2</v>
      </c>
      <c r="J39" s="139"/>
    </row>
    <row r="40" spans="1:10" x14ac:dyDescent="0.35">
      <c r="A40" s="136">
        <v>41690</v>
      </c>
      <c r="B40" s="137">
        <v>100.48</v>
      </c>
      <c r="C40" s="138">
        <v>7.7600000000000002E-2</v>
      </c>
      <c r="D40" s="137">
        <v>100.6</v>
      </c>
      <c r="E40" s="138">
        <v>8.2900000000000001E-2</v>
      </c>
      <c r="F40" s="137">
        <v>101.28</v>
      </c>
      <c r="G40" s="138">
        <v>8.8500000000000009E-2</v>
      </c>
      <c r="H40" s="137">
        <v>94.75</v>
      </c>
      <c r="I40" s="138">
        <v>8.9499999999999996E-2</v>
      </c>
      <c r="J40" s="139"/>
    </row>
    <row r="41" spans="1:10" x14ac:dyDescent="0.35">
      <c r="A41" s="136">
        <v>41691</v>
      </c>
      <c r="B41" s="137">
        <v>99.96</v>
      </c>
      <c r="C41" s="138">
        <v>7.8899999999999998E-2</v>
      </c>
      <c r="D41" s="137">
        <v>100.38</v>
      </c>
      <c r="E41" s="138">
        <v>8.3199999999999996E-2</v>
      </c>
      <c r="F41" s="137">
        <v>101.32</v>
      </c>
      <c r="G41" s="138">
        <v>8.8400000000000006E-2</v>
      </c>
      <c r="H41" s="137">
        <v>94.75</v>
      </c>
      <c r="I41" s="138">
        <v>8.9499999999999996E-2</v>
      </c>
      <c r="J41" s="139"/>
    </row>
    <row r="42" spans="1:10" x14ac:dyDescent="0.35">
      <c r="A42" s="133">
        <v>41694</v>
      </c>
      <c r="B42" s="134">
        <v>99.92</v>
      </c>
      <c r="C42" s="135">
        <v>7.9000000000000001E-2</v>
      </c>
      <c r="D42" s="134">
        <v>99.83</v>
      </c>
      <c r="E42" s="135">
        <v>8.4000000000000005E-2</v>
      </c>
      <c r="F42" s="134">
        <v>100.51</v>
      </c>
      <c r="G42" s="135">
        <v>8.9400000000000007E-2</v>
      </c>
      <c r="H42" s="134">
        <v>94.3</v>
      </c>
      <c r="I42" s="135">
        <v>0.09</v>
      </c>
      <c r="J42" s="139"/>
    </row>
    <row r="43" spans="1:10" x14ac:dyDescent="0.35">
      <c r="A43" s="133">
        <v>41695</v>
      </c>
      <c r="B43" s="134">
        <v>99.55</v>
      </c>
      <c r="C43" s="135">
        <v>7.9899999999999999E-2</v>
      </c>
      <c r="D43" s="134">
        <v>99.56</v>
      </c>
      <c r="E43" s="135">
        <v>8.4400000000000003E-2</v>
      </c>
      <c r="F43" s="134">
        <v>99.81</v>
      </c>
      <c r="G43" s="135">
        <v>9.0300000000000005E-2</v>
      </c>
      <c r="H43" s="134">
        <v>93.57</v>
      </c>
      <c r="I43" s="135">
        <v>9.0800000000000006E-2</v>
      </c>
      <c r="J43" s="139"/>
    </row>
    <row r="44" spans="1:10" x14ac:dyDescent="0.35">
      <c r="A44" s="133">
        <v>41696</v>
      </c>
      <c r="B44" s="134">
        <v>99.44</v>
      </c>
      <c r="C44" s="135">
        <v>8.0100000000000005E-2</v>
      </c>
      <c r="D44" s="134">
        <v>99.7</v>
      </c>
      <c r="E44" s="135">
        <v>8.4199999999999997E-2</v>
      </c>
      <c r="F44" s="134">
        <v>99.84</v>
      </c>
      <c r="G44" s="135">
        <v>9.0200000000000002E-2</v>
      </c>
      <c r="H44" s="134">
        <v>93.55</v>
      </c>
      <c r="I44" s="135">
        <v>9.0800000000000006E-2</v>
      </c>
      <c r="J44" s="139"/>
    </row>
    <row r="45" spans="1:10" x14ac:dyDescent="0.35">
      <c r="A45" s="133">
        <v>41697</v>
      </c>
      <c r="B45" s="134">
        <v>99.91</v>
      </c>
      <c r="C45" s="135">
        <v>7.9000000000000001E-2</v>
      </c>
      <c r="D45" s="134">
        <v>99.69</v>
      </c>
      <c r="E45" s="135">
        <v>8.43E-2</v>
      </c>
      <c r="F45" s="134">
        <v>100.08</v>
      </c>
      <c r="G45" s="135">
        <v>8.9900000000000008E-2</v>
      </c>
      <c r="H45" s="134">
        <v>93.83</v>
      </c>
      <c r="I45" s="135">
        <v>9.0499999999999997E-2</v>
      </c>
      <c r="J45" s="139"/>
    </row>
    <row r="46" spans="1:10" x14ac:dyDescent="0.35">
      <c r="A46" s="133">
        <v>41698</v>
      </c>
      <c r="B46" s="134">
        <v>100.17</v>
      </c>
      <c r="C46" s="135">
        <v>7.8399999999999997E-2</v>
      </c>
      <c r="D46" s="134">
        <v>100.33</v>
      </c>
      <c r="E46" s="135">
        <v>8.3299999999999999E-2</v>
      </c>
      <c r="F46" s="134">
        <v>100.64</v>
      </c>
      <c r="G46" s="135">
        <v>8.9300000000000004E-2</v>
      </c>
      <c r="H46" s="134">
        <v>94.45</v>
      </c>
      <c r="I46" s="135">
        <v>8.9800000000000005E-2</v>
      </c>
      <c r="J46" s="139"/>
    </row>
    <row r="47" spans="1:10" x14ac:dyDescent="0.35">
      <c r="A47" s="136">
        <v>41701</v>
      </c>
      <c r="B47" s="137">
        <v>100.34</v>
      </c>
      <c r="C47" s="138">
        <v>7.7899999999999997E-2</v>
      </c>
      <c r="D47" s="137">
        <v>100.97</v>
      </c>
      <c r="E47" s="138">
        <v>8.2400000000000001E-2</v>
      </c>
      <c r="F47" s="137">
        <v>101.33</v>
      </c>
      <c r="G47" s="138">
        <v>8.8400000000000006E-2</v>
      </c>
      <c r="H47" s="137">
        <v>95.71</v>
      </c>
      <c r="I47" s="138">
        <v>8.8400000000000006E-2</v>
      </c>
      <c r="J47" s="139"/>
    </row>
    <row r="48" spans="1:10" x14ac:dyDescent="0.35">
      <c r="A48" s="136">
        <v>41702</v>
      </c>
      <c r="B48" s="137">
        <v>100.42</v>
      </c>
      <c r="C48" s="138">
        <v>7.7800000000000008E-2</v>
      </c>
      <c r="D48" s="137">
        <v>101.51</v>
      </c>
      <c r="E48" s="138">
        <v>8.1600000000000006E-2</v>
      </c>
      <c r="F48" s="137">
        <v>102.11</v>
      </c>
      <c r="G48" s="138">
        <v>8.7500000000000008E-2</v>
      </c>
      <c r="H48" s="137">
        <v>96.41</v>
      </c>
      <c r="I48" s="138">
        <v>8.7599999999999997E-2</v>
      </c>
      <c r="J48" s="139"/>
    </row>
    <row r="49" spans="1:10" x14ac:dyDescent="0.35">
      <c r="A49" s="136">
        <v>41703</v>
      </c>
      <c r="B49" s="137">
        <v>100.78</v>
      </c>
      <c r="C49" s="138">
        <v>7.6899999999999996E-2</v>
      </c>
      <c r="D49" s="137">
        <v>103.36</v>
      </c>
      <c r="E49" s="138">
        <v>7.8899999999999998E-2</v>
      </c>
      <c r="F49" s="137">
        <v>104.47</v>
      </c>
      <c r="G49" s="138">
        <v>8.4699999999999998E-2</v>
      </c>
      <c r="H49" s="137">
        <v>98.69</v>
      </c>
      <c r="I49" s="138">
        <v>8.5199999999999998E-2</v>
      </c>
      <c r="J49" s="139"/>
    </row>
    <row r="50" spans="1:10" x14ac:dyDescent="0.35">
      <c r="A50" s="136">
        <v>41704</v>
      </c>
      <c r="B50" s="137">
        <v>100.51</v>
      </c>
      <c r="C50" s="138">
        <v>7.7499999999999999E-2</v>
      </c>
      <c r="D50" s="137">
        <v>102.54</v>
      </c>
      <c r="E50" s="138">
        <v>8.0100000000000005E-2</v>
      </c>
      <c r="F50" s="137">
        <v>103.27</v>
      </c>
      <c r="G50" s="138">
        <v>8.6099999999999996E-2</v>
      </c>
      <c r="H50" s="137">
        <v>98.19</v>
      </c>
      <c r="I50" s="138">
        <v>8.5699999999999998E-2</v>
      </c>
      <c r="J50" s="139"/>
    </row>
    <row r="51" spans="1:10" x14ac:dyDescent="0.35">
      <c r="A51" s="136">
        <v>41705</v>
      </c>
      <c r="B51" s="137">
        <v>100.72</v>
      </c>
      <c r="C51" s="138">
        <v>7.6999999999999999E-2</v>
      </c>
      <c r="D51" s="137">
        <v>103.08</v>
      </c>
      <c r="E51" s="138">
        <v>7.9300000000000009E-2</v>
      </c>
      <c r="F51" s="137">
        <v>104.53</v>
      </c>
      <c r="G51" s="138">
        <v>8.4699999999999998E-2</v>
      </c>
      <c r="H51" s="137">
        <v>99.02</v>
      </c>
      <c r="I51" s="138">
        <v>8.48E-2</v>
      </c>
      <c r="J51" s="139"/>
    </row>
    <row r="52" spans="1:10" x14ac:dyDescent="0.35">
      <c r="A52" s="133">
        <v>41708</v>
      </c>
      <c r="B52" s="134">
        <v>100.53</v>
      </c>
      <c r="C52" s="135">
        <v>7.7499999999999999E-2</v>
      </c>
      <c r="D52" s="134">
        <v>102.3</v>
      </c>
      <c r="E52" s="135">
        <v>8.0399999999999999E-2</v>
      </c>
      <c r="F52" s="134">
        <v>103.97</v>
      </c>
      <c r="G52" s="135">
        <v>8.5300000000000001E-2</v>
      </c>
      <c r="H52" s="134">
        <v>98.12</v>
      </c>
      <c r="I52" s="135">
        <v>8.5800000000000001E-2</v>
      </c>
      <c r="J52" s="139"/>
    </row>
    <row r="53" spans="1:10" x14ac:dyDescent="0.35">
      <c r="A53" s="133">
        <v>41709</v>
      </c>
      <c r="B53" s="134">
        <v>100.66</v>
      </c>
      <c r="C53" s="135">
        <v>7.7200000000000005E-2</v>
      </c>
      <c r="D53" s="134">
        <v>102.22</v>
      </c>
      <c r="E53" s="135">
        <v>8.0500000000000002E-2</v>
      </c>
      <c r="F53" s="134">
        <v>104.11</v>
      </c>
      <c r="G53" s="135">
        <v>8.5100000000000009E-2</v>
      </c>
      <c r="H53" s="134">
        <v>98.22</v>
      </c>
      <c r="I53" s="135">
        <v>8.5699999999999998E-2</v>
      </c>
      <c r="J53" s="139"/>
    </row>
    <row r="54" spans="1:10" x14ac:dyDescent="0.35">
      <c r="A54" s="133">
        <v>41710</v>
      </c>
      <c r="B54" s="134">
        <v>100.59</v>
      </c>
      <c r="C54" s="135">
        <v>7.7300000000000008E-2</v>
      </c>
      <c r="D54" s="134">
        <v>102.36</v>
      </c>
      <c r="E54" s="135">
        <v>8.0299999999999996E-2</v>
      </c>
      <c r="F54" s="134">
        <v>103.91</v>
      </c>
      <c r="G54" s="135">
        <v>8.5400000000000004E-2</v>
      </c>
      <c r="H54" s="134">
        <v>97.71</v>
      </c>
      <c r="I54" s="135">
        <v>8.6199999999999999E-2</v>
      </c>
      <c r="J54" s="139"/>
    </row>
    <row r="55" spans="1:10" x14ac:dyDescent="0.35">
      <c r="A55" s="133">
        <v>41711</v>
      </c>
      <c r="B55" s="134">
        <v>100.72</v>
      </c>
      <c r="C55" s="135">
        <v>7.6999999999999999E-2</v>
      </c>
      <c r="D55" s="134">
        <v>102.7</v>
      </c>
      <c r="E55" s="135">
        <v>7.9799999999999996E-2</v>
      </c>
      <c r="F55" s="134">
        <v>104.32</v>
      </c>
      <c r="G55" s="135">
        <v>8.4900000000000003E-2</v>
      </c>
      <c r="H55" s="134">
        <v>98.18</v>
      </c>
      <c r="I55" s="135">
        <v>8.5699999999999998E-2</v>
      </c>
      <c r="J55" s="139"/>
    </row>
    <row r="56" spans="1:10" x14ac:dyDescent="0.35">
      <c r="A56" s="133">
        <v>41712</v>
      </c>
      <c r="B56" s="134">
        <v>100.7</v>
      </c>
      <c r="C56" s="135">
        <v>7.7100000000000002E-2</v>
      </c>
      <c r="D56" s="134">
        <v>102.47</v>
      </c>
      <c r="E56" s="135">
        <v>8.0200000000000007E-2</v>
      </c>
      <c r="F56" s="134">
        <v>104.18</v>
      </c>
      <c r="G56" s="135">
        <v>8.5100000000000009E-2</v>
      </c>
      <c r="H56" s="134">
        <v>97.88</v>
      </c>
      <c r="I56" s="135">
        <v>8.6000000000000007E-2</v>
      </c>
      <c r="J56" s="139"/>
    </row>
    <row r="57" spans="1:10" x14ac:dyDescent="0.35">
      <c r="A57" s="136">
        <v>41715</v>
      </c>
      <c r="B57" s="137">
        <v>101.06</v>
      </c>
      <c r="C57" s="138">
        <v>7.6200000000000004E-2</v>
      </c>
      <c r="D57" s="137">
        <v>103.37</v>
      </c>
      <c r="E57" s="138">
        <v>7.8899999999999998E-2</v>
      </c>
      <c r="F57" s="137">
        <v>105.22</v>
      </c>
      <c r="G57" s="138">
        <v>8.3900000000000002E-2</v>
      </c>
      <c r="H57" s="137">
        <v>99.3</v>
      </c>
      <c r="I57" s="138">
        <v>8.4500000000000006E-2</v>
      </c>
      <c r="J57" s="139"/>
    </row>
    <row r="58" spans="1:10" x14ac:dyDescent="0.35">
      <c r="A58" s="136">
        <v>41716</v>
      </c>
      <c r="B58" s="137">
        <v>100.96000000000001</v>
      </c>
      <c r="C58" s="138">
        <v>7.6499999999999999E-2</v>
      </c>
      <c r="D58" s="137">
        <v>103.17</v>
      </c>
      <c r="E58" s="138">
        <v>7.9200000000000007E-2</v>
      </c>
      <c r="F58" s="137">
        <v>104.96000000000001</v>
      </c>
      <c r="G58" s="138">
        <v>8.4199999999999997E-2</v>
      </c>
      <c r="H58" s="137">
        <v>98.78</v>
      </c>
      <c r="I58" s="138">
        <v>8.5100000000000009E-2</v>
      </c>
      <c r="J58" s="139"/>
    </row>
    <row r="59" spans="1:10" x14ac:dyDescent="0.35">
      <c r="A59" s="136">
        <v>41717</v>
      </c>
      <c r="B59" s="137">
        <v>101</v>
      </c>
      <c r="C59" s="138">
        <v>7.640000000000001E-2</v>
      </c>
      <c r="D59" s="137">
        <v>103.65</v>
      </c>
      <c r="E59" s="138">
        <v>7.85E-2</v>
      </c>
      <c r="F59" s="137">
        <v>105.76</v>
      </c>
      <c r="G59" s="138">
        <v>8.3299999999999999E-2</v>
      </c>
      <c r="H59" s="137">
        <v>99.48</v>
      </c>
      <c r="I59" s="138">
        <v>8.43E-2</v>
      </c>
      <c r="J59" s="139"/>
    </row>
    <row r="60" spans="1:10" x14ac:dyDescent="0.35">
      <c r="A60" s="136">
        <v>41718</v>
      </c>
      <c r="B60" s="137">
        <v>100.32000000000001</v>
      </c>
      <c r="C60" s="138">
        <v>7.8E-2</v>
      </c>
      <c r="D60" s="137">
        <v>101.47</v>
      </c>
      <c r="E60" s="138">
        <v>8.1600000000000006E-2</v>
      </c>
      <c r="F60" s="137">
        <v>103.17</v>
      </c>
      <c r="G60" s="138">
        <v>8.6199999999999999E-2</v>
      </c>
      <c r="H60" s="137">
        <v>96.710000000000008</v>
      </c>
      <c r="I60" s="138">
        <v>8.7300000000000003E-2</v>
      </c>
      <c r="J60" s="139"/>
    </row>
    <row r="61" spans="1:10" x14ac:dyDescent="0.35">
      <c r="A61" s="136">
        <v>41719</v>
      </c>
      <c r="B61" s="137">
        <v>100.84</v>
      </c>
      <c r="C61" s="138">
        <v>7.6700000000000004E-2</v>
      </c>
      <c r="D61" s="137">
        <v>102.29</v>
      </c>
      <c r="E61" s="138">
        <v>8.0399999999999999E-2</v>
      </c>
      <c r="F61" s="137">
        <v>104.04</v>
      </c>
      <c r="G61" s="138">
        <v>8.5199999999999998E-2</v>
      </c>
      <c r="H61" s="137">
        <v>97.86</v>
      </c>
      <c r="I61" s="138">
        <v>8.6099999999999996E-2</v>
      </c>
      <c r="J61" s="139"/>
    </row>
    <row r="62" spans="1:10" x14ac:dyDescent="0.35">
      <c r="A62" s="133">
        <v>41722</v>
      </c>
      <c r="B62" s="134">
        <v>100.32</v>
      </c>
      <c r="C62" s="135">
        <v>7.8E-2</v>
      </c>
      <c r="D62" s="134">
        <v>101.47</v>
      </c>
      <c r="E62" s="135">
        <v>8.1600000000000006E-2</v>
      </c>
      <c r="F62" s="134">
        <v>103.17</v>
      </c>
      <c r="G62" s="135">
        <v>8.6199999999999999E-2</v>
      </c>
      <c r="H62" s="134">
        <v>96.71</v>
      </c>
      <c r="I62" s="135">
        <v>8.7300000000000003E-2</v>
      </c>
      <c r="J62" s="139"/>
    </row>
    <row r="63" spans="1:10" x14ac:dyDescent="0.35">
      <c r="A63" s="133">
        <v>41723</v>
      </c>
      <c r="B63" s="134">
        <v>100.7</v>
      </c>
      <c r="C63" s="135">
        <v>7.7100000000000002E-2</v>
      </c>
      <c r="D63" s="134">
        <v>101.45</v>
      </c>
      <c r="E63" s="135">
        <v>8.1600000000000006E-2</v>
      </c>
      <c r="F63" s="134">
        <v>104.32000000000001</v>
      </c>
      <c r="G63" s="135">
        <v>8.4900000000000003E-2</v>
      </c>
      <c r="H63" s="134">
        <v>97.490000000000009</v>
      </c>
      <c r="I63" s="135">
        <v>8.6500000000000007E-2</v>
      </c>
      <c r="J63" s="139"/>
    </row>
    <row r="64" spans="1:10" x14ac:dyDescent="0.35">
      <c r="A64" s="133">
        <v>41724</v>
      </c>
      <c r="B64" s="134">
        <v>100.71000000000001</v>
      </c>
      <c r="C64" s="135">
        <v>7.7100000000000002E-2</v>
      </c>
      <c r="D64" s="134">
        <v>101.09</v>
      </c>
      <c r="E64" s="135">
        <v>8.2200000000000009E-2</v>
      </c>
      <c r="F64" s="134">
        <v>104.15</v>
      </c>
      <c r="G64" s="135">
        <v>8.5100000000000009E-2</v>
      </c>
      <c r="H64" s="134">
        <v>97.28</v>
      </c>
      <c r="I64" s="135">
        <v>8.6699999999999999E-2</v>
      </c>
      <c r="J64" s="139"/>
    </row>
    <row r="65" spans="1:10" x14ac:dyDescent="0.35">
      <c r="A65" s="133">
        <v>41725</v>
      </c>
      <c r="B65" s="134">
        <v>100.78</v>
      </c>
      <c r="C65" s="135">
        <v>7.6899999999999996E-2</v>
      </c>
      <c r="D65" s="134">
        <v>101.68</v>
      </c>
      <c r="E65" s="135">
        <v>8.1299999999999997E-2</v>
      </c>
      <c r="F65" s="134">
        <v>104.3</v>
      </c>
      <c r="G65" s="135">
        <v>8.4900000000000003E-2</v>
      </c>
      <c r="H65" s="134">
        <v>97.63000000000001</v>
      </c>
      <c r="I65" s="135">
        <v>8.6300000000000002E-2</v>
      </c>
      <c r="J65" s="139"/>
    </row>
    <row r="66" spans="1:10" x14ac:dyDescent="0.35">
      <c r="A66" s="133">
        <v>41726</v>
      </c>
      <c r="B66" s="134">
        <v>100.83</v>
      </c>
      <c r="C66" s="135">
        <v>7.6800000000000007E-2</v>
      </c>
      <c r="D66" s="134">
        <v>102.61</v>
      </c>
      <c r="E66" s="135">
        <v>7.9899999999999999E-2</v>
      </c>
      <c r="F66" s="134">
        <v>104.81</v>
      </c>
      <c r="G66" s="135">
        <v>8.43E-2</v>
      </c>
      <c r="H66" s="134">
        <v>98.45</v>
      </c>
      <c r="I66" s="135">
        <v>8.5400000000000004E-2</v>
      </c>
      <c r="J66" s="139"/>
    </row>
    <row r="67" spans="1:10" x14ac:dyDescent="0.35">
      <c r="A67" s="136">
        <v>41730</v>
      </c>
      <c r="B67" s="137">
        <v>101</v>
      </c>
      <c r="C67" s="138">
        <v>7.640000000000001E-2</v>
      </c>
      <c r="D67" s="137">
        <v>103.80000000000001</v>
      </c>
      <c r="E67" s="138">
        <v>7.8200000000000006E-2</v>
      </c>
      <c r="F67" s="137">
        <v>106.27000000000001</v>
      </c>
      <c r="G67" s="138">
        <v>8.270000000000001E-2</v>
      </c>
      <c r="H67" s="137">
        <v>99.45</v>
      </c>
      <c r="I67" s="138">
        <v>8.4400000000000003E-2</v>
      </c>
      <c r="J67" s="139"/>
    </row>
    <row r="68" spans="1:10" x14ac:dyDescent="0.35">
      <c r="A68" s="136">
        <v>41731</v>
      </c>
      <c r="B68" s="137">
        <v>101.18</v>
      </c>
      <c r="C68" s="138">
        <v>7.5900000000000009E-2</v>
      </c>
      <c r="D68" s="137">
        <v>103.67</v>
      </c>
      <c r="E68" s="138">
        <v>7.8399999999999997E-2</v>
      </c>
      <c r="F68" s="137">
        <v>107</v>
      </c>
      <c r="G68" s="138">
        <v>8.1799999999999998E-2</v>
      </c>
      <c r="H68" s="137">
        <v>99.910000000000011</v>
      </c>
      <c r="I68" s="138">
        <v>8.3900000000000002E-2</v>
      </c>
      <c r="J68" s="139"/>
    </row>
    <row r="69" spans="1:10" x14ac:dyDescent="0.35">
      <c r="A69" s="136">
        <v>41732</v>
      </c>
      <c r="B69" s="137">
        <v>101.15</v>
      </c>
      <c r="C69" s="138">
        <v>7.5999999999999998E-2</v>
      </c>
      <c r="D69" s="137">
        <v>103.71000000000001</v>
      </c>
      <c r="E69" s="138">
        <v>7.8300000000000008E-2</v>
      </c>
      <c r="F69" s="137">
        <v>106.97</v>
      </c>
      <c r="G69" s="138">
        <v>8.1900000000000001E-2</v>
      </c>
      <c r="H69" s="137">
        <v>99.800000000000011</v>
      </c>
      <c r="I69" s="138">
        <v>8.4000000000000005E-2</v>
      </c>
      <c r="J69" s="139"/>
    </row>
    <row r="70" spans="1:10" x14ac:dyDescent="0.35">
      <c r="A70" s="136">
        <v>41733</v>
      </c>
      <c r="B70" s="137">
        <v>101.09</v>
      </c>
      <c r="C70" s="138">
        <v>7.6100000000000001E-2</v>
      </c>
      <c r="D70" s="137">
        <v>103.68</v>
      </c>
      <c r="E70" s="138">
        <v>7.8399999999999997E-2</v>
      </c>
      <c r="F70" s="137">
        <v>106.85</v>
      </c>
      <c r="G70" s="138">
        <v>8.2000000000000003E-2</v>
      </c>
      <c r="H70" s="137">
        <v>99.8</v>
      </c>
      <c r="I70" s="138">
        <v>8.4000000000000005E-2</v>
      </c>
      <c r="J70" s="139"/>
    </row>
    <row r="71" spans="1:10" x14ac:dyDescent="0.35">
      <c r="A71" s="133">
        <v>41736</v>
      </c>
      <c r="B71" s="134">
        <v>101.14</v>
      </c>
      <c r="C71" s="135">
        <v>7.5999999999999998E-2</v>
      </c>
      <c r="D71" s="134">
        <v>103.8</v>
      </c>
      <c r="E71" s="135">
        <v>7.8200000000000006E-2</v>
      </c>
      <c r="F71" s="134">
        <v>106.82</v>
      </c>
      <c r="G71" s="135">
        <v>8.2000000000000003E-2</v>
      </c>
      <c r="H71" s="134">
        <v>99.84</v>
      </c>
      <c r="I71" s="135">
        <v>8.4000000000000005E-2</v>
      </c>
      <c r="J71" s="139"/>
    </row>
    <row r="72" spans="1:10" x14ac:dyDescent="0.35">
      <c r="A72" s="133">
        <v>41737</v>
      </c>
      <c r="B72" s="134">
        <v>101.15</v>
      </c>
      <c r="C72" s="135">
        <v>7.5999999999999998E-2</v>
      </c>
      <c r="D72" s="134">
        <v>103.71000000000001</v>
      </c>
      <c r="E72" s="135">
        <v>7.8300000000000008E-2</v>
      </c>
      <c r="F72" s="134">
        <v>106.78</v>
      </c>
      <c r="G72" s="135">
        <v>8.2100000000000006E-2</v>
      </c>
      <c r="H72" s="134">
        <v>99.9</v>
      </c>
      <c r="I72" s="135">
        <v>8.3900000000000002E-2</v>
      </c>
      <c r="J72" s="139"/>
    </row>
    <row r="73" spans="1:10" x14ac:dyDescent="0.35">
      <c r="A73" s="133">
        <v>41739</v>
      </c>
      <c r="B73" s="134">
        <v>101.22</v>
      </c>
      <c r="C73" s="135">
        <v>7.5800000000000006E-2</v>
      </c>
      <c r="D73" s="134">
        <v>103.73</v>
      </c>
      <c r="E73" s="135">
        <v>7.8300000000000008E-2</v>
      </c>
      <c r="F73" s="134">
        <v>107.21000000000001</v>
      </c>
      <c r="G73" s="135">
        <v>8.1600000000000006E-2</v>
      </c>
      <c r="H73" s="134">
        <v>100.17</v>
      </c>
      <c r="I73" s="135">
        <v>8.3600000000000008E-2</v>
      </c>
      <c r="J73" s="139"/>
    </row>
    <row r="74" spans="1:10" x14ac:dyDescent="0.35">
      <c r="A74" s="133">
        <v>41740</v>
      </c>
      <c r="B74" s="134">
        <v>101.16000000000001</v>
      </c>
      <c r="C74" s="135">
        <v>7.5999999999999998E-2</v>
      </c>
      <c r="D74" s="134">
        <v>103.24000000000001</v>
      </c>
      <c r="E74" s="135">
        <v>7.9000000000000001E-2</v>
      </c>
      <c r="F74" s="134">
        <v>106.73</v>
      </c>
      <c r="G74" s="135">
        <v>8.2100000000000006E-2</v>
      </c>
      <c r="H74" s="134">
        <v>99.53</v>
      </c>
      <c r="I74" s="135">
        <v>8.43E-2</v>
      </c>
      <c r="J74" s="139"/>
    </row>
    <row r="75" spans="1:10" x14ac:dyDescent="0.35">
      <c r="A75" s="133">
        <v>41743</v>
      </c>
      <c r="B75" s="134">
        <v>101.26</v>
      </c>
      <c r="C75" s="135">
        <v>7.5700000000000003E-2</v>
      </c>
      <c r="D75" s="134">
        <v>103.67</v>
      </c>
      <c r="E75" s="135">
        <v>7.8399999999999997E-2</v>
      </c>
      <c r="F75" s="134">
        <v>106.91</v>
      </c>
      <c r="G75" s="135">
        <v>8.1900000000000001E-2</v>
      </c>
      <c r="H75" s="134">
        <v>99.8</v>
      </c>
      <c r="I75" s="135">
        <v>8.4000000000000005E-2</v>
      </c>
      <c r="J75" s="139"/>
    </row>
    <row r="76" spans="1:10" x14ac:dyDescent="0.35">
      <c r="A76" s="136">
        <v>41744</v>
      </c>
      <c r="B76" s="137">
        <v>101.4</v>
      </c>
      <c r="C76" s="138">
        <v>7.5400000000000009E-2</v>
      </c>
      <c r="D76" s="137">
        <v>103.75</v>
      </c>
      <c r="E76" s="138">
        <v>7.8300000000000008E-2</v>
      </c>
      <c r="F76" s="137">
        <v>106.85</v>
      </c>
      <c r="G76" s="138">
        <v>8.2000000000000003E-2</v>
      </c>
      <c r="H76" s="137">
        <v>99.78</v>
      </c>
      <c r="I76" s="138">
        <v>8.4000000000000005E-2</v>
      </c>
      <c r="J76" s="139"/>
    </row>
    <row r="77" spans="1:10" x14ac:dyDescent="0.35">
      <c r="A77" s="136">
        <v>41745</v>
      </c>
      <c r="B77" s="137">
        <v>101.53</v>
      </c>
      <c r="C77" s="138">
        <v>7.51E-2</v>
      </c>
      <c r="D77" s="137">
        <v>103.59</v>
      </c>
      <c r="E77" s="138">
        <v>7.85E-2</v>
      </c>
      <c r="F77" s="137">
        <v>106.73</v>
      </c>
      <c r="G77" s="138">
        <v>8.2100000000000006E-2</v>
      </c>
      <c r="H77" s="137">
        <v>99.71</v>
      </c>
      <c r="I77" s="138">
        <v>8.4100000000000008E-2</v>
      </c>
      <c r="J77" s="139"/>
    </row>
    <row r="78" spans="1:10" x14ac:dyDescent="0.35">
      <c r="A78" s="136">
        <v>41746</v>
      </c>
      <c r="B78" s="137">
        <v>101.55</v>
      </c>
      <c r="C78" s="138">
        <v>7.4999999999999997E-2</v>
      </c>
      <c r="D78" s="137">
        <v>103.55</v>
      </c>
      <c r="E78" s="138">
        <v>7.8600000000000003E-2</v>
      </c>
      <c r="F78" s="137">
        <v>106.7</v>
      </c>
      <c r="G78" s="138">
        <v>8.2200000000000009E-2</v>
      </c>
      <c r="H78" s="137">
        <v>99.71</v>
      </c>
      <c r="I78" s="138">
        <v>8.4100000000000008E-2</v>
      </c>
      <c r="J78" s="139"/>
    </row>
    <row r="79" spans="1:10" x14ac:dyDescent="0.35">
      <c r="A79" s="133">
        <v>41750</v>
      </c>
      <c r="B79" s="134">
        <v>101.46</v>
      </c>
      <c r="C79" s="135">
        <v>7.5200000000000003E-2</v>
      </c>
      <c r="D79" s="134">
        <v>103.12</v>
      </c>
      <c r="E79" s="135">
        <v>7.9200000000000007E-2</v>
      </c>
      <c r="F79" s="134">
        <v>106.56</v>
      </c>
      <c r="G79" s="135">
        <v>8.2299999999999998E-2</v>
      </c>
      <c r="H79" s="134">
        <v>99.67</v>
      </c>
      <c r="I79" s="135">
        <v>8.4100000000000008E-2</v>
      </c>
      <c r="J79" s="139"/>
    </row>
    <row r="80" spans="1:10" x14ac:dyDescent="0.35">
      <c r="A80" s="133">
        <v>41751</v>
      </c>
      <c r="B80" s="134">
        <v>101.33</v>
      </c>
      <c r="C80" s="135">
        <v>7.5499999999999998E-2</v>
      </c>
      <c r="D80" s="134">
        <v>102.47</v>
      </c>
      <c r="E80" s="135">
        <v>8.0100000000000005E-2</v>
      </c>
      <c r="F80" s="134">
        <v>106.22</v>
      </c>
      <c r="G80" s="135">
        <v>8.270000000000001E-2</v>
      </c>
      <c r="H80" s="134">
        <v>99.22</v>
      </c>
      <c r="I80" s="135">
        <v>8.4600000000000009E-2</v>
      </c>
      <c r="J80" s="139"/>
    </row>
    <row r="81" spans="1:10" x14ac:dyDescent="0.35">
      <c r="A81" s="133">
        <v>41752</v>
      </c>
      <c r="B81" s="134">
        <v>101.18</v>
      </c>
      <c r="C81" s="135">
        <v>7.5900000000000009E-2</v>
      </c>
      <c r="D81" s="134">
        <v>102.12</v>
      </c>
      <c r="E81" s="135">
        <v>8.0600000000000005E-2</v>
      </c>
      <c r="F81" s="134">
        <v>105.6</v>
      </c>
      <c r="G81" s="135">
        <v>8.3400000000000002E-2</v>
      </c>
      <c r="H81" s="134">
        <v>98.94</v>
      </c>
      <c r="I81" s="135">
        <v>8.4900000000000003E-2</v>
      </c>
      <c r="J81" s="139"/>
    </row>
    <row r="82" spans="1:10" x14ac:dyDescent="0.35">
      <c r="A82" s="133">
        <v>41753</v>
      </c>
      <c r="B82" s="134">
        <v>101.32</v>
      </c>
      <c r="C82" s="135">
        <v>7.5600000000000001E-2</v>
      </c>
      <c r="D82" s="134">
        <v>102.49</v>
      </c>
      <c r="E82" s="135">
        <v>8.0100000000000005E-2</v>
      </c>
      <c r="F82" s="134">
        <v>105.27</v>
      </c>
      <c r="G82" s="135">
        <v>8.3799999999999999E-2</v>
      </c>
      <c r="H82" s="134">
        <v>98.82</v>
      </c>
      <c r="I82" s="135">
        <v>8.5000000000000006E-2</v>
      </c>
      <c r="J82" s="139"/>
    </row>
    <row r="83" spans="1:10" x14ac:dyDescent="0.35">
      <c r="A83" s="133">
        <v>41754</v>
      </c>
      <c r="B83" s="134">
        <v>101.4</v>
      </c>
      <c r="C83" s="135">
        <v>7.5400000000000009E-2</v>
      </c>
      <c r="D83" s="134">
        <v>103.2</v>
      </c>
      <c r="E83" s="135">
        <v>7.9100000000000004E-2</v>
      </c>
      <c r="F83" s="134">
        <v>106.05</v>
      </c>
      <c r="G83" s="135">
        <v>8.2900000000000001E-2</v>
      </c>
      <c r="H83" s="134">
        <v>99.2</v>
      </c>
      <c r="I83" s="135">
        <v>8.4600000000000009E-2</v>
      </c>
      <c r="J83" s="139"/>
    </row>
    <row r="84" spans="1:10" x14ac:dyDescent="0.35">
      <c r="A84" s="136">
        <v>41757</v>
      </c>
      <c r="B84" s="137">
        <v>101.43</v>
      </c>
      <c r="C84" s="138">
        <v>7.5300000000000006E-2</v>
      </c>
      <c r="D84" s="137">
        <v>103.68</v>
      </c>
      <c r="E84" s="138">
        <v>7.8399999999999997E-2</v>
      </c>
      <c r="F84" s="137">
        <v>105.97</v>
      </c>
      <c r="G84" s="138">
        <v>8.3000000000000004E-2</v>
      </c>
      <c r="H84" s="137">
        <v>99.48</v>
      </c>
      <c r="I84" s="138">
        <v>8.43E-2</v>
      </c>
      <c r="J84" s="139"/>
    </row>
    <row r="85" spans="1:10" x14ac:dyDescent="0.35">
      <c r="A85" s="136">
        <v>41758</v>
      </c>
      <c r="B85" s="137">
        <v>101.39</v>
      </c>
      <c r="C85" s="138">
        <v>7.5400000000000009E-2</v>
      </c>
      <c r="D85" s="137">
        <v>103.52</v>
      </c>
      <c r="E85" s="138">
        <v>7.8600000000000003E-2</v>
      </c>
      <c r="F85" s="137">
        <v>105.77</v>
      </c>
      <c r="G85" s="138">
        <v>8.3199999999999996E-2</v>
      </c>
      <c r="H85" s="137">
        <v>98.88</v>
      </c>
      <c r="I85" s="138">
        <v>8.5000000000000006E-2</v>
      </c>
      <c r="J85" s="139"/>
    </row>
    <row r="86" spans="1:10" x14ac:dyDescent="0.35">
      <c r="A86" s="136">
        <v>41759</v>
      </c>
      <c r="B86" s="137">
        <v>101.23</v>
      </c>
      <c r="C86" s="138">
        <v>7.5800000000000006E-2</v>
      </c>
      <c r="D86" s="137">
        <v>103.28</v>
      </c>
      <c r="E86" s="138">
        <v>7.8899999999999998E-2</v>
      </c>
      <c r="F86" s="137">
        <v>105.29</v>
      </c>
      <c r="G86" s="138">
        <v>8.3699999999999997E-2</v>
      </c>
      <c r="H86" s="137">
        <v>98.62</v>
      </c>
      <c r="I86" s="138">
        <v>8.5199999999999998E-2</v>
      </c>
      <c r="J86" s="139"/>
    </row>
    <row r="87" spans="1:10" x14ac:dyDescent="0.35">
      <c r="A87" s="136">
        <v>41761</v>
      </c>
      <c r="B87" s="137">
        <v>101.25</v>
      </c>
      <c r="C87" s="138">
        <v>7.5700000000000003E-2</v>
      </c>
      <c r="D87" s="137">
        <v>102.84</v>
      </c>
      <c r="E87" s="138">
        <v>7.9600000000000004E-2</v>
      </c>
      <c r="F87" s="137">
        <v>105.07</v>
      </c>
      <c r="G87" s="138">
        <v>8.4000000000000005E-2</v>
      </c>
      <c r="H87" s="137">
        <v>98.67</v>
      </c>
      <c r="I87" s="138">
        <v>8.5199999999999998E-2</v>
      </c>
      <c r="J87" s="139"/>
    </row>
    <row r="88" spans="1:10" x14ac:dyDescent="0.35">
      <c r="A88" s="133">
        <v>41764</v>
      </c>
      <c r="B88" s="134">
        <v>101.19</v>
      </c>
      <c r="C88" s="135">
        <v>7.5800000000000006E-2</v>
      </c>
      <c r="D88" s="134">
        <v>103.06</v>
      </c>
      <c r="E88" s="135">
        <v>7.9200000000000007E-2</v>
      </c>
      <c r="F88" s="134">
        <v>105.15</v>
      </c>
      <c r="G88" s="135">
        <v>8.3900000000000002E-2</v>
      </c>
      <c r="H88" s="134">
        <v>98.7</v>
      </c>
      <c r="I88" s="135">
        <v>8.5100000000000009E-2</v>
      </c>
      <c r="J88" s="139"/>
    </row>
    <row r="89" spans="1:10" x14ac:dyDescent="0.35">
      <c r="A89" s="133">
        <v>41765</v>
      </c>
      <c r="B89" s="134">
        <v>101.19</v>
      </c>
      <c r="C89" s="135">
        <v>7.5800000000000006E-2</v>
      </c>
      <c r="D89" s="134">
        <v>103.04</v>
      </c>
      <c r="E89" s="135">
        <v>7.9300000000000009E-2</v>
      </c>
      <c r="F89" s="134">
        <v>104.93</v>
      </c>
      <c r="G89" s="135">
        <v>8.4199999999999997E-2</v>
      </c>
      <c r="H89" s="134">
        <v>98.68</v>
      </c>
      <c r="I89" s="135">
        <v>8.5199999999999998E-2</v>
      </c>
      <c r="J89" s="139"/>
    </row>
    <row r="90" spans="1:10" x14ac:dyDescent="0.35">
      <c r="A90" s="133">
        <v>41766</v>
      </c>
      <c r="B90" s="134">
        <v>101.13</v>
      </c>
      <c r="C90" s="135">
        <v>7.5999999999999998E-2</v>
      </c>
      <c r="D90" s="134">
        <v>102.4</v>
      </c>
      <c r="E90" s="135">
        <v>8.0200000000000007E-2</v>
      </c>
      <c r="F90" s="134">
        <v>104.23</v>
      </c>
      <c r="G90" s="135">
        <v>8.5000000000000006E-2</v>
      </c>
      <c r="H90" s="134">
        <v>98.38</v>
      </c>
      <c r="I90" s="135">
        <v>8.5500000000000007E-2</v>
      </c>
      <c r="J90" s="139"/>
    </row>
    <row r="91" spans="1:10" x14ac:dyDescent="0.35">
      <c r="A91" s="133">
        <v>41767</v>
      </c>
      <c r="B91" s="134">
        <v>101.07</v>
      </c>
      <c r="C91" s="135">
        <v>7.6100000000000001E-2</v>
      </c>
      <c r="D91" s="134">
        <v>102.11</v>
      </c>
      <c r="E91" s="135">
        <v>8.0600000000000005E-2</v>
      </c>
      <c r="F91" s="134">
        <v>104.03</v>
      </c>
      <c r="G91" s="135">
        <v>8.5199999999999998E-2</v>
      </c>
      <c r="H91" s="134">
        <v>98.13</v>
      </c>
      <c r="I91" s="135">
        <v>8.5800000000000001E-2</v>
      </c>
      <c r="J91" s="139"/>
    </row>
    <row r="92" spans="1:10" x14ac:dyDescent="0.35">
      <c r="A92" s="133">
        <v>41768</v>
      </c>
      <c r="B92" s="134">
        <v>101.22</v>
      </c>
      <c r="C92" s="135">
        <v>7.5800000000000006E-2</v>
      </c>
      <c r="D92" s="134">
        <v>102.53</v>
      </c>
      <c r="E92" s="135">
        <v>0.08</v>
      </c>
      <c r="F92" s="134">
        <v>104.45</v>
      </c>
      <c r="G92" s="135">
        <v>8.4699999999999998E-2</v>
      </c>
      <c r="H92" s="134">
        <v>98.48</v>
      </c>
      <c r="I92" s="135">
        <v>8.5400000000000004E-2</v>
      </c>
      <c r="J92" s="139"/>
    </row>
    <row r="93" spans="1:10" x14ac:dyDescent="0.35">
      <c r="A93" s="136">
        <v>41771</v>
      </c>
      <c r="B93" s="137">
        <v>101.23</v>
      </c>
      <c r="C93" s="138">
        <v>7.5700000000000003E-2</v>
      </c>
      <c r="D93" s="137">
        <v>102.78</v>
      </c>
      <c r="E93" s="138">
        <v>7.9600000000000004E-2</v>
      </c>
      <c r="F93" s="137">
        <v>104.76</v>
      </c>
      <c r="G93" s="138">
        <v>8.43E-2</v>
      </c>
      <c r="H93" s="137">
        <v>98.48</v>
      </c>
      <c r="I93" s="138">
        <v>8.5400000000000004E-2</v>
      </c>
      <c r="J93" s="139"/>
    </row>
    <row r="94" spans="1:10" x14ac:dyDescent="0.35">
      <c r="A94" s="136">
        <v>41772</v>
      </c>
      <c r="B94" s="137">
        <v>101.05</v>
      </c>
      <c r="C94" s="138">
        <v>7.6200000000000004E-2</v>
      </c>
      <c r="D94" s="137">
        <v>102.17</v>
      </c>
      <c r="E94" s="138">
        <v>8.0500000000000002E-2</v>
      </c>
      <c r="F94" s="137">
        <v>104.19</v>
      </c>
      <c r="G94" s="138">
        <v>8.5000000000000006E-2</v>
      </c>
      <c r="H94" s="137">
        <v>98.07</v>
      </c>
      <c r="I94" s="138">
        <v>8.5800000000000001E-2</v>
      </c>
      <c r="J94" s="139"/>
    </row>
    <row r="95" spans="1:10" x14ac:dyDescent="0.35">
      <c r="A95" s="136">
        <v>41773</v>
      </c>
      <c r="B95" s="137">
        <v>101.22</v>
      </c>
      <c r="C95" s="138">
        <v>7.5800000000000006E-2</v>
      </c>
      <c r="D95" s="137">
        <v>102.8</v>
      </c>
      <c r="E95" s="138">
        <v>7.9600000000000004E-2</v>
      </c>
      <c r="F95" s="137">
        <v>104.75</v>
      </c>
      <c r="G95" s="138">
        <v>8.4400000000000003E-2</v>
      </c>
      <c r="H95" s="137">
        <v>98.67</v>
      </c>
      <c r="I95" s="138">
        <v>8.5199999999999998E-2</v>
      </c>
      <c r="J95" s="139"/>
    </row>
    <row r="96" spans="1:10" x14ac:dyDescent="0.35">
      <c r="A96" s="136">
        <v>41775</v>
      </c>
      <c r="B96" s="137">
        <v>101.45</v>
      </c>
      <c r="C96" s="138">
        <v>7.5200000000000003E-2</v>
      </c>
      <c r="D96" s="137">
        <v>103.46</v>
      </c>
      <c r="E96" s="138">
        <v>7.8700000000000006E-2</v>
      </c>
      <c r="F96" s="137">
        <v>105.49</v>
      </c>
      <c r="G96" s="138">
        <v>8.3500000000000005E-2</v>
      </c>
      <c r="H96" s="137">
        <v>99.41</v>
      </c>
      <c r="I96" s="138">
        <v>8.4400000000000003E-2</v>
      </c>
      <c r="J96" s="139"/>
    </row>
    <row r="97" spans="1:10" x14ac:dyDescent="0.35">
      <c r="A97" s="133">
        <v>41778</v>
      </c>
      <c r="B97" s="134">
        <v>101.49</v>
      </c>
      <c r="C97" s="135">
        <v>7.51E-2</v>
      </c>
      <c r="D97" s="134">
        <v>103.76</v>
      </c>
      <c r="E97" s="135">
        <v>7.8200000000000006E-2</v>
      </c>
      <c r="F97" s="134">
        <v>105.83</v>
      </c>
      <c r="G97" s="135">
        <v>8.3100000000000007E-2</v>
      </c>
      <c r="H97" s="134">
        <v>99.7</v>
      </c>
      <c r="I97" s="135">
        <v>8.4100000000000008E-2</v>
      </c>
      <c r="J97" s="139"/>
    </row>
    <row r="98" spans="1:10" x14ac:dyDescent="0.35">
      <c r="A98" s="133">
        <v>41779</v>
      </c>
      <c r="B98" s="134">
        <v>101.45</v>
      </c>
      <c r="C98" s="135">
        <v>7.5200000000000003E-2</v>
      </c>
      <c r="D98" s="134">
        <v>103.46</v>
      </c>
      <c r="E98" s="135">
        <v>7.8600000000000003E-2</v>
      </c>
      <c r="F98" s="134">
        <v>105.27</v>
      </c>
      <c r="G98" s="135">
        <v>8.3799999999999999E-2</v>
      </c>
      <c r="H98" s="134">
        <v>99.43</v>
      </c>
      <c r="I98" s="135">
        <v>8.4400000000000003E-2</v>
      </c>
      <c r="J98" s="139"/>
    </row>
    <row r="99" spans="1:10" x14ac:dyDescent="0.35">
      <c r="A99" s="133">
        <v>41780</v>
      </c>
      <c r="B99" s="134">
        <v>101.39</v>
      </c>
      <c r="C99" s="135">
        <v>7.5300000000000006E-2</v>
      </c>
      <c r="D99" s="134">
        <v>102.87</v>
      </c>
      <c r="E99" s="135">
        <v>7.9500000000000001E-2</v>
      </c>
      <c r="F99" s="134">
        <v>104.72</v>
      </c>
      <c r="G99" s="135">
        <v>8.4400000000000003E-2</v>
      </c>
      <c r="H99" s="134">
        <v>98.73</v>
      </c>
      <c r="I99" s="135">
        <v>8.5100000000000009E-2</v>
      </c>
      <c r="J99" s="139"/>
    </row>
    <row r="100" spans="1:10" x14ac:dyDescent="0.35">
      <c r="A100" s="133">
        <v>41781</v>
      </c>
      <c r="B100" s="134">
        <v>101.22</v>
      </c>
      <c r="C100" s="135">
        <v>7.5700000000000003E-2</v>
      </c>
      <c r="D100" s="134">
        <v>102.54</v>
      </c>
      <c r="E100" s="135">
        <v>0.08</v>
      </c>
      <c r="F100" s="134">
        <v>104.48</v>
      </c>
      <c r="G100" s="135">
        <v>8.4699999999999998E-2</v>
      </c>
      <c r="H100" s="134">
        <v>98.45</v>
      </c>
      <c r="I100" s="135">
        <v>8.5400000000000004E-2</v>
      </c>
      <c r="J100" s="139"/>
    </row>
    <row r="101" spans="1:10" x14ac:dyDescent="0.35">
      <c r="A101" s="133">
        <v>41782</v>
      </c>
      <c r="B101" s="134">
        <v>101.17</v>
      </c>
      <c r="C101" s="135">
        <v>7.5900000000000009E-2</v>
      </c>
      <c r="D101" s="134">
        <v>102.67</v>
      </c>
      <c r="E101" s="135">
        <v>7.9799999999999996E-2</v>
      </c>
      <c r="F101" s="134">
        <v>104.46</v>
      </c>
      <c r="G101" s="135">
        <v>8.4699999999999998E-2</v>
      </c>
      <c r="H101" s="134">
        <v>98.19</v>
      </c>
      <c r="I101" s="135">
        <v>8.5699999999999998E-2</v>
      </c>
      <c r="J101" s="139"/>
    </row>
    <row r="102" spans="1:10" x14ac:dyDescent="0.35">
      <c r="A102" s="136">
        <v>41785</v>
      </c>
      <c r="B102" s="137">
        <v>101.1</v>
      </c>
      <c r="C102" s="138">
        <v>7.5999999999999998E-2</v>
      </c>
      <c r="D102" s="137">
        <v>102.49</v>
      </c>
      <c r="E102" s="138">
        <v>8.0100000000000005E-2</v>
      </c>
      <c r="F102" s="137">
        <v>104.29</v>
      </c>
      <c r="G102" s="138">
        <v>8.4900000000000003E-2</v>
      </c>
      <c r="H102" s="137">
        <v>98.08</v>
      </c>
      <c r="I102" s="138">
        <v>8.5800000000000001E-2</v>
      </c>
      <c r="J102" s="139"/>
    </row>
    <row r="103" spans="1:10" x14ac:dyDescent="0.35">
      <c r="A103" s="136">
        <v>41787</v>
      </c>
      <c r="B103" s="137">
        <v>100.92</v>
      </c>
      <c r="C103" s="138">
        <v>7.6499999999999999E-2</v>
      </c>
      <c r="D103" s="137">
        <v>102.32</v>
      </c>
      <c r="E103" s="138">
        <v>8.0299999999999996E-2</v>
      </c>
      <c r="F103" s="137">
        <v>103.93</v>
      </c>
      <c r="G103" s="138">
        <v>8.5300000000000001E-2</v>
      </c>
      <c r="H103" s="137">
        <v>97.82</v>
      </c>
      <c r="I103" s="138">
        <v>8.6099999999999996E-2</v>
      </c>
      <c r="J103" s="139"/>
    </row>
    <row r="104" spans="1:10" x14ac:dyDescent="0.35">
      <c r="A104" s="136">
        <v>41789</v>
      </c>
      <c r="B104" s="137">
        <v>101.17</v>
      </c>
      <c r="C104" s="138">
        <v>7.5800000000000006E-2</v>
      </c>
      <c r="D104" s="137">
        <v>102.63</v>
      </c>
      <c r="E104" s="138">
        <v>7.9799999999999996E-2</v>
      </c>
      <c r="F104" s="137">
        <v>104.42</v>
      </c>
      <c r="G104" s="138">
        <v>8.4699999999999998E-2</v>
      </c>
      <c r="H104" s="137">
        <v>98.19</v>
      </c>
      <c r="I104" s="138">
        <v>8.5699999999999998E-2</v>
      </c>
      <c r="J104" s="139"/>
    </row>
    <row r="105" spans="1:10" x14ac:dyDescent="0.35">
      <c r="A105" s="133">
        <v>41792</v>
      </c>
      <c r="B105" s="134">
        <v>101.06</v>
      </c>
      <c r="C105" s="135">
        <v>7.6100000000000001E-2</v>
      </c>
      <c r="D105" s="134">
        <v>102.27</v>
      </c>
      <c r="E105" s="135">
        <v>8.0399999999999999E-2</v>
      </c>
      <c r="F105" s="134">
        <v>104.06</v>
      </c>
      <c r="G105" s="135">
        <v>8.5100000000000009E-2</v>
      </c>
      <c r="H105" s="134">
        <v>97.85</v>
      </c>
      <c r="I105" s="135">
        <v>8.6099999999999996E-2</v>
      </c>
      <c r="J105" s="139"/>
    </row>
    <row r="106" spans="1:10" x14ac:dyDescent="0.35">
      <c r="A106" s="133">
        <v>41793</v>
      </c>
      <c r="B106" s="134">
        <v>101.02</v>
      </c>
      <c r="C106" s="135">
        <v>7.6200000000000004E-2</v>
      </c>
      <c r="D106" s="134">
        <v>102.44</v>
      </c>
      <c r="E106" s="135">
        <v>8.0100000000000005E-2</v>
      </c>
      <c r="F106" s="134">
        <v>104.39</v>
      </c>
      <c r="G106" s="135">
        <v>8.48E-2</v>
      </c>
      <c r="H106" s="134">
        <v>98.04</v>
      </c>
      <c r="I106" s="135">
        <v>8.5900000000000004E-2</v>
      </c>
      <c r="J106" s="139"/>
    </row>
    <row r="107" spans="1:10" x14ac:dyDescent="0.35">
      <c r="A107" s="133">
        <v>41794</v>
      </c>
      <c r="B107" s="134">
        <v>101.02</v>
      </c>
      <c r="C107" s="135">
        <v>7.6200000000000004E-2</v>
      </c>
      <c r="D107" s="134">
        <v>102.66</v>
      </c>
      <c r="E107" s="135">
        <v>7.9799999999999996E-2</v>
      </c>
      <c r="F107" s="134">
        <v>104.51</v>
      </c>
      <c r="G107" s="135">
        <v>8.4600000000000009E-2</v>
      </c>
      <c r="H107" s="134">
        <v>98.23</v>
      </c>
      <c r="I107" s="135">
        <v>8.5600000000000009E-2</v>
      </c>
      <c r="J107" s="139"/>
    </row>
    <row r="108" spans="1:10" x14ac:dyDescent="0.35">
      <c r="A108" s="133">
        <v>41795</v>
      </c>
      <c r="B108" s="134">
        <v>100.96</v>
      </c>
      <c r="C108" s="135">
        <v>7.640000000000001E-2</v>
      </c>
      <c r="D108" s="134">
        <v>102.47</v>
      </c>
      <c r="E108" s="135">
        <v>8.0100000000000005E-2</v>
      </c>
      <c r="F108" s="134">
        <v>104.12</v>
      </c>
      <c r="G108" s="135">
        <v>8.5100000000000009E-2</v>
      </c>
      <c r="H108" s="134">
        <v>97.8</v>
      </c>
      <c r="I108" s="135">
        <v>8.6099999999999996E-2</v>
      </c>
      <c r="J108" s="139"/>
    </row>
    <row r="109" spans="1:10" x14ac:dyDescent="0.35">
      <c r="A109" s="133">
        <v>41796</v>
      </c>
      <c r="B109" s="134">
        <v>100.95</v>
      </c>
      <c r="C109" s="135">
        <v>7.640000000000001E-2</v>
      </c>
      <c r="D109" s="134">
        <v>102.5</v>
      </c>
      <c r="E109" s="135">
        <v>0.08</v>
      </c>
      <c r="F109" s="134">
        <v>104.24</v>
      </c>
      <c r="G109" s="135">
        <v>8.4900000000000003E-2</v>
      </c>
      <c r="H109" s="134">
        <v>97.79</v>
      </c>
      <c r="I109" s="135">
        <v>8.6099999999999996E-2</v>
      </c>
      <c r="J109" s="139"/>
    </row>
    <row r="110" spans="1:10" x14ac:dyDescent="0.35">
      <c r="A110" s="136">
        <v>41799</v>
      </c>
      <c r="B110" s="137">
        <v>100.98</v>
      </c>
      <c r="C110" s="138">
        <v>7.6300000000000007E-2</v>
      </c>
      <c r="D110" s="137">
        <v>102.68</v>
      </c>
      <c r="E110" s="138">
        <v>7.9799999999999996E-2</v>
      </c>
      <c r="F110" s="137">
        <v>104.66</v>
      </c>
      <c r="G110" s="138">
        <v>8.4400000000000003E-2</v>
      </c>
      <c r="H110" s="137">
        <v>97.83</v>
      </c>
      <c r="I110" s="138">
        <v>8.6099999999999996E-2</v>
      </c>
      <c r="J110" s="139"/>
    </row>
    <row r="111" spans="1:10" x14ac:dyDescent="0.35">
      <c r="A111" s="136">
        <v>41800</v>
      </c>
      <c r="B111" s="137">
        <v>100.94</v>
      </c>
      <c r="C111" s="138">
        <v>7.640000000000001E-2</v>
      </c>
      <c r="D111" s="137">
        <v>102.6</v>
      </c>
      <c r="E111" s="138">
        <v>7.9899999999999999E-2</v>
      </c>
      <c r="F111" s="137">
        <v>104.68</v>
      </c>
      <c r="G111" s="138">
        <v>8.4400000000000003E-2</v>
      </c>
      <c r="H111" s="137">
        <v>97.61</v>
      </c>
      <c r="I111" s="138">
        <v>8.6300000000000002E-2</v>
      </c>
      <c r="J111" s="139"/>
    </row>
    <row r="112" spans="1:10" x14ac:dyDescent="0.35">
      <c r="A112" s="136">
        <v>41801</v>
      </c>
      <c r="B112" s="137">
        <v>100.85</v>
      </c>
      <c r="C112" s="138">
        <v>7.6600000000000001E-2</v>
      </c>
      <c r="D112" s="137">
        <v>102.47</v>
      </c>
      <c r="E112" s="138">
        <v>8.0100000000000005E-2</v>
      </c>
      <c r="F112" s="137">
        <v>104.35</v>
      </c>
      <c r="G112" s="138">
        <v>8.48E-2</v>
      </c>
      <c r="H112" s="137">
        <v>97.52</v>
      </c>
      <c r="I112" s="138">
        <v>8.6400000000000005E-2</v>
      </c>
      <c r="J112" s="139"/>
    </row>
    <row r="113" spans="1:10" x14ac:dyDescent="0.35">
      <c r="A113" s="136">
        <v>41802</v>
      </c>
      <c r="B113" s="137">
        <v>100.84</v>
      </c>
      <c r="C113" s="138">
        <v>7.6600000000000001E-2</v>
      </c>
      <c r="D113" s="137">
        <v>102.49</v>
      </c>
      <c r="E113" s="138">
        <v>0.08</v>
      </c>
      <c r="F113" s="137">
        <v>104.46</v>
      </c>
      <c r="G113" s="138">
        <v>8.4699999999999998E-2</v>
      </c>
      <c r="H113" s="137">
        <v>97.57</v>
      </c>
      <c r="I113" s="138">
        <v>8.6400000000000005E-2</v>
      </c>
      <c r="J113" s="139"/>
    </row>
    <row r="114" spans="1:10" x14ac:dyDescent="0.35">
      <c r="A114" s="136">
        <v>41803</v>
      </c>
      <c r="B114" s="137">
        <v>100.88</v>
      </c>
      <c r="C114" s="138">
        <v>7.6499999999999999E-2</v>
      </c>
      <c r="D114" s="137">
        <v>102.63</v>
      </c>
      <c r="E114" s="138">
        <v>7.9799999999999996E-2</v>
      </c>
      <c r="F114" s="137">
        <v>104.71</v>
      </c>
      <c r="G114" s="138">
        <v>8.4400000000000003E-2</v>
      </c>
      <c r="H114" s="137">
        <v>97.95</v>
      </c>
      <c r="I114" s="138">
        <v>8.6000000000000007E-2</v>
      </c>
      <c r="J114" s="139"/>
    </row>
    <row r="115" spans="1:10" x14ac:dyDescent="0.35">
      <c r="A115" s="133">
        <v>41806</v>
      </c>
      <c r="B115" s="134">
        <v>100.91</v>
      </c>
      <c r="C115" s="135">
        <v>7.6499999999999999E-2</v>
      </c>
      <c r="D115" s="134">
        <v>102.55</v>
      </c>
      <c r="E115" s="135">
        <v>0.08</v>
      </c>
      <c r="F115" s="134">
        <v>104.72</v>
      </c>
      <c r="G115" s="135">
        <v>8.4400000000000003E-2</v>
      </c>
      <c r="H115" s="134">
        <v>98.08</v>
      </c>
      <c r="I115" s="135">
        <v>8.5800000000000001E-2</v>
      </c>
      <c r="J115" s="139"/>
    </row>
    <row r="116" spans="1:10" x14ac:dyDescent="0.35">
      <c r="A116" s="133">
        <v>41807</v>
      </c>
      <c r="B116" s="134">
        <v>100.9</v>
      </c>
      <c r="C116" s="135">
        <v>7.6499999999999999E-2</v>
      </c>
      <c r="D116" s="134">
        <v>102.39</v>
      </c>
      <c r="E116" s="135">
        <v>8.0200000000000007E-2</v>
      </c>
      <c r="F116" s="134">
        <v>104.8</v>
      </c>
      <c r="G116" s="135">
        <v>8.43E-2</v>
      </c>
      <c r="H116" s="134">
        <v>97.87</v>
      </c>
      <c r="I116" s="135">
        <v>8.6000000000000007E-2</v>
      </c>
      <c r="J116" s="139"/>
    </row>
    <row r="117" spans="1:10" x14ac:dyDescent="0.35">
      <c r="A117" s="133">
        <v>41808</v>
      </c>
      <c r="B117" s="134">
        <v>100.69</v>
      </c>
      <c r="C117" s="135">
        <v>7.6999999999999999E-2</v>
      </c>
      <c r="D117" s="134">
        <v>101.86</v>
      </c>
      <c r="E117" s="135">
        <v>8.1000000000000003E-2</v>
      </c>
      <c r="F117" s="134">
        <v>104.34</v>
      </c>
      <c r="G117" s="135">
        <v>8.48E-2</v>
      </c>
      <c r="H117" s="134">
        <v>97.71</v>
      </c>
      <c r="I117" s="135">
        <v>8.6199999999999999E-2</v>
      </c>
      <c r="J117" s="139"/>
    </row>
    <row r="118" spans="1:10" x14ac:dyDescent="0.35">
      <c r="A118" s="133">
        <v>41809</v>
      </c>
      <c r="B118" s="134">
        <v>100.76</v>
      </c>
      <c r="C118" s="135">
        <v>7.6800000000000007E-2</v>
      </c>
      <c r="D118" s="134">
        <v>102.02</v>
      </c>
      <c r="E118" s="135">
        <v>8.0700000000000008E-2</v>
      </c>
      <c r="F118" s="134">
        <v>104.48</v>
      </c>
      <c r="G118" s="135">
        <v>8.4600000000000009E-2</v>
      </c>
      <c r="H118" s="134">
        <v>97.29</v>
      </c>
      <c r="I118" s="135">
        <v>8.6699999999999999E-2</v>
      </c>
      <c r="J118" s="139"/>
    </row>
    <row r="119" spans="1:10" x14ac:dyDescent="0.35">
      <c r="A119" s="133">
        <v>41810</v>
      </c>
      <c r="B119" s="134">
        <v>100.75</v>
      </c>
      <c r="C119" s="135">
        <v>7.6899999999999996E-2</v>
      </c>
      <c r="D119" s="134">
        <v>101.99</v>
      </c>
      <c r="E119" s="135">
        <v>8.0799999999999997E-2</v>
      </c>
      <c r="F119" s="134">
        <v>104.47</v>
      </c>
      <c r="G119" s="135">
        <v>8.4699999999999998E-2</v>
      </c>
      <c r="H119" s="134">
        <v>97.29</v>
      </c>
      <c r="I119" s="135">
        <v>8.6699999999999999E-2</v>
      </c>
      <c r="J119" s="139"/>
    </row>
    <row r="120" spans="1:10" x14ac:dyDescent="0.35">
      <c r="A120" s="136">
        <v>41813</v>
      </c>
      <c r="B120" s="137">
        <v>100.71</v>
      </c>
      <c r="C120" s="138">
        <v>7.6999999999999999E-2</v>
      </c>
      <c r="D120" s="137">
        <v>101.6</v>
      </c>
      <c r="E120" s="138">
        <v>8.14E-2</v>
      </c>
      <c r="F120" s="137">
        <v>104.25</v>
      </c>
      <c r="G120" s="138">
        <v>8.4900000000000003E-2</v>
      </c>
      <c r="H120" s="137">
        <v>97.15</v>
      </c>
      <c r="I120" s="138">
        <v>8.6800000000000002E-2</v>
      </c>
      <c r="J120" s="139"/>
    </row>
    <row r="121" spans="1:10" x14ac:dyDescent="0.35">
      <c r="A121" s="136">
        <v>41814</v>
      </c>
      <c r="B121" s="137">
        <v>100.65</v>
      </c>
      <c r="C121" s="138">
        <v>7.7100000000000002E-2</v>
      </c>
      <c r="D121" s="137">
        <v>101.55</v>
      </c>
      <c r="E121" s="138">
        <v>8.14E-2</v>
      </c>
      <c r="F121" s="137">
        <v>103.63</v>
      </c>
      <c r="G121" s="138">
        <v>8.5600000000000009E-2</v>
      </c>
      <c r="H121" s="137">
        <v>96.7</v>
      </c>
      <c r="I121" s="138">
        <v>8.7300000000000003E-2</v>
      </c>
      <c r="J121" s="139"/>
    </row>
    <row r="122" spans="1:10" x14ac:dyDescent="0.35">
      <c r="A122" s="136">
        <v>41815</v>
      </c>
      <c r="B122" s="137">
        <v>100.44</v>
      </c>
      <c r="C122" s="138">
        <v>7.7600000000000002E-2</v>
      </c>
      <c r="D122" s="137">
        <v>101.24</v>
      </c>
      <c r="E122" s="138">
        <v>8.1900000000000001E-2</v>
      </c>
      <c r="F122" s="137">
        <v>103.38</v>
      </c>
      <c r="G122" s="138">
        <v>8.5900000000000004E-2</v>
      </c>
      <c r="H122" s="137">
        <v>96.43</v>
      </c>
      <c r="I122" s="138">
        <v>8.7599999999999997E-2</v>
      </c>
      <c r="J122" s="139"/>
    </row>
    <row r="123" spans="1:10" x14ac:dyDescent="0.35">
      <c r="A123" s="136">
        <v>41816</v>
      </c>
      <c r="B123" s="137">
        <v>100.44</v>
      </c>
      <c r="C123" s="138">
        <v>7.7600000000000002E-2</v>
      </c>
      <c r="D123" s="137">
        <v>100.83</v>
      </c>
      <c r="E123" s="138">
        <v>8.2500000000000004E-2</v>
      </c>
      <c r="F123" s="137">
        <v>102.8</v>
      </c>
      <c r="G123" s="138">
        <v>8.6599999999999996E-2</v>
      </c>
      <c r="H123" s="137">
        <v>95.9</v>
      </c>
      <c r="I123" s="138">
        <v>8.8200000000000001E-2</v>
      </c>
    </row>
    <row r="124" spans="1:10" x14ac:dyDescent="0.35">
      <c r="A124" s="136">
        <v>41817</v>
      </c>
      <c r="B124" s="137">
        <v>100.25</v>
      </c>
      <c r="C124" s="138">
        <v>7.8100000000000003E-2</v>
      </c>
      <c r="D124" s="137">
        <v>100.57</v>
      </c>
      <c r="E124" s="138">
        <v>8.2900000000000001E-2</v>
      </c>
      <c r="F124" s="137">
        <v>102.39</v>
      </c>
      <c r="G124" s="138">
        <v>8.7099999999999997E-2</v>
      </c>
      <c r="H124" s="137">
        <v>94.79</v>
      </c>
      <c r="I124" s="138">
        <v>8.9400000000000007E-2</v>
      </c>
    </row>
    <row r="125" spans="1:10" x14ac:dyDescent="0.35">
      <c r="A125" s="133">
        <v>41820</v>
      </c>
      <c r="B125" s="134">
        <v>100.21</v>
      </c>
      <c r="C125" s="135">
        <v>7.8200000000000006E-2</v>
      </c>
      <c r="D125" s="134">
        <v>100.98</v>
      </c>
      <c r="E125" s="135">
        <v>8.2299999999999998E-2</v>
      </c>
      <c r="F125" s="134">
        <v>102.99</v>
      </c>
      <c r="G125" s="135">
        <v>8.6400000000000005E-2</v>
      </c>
      <c r="H125" s="134">
        <v>95.17</v>
      </c>
      <c r="I125" s="135">
        <v>8.900000000000001E-2</v>
      </c>
    </row>
    <row r="126" spans="1:10" x14ac:dyDescent="0.35">
      <c r="A126" s="133">
        <v>41821</v>
      </c>
      <c r="B126" s="134">
        <v>100.55</v>
      </c>
      <c r="C126" s="135">
        <v>7.7399999999999997E-2</v>
      </c>
      <c r="D126" s="134">
        <v>101.58</v>
      </c>
      <c r="E126" s="135">
        <v>8.14E-2</v>
      </c>
      <c r="F126" s="134">
        <v>103.49</v>
      </c>
      <c r="G126" s="135">
        <v>8.5800000000000001E-2</v>
      </c>
      <c r="H126" s="134">
        <v>95.94</v>
      </c>
      <c r="I126" s="135">
        <v>8.8200000000000001E-2</v>
      </c>
    </row>
    <row r="127" spans="1:10" x14ac:dyDescent="0.35">
      <c r="A127" s="133">
        <v>41822</v>
      </c>
      <c r="B127" s="134">
        <v>100.58</v>
      </c>
      <c r="C127" s="135">
        <v>7.7300000000000008E-2</v>
      </c>
      <c r="D127" s="134">
        <v>102.14</v>
      </c>
      <c r="E127" s="135">
        <v>8.0500000000000002E-2</v>
      </c>
      <c r="F127" s="134">
        <v>104.04</v>
      </c>
      <c r="G127" s="135">
        <v>8.5199999999999998E-2</v>
      </c>
      <c r="H127" s="134">
        <v>97.19</v>
      </c>
      <c r="I127" s="135">
        <v>8.6800000000000002E-2</v>
      </c>
    </row>
    <row r="128" spans="1:10" x14ac:dyDescent="0.35">
      <c r="A128" s="133">
        <v>41823</v>
      </c>
      <c r="B128" s="134">
        <v>100.59</v>
      </c>
      <c r="C128" s="135">
        <v>7.7300000000000008E-2</v>
      </c>
      <c r="D128" s="134">
        <v>102.11</v>
      </c>
      <c r="E128" s="135">
        <v>8.0600000000000005E-2</v>
      </c>
      <c r="F128" s="134">
        <v>104.09</v>
      </c>
      <c r="G128" s="135">
        <v>8.5100000000000009E-2</v>
      </c>
      <c r="H128" s="134">
        <v>97.28</v>
      </c>
      <c r="I128" s="135">
        <v>8.6699999999999999E-2</v>
      </c>
    </row>
    <row r="129" spans="1:9" x14ac:dyDescent="0.35">
      <c r="A129" s="133">
        <v>41824</v>
      </c>
      <c r="B129" s="134">
        <v>100.51</v>
      </c>
      <c r="C129" s="135">
        <v>7.7499999999999999E-2</v>
      </c>
      <c r="D129" s="134">
        <v>101.71</v>
      </c>
      <c r="E129" s="135">
        <v>8.1200000000000008E-2</v>
      </c>
      <c r="F129" s="134">
        <v>103.65</v>
      </c>
      <c r="G129" s="135">
        <v>8.5600000000000009E-2</v>
      </c>
      <c r="H129" s="134">
        <v>96.57</v>
      </c>
      <c r="I129" s="135">
        <v>8.7500000000000008E-2</v>
      </c>
    </row>
    <row r="130" spans="1:9" x14ac:dyDescent="0.35">
      <c r="A130" s="136">
        <v>41827</v>
      </c>
      <c r="B130" s="137">
        <v>100.65</v>
      </c>
      <c r="C130" s="138">
        <v>7.7100000000000002E-2</v>
      </c>
      <c r="D130" s="137">
        <v>102.02</v>
      </c>
      <c r="E130" s="138">
        <v>8.0700000000000008E-2</v>
      </c>
      <c r="F130" s="137">
        <v>103.7</v>
      </c>
      <c r="G130" s="138">
        <v>8.5600000000000009E-2</v>
      </c>
      <c r="H130" s="137">
        <v>96.65</v>
      </c>
      <c r="I130" s="138">
        <v>8.7400000000000005E-2</v>
      </c>
    </row>
    <row r="131" spans="1:9" x14ac:dyDescent="0.35">
      <c r="A131" s="136">
        <v>41828</v>
      </c>
      <c r="B131" s="137">
        <v>100.57</v>
      </c>
      <c r="C131" s="138">
        <v>7.7300000000000008E-2</v>
      </c>
      <c r="D131" s="137">
        <v>102.29</v>
      </c>
      <c r="E131" s="138">
        <v>8.0299999999999996E-2</v>
      </c>
      <c r="F131" s="137">
        <v>104.07</v>
      </c>
      <c r="G131" s="138">
        <v>8.5100000000000009E-2</v>
      </c>
      <c r="H131" s="137">
        <v>96.35</v>
      </c>
      <c r="I131" s="138">
        <v>8.77E-2</v>
      </c>
    </row>
    <row r="132" spans="1:9" x14ac:dyDescent="0.35">
      <c r="A132" s="136">
        <v>41830</v>
      </c>
      <c r="B132" s="137">
        <v>100.54</v>
      </c>
      <c r="C132" s="138">
        <v>7.7399999999999997E-2</v>
      </c>
      <c r="D132" s="137">
        <v>102.88</v>
      </c>
      <c r="E132" s="138">
        <v>7.9500000000000001E-2</v>
      </c>
      <c r="F132" s="137">
        <v>104.72</v>
      </c>
      <c r="G132" s="138">
        <v>8.4400000000000003E-2</v>
      </c>
      <c r="H132" s="137">
        <v>97.63</v>
      </c>
      <c r="I132" s="138">
        <v>8.6300000000000002E-2</v>
      </c>
    </row>
    <row r="133" spans="1:9" x14ac:dyDescent="0.35">
      <c r="A133" s="136">
        <v>41831</v>
      </c>
      <c r="B133" s="137">
        <v>100.44</v>
      </c>
      <c r="C133" s="138">
        <v>7.7600000000000002E-2</v>
      </c>
      <c r="D133" s="137">
        <v>102.37</v>
      </c>
      <c r="E133" s="138">
        <v>8.0200000000000007E-2</v>
      </c>
      <c r="F133" s="137">
        <v>104.12</v>
      </c>
      <c r="G133" s="138">
        <v>8.5100000000000009E-2</v>
      </c>
      <c r="H133" s="137">
        <v>97.44</v>
      </c>
      <c r="I133" s="138">
        <v>8.6500000000000007E-2</v>
      </c>
    </row>
    <row r="134" spans="1:9" x14ac:dyDescent="0.35">
      <c r="A134" s="133">
        <v>41834</v>
      </c>
      <c r="B134" s="134">
        <v>100.48</v>
      </c>
      <c r="C134" s="135">
        <v>7.7499999999999999E-2</v>
      </c>
      <c r="D134" s="134">
        <v>101.96</v>
      </c>
      <c r="E134" s="135">
        <v>8.0799999999999997E-2</v>
      </c>
      <c r="F134" s="134">
        <v>103.61</v>
      </c>
      <c r="G134" s="135">
        <v>8.5699999999999998E-2</v>
      </c>
      <c r="H134" s="134">
        <v>96.71</v>
      </c>
      <c r="I134" s="135">
        <v>8.7300000000000003E-2</v>
      </c>
    </row>
    <row r="135" spans="1:9" x14ac:dyDescent="0.35">
      <c r="A135" s="133">
        <v>41835</v>
      </c>
      <c r="B135" s="134">
        <v>100.2</v>
      </c>
      <c r="C135" s="135">
        <v>7.8200000000000006E-2</v>
      </c>
      <c r="D135" s="134">
        <v>101.55</v>
      </c>
      <c r="E135" s="135">
        <v>8.14E-2</v>
      </c>
      <c r="F135" s="134">
        <v>103.18</v>
      </c>
      <c r="G135" s="135">
        <v>8.6199999999999999E-2</v>
      </c>
      <c r="H135" s="134">
        <v>96.07</v>
      </c>
      <c r="I135" s="135">
        <v>8.8000000000000009E-2</v>
      </c>
    </row>
    <row r="136" spans="1:9" x14ac:dyDescent="0.35">
      <c r="A136" s="133">
        <v>41836</v>
      </c>
      <c r="B136" s="134">
        <v>100.27</v>
      </c>
      <c r="C136" s="135">
        <v>7.8100000000000003E-2</v>
      </c>
      <c r="D136" s="134">
        <v>101.72</v>
      </c>
      <c r="E136" s="135">
        <v>8.1200000000000008E-2</v>
      </c>
      <c r="F136" s="134">
        <v>103.44</v>
      </c>
      <c r="G136" s="135">
        <v>8.5900000000000004E-2</v>
      </c>
      <c r="H136" s="134">
        <v>96.15</v>
      </c>
      <c r="I136" s="135">
        <v>8.7900000000000006E-2</v>
      </c>
    </row>
    <row r="137" spans="1:9" x14ac:dyDescent="0.35">
      <c r="A137" s="133">
        <v>41837</v>
      </c>
      <c r="B137" s="134">
        <v>100.41</v>
      </c>
      <c r="C137" s="135">
        <v>7.7700000000000005E-2</v>
      </c>
      <c r="D137" s="134">
        <v>102</v>
      </c>
      <c r="E137" s="135">
        <v>8.0799999999999997E-2</v>
      </c>
      <c r="F137" s="134">
        <v>103.83</v>
      </c>
      <c r="G137" s="135">
        <v>8.5400000000000004E-2</v>
      </c>
      <c r="H137" s="134">
        <v>96.8</v>
      </c>
      <c r="I137" s="135">
        <v>8.72E-2</v>
      </c>
    </row>
    <row r="138" spans="1:9" x14ac:dyDescent="0.35">
      <c r="A138" s="133">
        <v>41838</v>
      </c>
      <c r="B138" s="134">
        <v>100.36</v>
      </c>
      <c r="C138" s="135">
        <v>7.7800000000000008E-2</v>
      </c>
      <c r="D138" s="134">
        <v>102.31</v>
      </c>
      <c r="E138" s="135">
        <v>8.0299999999999996E-2</v>
      </c>
      <c r="F138" s="134">
        <v>104.25</v>
      </c>
      <c r="G138" s="135">
        <v>8.4900000000000003E-2</v>
      </c>
      <c r="H138" s="134">
        <v>97.29</v>
      </c>
      <c r="I138" s="135">
        <v>8.6699999999999999E-2</v>
      </c>
    </row>
    <row r="139" spans="1:9" x14ac:dyDescent="0.35">
      <c r="A139" s="136">
        <v>41841</v>
      </c>
      <c r="B139" s="137">
        <v>100.44</v>
      </c>
      <c r="C139" s="138">
        <v>7.7600000000000002E-2</v>
      </c>
      <c r="D139" s="137">
        <v>102.77</v>
      </c>
      <c r="E139" s="138">
        <v>7.9600000000000004E-2</v>
      </c>
      <c r="F139" s="137">
        <v>104.49</v>
      </c>
      <c r="G139" s="138">
        <v>8.4600000000000009E-2</v>
      </c>
      <c r="H139" s="137">
        <v>97.73</v>
      </c>
      <c r="I139" s="138">
        <v>8.6199999999999999E-2</v>
      </c>
    </row>
    <row r="140" spans="1:9" x14ac:dyDescent="0.35">
      <c r="A140" s="136">
        <v>41842</v>
      </c>
      <c r="B140" s="137">
        <v>100.42</v>
      </c>
      <c r="C140" s="138">
        <v>7.7700000000000005E-2</v>
      </c>
      <c r="D140" s="137">
        <v>102.72</v>
      </c>
      <c r="E140" s="138">
        <v>7.9700000000000007E-2</v>
      </c>
      <c r="F140" s="137">
        <v>104.76</v>
      </c>
      <c r="G140" s="138">
        <v>8.43E-2</v>
      </c>
      <c r="H140" s="137">
        <v>97.8</v>
      </c>
      <c r="I140" s="138">
        <v>8.6099999999999996E-2</v>
      </c>
    </row>
    <row r="141" spans="1:9" x14ac:dyDescent="0.35">
      <c r="A141" s="136">
        <v>41843</v>
      </c>
      <c r="B141" s="137">
        <v>100.17</v>
      </c>
      <c r="C141" s="138">
        <v>7.8300000000000008E-2</v>
      </c>
      <c r="D141" s="137">
        <v>102.28</v>
      </c>
      <c r="E141" s="138">
        <v>8.0299999999999996E-2</v>
      </c>
      <c r="F141" s="137">
        <v>104.23</v>
      </c>
      <c r="G141" s="138">
        <v>8.4900000000000003E-2</v>
      </c>
      <c r="H141" s="137">
        <v>97.17</v>
      </c>
      <c r="I141" s="138">
        <v>8.6800000000000002E-2</v>
      </c>
    </row>
    <row r="142" spans="1:9" x14ac:dyDescent="0.35">
      <c r="A142" s="136">
        <v>41844</v>
      </c>
      <c r="B142" s="137">
        <v>100.21</v>
      </c>
      <c r="C142" s="138">
        <v>7.8200000000000006E-2</v>
      </c>
      <c r="D142" s="137">
        <v>102.56</v>
      </c>
      <c r="E142" s="138">
        <v>7.9899999999999999E-2</v>
      </c>
      <c r="F142" s="137">
        <v>104.53</v>
      </c>
      <c r="G142" s="138">
        <v>8.4600000000000009E-2</v>
      </c>
      <c r="H142" s="137">
        <v>97.41</v>
      </c>
      <c r="I142" s="138">
        <v>8.6500000000000007E-2</v>
      </c>
    </row>
    <row r="143" spans="1:9" x14ac:dyDescent="0.35">
      <c r="A143" s="136">
        <v>41845</v>
      </c>
      <c r="B143" s="137">
        <v>100.17</v>
      </c>
      <c r="C143" s="138">
        <v>7.8300000000000008E-2</v>
      </c>
      <c r="D143" s="137">
        <v>102.44</v>
      </c>
      <c r="E143" s="138">
        <v>8.0100000000000005E-2</v>
      </c>
      <c r="F143" s="137">
        <v>104.51</v>
      </c>
      <c r="G143" s="138">
        <v>8.4600000000000009E-2</v>
      </c>
      <c r="H143" s="137">
        <v>97.42</v>
      </c>
      <c r="I143" s="138">
        <v>8.6500000000000007E-2</v>
      </c>
    </row>
    <row r="144" spans="1:9" x14ac:dyDescent="0.35">
      <c r="A144" s="133">
        <v>41855</v>
      </c>
      <c r="B144" s="134">
        <v>100.06</v>
      </c>
      <c r="C144" s="135">
        <v>7.8600000000000003E-2</v>
      </c>
      <c r="D144" s="134">
        <v>102.01</v>
      </c>
      <c r="E144" s="135">
        <v>8.0700000000000008E-2</v>
      </c>
      <c r="F144" s="134">
        <v>103.96</v>
      </c>
      <c r="G144" s="135">
        <v>8.5199999999999998E-2</v>
      </c>
      <c r="H144" s="134">
        <v>96.9</v>
      </c>
      <c r="I144" s="135">
        <v>8.7099999999999997E-2</v>
      </c>
    </row>
    <row r="145" spans="1:9" x14ac:dyDescent="0.35">
      <c r="A145" s="133">
        <v>41856</v>
      </c>
      <c r="B145" s="134">
        <v>100.04</v>
      </c>
      <c r="C145" s="135">
        <v>7.8700000000000006E-2</v>
      </c>
      <c r="D145" s="134">
        <v>101.66</v>
      </c>
      <c r="E145" s="135">
        <v>8.1299999999999997E-2</v>
      </c>
      <c r="F145" s="134">
        <v>103.9</v>
      </c>
      <c r="G145" s="135">
        <v>8.5300000000000001E-2</v>
      </c>
      <c r="H145" s="134">
        <v>96.57</v>
      </c>
      <c r="I145" s="135">
        <v>8.7500000000000008E-2</v>
      </c>
    </row>
    <row r="146" spans="1:9" x14ac:dyDescent="0.35">
      <c r="A146" s="133">
        <v>41857</v>
      </c>
      <c r="B146" s="134">
        <v>99.73</v>
      </c>
      <c r="C146" s="135">
        <v>7.9500000000000001E-2</v>
      </c>
      <c r="D146" s="134">
        <v>101.26</v>
      </c>
      <c r="E146" s="135">
        <v>8.1900000000000001E-2</v>
      </c>
      <c r="F146" s="134">
        <v>103.85</v>
      </c>
      <c r="G146" s="135">
        <v>8.5400000000000004E-2</v>
      </c>
      <c r="H146" s="134">
        <v>96.06</v>
      </c>
      <c r="I146" s="135">
        <v>8.8000000000000009E-2</v>
      </c>
    </row>
    <row r="147" spans="1:9" x14ac:dyDescent="0.35">
      <c r="A147" s="133">
        <v>41858</v>
      </c>
      <c r="B147" s="134">
        <v>99.75</v>
      </c>
      <c r="C147" s="135">
        <v>7.9399999999999998E-2</v>
      </c>
      <c r="D147" s="134">
        <v>101.23</v>
      </c>
      <c r="E147" s="135">
        <v>8.1900000000000001E-2</v>
      </c>
      <c r="F147" s="134">
        <v>103.69</v>
      </c>
      <c r="G147" s="135">
        <v>8.5600000000000009E-2</v>
      </c>
      <c r="H147" s="134">
        <v>95.79</v>
      </c>
      <c r="I147" s="135">
        <v>8.8300000000000003E-2</v>
      </c>
    </row>
    <row r="148" spans="1:9" x14ac:dyDescent="0.35">
      <c r="A148" s="133">
        <v>41859</v>
      </c>
      <c r="B148" s="134">
        <v>99.59</v>
      </c>
      <c r="C148" s="135">
        <v>7.9799999999999996E-2</v>
      </c>
      <c r="D148" s="134">
        <v>100.77</v>
      </c>
      <c r="E148" s="135">
        <v>8.2600000000000007E-2</v>
      </c>
      <c r="F148" s="134">
        <v>102.77</v>
      </c>
      <c r="G148" s="135">
        <v>8.6699999999999999E-2</v>
      </c>
      <c r="H148" s="134">
        <v>95.41</v>
      </c>
      <c r="I148" s="135">
        <v>8.8800000000000004E-2</v>
      </c>
    </row>
    <row r="149" spans="1:9" x14ac:dyDescent="0.35">
      <c r="A149" s="136">
        <v>41862</v>
      </c>
      <c r="B149" s="137">
        <v>99.65</v>
      </c>
      <c r="C149" s="138">
        <v>7.9700000000000007E-2</v>
      </c>
      <c r="D149" s="137">
        <v>100.81</v>
      </c>
      <c r="E149" s="138">
        <v>8.2500000000000004E-2</v>
      </c>
      <c r="F149" s="137">
        <v>102.94</v>
      </c>
      <c r="G149" s="138">
        <v>8.6400000000000005E-2</v>
      </c>
      <c r="H149" s="137">
        <v>95.36</v>
      </c>
      <c r="I149" s="138">
        <v>8.8800000000000004E-2</v>
      </c>
    </row>
    <row r="150" spans="1:9" x14ac:dyDescent="0.35">
      <c r="A150" s="136">
        <v>41863</v>
      </c>
      <c r="B150" s="137">
        <v>99.59</v>
      </c>
      <c r="C150" s="138">
        <v>7.9799999999999996E-2</v>
      </c>
      <c r="D150" s="137">
        <v>101.01</v>
      </c>
      <c r="E150" s="138">
        <v>8.2200000000000009E-2</v>
      </c>
      <c r="F150" s="137">
        <v>103</v>
      </c>
      <c r="G150" s="138">
        <v>8.6400000000000005E-2</v>
      </c>
      <c r="H150" s="137">
        <v>95.2</v>
      </c>
      <c r="I150" s="138">
        <v>8.900000000000001E-2</v>
      </c>
    </row>
    <row r="151" spans="1:9" x14ac:dyDescent="0.35">
      <c r="A151" s="136">
        <v>41864</v>
      </c>
      <c r="B151" s="137">
        <v>99.64</v>
      </c>
      <c r="C151" s="138">
        <v>7.9700000000000007E-2</v>
      </c>
      <c r="D151" s="137">
        <v>101.25</v>
      </c>
      <c r="E151" s="138">
        <v>8.1900000000000001E-2</v>
      </c>
      <c r="F151" s="137">
        <v>103.18</v>
      </c>
      <c r="G151" s="138">
        <v>8.6199999999999999E-2</v>
      </c>
      <c r="H151" s="137">
        <v>95.29</v>
      </c>
      <c r="I151" s="138">
        <v>8.8900000000000007E-2</v>
      </c>
    </row>
    <row r="152" spans="1:9" x14ac:dyDescent="0.35">
      <c r="A152" s="136">
        <v>41865</v>
      </c>
      <c r="B152" s="137">
        <v>99.75</v>
      </c>
      <c r="C152" s="138">
        <v>7.9399999999999998E-2</v>
      </c>
      <c r="D152" s="137">
        <v>101.47</v>
      </c>
      <c r="E152" s="138">
        <v>8.1500000000000003E-2</v>
      </c>
      <c r="F152" s="137">
        <v>103.53</v>
      </c>
      <c r="G152" s="138">
        <v>8.5699999999999998E-2</v>
      </c>
      <c r="H152" s="137">
        <v>95.61</v>
      </c>
      <c r="I152" s="138">
        <v>8.8500000000000009E-2</v>
      </c>
    </row>
    <row r="153" spans="1:9" x14ac:dyDescent="0.35">
      <c r="A153" s="136">
        <v>41866</v>
      </c>
      <c r="B153" s="137">
        <v>99.67</v>
      </c>
      <c r="C153" s="138">
        <v>7.9600000000000004E-2</v>
      </c>
      <c r="D153" s="137">
        <v>101.34</v>
      </c>
      <c r="E153" s="138">
        <v>8.1700000000000009E-2</v>
      </c>
      <c r="F153" s="137">
        <v>103.41</v>
      </c>
      <c r="G153" s="138">
        <v>8.5900000000000004E-2</v>
      </c>
      <c r="H153" s="137">
        <v>95.26</v>
      </c>
      <c r="I153" s="138">
        <v>8.8900000000000007E-2</v>
      </c>
    </row>
    <row r="154" spans="1:9" x14ac:dyDescent="0.35">
      <c r="A154" s="133">
        <v>41869</v>
      </c>
      <c r="B154" s="134">
        <v>99.66</v>
      </c>
      <c r="C154" s="135">
        <v>7.9600000000000004E-2</v>
      </c>
      <c r="D154" s="134">
        <v>101.25</v>
      </c>
      <c r="E154" s="135">
        <v>8.1900000000000001E-2</v>
      </c>
      <c r="F154" s="134">
        <v>103.29</v>
      </c>
      <c r="G154" s="135">
        <v>8.6000000000000007E-2</v>
      </c>
      <c r="H154" s="134">
        <v>95.17</v>
      </c>
      <c r="I154" s="135">
        <v>8.900000000000001E-2</v>
      </c>
    </row>
    <row r="155" spans="1:9" x14ac:dyDescent="0.35">
      <c r="A155" s="133">
        <v>41870</v>
      </c>
      <c r="B155" s="134">
        <v>99.61</v>
      </c>
      <c r="C155" s="135">
        <v>7.9799999999999996E-2</v>
      </c>
      <c r="D155" s="134">
        <v>100.78</v>
      </c>
      <c r="E155" s="135">
        <v>8.2600000000000007E-2</v>
      </c>
      <c r="F155" s="134">
        <v>102.76</v>
      </c>
      <c r="G155" s="135">
        <v>8.6699999999999999E-2</v>
      </c>
      <c r="H155" s="134">
        <v>94.71</v>
      </c>
      <c r="I155" s="135">
        <v>8.9599999999999999E-2</v>
      </c>
    </row>
    <row r="156" spans="1:9" x14ac:dyDescent="0.35">
      <c r="A156" s="133">
        <v>41871</v>
      </c>
      <c r="B156" s="134">
        <v>99.63</v>
      </c>
      <c r="C156" s="135">
        <v>7.9700000000000007E-2</v>
      </c>
      <c r="D156" s="134">
        <v>100.52</v>
      </c>
      <c r="E156" s="135">
        <v>8.3000000000000004E-2</v>
      </c>
      <c r="F156" s="134">
        <v>102.49</v>
      </c>
      <c r="G156" s="135">
        <v>8.7000000000000008E-2</v>
      </c>
      <c r="H156" s="134">
        <v>94.44</v>
      </c>
      <c r="I156" s="135">
        <v>8.9900000000000008E-2</v>
      </c>
    </row>
    <row r="157" spans="1:9" x14ac:dyDescent="0.35">
      <c r="A157" s="133">
        <v>41872</v>
      </c>
      <c r="B157" s="134">
        <v>99.66</v>
      </c>
      <c r="C157" s="135">
        <v>7.9600000000000004E-2</v>
      </c>
      <c r="D157" s="134">
        <v>100.62</v>
      </c>
      <c r="E157" s="135">
        <v>8.2799999999999999E-2</v>
      </c>
      <c r="F157" s="134">
        <v>102.52</v>
      </c>
      <c r="G157" s="135">
        <v>8.7000000000000008E-2</v>
      </c>
      <c r="H157" s="134">
        <v>94.54</v>
      </c>
      <c r="I157" s="135">
        <v>8.9800000000000005E-2</v>
      </c>
    </row>
    <row r="158" spans="1:9" x14ac:dyDescent="0.35">
      <c r="A158" s="133">
        <v>41873</v>
      </c>
      <c r="B158" s="134">
        <v>99.81</v>
      </c>
      <c r="C158" s="135">
        <v>7.9300000000000009E-2</v>
      </c>
      <c r="D158" s="134">
        <v>101.12</v>
      </c>
      <c r="E158" s="135">
        <v>8.2100000000000006E-2</v>
      </c>
      <c r="F158" s="134">
        <v>103.16</v>
      </c>
      <c r="G158" s="135">
        <v>8.6199999999999999E-2</v>
      </c>
      <c r="H158" s="134">
        <v>95.35</v>
      </c>
      <c r="I158" s="135">
        <v>8.8800000000000004E-2</v>
      </c>
    </row>
    <row r="159" spans="1:9" x14ac:dyDescent="0.35">
      <c r="A159" s="136">
        <v>41876</v>
      </c>
      <c r="B159" s="137">
        <v>99.68</v>
      </c>
      <c r="C159" s="138">
        <v>7.9600000000000004E-2</v>
      </c>
      <c r="D159" s="137">
        <v>101.24</v>
      </c>
      <c r="E159" s="138">
        <v>8.1900000000000001E-2</v>
      </c>
      <c r="F159" s="137">
        <v>103.46</v>
      </c>
      <c r="G159" s="138">
        <v>8.5800000000000001E-2</v>
      </c>
      <c r="H159" s="137">
        <v>95.74</v>
      </c>
      <c r="I159" s="138">
        <v>8.8400000000000006E-2</v>
      </c>
    </row>
    <row r="160" spans="1:9" x14ac:dyDescent="0.35">
      <c r="A160" s="136">
        <v>41877</v>
      </c>
      <c r="B160" s="137">
        <v>99.65</v>
      </c>
      <c r="C160" s="138">
        <v>7.9700000000000007E-2</v>
      </c>
      <c r="D160" s="137">
        <v>101.12</v>
      </c>
      <c r="E160" s="138">
        <v>8.2100000000000006E-2</v>
      </c>
      <c r="F160" s="137">
        <v>103.49</v>
      </c>
      <c r="G160" s="138">
        <v>8.5800000000000001E-2</v>
      </c>
      <c r="H160" s="137">
        <v>95.65</v>
      </c>
      <c r="I160" s="138">
        <v>8.8500000000000009E-2</v>
      </c>
    </row>
    <row r="161" spans="1:9" x14ac:dyDescent="0.35">
      <c r="A161" s="136">
        <v>41878</v>
      </c>
      <c r="B161" s="137">
        <v>99.63</v>
      </c>
      <c r="C161" s="138">
        <v>7.9700000000000007E-2</v>
      </c>
      <c r="D161" s="137">
        <v>100.74</v>
      </c>
      <c r="E161" s="138">
        <v>8.270000000000001E-2</v>
      </c>
      <c r="F161" s="137">
        <v>103.17</v>
      </c>
      <c r="G161" s="138">
        <v>8.6199999999999999E-2</v>
      </c>
      <c r="H161" s="137">
        <v>95.5</v>
      </c>
      <c r="I161" s="138">
        <v>8.8700000000000001E-2</v>
      </c>
    </row>
    <row r="162" spans="1:9" x14ac:dyDescent="0.35">
      <c r="A162" s="136">
        <v>41879</v>
      </c>
      <c r="B162" s="137">
        <v>99.66</v>
      </c>
      <c r="C162" s="138">
        <v>7.9700000000000007E-2</v>
      </c>
      <c r="D162" s="137">
        <v>100.78</v>
      </c>
      <c r="E162" s="138">
        <v>8.2600000000000007E-2</v>
      </c>
      <c r="F162" s="137">
        <v>103.32</v>
      </c>
      <c r="G162" s="138">
        <v>8.6000000000000007E-2</v>
      </c>
      <c r="H162" s="137">
        <v>96.02</v>
      </c>
      <c r="I162" s="138">
        <v>8.8099999999999998E-2</v>
      </c>
    </row>
    <row r="163" spans="1:9" x14ac:dyDescent="0.35">
      <c r="A163" s="136">
        <v>41880</v>
      </c>
      <c r="B163" s="137">
        <v>99.7</v>
      </c>
      <c r="C163" s="138">
        <v>7.9600000000000004E-2</v>
      </c>
      <c r="D163" s="137">
        <v>101.22</v>
      </c>
      <c r="E163" s="138">
        <v>8.1900000000000001E-2</v>
      </c>
      <c r="F163" s="137">
        <v>103.77</v>
      </c>
      <c r="G163" s="138">
        <v>8.5500000000000007E-2</v>
      </c>
      <c r="H163" s="137">
        <v>97.14</v>
      </c>
      <c r="I163" s="138">
        <v>8.6900000000000005E-2</v>
      </c>
    </row>
    <row r="164" spans="1:9" x14ac:dyDescent="0.35">
      <c r="A164" s="133">
        <v>41883</v>
      </c>
      <c r="B164" s="134">
        <v>99.8</v>
      </c>
      <c r="C164" s="135">
        <v>7.9300000000000009E-2</v>
      </c>
      <c r="D164" s="134">
        <v>101.76</v>
      </c>
      <c r="E164" s="135">
        <v>8.1100000000000005E-2</v>
      </c>
      <c r="F164" s="134">
        <v>104.45</v>
      </c>
      <c r="G164" s="135">
        <v>8.4699999999999998E-2</v>
      </c>
      <c r="H164" s="134">
        <v>97.63</v>
      </c>
      <c r="I164" s="135">
        <v>8.6300000000000002E-2</v>
      </c>
    </row>
    <row r="165" spans="1:9" x14ac:dyDescent="0.35">
      <c r="A165" s="133">
        <v>41884</v>
      </c>
      <c r="B165" s="134">
        <v>99.68</v>
      </c>
      <c r="C165" s="135">
        <v>7.9600000000000004E-2</v>
      </c>
      <c r="D165" s="134">
        <v>101.37</v>
      </c>
      <c r="E165" s="135">
        <v>8.1700000000000009E-2</v>
      </c>
      <c r="F165" s="134">
        <v>104.18</v>
      </c>
      <c r="G165" s="135">
        <v>8.5000000000000006E-2</v>
      </c>
      <c r="H165" s="134">
        <v>97.33</v>
      </c>
      <c r="I165" s="135">
        <v>8.6699999999999999E-2</v>
      </c>
    </row>
    <row r="166" spans="1:9" x14ac:dyDescent="0.35">
      <c r="A166" s="133">
        <v>41885</v>
      </c>
      <c r="B166" s="134">
        <v>99.81</v>
      </c>
      <c r="C166" s="135">
        <v>7.9300000000000009E-2</v>
      </c>
      <c r="D166" s="134">
        <v>102.17</v>
      </c>
      <c r="E166" s="135">
        <v>8.0500000000000002E-2</v>
      </c>
      <c r="F166" s="134">
        <v>104.79</v>
      </c>
      <c r="G166" s="135">
        <v>8.43E-2</v>
      </c>
      <c r="H166" s="134">
        <v>98.27</v>
      </c>
      <c r="I166" s="135">
        <v>8.5600000000000009E-2</v>
      </c>
    </row>
    <row r="167" spans="1:9" x14ac:dyDescent="0.35">
      <c r="A167" s="133">
        <v>41886</v>
      </c>
      <c r="B167" s="134">
        <v>100.16</v>
      </c>
      <c r="C167" s="135">
        <v>7.8300000000000008E-2</v>
      </c>
      <c r="D167" s="134">
        <v>102.59</v>
      </c>
      <c r="E167" s="135">
        <v>7.9899999999999999E-2</v>
      </c>
      <c r="F167" s="134">
        <v>105.73</v>
      </c>
      <c r="G167" s="135">
        <v>8.3199999999999996E-2</v>
      </c>
      <c r="H167" s="134">
        <v>98.73</v>
      </c>
      <c r="I167" s="135">
        <v>8.5100000000000009E-2</v>
      </c>
    </row>
    <row r="168" spans="1:9" x14ac:dyDescent="0.35">
      <c r="A168" s="133">
        <v>41887</v>
      </c>
      <c r="B168" s="134">
        <v>100.22</v>
      </c>
      <c r="C168" s="135">
        <v>7.8200000000000006E-2</v>
      </c>
      <c r="D168" s="134">
        <v>102.97</v>
      </c>
      <c r="E168" s="135">
        <v>7.9300000000000009E-2</v>
      </c>
      <c r="F168" s="134">
        <v>106.2</v>
      </c>
      <c r="G168" s="135">
        <v>8.2600000000000007E-2</v>
      </c>
      <c r="H168" s="134">
        <v>99.48</v>
      </c>
      <c r="I168" s="135">
        <v>8.43E-2</v>
      </c>
    </row>
    <row r="169" spans="1:9" x14ac:dyDescent="0.35">
      <c r="A169" s="136">
        <v>41890</v>
      </c>
      <c r="B169" s="137">
        <v>100.35</v>
      </c>
      <c r="C169" s="138">
        <v>7.7800000000000008E-2</v>
      </c>
      <c r="D169" s="137">
        <v>103.07</v>
      </c>
      <c r="E169" s="138">
        <v>7.9100000000000004E-2</v>
      </c>
      <c r="F169" s="137">
        <v>106.49</v>
      </c>
      <c r="G169" s="138">
        <v>8.2299999999999998E-2</v>
      </c>
      <c r="H169" s="137">
        <v>100.04</v>
      </c>
      <c r="I169" s="138">
        <v>8.3799999999999999E-2</v>
      </c>
    </row>
    <row r="170" spans="1:9" x14ac:dyDescent="0.35">
      <c r="A170" s="136">
        <v>41891</v>
      </c>
      <c r="B170" s="137">
        <v>100.16</v>
      </c>
      <c r="C170" s="138">
        <v>7.8300000000000008E-2</v>
      </c>
      <c r="D170" s="137">
        <v>102.15</v>
      </c>
      <c r="E170" s="138">
        <v>8.0500000000000002E-2</v>
      </c>
      <c r="F170" s="137">
        <v>105.17</v>
      </c>
      <c r="G170" s="138">
        <v>8.3799999999999999E-2</v>
      </c>
      <c r="H170" s="137">
        <v>98.57</v>
      </c>
      <c r="I170" s="138">
        <v>8.5300000000000001E-2</v>
      </c>
    </row>
    <row r="171" spans="1:9" x14ac:dyDescent="0.35">
      <c r="A171" s="136">
        <v>41892</v>
      </c>
      <c r="B171" s="137">
        <v>100.12</v>
      </c>
      <c r="C171" s="138">
        <v>7.85E-2</v>
      </c>
      <c r="D171" s="137">
        <v>102.14</v>
      </c>
      <c r="E171" s="138">
        <v>8.0500000000000002E-2</v>
      </c>
      <c r="F171" s="137">
        <v>105.08</v>
      </c>
      <c r="G171" s="138">
        <v>8.3900000000000002E-2</v>
      </c>
      <c r="H171" s="137">
        <v>98.01</v>
      </c>
      <c r="I171" s="138">
        <v>8.5900000000000004E-2</v>
      </c>
    </row>
    <row r="172" spans="1:9" x14ac:dyDescent="0.35">
      <c r="A172" s="136">
        <v>41893</v>
      </c>
      <c r="B172" s="137">
        <v>99.99</v>
      </c>
      <c r="C172" s="138">
        <v>7.8800000000000009E-2</v>
      </c>
      <c r="D172" s="137">
        <v>101.52</v>
      </c>
      <c r="E172" s="138">
        <v>8.1500000000000003E-2</v>
      </c>
      <c r="F172" s="137">
        <v>104.44</v>
      </c>
      <c r="G172" s="138">
        <v>8.4699999999999998E-2</v>
      </c>
      <c r="H172" s="137">
        <v>97.44</v>
      </c>
      <c r="I172" s="138">
        <v>8.6500000000000007E-2</v>
      </c>
    </row>
    <row r="173" spans="1:9" x14ac:dyDescent="0.35">
      <c r="A173" s="136">
        <v>41894</v>
      </c>
      <c r="B173" s="137">
        <v>99.95</v>
      </c>
      <c r="C173" s="138">
        <v>7.8899999999999998E-2</v>
      </c>
      <c r="D173" s="137">
        <v>101.39</v>
      </c>
      <c r="E173" s="138">
        <v>8.1700000000000009E-2</v>
      </c>
      <c r="F173" s="137">
        <v>104.26</v>
      </c>
      <c r="G173" s="138">
        <v>8.4900000000000003E-2</v>
      </c>
      <c r="H173" s="137">
        <v>97.07</v>
      </c>
      <c r="I173" s="138">
        <v>8.6900000000000005E-2</v>
      </c>
    </row>
    <row r="174" spans="1:9" x14ac:dyDescent="0.35">
      <c r="A174" s="133">
        <v>41897</v>
      </c>
      <c r="B174" s="134">
        <v>99.69</v>
      </c>
      <c r="C174" s="135">
        <v>7.9600000000000004E-2</v>
      </c>
      <c r="D174" s="134">
        <v>100.72</v>
      </c>
      <c r="E174" s="135">
        <v>8.270000000000001E-2</v>
      </c>
      <c r="F174" s="134">
        <v>103.79</v>
      </c>
      <c r="G174" s="135">
        <v>8.5400000000000004E-2</v>
      </c>
      <c r="H174" s="134">
        <v>95.91</v>
      </c>
      <c r="I174" s="135">
        <v>8.8200000000000001E-2</v>
      </c>
    </row>
    <row r="175" spans="1:9" x14ac:dyDescent="0.35">
      <c r="A175" s="133">
        <v>41898</v>
      </c>
      <c r="B175" s="134">
        <v>99.57</v>
      </c>
      <c r="C175" s="135">
        <v>7.9899999999999999E-2</v>
      </c>
      <c r="D175" s="134">
        <v>100.67</v>
      </c>
      <c r="E175" s="135">
        <v>8.2799999999999999E-2</v>
      </c>
      <c r="F175" s="134">
        <v>103.68</v>
      </c>
      <c r="G175" s="135">
        <v>8.5600000000000009E-2</v>
      </c>
      <c r="H175" s="134">
        <v>95.62</v>
      </c>
      <c r="I175" s="135">
        <v>8.8599999999999998E-2</v>
      </c>
    </row>
    <row r="176" spans="1:9" x14ac:dyDescent="0.35">
      <c r="A176" s="133">
        <v>41899</v>
      </c>
      <c r="B176" s="134">
        <v>99.52</v>
      </c>
      <c r="C176" s="135">
        <v>0.08</v>
      </c>
      <c r="D176" s="134">
        <v>100.75</v>
      </c>
      <c r="E176" s="135">
        <v>8.2600000000000007E-2</v>
      </c>
      <c r="F176" s="134">
        <v>103.97</v>
      </c>
      <c r="G176" s="135">
        <v>8.5199999999999998E-2</v>
      </c>
      <c r="H176" s="134">
        <v>95.82</v>
      </c>
      <c r="I176" s="135">
        <v>8.8300000000000003E-2</v>
      </c>
    </row>
    <row r="177" spans="1:9" x14ac:dyDescent="0.35">
      <c r="A177" s="133">
        <v>41900</v>
      </c>
      <c r="B177" s="134">
        <v>99.36</v>
      </c>
      <c r="C177" s="135">
        <v>8.0500000000000002E-2</v>
      </c>
      <c r="D177" s="134">
        <v>100.37</v>
      </c>
      <c r="E177" s="135">
        <v>8.3199999999999996E-2</v>
      </c>
      <c r="F177" s="134">
        <v>103.39</v>
      </c>
      <c r="G177" s="135">
        <v>8.5900000000000004E-2</v>
      </c>
      <c r="H177" s="134">
        <v>95.41</v>
      </c>
      <c r="I177" s="135">
        <v>8.8800000000000004E-2</v>
      </c>
    </row>
    <row r="178" spans="1:9" x14ac:dyDescent="0.35">
      <c r="A178" s="133">
        <v>41901</v>
      </c>
      <c r="B178" s="134">
        <v>99.55</v>
      </c>
      <c r="C178" s="135">
        <v>0.08</v>
      </c>
      <c r="D178" s="134">
        <v>101.62</v>
      </c>
      <c r="E178" s="135">
        <v>8.1299999999999997E-2</v>
      </c>
      <c r="F178" s="134">
        <v>104.47</v>
      </c>
      <c r="G178" s="135">
        <v>8.4600000000000009E-2</v>
      </c>
      <c r="H178" s="134">
        <v>97.38</v>
      </c>
      <c r="I178" s="135">
        <v>8.6599999999999996E-2</v>
      </c>
    </row>
    <row r="179" spans="1:9" x14ac:dyDescent="0.35">
      <c r="A179" s="136">
        <v>41904</v>
      </c>
      <c r="B179" s="137">
        <v>99.53</v>
      </c>
      <c r="C179" s="138">
        <v>0.08</v>
      </c>
      <c r="D179" s="137">
        <v>101.51</v>
      </c>
      <c r="E179" s="138">
        <v>8.1500000000000003E-2</v>
      </c>
      <c r="F179" s="137">
        <v>104.36</v>
      </c>
      <c r="G179" s="138">
        <v>8.48E-2</v>
      </c>
      <c r="H179" s="137">
        <v>97.24</v>
      </c>
      <c r="I179" s="138">
        <v>8.6800000000000002E-2</v>
      </c>
    </row>
    <row r="180" spans="1:9" x14ac:dyDescent="0.35">
      <c r="A180" s="136">
        <v>41905</v>
      </c>
      <c r="B180" s="137">
        <v>99.43</v>
      </c>
      <c r="C180" s="138">
        <v>8.0299999999999996E-2</v>
      </c>
      <c r="D180" s="137">
        <v>101.22</v>
      </c>
      <c r="E180" s="138">
        <v>8.1900000000000001E-2</v>
      </c>
      <c r="F180" s="137">
        <v>103.82</v>
      </c>
      <c r="G180" s="138">
        <v>8.5400000000000004E-2</v>
      </c>
      <c r="H180" s="137">
        <v>96.62</v>
      </c>
      <c r="I180" s="138">
        <v>8.7400000000000005E-2</v>
      </c>
    </row>
    <row r="181" spans="1:9" x14ac:dyDescent="0.35">
      <c r="A181" s="136">
        <v>41906</v>
      </c>
      <c r="B181" s="137">
        <v>99.49</v>
      </c>
      <c r="C181" s="138">
        <v>8.0100000000000005E-2</v>
      </c>
      <c r="D181" s="137">
        <v>101.51</v>
      </c>
      <c r="E181" s="138">
        <v>8.1500000000000003E-2</v>
      </c>
      <c r="F181" s="137">
        <v>103.69</v>
      </c>
      <c r="G181" s="138">
        <v>8.5600000000000009E-2</v>
      </c>
      <c r="H181" s="137">
        <v>96.93</v>
      </c>
      <c r="I181" s="138">
        <v>8.7099999999999997E-2</v>
      </c>
    </row>
    <row r="182" spans="1:9" x14ac:dyDescent="0.35">
      <c r="A182" s="136">
        <v>41907</v>
      </c>
      <c r="B182" s="137">
        <v>99.55</v>
      </c>
      <c r="C182" s="138">
        <v>0.08</v>
      </c>
      <c r="D182" s="137">
        <v>101.73</v>
      </c>
      <c r="E182" s="138">
        <v>8.1100000000000005E-2</v>
      </c>
      <c r="F182" s="137">
        <v>104.2</v>
      </c>
      <c r="G182" s="138">
        <v>8.4900000000000003E-2</v>
      </c>
      <c r="H182" s="137">
        <v>97.18</v>
      </c>
      <c r="I182" s="138">
        <v>8.6800000000000002E-2</v>
      </c>
    </row>
    <row r="183" spans="1:9" x14ac:dyDescent="0.35">
      <c r="A183" s="136">
        <v>41908</v>
      </c>
      <c r="B183" s="137">
        <v>99.46</v>
      </c>
      <c r="C183" s="138">
        <v>8.0200000000000007E-2</v>
      </c>
      <c r="D183" s="137">
        <v>101.5</v>
      </c>
      <c r="E183" s="138">
        <v>8.1500000000000003E-2</v>
      </c>
      <c r="F183" s="137">
        <v>103.7</v>
      </c>
      <c r="G183" s="138">
        <v>8.5500000000000007E-2</v>
      </c>
      <c r="H183" s="137">
        <v>96.67</v>
      </c>
      <c r="I183" s="138">
        <v>8.7400000000000005E-2</v>
      </c>
    </row>
    <row r="184" spans="1:9" x14ac:dyDescent="0.35">
      <c r="A184" s="133">
        <v>41911</v>
      </c>
      <c r="B184" s="134">
        <v>99.19</v>
      </c>
      <c r="C184" s="135">
        <v>8.1000000000000003E-2</v>
      </c>
      <c r="D184" s="134">
        <v>100.25</v>
      </c>
      <c r="E184" s="135">
        <v>8.3400000000000002E-2</v>
      </c>
      <c r="F184" s="134">
        <v>102.15</v>
      </c>
      <c r="G184" s="135">
        <v>8.7400000000000005E-2</v>
      </c>
      <c r="H184" s="134">
        <v>95.08</v>
      </c>
      <c r="I184" s="135">
        <v>8.9200000000000002E-2</v>
      </c>
    </row>
    <row r="185" spans="1:9" x14ac:dyDescent="0.35">
      <c r="A185" s="133">
        <v>41912</v>
      </c>
      <c r="B185" s="134">
        <v>98.3</v>
      </c>
      <c r="C185" s="135">
        <v>8.3400000000000002E-2</v>
      </c>
      <c r="D185" s="134">
        <v>98.49</v>
      </c>
      <c r="E185" s="135">
        <v>8.6199999999999999E-2</v>
      </c>
      <c r="F185" s="134">
        <v>100.56</v>
      </c>
      <c r="G185" s="135">
        <v>8.9300000000000004E-2</v>
      </c>
      <c r="H185" s="134">
        <v>93.09</v>
      </c>
      <c r="I185" s="135">
        <v>9.1499999999999998E-2</v>
      </c>
    </row>
    <row r="186" spans="1:9" x14ac:dyDescent="0.35">
      <c r="A186" s="133">
        <v>41913</v>
      </c>
      <c r="B186" s="134">
        <v>98.5</v>
      </c>
      <c r="C186" s="135">
        <v>8.2799999999999999E-2</v>
      </c>
      <c r="D186" s="134">
        <v>99.13</v>
      </c>
      <c r="E186" s="135">
        <v>8.5100000000000009E-2</v>
      </c>
      <c r="F186" s="134">
        <v>100.79</v>
      </c>
      <c r="G186" s="135">
        <v>8.9099999999999999E-2</v>
      </c>
      <c r="H186" s="134">
        <v>94.25</v>
      </c>
      <c r="I186" s="135">
        <v>9.01E-2</v>
      </c>
    </row>
    <row r="187" spans="1:9" x14ac:dyDescent="0.35">
      <c r="A187" s="133">
        <v>41914</v>
      </c>
      <c r="B187" s="134">
        <v>99.11</v>
      </c>
      <c r="C187" s="135">
        <v>8.1200000000000008E-2</v>
      </c>
      <c r="D187" s="134">
        <v>100.49</v>
      </c>
      <c r="E187" s="135">
        <v>8.3000000000000004E-2</v>
      </c>
      <c r="F187" s="134">
        <v>102.48</v>
      </c>
      <c r="G187" s="135">
        <v>8.7000000000000008E-2</v>
      </c>
      <c r="H187" s="134">
        <v>95.72</v>
      </c>
      <c r="I187" s="135">
        <v>8.8400000000000006E-2</v>
      </c>
    </row>
    <row r="188" spans="1:9" x14ac:dyDescent="0.35">
      <c r="A188" s="133">
        <v>41915</v>
      </c>
      <c r="B188" s="134">
        <v>98.8</v>
      </c>
      <c r="C188" s="135">
        <v>8.2000000000000003E-2</v>
      </c>
      <c r="D188" s="134">
        <v>99.98</v>
      </c>
      <c r="E188" s="135">
        <v>8.3799999999999999E-2</v>
      </c>
      <c r="F188" s="134">
        <v>101.46</v>
      </c>
      <c r="G188" s="135">
        <v>8.8200000000000001E-2</v>
      </c>
      <c r="H188" s="134">
        <v>94.8</v>
      </c>
      <c r="I188" s="135">
        <v>8.9499999999999996E-2</v>
      </c>
    </row>
    <row r="189" spans="1:9" x14ac:dyDescent="0.35">
      <c r="A189" s="136">
        <v>41918</v>
      </c>
      <c r="B189" s="137">
        <v>98.59</v>
      </c>
      <c r="C189" s="138">
        <v>8.2600000000000007E-2</v>
      </c>
      <c r="D189" s="137">
        <v>98.86</v>
      </c>
      <c r="E189" s="138">
        <v>8.5600000000000009E-2</v>
      </c>
      <c r="F189" s="137">
        <v>100.66</v>
      </c>
      <c r="G189" s="138">
        <v>8.9200000000000002E-2</v>
      </c>
      <c r="H189" s="137">
        <v>93.93</v>
      </c>
      <c r="I189" s="138">
        <v>9.0499999999999997E-2</v>
      </c>
    </row>
    <row r="190" spans="1:9" x14ac:dyDescent="0.35">
      <c r="A190" s="136">
        <v>41919</v>
      </c>
      <c r="B190" s="137">
        <v>98.84</v>
      </c>
      <c r="C190" s="138">
        <v>8.1900000000000001E-2</v>
      </c>
      <c r="D190" s="137">
        <v>99.77000000000001</v>
      </c>
      <c r="E190" s="138">
        <v>8.4100000000000008E-2</v>
      </c>
      <c r="F190" s="137">
        <v>101.64</v>
      </c>
      <c r="G190" s="138">
        <v>8.8000000000000009E-2</v>
      </c>
      <c r="H190" s="137">
        <v>94.710000000000008</v>
      </c>
      <c r="I190" s="138">
        <v>8.9599999999999999E-2</v>
      </c>
    </row>
    <row r="191" spans="1:9" x14ac:dyDescent="0.35">
      <c r="A191" s="136">
        <v>41920</v>
      </c>
      <c r="B191" s="137">
        <v>98.77000000000001</v>
      </c>
      <c r="C191" s="138">
        <v>8.2100000000000006E-2</v>
      </c>
      <c r="D191" s="137">
        <v>99.59</v>
      </c>
      <c r="E191" s="138">
        <v>8.4400000000000003E-2</v>
      </c>
      <c r="F191" s="137">
        <v>101.51</v>
      </c>
      <c r="G191" s="138">
        <v>8.8200000000000001E-2</v>
      </c>
      <c r="H191" s="137">
        <v>94.56</v>
      </c>
      <c r="I191" s="138">
        <v>8.9800000000000005E-2</v>
      </c>
    </row>
    <row r="192" spans="1:9" x14ac:dyDescent="0.35">
      <c r="A192" s="136">
        <v>41921</v>
      </c>
      <c r="B192" s="137">
        <v>98.84</v>
      </c>
      <c r="C192" s="138">
        <v>8.1900000000000001E-2</v>
      </c>
      <c r="D192" s="137">
        <v>99.76</v>
      </c>
      <c r="E192" s="138">
        <v>8.4199999999999997E-2</v>
      </c>
      <c r="F192" s="137">
        <v>101.87</v>
      </c>
      <c r="G192" s="138">
        <v>8.77E-2</v>
      </c>
      <c r="H192" s="137">
        <v>94.79</v>
      </c>
      <c r="I192" s="138">
        <v>8.9499999999999996E-2</v>
      </c>
    </row>
    <row r="193" spans="1:9" x14ac:dyDescent="0.35">
      <c r="A193" s="136">
        <v>41922</v>
      </c>
      <c r="B193" s="137">
        <v>98.92</v>
      </c>
      <c r="C193" s="138">
        <v>8.1700000000000009E-2</v>
      </c>
      <c r="D193" s="137">
        <v>100.02000000000001</v>
      </c>
      <c r="E193" s="138">
        <v>8.3799999999999999E-2</v>
      </c>
      <c r="F193" s="137">
        <v>102.12</v>
      </c>
      <c r="G193" s="138">
        <v>8.7400000000000005E-2</v>
      </c>
      <c r="H193" s="137">
        <v>95.61</v>
      </c>
      <c r="I193" s="138">
        <v>8.8599999999999998E-2</v>
      </c>
    </row>
    <row r="194" spans="1:9" x14ac:dyDescent="0.35">
      <c r="A194" s="133">
        <v>41925</v>
      </c>
      <c r="B194" s="134">
        <v>99.1</v>
      </c>
      <c r="C194" s="135">
        <v>8.1200000000000008E-2</v>
      </c>
      <c r="D194" s="134">
        <v>100.11</v>
      </c>
      <c r="E194" s="135">
        <v>8.3600000000000008E-2</v>
      </c>
      <c r="F194" s="134">
        <v>102.16</v>
      </c>
      <c r="G194" s="135">
        <v>8.7400000000000005E-2</v>
      </c>
      <c r="H194" s="134">
        <v>95.49</v>
      </c>
      <c r="I194" s="135">
        <v>8.8700000000000001E-2</v>
      </c>
    </row>
    <row r="195" spans="1:9" x14ac:dyDescent="0.35">
      <c r="A195" s="133">
        <v>41926</v>
      </c>
      <c r="B195" s="134">
        <v>99.11</v>
      </c>
      <c r="C195" s="135">
        <v>8.1200000000000008E-2</v>
      </c>
      <c r="D195" s="134">
        <v>100.08</v>
      </c>
      <c r="E195" s="135">
        <v>8.3699999999999997E-2</v>
      </c>
      <c r="F195" s="134">
        <v>102.1</v>
      </c>
      <c r="G195" s="135">
        <v>8.7400000000000005E-2</v>
      </c>
      <c r="H195" s="134">
        <v>95.81</v>
      </c>
      <c r="I195" s="135">
        <v>8.8300000000000003E-2</v>
      </c>
    </row>
    <row r="196" spans="1:9" x14ac:dyDescent="0.35">
      <c r="A196" s="133">
        <v>41927</v>
      </c>
      <c r="B196" s="134">
        <v>99.53</v>
      </c>
      <c r="C196" s="135">
        <v>8.0100000000000005E-2</v>
      </c>
      <c r="D196" s="134">
        <v>101.3</v>
      </c>
      <c r="E196" s="135">
        <v>8.1799999999999998E-2</v>
      </c>
      <c r="F196" s="134">
        <v>103.43</v>
      </c>
      <c r="G196" s="135">
        <v>8.5800000000000001E-2</v>
      </c>
      <c r="H196" s="134">
        <v>97.28</v>
      </c>
      <c r="I196" s="135">
        <v>8.6699999999999999E-2</v>
      </c>
    </row>
    <row r="197" spans="1:9" x14ac:dyDescent="0.35">
      <c r="A197" s="133">
        <v>41928</v>
      </c>
      <c r="B197" s="134">
        <v>99.37</v>
      </c>
      <c r="C197" s="135">
        <v>8.0500000000000002E-2</v>
      </c>
      <c r="D197" s="134">
        <v>101.38</v>
      </c>
      <c r="E197" s="135">
        <v>8.1700000000000009E-2</v>
      </c>
      <c r="F197" s="134">
        <v>103.39</v>
      </c>
      <c r="G197" s="135">
        <v>8.5900000000000004E-2</v>
      </c>
      <c r="H197" s="134">
        <v>96.91</v>
      </c>
      <c r="I197" s="135">
        <v>8.7099999999999997E-2</v>
      </c>
    </row>
    <row r="198" spans="1:9" x14ac:dyDescent="0.35">
      <c r="A198" s="133">
        <v>41929</v>
      </c>
      <c r="B198" s="134">
        <v>99.28</v>
      </c>
      <c r="C198" s="135">
        <v>8.0700000000000008E-2</v>
      </c>
      <c r="D198" s="134">
        <v>100.69</v>
      </c>
      <c r="E198" s="135">
        <v>8.270000000000001E-2</v>
      </c>
      <c r="F198" s="134">
        <v>102.79</v>
      </c>
      <c r="G198" s="135">
        <v>8.6599999999999996E-2</v>
      </c>
      <c r="H198" s="134">
        <v>96.34</v>
      </c>
      <c r="I198" s="135">
        <v>8.77E-2</v>
      </c>
    </row>
    <row r="199" spans="1:9" x14ac:dyDescent="0.35">
      <c r="A199" s="136">
        <v>41932</v>
      </c>
      <c r="B199" s="137">
        <v>99.89</v>
      </c>
      <c r="C199" s="138">
        <v>7.9100000000000004E-2</v>
      </c>
      <c r="D199" s="137">
        <v>102.38</v>
      </c>
      <c r="E199" s="138">
        <v>8.0100000000000005E-2</v>
      </c>
      <c r="F199" s="137">
        <v>104.25</v>
      </c>
      <c r="G199" s="138">
        <v>8.4900000000000003E-2</v>
      </c>
      <c r="H199" s="137">
        <v>98.42</v>
      </c>
      <c r="I199" s="138">
        <v>8.5500000000000007E-2</v>
      </c>
    </row>
    <row r="200" spans="1:9" x14ac:dyDescent="0.35">
      <c r="A200" s="136">
        <v>41933</v>
      </c>
      <c r="B200" s="137">
        <v>100.05</v>
      </c>
      <c r="C200" s="138">
        <v>7.8700000000000006E-2</v>
      </c>
      <c r="D200" s="137">
        <v>102.7</v>
      </c>
      <c r="E200" s="138">
        <v>7.9600000000000004E-2</v>
      </c>
      <c r="F200" s="137">
        <v>105.41</v>
      </c>
      <c r="G200" s="138">
        <v>8.3500000000000005E-2</v>
      </c>
      <c r="H200" s="137">
        <v>99.21</v>
      </c>
      <c r="I200" s="138">
        <v>8.4600000000000009E-2</v>
      </c>
    </row>
    <row r="201" spans="1:9" x14ac:dyDescent="0.35">
      <c r="A201" s="136">
        <v>41934</v>
      </c>
      <c r="B201" s="137">
        <v>99.95</v>
      </c>
      <c r="C201" s="138">
        <v>7.8899999999999998E-2</v>
      </c>
      <c r="D201" s="137">
        <v>102.27</v>
      </c>
      <c r="E201" s="138">
        <v>8.0299999999999996E-2</v>
      </c>
      <c r="F201" s="137">
        <v>105.33</v>
      </c>
      <c r="G201" s="138">
        <v>8.3600000000000008E-2</v>
      </c>
      <c r="H201" s="137">
        <v>99.24</v>
      </c>
      <c r="I201" s="138">
        <v>8.4600000000000009E-2</v>
      </c>
    </row>
    <row r="202" spans="1:9" x14ac:dyDescent="0.35">
      <c r="A202" s="136">
        <v>41935</v>
      </c>
      <c r="B202" s="137">
        <v>100.02</v>
      </c>
      <c r="C202" s="138">
        <v>7.8700000000000006E-2</v>
      </c>
      <c r="D202" s="137">
        <v>102.45</v>
      </c>
      <c r="E202" s="138">
        <v>0.08</v>
      </c>
      <c r="F202" s="137">
        <v>105.46</v>
      </c>
      <c r="G202" s="138">
        <v>8.3400000000000002E-2</v>
      </c>
      <c r="H202" s="137">
        <v>99.41</v>
      </c>
      <c r="I202" s="138">
        <v>8.4400000000000003E-2</v>
      </c>
    </row>
    <row r="203" spans="1:9" x14ac:dyDescent="0.35">
      <c r="A203" s="136">
        <v>41936</v>
      </c>
      <c r="B203" s="137">
        <v>100.11</v>
      </c>
      <c r="C203" s="138">
        <v>7.85E-2</v>
      </c>
      <c r="D203" s="137">
        <v>102.56</v>
      </c>
      <c r="E203" s="138">
        <v>7.9899999999999999E-2</v>
      </c>
      <c r="F203" s="137">
        <v>105.62</v>
      </c>
      <c r="G203" s="138">
        <v>8.3299999999999999E-2</v>
      </c>
      <c r="H203" s="137">
        <v>99.54</v>
      </c>
      <c r="I203" s="138">
        <v>8.43E-2</v>
      </c>
    </row>
    <row r="204" spans="1:9" x14ac:dyDescent="0.35">
      <c r="A204" s="133">
        <v>41939</v>
      </c>
      <c r="B204" s="134">
        <v>100.11</v>
      </c>
      <c r="C204" s="135">
        <v>7.85E-2</v>
      </c>
      <c r="D204" s="134">
        <v>102.45</v>
      </c>
      <c r="E204" s="135">
        <v>0.08</v>
      </c>
      <c r="F204" s="134">
        <v>105.42</v>
      </c>
      <c r="G204" s="135">
        <v>8.3500000000000005E-2</v>
      </c>
      <c r="H204" s="134">
        <v>99.47</v>
      </c>
      <c r="I204" s="135">
        <v>8.43E-2</v>
      </c>
    </row>
    <row r="205" spans="1:9" x14ac:dyDescent="0.35">
      <c r="A205" s="133">
        <v>41940</v>
      </c>
      <c r="B205" s="134">
        <v>100.14</v>
      </c>
      <c r="C205" s="135">
        <v>7.8399999999999997E-2</v>
      </c>
      <c r="D205" s="134">
        <v>102.36</v>
      </c>
      <c r="E205" s="135">
        <v>8.0100000000000005E-2</v>
      </c>
      <c r="F205" s="134">
        <v>105.3</v>
      </c>
      <c r="G205" s="135">
        <v>8.3600000000000008E-2</v>
      </c>
      <c r="H205" s="134">
        <v>99.14</v>
      </c>
      <c r="I205" s="135">
        <v>8.4699999999999998E-2</v>
      </c>
    </row>
    <row r="206" spans="1:9" x14ac:dyDescent="0.35">
      <c r="A206" s="133">
        <v>41941</v>
      </c>
      <c r="B206" s="134">
        <v>100.14</v>
      </c>
      <c r="C206" s="135">
        <v>7.8399999999999997E-2</v>
      </c>
      <c r="D206" s="134">
        <v>101.99</v>
      </c>
      <c r="E206" s="135">
        <v>8.0700000000000008E-2</v>
      </c>
      <c r="F206" s="134">
        <v>104.66</v>
      </c>
      <c r="G206" s="135">
        <v>8.4400000000000003E-2</v>
      </c>
      <c r="H206" s="134">
        <v>98.83</v>
      </c>
      <c r="I206" s="135">
        <v>8.5000000000000006E-2</v>
      </c>
    </row>
    <row r="207" spans="1:9" x14ac:dyDescent="0.35">
      <c r="A207" s="133">
        <v>41942</v>
      </c>
      <c r="B207" s="134">
        <v>100.02</v>
      </c>
      <c r="C207" s="135">
        <v>7.8700000000000006E-2</v>
      </c>
      <c r="D207" s="134">
        <v>101.77</v>
      </c>
      <c r="E207" s="135">
        <v>8.1000000000000003E-2</v>
      </c>
      <c r="F207" s="134">
        <v>104.03</v>
      </c>
      <c r="G207" s="135">
        <v>8.5100000000000009E-2</v>
      </c>
      <c r="H207" s="134">
        <v>98.09</v>
      </c>
      <c r="I207" s="135">
        <v>8.5800000000000001E-2</v>
      </c>
    </row>
    <row r="208" spans="1:9" x14ac:dyDescent="0.35">
      <c r="A208" s="133">
        <v>41943</v>
      </c>
      <c r="B208" s="134">
        <v>100.27</v>
      </c>
      <c r="C208" s="135">
        <v>7.8100000000000003E-2</v>
      </c>
      <c r="D208" s="134">
        <v>102.27</v>
      </c>
      <c r="E208" s="135">
        <v>8.0299999999999996E-2</v>
      </c>
      <c r="F208" s="134">
        <v>105.31</v>
      </c>
      <c r="G208" s="135">
        <v>8.3600000000000008E-2</v>
      </c>
      <c r="H208" s="134">
        <v>99.23</v>
      </c>
      <c r="I208" s="135">
        <v>8.4600000000000009E-2</v>
      </c>
    </row>
    <row r="209" spans="1:9" x14ac:dyDescent="0.35">
      <c r="A209" s="136">
        <v>41946</v>
      </c>
      <c r="B209" s="137">
        <v>100.28</v>
      </c>
      <c r="C209" s="138">
        <v>7.8E-2</v>
      </c>
      <c r="D209" s="137">
        <v>102.72</v>
      </c>
      <c r="E209" s="138">
        <v>7.9600000000000004E-2</v>
      </c>
      <c r="F209" s="137">
        <v>105.84</v>
      </c>
      <c r="G209" s="138">
        <v>8.3000000000000004E-2</v>
      </c>
      <c r="H209" s="137">
        <v>99.67</v>
      </c>
      <c r="I209" s="138">
        <v>8.4100000000000008E-2</v>
      </c>
    </row>
    <row r="210" spans="1:9" x14ac:dyDescent="0.35">
      <c r="A210" s="136">
        <v>41947</v>
      </c>
      <c r="B210" s="137">
        <v>100.46</v>
      </c>
      <c r="C210" s="138">
        <v>7.7499999999999999E-2</v>
      </c>
      <c r="D210" s="137">
        <v>103.16</v>
      </c>
      <c r="E210" s="138">
        <v>7.8899999999999998E-2</v>
      </c>
      <c r="F210" s="137">
        <v>106.25</v>
      </c>
      <c r="G210" s="138">
        <v>8.2500000000000004E-2</v>
      </c>
      <c r="H210" s="137">
        <v>100.23</v>
      </c>
      <c r="I210" s="138">
        <v>8.3500000000000005E-2</v>
      </c>
    </row>
    <row r="211" spans="1:9" x14ac:dyDescent="0.35">
      <c r="A211" s="136">
        <v>41948</v>
      </c>
      <c r="B211" s="137">
        <v>100.53</v>
      </c>
      <c r="C211" s="138">
        <v>7.7300000000000008E-2</v>
      </c>
      <c r="D211" s="137">
        <v>103.25</v>
      </c>
      <c r="E211" s="138">
        <v>7.8800000000000009E-2</v>
      </c>
      <c r="F211" s="137">
        <v>106.31</v>
      </c>
      <c r="G211" s="138">
        <v>8.2500000000000004E-2</v>
      </c>
      <c r="H211" s="137">
        <v>100.34</v>
      </c>
      <c r="I211" s="138">
        <v>8.3400000000000002E-2</v>
      </c>
    </row>
    <row r="212" spans="1:9" x14ac:dyDescent="0.35">
      <c r="A212" s="136">
        <v>41949</v>
      </c>
      <c r="B212" s="137">
        <v>100.45</v>
      </c>
      <c r="C212" s="138">
        <v>7.7600000000000002E-2</v>
      </c>
      <c r="D212" s="137">
        <v>102.6</v>
      </c>
      <c r="E212" s="138">
        <v>7.9799999999999996E-2</v>
      </c>
      <c r="F212" s="137">
        <v>105.58</v>
      </c>
      <c r="G212" s="138">
        <v>8.3299999999999999E-2</v>
      </c>
      <c r="H212" s="137">
        <v>99.66</v>
      </c>
      <c r="I212" s="138">
        <v>8.4100000000000008E-2</v>
      </c>
    </row>
    <row r="213" spans="1:9" x14ac:dyDescent="0.35">
      <c r="A213" s="136">
        <v>41950</v>
      </c>
      <c r="B213" s="137">
        <v>100.32</v>
      </c>
      <c r="C213" s="138">
        <v>7.7899999999999997E-2</v>
      </c>
      <c r="D213" s="137">
        <v>102.63</v>
      </c>
      <c r="E213" s="138">
        <v>7.9700000000000007E-2</v>
      </c>
      <c r="F213" s="137">
        <v>105.59</v>
      </c>
      <c r="G213" s="138">
        <v>8.3299999999999999E-2</v>
      </c>
      <c r="H213" s="137">
        <v>99.48</v>
      </c>
      <c r="I213" s="138">
        <v>8.43E-2</v>
      </c>
    </row>
    <row r="214" spans="1:9" x14ac:dyDescent="0.35">
      <c r="A214" s="133">
        <v>41953</v>
      </c>
      <c r="B214" s="134">
        <v>100.26</v>
      </c>
      <c r="C214" s="135">
        <v>7.8100000000000003E-2</v>
      </c>
      <c r="D214" s="134">
        <v>102.55</v>
      </c>
      <c r="E214" s="135">
        <v>7.9799999999999996E-2</v>
      </c>
      <c r="F214" s="134">
        <v>105.58</v>
      </c>
      <c r="G214" s="135">
        <v>8.3299999999999999E-2</v>
      </c>
      <c r="H214" s="134">
        <v>99.6</v>
      </c>
      <c r="I214" s="135">
        <v>8.4199999999999997E-2</v>
      </c>
    </row>
    <row r="215" spans="1:9" x14ac:dyDescent="0.35">
      <c r="A215" s="133">
        <v>41954</v>
      </c>
      <c r="B215" s="134">
        <v>100.23</v>
      </c>
      <c r="C215" s="135">
        <v>7.8100000000000003E-2</v>
      </c>
      <c r="D215" s="134">
        <v>102.7</v>
      </c>
      <c r="E215" s="135">
        <v>7.9600000000000004E-2</v>
      </c>
      <c r="F215" s="134">
        <v>105.7</v>
      </c>
      <c r="G215" s="135">
        <v>8.3100000000000007E-2</v>
      </c>
      <c r="H215" s="134">
        <v>99.69</v>
      </c>
      <c r="I215" s="135">
        <v>8.4100000000000008E-2</v>
      </c>
    </row>
    <row r="216" spans="1:9" x14ac:dyDescent="0.35">
      <c r="A216" s="133">
        <v>41955</v>
      </c>
      <c r="B216" s="134">
        <v>100.18</v>
      </c>
      <c r="C216" s="135">
        <v>7.8300000000000008E-2</v>
      </c>
      <c r="D216" s="134">
        <v>102.69</v>
      </c>
      <c r="E216" s="135">
        <v>7.9600000000000004E-2</v>
      </c>
      <c r="F216" s="134">
        <v>105.69</v>
      </c>
      <c r="G216" s="135">
        <v>8.3199999999999996E-2</v>
      </c>
      <c r="H216" s="134">
        <v>99.7</v>
      </c>
      <c r="I216" s="135">
        <v>8.4100000000000008E-2</v>
      </c>
    </row>
    <row r="217" spans="1:9" x14ac:dyDescent="0.35">
      <c r="A217" s="133">
        <v>41956</v>
      </c>
      <c r="B217" s="134">
        <v>100.22</v>
      </c>
      <c r="C217" s="135">
        <v>7.8200000000000006E-2</v>
      </c>
      <c r="D217" s="134">
        <v>102.71</v>
      </c>
      <c r="E217" s="135">
        <v>7.9600000000000004E-2</v>
      </c>
      <c r="F217" s="134">
        <v>105.71</v>
      </c>
      <c r="G217" s="135">
        <v>8.3100000000000007E-2</v>
      </c>
      <c r="H217" s="134">
        <v>99.68</v>
      </c>
      <c r="I217" s="135">
        <v>8.4100000000000008E-2</v>
      </c>
    </row>
    <row r="218" spans="1:9" x14ac:dyDescent="0.35">
      <c r="A218" s="133">
        <v>41957</v>
      </c>
      <c r="B218" s="134">
        <v>100.44</v>
      </c>
      <c r="C218" s="135">
        <v>7.7600000000000002E-2</v>
      </c>
      <c r="D218" s="134">
        <v>103.28</v>
      </c>
      <c r="E218" s="135">
        <v>7.8700000000000006E-2</v>
      </c>
      <c r="F218" s="134">
        <v>106.43</v>
      </c>
      <c r="G218" s="135">
        <v>8.2299999999999998E-2</v>
      </c>
      <c r="H218" s="134">
        <v>100.29</v>
      </c>
      <c r="I218" s="135">
        <v>8.3500000000000005E-2</v>
      </c>
    </row>
    <row r="219" spans="1:9" x14ac:dyDescent="0.35">
      <c r="A219" s="136">
        <v>41960</v>
      </c>
      <c r="B219" s="137">
        <v>100.38</v>
      </c>
      <c r="C219" s="138">
        <v>7.7700000000000005E-2</v>
      </c>
      <c r="D219" s="137">
        <v>103.26</v>
      </c>
      <c r="E219" s="138">
        <v>7.8800000000000009E-2</v>
      </c>
      <c r="F219" s="137">
        <v>106.42</v>
      </c>
      <c r="G219" s="138">
        <v>8.2299999999999998E-2</v>
      </c>
      <c r="H219" s="137">
        <v>100.23</v>
      </c>
      <c r="I219" s="138">
        <v>8.3500000000000005E-2</v>
      </c>
    </row>
    <row r="220" spans="1:9" x14ac:dyDescent="0.35">
      <c r="A220" s="136">
        <v>41961</v>
      </c>
      <c r="B220" s="137">
        <v>100.38</v>
      </c>
      <c r="C220" s="138">
        <v>7.7700000000000005E-2</v>
      </c>
      <c r="D220" s="137">
        <v>103.4</v>
      </c>
      <c r="E220" s="138">
        <v>7.8600000000000003E-2</v>
      </c>
      <c r="F220" s="137">
        <v>106.93</v>
      </c>
      <c r="G220" s="138">
        <v>8.1700000000000009E-2</v>
      </c>
      <c r="H220" s="137">
        <v>100.52</v>
      </c>
      <c r="I220" s="138">
        <v>8.3199999999999996E-2</v>
      </c>
    </row>
    <row r="221" spans="1:9" x14ac:dyDescent="0.35">
      <c r="A221" s="136">
        <v>41962</v>
      </c>
      <c r="B221" s="137">
        <v>100.41</v>
      </c>
      <c r="C221" s="138">
        <v>7.7600000000000002E-2</v>
      </c>
      <c r="D221" s="137">
        <v>103.31</v>
      </c>
      <c r="E221" s="138">
        <v>7.8700000000000006E-2</v>
      </c>
      <c r="F221" s="137">
        <v>106.49</v>
      </c>
      <c r="G221" s="138">
        <v>8.2200000000000009E-2</v>
      </c>
      <c r="H221" s="137">
        <v>100.72</v>
      </c>
      <c r="I221" s="138">
        <v>8.3000000000000004E-2</v>
      </c>
    </row>
    <row r="222" spans="1:9" x14ac:dyDescent="0.35">
      <c r="A222" s="136">
        <v>41963</v>
      </c>
      <c r="B222" s="137">
        <v>100.74</v>
      </c>
      <c r="C222" s="138">
        <v>7.6800000000000007E-2</v>
      </c>
      <c r="D222" s="137">
        <v>103.7</v>
      </c>
      <c r="E222" s="138">
        <v>7.8100000000000003E-2</v>
      </c>
      <c r="F222" s="137">
        <v>107.35</v>
      </c>
      <c r="G222" s="138">
        <v>8.1200000000000008E-2</v>
      </c>
      <c r="H222" s="137">
        <v>101.22</v>
      </c>
      <c r="I222" s="138">
        <v>8.2500000000000004E-2</v>
      </c>
    </row>
    <row r="223" spans="1:9" x14ac:dyDescent="0.35">
      <c r="A223" s="136">
        <v>41964</v>
      </c>
      <c r="B223" s="137">
        <v>100.89</v>
      </c>
      <c r="C223" s="138">
        <v>7.6300000000000007E-2</v>
      </c>
      <c r="D223" s="137">
        <v>103.86</v>
      </c>
      <c r="E223" s="138">
        <v>7.7899999999999997E-2</v>
      </c>
      <c r="F223" s="137">
        <v>107.62</v>
      </c>
      <c r="G223" s="138">
        <v>8.09E-2</v>
      </c>
      <c r="H223" s="137">
        <v>101.47</v>
      </c>
      <c r="I223" s="138">
        <v>8.2200000000000009E-2</v>
      </c>
    </row>
    <row r="224" spans="1:9" x14ac:dyDescent="0.35">
      <c r="A224" s="133">
        <v>41967</v>
      </c>
      <c r="B224" s="134">
        <v>101.06</v>
      </c>
      <c r="C224" s="135">
        <v>7.5900000000000009E-2</v>
      </c>
      <c r="D224" s="134">
        <v>104.38</v>
      </c>
      <c r="E224" s="135">
        <v>7.7100000000000002E-2</v>
      </c>
      <c r="F224" s="134">
        <v>108.49</v>
      </c>
      <c r="G224" s="135">
        <v>0.08</v>
      </c>
      <c r="H224" s="134">
        <v>102.52</v>
      </c>
      <c r="I224" s="135">
        <v>8.1200000000000008E-2</v>
      </c>
    </row>
    <row r="225" spans="1:9" x14ac:dyDescent="0.35">
      <c r="A225" s="133">
        <v>41968</v>
      </c>
      <c r="B225" s="134">
        <v>101.08</v>
      </c>
      <c r="C225" s="135">
        <v>7.5800000000000006E-2</v>
      </c>
      <c r="D225" s="134">
        <v>104.54</v>
      </c>
      <c r="E225" s="135">
        <v>7.6899999999999996E-2</v>
      </c>
      <c r="F225" s="134">
        <v>108.76</v>
      </c>
      <c r="G225" s="135">
        <v>7.9700000000000007E-2</v>
      </c>
      <c r="H225" s="134">
        <v>102.84</v>
      </c>
      <c r="I225" s="135">
        <v>8.0799999999999997E-2</v>
      </c>
    </row>
    <row r="226" spans="1:9" x14ac:dyDescent="0.35">
      <c r="A226" s="133">
        <v>41969</v>
      </c>
      <c r="B226" s="134">
        <v>100.95</v>
      </c>
      <c r="C226" s="135">
        <v>7.6200000000000004E-2</v>
      </c>
      <c r="D226" s="134">
        <v>104.2</v>
      </c>
      <c r="E226" s="135">
        <v>7.7399999999999997E-2</v>
      </c>
      <c r="F226" s="134">
        <v>108.46</v>
      </c>
      <c r="G226" s="135">
        <v>0.08</v>
      </c>
      <c r="H226" s="134">
        <v>102.3</v>
      </c>
      <c r="I226" s="135">
        <v>8.14E-2</v>
      </c>
    </row>
    <row r="227" spans="1:9" x14ac:dyDescent="0.35">
      <c r="A227" s="133">
        <v>41970</v>
      </c>
      <c r="B227" s="134">
        <v>101.02</v>
      </c>
      <c r="C227" s="135">
        <v>7.5999999999999998E-2</v>
      </c>
      <c r="D227" s="134">
        <v>104.64</v>
      </c>
      <c r="E227" s="135">
        <v>7.6700000000000004E-2</v>
      </c>
      <c r="F227" s="134">
        <v>108.75</v>
      </c>
      <c r="G227" s="135">
        <v>7.9700000000000007E-2</v>
      </c>
      <c r="H227" s="134">
        <v>102.7</v>
      </c>
      <c r="I227" s="135">
        <v>8.1000000000000003E-2</v>
      </c>
    </row>
    <row r="228" spans="1:9" x14ac:dyDescent="0.35">
      <c r="A228" s="133">
        <v>41971</v>
      </c>
      <c r="B228" s="134">
        <v>101.09</v>
      </c>
      <c r="C228" s="135">
        <v>7.5800000000000006E-2</v>
      </c>
      <c r="D228" s="134">
        <v>104.62</v>
      </c>
      <c r="E228" s="135">
        <v>7.6700000000000004E-2</v>
      </c>
      <c r="F228" s="134">
        <v>108.85</v>
      </c>
      <c r="G228" s="135">
        <v>7.9600000000000004E-2</v>
      </c>
      <c r="H228" s="134">
        <v>102.84</v>
      </c>
      <c r="I228" s="135">
        <v>8.0799999999999997E-2</v>
      </c>
    </row>
    <row r="229" spans="1:9" x14ac:dyDescent="0.35">
      <c r="A229" s="136">
        <v>41974</v>
      </c>
      <c r="B229" s="137">
        <v>101.1</v>
      </c>
      <c r="C229" s="138">
        <v>7.5800000000000006E-2</v>
      </c>
      <c r="D229" s="137">
        <v>104.71</v>
      </c>
      <c r="E229" s="138">
        <v>7.6600000000000001E-2</v>
      </c>
      <c r="F229" s="137">
        <v>108.87</v>
      </c>
      <c r="G229" s="138">
        <v>7.9500000000000001E-2</v>
      </c>
      <c r="H229" s="137">
        <v>102.96</v>
      </c>
      <c r="I229" s="138">
        <v>8.0700000000000008E-2</v>
      </c>
    </row>
    <row r="230" spans="1:9" x14ac:dyDescent="0.35">
      <c r="A230" s="136">
        <v>41975</v>
      </c>
      <c r="B230" s="137">
        <v>101.1</v>
      </c>
      <c r="C230" s="138">
        <v>7.5800000000000006E-2</v>
      </c>
      <c r="D230" s="137">
        <v>104.7</v>
      </c>
      <c r="E230" s="138">
        <v>7.6600000000000001E-2</v>
      </c>
      <c r="F230" s="137">
        <v>108.98</v>
      </c>
      <c r="G230" s="138">
        <v>7.9399999999999998E-2</v>
      </c>
      <c r="H230" s="137">
        <v>102.97</v>
      </c>
      <c r="I230" s="138">
        <v>8.0700000000000008E-2</v>
      </c>
    </row>
    <row r="231" spans="1:9" x14ac:dyDescent="0.35">
      <c r="A231" s="136">
        <v>41976</v>
      </c>
      <c r="B231" s="137">
        <v>100.88</v>
      </c>
      <c r="C231" s="138">
        <v>7.6300000000000007E-2</v>
      </c>
      <c r="D231" s="137">
        <v>104.05</v>
      </c>
      <c r="E231" s="138">
        <v>7.7600000000000002E-2</v>
      </c>
      <c r="F231" s="137">
        <v>107.97</v>
      </c>
      <c r="G231" s="138">
        <v>8.0500000000000002E-2</v>
      </c>
      <c r="H231" s="137">
        <v>102.11</v>
      </c>
      <c r="I231" s="138">
        <v>8.1600000000000006E-2</v>
      </c>
    </row>
    <row r="232" spans="1:9" x14ac:dyDescent="0.35">
      <c r="A232" s="136">
        <v>41977</v>
      </c>
      <c r="B232" s="137">
        <v>100.69</v>
      </c>
      <c r="C232" s="138">
        <v>7.6899999999999996E-2</v>
      </c>
      <c r="D232" s="137">
        <v>103.07</v>
      </c>
      <c r="E232" s="138">
        <v>7.9000000000000001E-2</v>
      </c>
      <c r="F232" s="137">
        <v>107.13</v>
      </c>
      <c r="G232" s="138">
        <v>8.1500000000000003E-2</v>
      </c>
      <c r="H232" s="137">
        <v>100.89</v>
      </c>
      <c r="I232" s="138">
        <v>8.2799999999999999E-2</v>
      </c>
    </row>
    <row r="233" spans="1:9" x14ac:dyDescent="0.35">
      <c r="A233" s="136">
        <v>41978</v>
      </c>
      <c r="B233" s="137">
        <v>100.88</v>
      </c>
      <c r="C233" s="138">
        <v>7.6300000000000007E-2</v>
      </c>
      <c r="D233" s="137">
        <v>103.61</v>
      </c>
      <c r="E233" s="138">
        <v>7.8200000000000006E-2</v>
      </c>
      <c r="F233" s="137">
        <v>107.73</v>
      </c>
      <c r="G233" s="138">
        <v>8.0799999999999997E-2</v>
      </c>
      <c r="H233" s="137">
        <v>101.83</v>
      </c>
      <c r="I233" s="138">
        <v>8.1900000000000001E-2</v>
      </c>
    </row>
    <row r="234" spans="1:9" x14ac:dyDescent="0.35">
      <c r="A234" s="133">
        <v>41981</v>
      </c>
      <c r="B234" s="134">
        <v>100.85</v>
      </c>
      <c r="C234" s="135">
        <v>7.640000000000001E-2</v>
      </c>
      <c r="D234" s="134">
        <v>103.66</v>
      </c>
      <c r="E234" s="135">
        <v>7.8100000000000003E-2</v>
      </c>
      <c r="F234" s="134">
        <v>107.64</v>
      </c>
      <c r="G234" s="135">
        <v>8.09E-2</v>
      </c>
      <c r="H234" s="134">
        <v>101.71</v>
      </c>
      <c r="I234" s="135">
        <v>8.2000000000000003E-2</v>
      </c>
    </row>
    <row r="235" spans="1:9" x14ac:dyDescent="0.35">
      <c r="A235" s="133">
        <v>41982</v>
      </c>
      <c r="B235" s="134">
        <v>100.77</v>
      </c>
      <c r="C235" s="135">
        <v>7.6600000000000001E-2</v>
      </c>
      <c r="D235" s="134">
        <v>103.05</v>
      </c>
      <c r="E235" s="135">
        <v>7.9100000000000004E-2</v>
      </c>
      <c r="F235" s="134">
        <v>107.18</v>
      </c>
      <c r="G235" s="135">
        <v>8.14E-2</v>
      </c>
      <c r="H235" s="134">
        <v>101.04</v>
      </c>
      <c r="I235" s="135">
        <v>8.270000000000001E-2</v>
      </c>
    </row>
    <row r="236" spans="1:9" x14ac:dyDescent="0.35">
      <c r="A236" s="133">
        <v>41983</v>
      </c>
      <c r="B236" s="134">
        <v>100.28</v>
      </c>
      <c r="C236" s="135">
        <v>7.8E-2</v>
      </c>
      <c r="D236" s="134">
        <v>102.13</v>
      </c>
      <c r="E236" s="135">
        <v>8.0500000000000002E-2</v>
      </c>
      <c r="F236" s="134">
        <v>106.04</v>
      </c>
      <c r="G236" s="135">
        <v>8.270000000000001E-2</v>
      </c>
      <c r="H236" s="134">
        <v>99.46</v>
      </c>
      <c r="I236" s="135">
        <v>8.43E-2</v>
      </c>
    </row>
    <row r="237" spans="1:9" x14ac:dyDescent="0.35">
      <c r="A237" s="133">
        <v>41984</v>
      </c>
      <c r="B237" s="134">
        <v>100.42</v>
      </c>
      <c r="C237" s="135">
        <v>7.7600000000000002E-2</v>
      </c>
      <c r="D237" s="134">
        <v>102.65</v>
      </c>
      <c r="E237" s="135">
        <v>7.9700000000000007E-2</v>
      </c>
      <c r="F237" s="134">
        <v>106.39</v>
      </c>
      <c r="G237" s="135">
        <v>8.2299999999999998E-2</v>
      </c>
      <c r="H237" s="134">
        <v>99.8</v>
      </c>
      <c r="I237" s="135">
        <v>8.4000000000000005E-2</v>
      </c>
    </row>
    <row r="238" spans="1:9" x14ac:dyDescent="0.35">
      <c r="A238" s="133">
        <v>41985</v>
      </c>
      <c r="B238" s="134">
        <v>100.23</v>
      </c>
      <c r="C238" s="135">
        <v>7.8100000000000003E-2</v>
      </c>
      <c r="D238" s="134">
        <v>102.02</v>
      </c>
      <c r="E238" s="135">
        <v>8.0600000000000005E-2</v>
      </c>
      <c r="F238" s="134">
        <v>105.77</v>
      </c>
      <c r="G238" s="135">
        <v>8.3000000000000004E-2</v>
      </c>
      <c r="H238" s="134">
        <v>98.94</v>
      </c>
      <c r="I238" s="135">
        <v>8.4900000000000003E-2</v>
      </c>
    </row>
    <row r="239" spans="1:9" x14ac:dyDescent="0.35">
      <c r="A239" s="136">
        <v>41988</v>
      </c>
      <c r="B239" s="137">
        <v>99.15</v>
      </c>
      <c r="C239" s="138">
        <v>8.1100000000000005E-2</v>
      </c>
      <c r="D239" s="137">
        <v>100.09</v>
      </c>
      <c r="E239" s="138">
        <v>8.3600000000000008E-2</v>
      </c>
      <c r="F239" s="137">
        <v>102.14</v>
      </c>
      <c r="G239" s="138">
        <v>8.7400000000000005E-2</v>
      </c>
      <c r="H239" s="137">
        <v>95.46</v>
      </c>
      <c r="I239" s="138">
        <v>8.8700000000000001E-2</v>
      </c>
    </row>
    <row r="240" spans="1:9" x14ac:dyDescent="0.35">
      <c r="A240" s="136">
        <v>41989</v>
      </c>
      <c r="B240" s="137">
        <v>98.82</v>
      </c>
      <c r="C240" s="138">
        <v>8.2000000000000003E-2</v>
      </c>
      <c r="D240" s="137">
        <v>98.81</v>
      </c>
      <c r="E240" s="138">
        <v>8.5699999999999998E-2</v>
      </c>
      <c r="F240" s="137">
        <v>100.81</v>
      </c>
      <c r="G240" s="138">
        <v>8.900000000000001E-2</v>
      </c>
      <c r="H240" s="137">
        <v>94.66</v>
      </c>
      <c r="I240" s="138">
        <v>8.9599999999999999E-2</v>
      </c>
    </row>
    <row r="241" spans="1:9" x14ac:dyDescent="0.35">
      <c r="A241" s="136">
        <v>41990</v>
      </c>
      <c r="B241" s="137">
        <v>98.95</v>
      </c>
      <c r="C241" s="138">
        <v>8.1700000000000009E-2</v>
      </c>
      <c r="D241" s="137">
        <v>99.92</v>
      </c>
      <c r="E241" s="138">
        <v>8.3900000000000002E-2</v>
      </c>
      <c r="F241" s="137">
        <v>101.86</v>
      </c>
      <c r="G241" s="138">
        <v>8.77E-2</v>
      </c>
      <c r="H241" s="137">
        <v>95.91</v>
      </c>
      <c r="I241" s="138">
        <v>8.8200000000000001E-2</v>
      </c>
    </row>
    <row r="242" spans="1:9" x14ac:dyDescent="0.35">
      <c r="A242" s="136">
        <v>41991</v>
      </c>
      <c r="B242" s="137">
        <v>99.21</v>
      </c>
      <c r="C242" s="138">
        <v>8.1000000000000003E-2</v>
      </c>
      <c r="D242" s="137">
        <v>101.3</v>
      </c>
      <c r="E242" s="138">
        <v>8.1700000000000009E-2</v>
      </c>
      <c r="F242" s="137">
        <v>103.66</v>
      </c>
      <c r="G242" s="138">
        <v>8.5500000000000007E-2</v>
      </c>
      <c r="H242" s="137">
        <v>97.46</v>
      </c>
      <c r="I242" s="138">
        <v>8.6500000000000007E-2</v>
      </c>
    </row>
    <row r="243" spans="1:9" x14ac:dyDescent="0.35">
      <c r="A243" s="136">
        <v>41992</v>
      </c>
      <c r="B243" s="137">
        <v>99.75</v>
      </c>
      <c r="C243" s="138">
        <v>7.9399999999999998E-2</v>
      </c>
      <c r="D243" s="137">
        <v>102.45</v>
      </c>
      <c r="E243" s="138">
        <v>0.08</v>
      </c>
      <c r="F243" s="137">
        <v>105.4</v>
      </c>
      <c r="G243" s="138">
        <v>8.3500000000000005E-2</v>
      </c>
      <c r="H243" s="137">
        <v>99.48</v>
      </c>
      <c r="I243" s="138">
        <v>8.43E-2</v>
      </c>
    </row>
    <row r="244" spans="1:9" x14ac:dyDescent="0.35">
      <c r="A244" s="133">
        <v>41995</v>
      </c>
      <c r="B244" s="134">
        <v>99.78</v>
      </c>
      <c r="C244" s="135">
        <v>7.9399999999999998E-2</v>
      </c>
      <c r="D244" s="134">
        <v>102.55</v>
      </c>
      <c r="E244" s="135">
        <v>7.9799999999999996E-2</v>
      </c>
      <c r="F244" s="134">
        <v>105.64</v>
      </c>
      <c r="G244" s="135">
        <v>8.3199999999999996E-2</v>
      </c>
      <c r="H244" s="134">
        <v>99.71</v>
      </c>
      <c r="I244" s="135">
        <v>8.4100000000000008E-2</v>
      </c>
    </row>
    <row r="245" spans="1:9" x14ac:dyDescent="0.35">
      <c r="A245" s="133">
        <v>41996</v>
      </c>
      <c r="B245" s="134">
        <v>100.19</v>
      </c>
      <c r="C245" s="135">
        <v>7.8200000000000006E-2</v>
      </c>
      <c r="D245" s="134">
        <v>103.05</v>
      </c>
      <c r="E245" s="135">
        <v>7.9000000000000001E-2</v>
      </c>
      <c r="F245" s="134">
        <v>106.33</v>
      </c>
      <c r="G245" s="135">
        <v>8.2400000000000001E-2</v>
      </c>
      <c r="H245" s="134">
        <v>100.17</v>
      </c>
      <c r="I245" s="135">
        <v>8.3600000000000008E-2</v>
      </c>
    </row>
    <row r="246" spans="1:9" x14ac:dyDescent="0.35">
      <c r="A246" s="133">
        <v>41997</v>
      </c>
      <c r="B246" s="134">
        <v>100.31</v>
      </c>
      <c r="C246" s="135">
        <v>7.7899999999999997E-2</v>
      </c>
      <c r="D246" s="134">
        <v>103.63</v>
      </c>
      <c r="E246" s="135">
        <v>7.8200000000000006E-2</v>
      </c>
      <c r="F246" s="134">
        <v>106.55</v>
      </c>
      <c r="G246" s="135">
        <v>8.2100000000000006E-2</v>
      </c>
      <c r="H246" s="134">
        <v>100.91</v>
      </c>
      <c r="I246" s="135">
        <v>8.2799999999999999E-2</v>
      </c>
    </row>
    <row r="247" spans="1:9" x14ac:dyDescent="0.35">
      <c r="A247" s="136">
        <v>42002</v>
      </c>
      <c r="B247" s="137">
        <v>100.47</v>
      </c>
      <c r="C247" s="138">
        <v>7.7399999999999997E-2</v>
      </c>
      <c r="D247" s="137">
        <v>103.51</v>
      </c>
      <c r="E247" s="138">
        <v>7.8300000000000008E-2</v>
      </c>
      <c r="F247" s="137">
        <v>106.57</v>
      </c>
      <c r="G247" s="138">
        <v>8.2100000000000006E-2</v>
      </c>
      <c r="H247" s="137">
        <v>100.89</v>
      </c>
      <c r="I247" s="138">
        <v>8.2799999999999999E-2</v>
      </c>
    </row>
    <row r="248" spans="1:9" x14ac:dyDescent="0.35">
      <c r="A248" s="136">
        <v>42003</v>
      </c>
      <c r="B248" s="137">
        <v>100.49</v>
      </c>
      <c r="C248" s="138">
        <v>7.7399999999999997E-2</v>
      </c>
      <c r="D248" s="137">
        <v>103.39</v>
      </c>
      <c r="E248" s="138">
        <v>7.85E-2</v>
      </c>
      <c r="F248" s="137">
        <v>106.43</v>
      </c>
      <c r="G248" s="138">
        <v>8.2299999999999998E-2</v>
      </c>
      <c r="H248" s="137">
        <v>100.57</v>
      </c>
      <c r="I248" s="138">
        <v>8.3199999999999996E-2</v>
      </c>
    </row>
    <row r="249" spans="1:9" x14ac:dyDescent="0.35">
      <c r="A249" s="136">
        <v>42004</v>
      </c>
      <c r="B249" s="137">
        <v>100.62</v>
      </c>
      <c r="C249" s="138">
        <v>7.6999999999999999E-2</v>
      </c>
      <c r="D249" s="137">
        <v>103.62</v>
      </c>
      <c r="E249" s="138">
        <v>7.8200000000000006E-2</v>
      </c>
      <c r="F249" s="137">
        <v>106.78</v>
      </c>
      <c r="G249" s="138">
        <v>8.1900000000000001E-2</v>
      </c>
      <c r="H249" s="137">
        <v>100.77</v>
      </c>
      <c r="I249" s="138">
        <v>8.3000000000000004E-2</v>
      </c>
    </row>
  </sheetData>
  <mergeCells count="18">
    <mergeCell ref="F4:G4"/>
    <mergeCell ref="H4:I4"/>
    <mergeCell ref="B5:C5"/>
    <mergeCell ref="D5:E5"/>
    <mergeCell ref="F5:G5"/>
    <mergeCell ref="H5:I5"/>
    <mergeCell ref="A1:I1"/>
    <mergeCell ref="A2:A6"/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</mergeCell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48"/>
  <sheetViews>
    <sheetView workbookViewId="0">
      <pane ySplit="6" topLeftCell="A231" activePane="bottomLeft" state="frozen"/>
      <selection activeCell="A55" sqref="A55"/>
      <selection pane="bottomLeft" activeCell="A55" sqref="A55"/>
    </sheetView>
  </sheetViews>
  <sheetFormatPr defaultColWidth="0" defaultRowHeight="14.5" x14ac:dyDescent="0.35"/>
  <cols>
    <col min="1" max="1" width="12.453125" style="47" customWidth="1"/>
    <col min="2" max="9" width="10" style="47" customWidth="1"/>
    <col min="10" max="10" width="9.1796875" style="47" customWidth="1"/>
    <col min="11" max="16384" width="9.1796875" style="47" hidden="1"/>
  </cols>
  <sheetData>
    <row r="1" spans="1:10" x14ac:dyDescent="0.35">
      <c r="A1" s="480" t="s">
        <v>72</v>
      </c>
      <c r="B1" s="481"/>
      <c r="C1" s="481"/>
      <c r="D1" s="481"/>
      <c r="E1" s="481"/>
      <c r="F1" s="481"/>
      <c r="G1" s="481"/>
      <c r="H1" s="481"/>
      <c r="I1" s="481"/>
    </row>
    <row r="2" spans="1:10" x14ac:dyDescent="0.35">
      <c r="A2" s="482" t="s">
        <v>73</v>
      </c>
      <c r="B2" s="485" t="s">
        <v>74</v>
      </c>
      <c r="C2" s="485"/>
      <c r="D2" s="485" t="s">
        <v>75</v>
      </c>
      <c r="E2" s="485"/>
      <c r="F2" s="485" t="s">
        <v>76</v>
      </c>
      <c r="G2" s="485"/>
      <c r="H2" s="485" t="s">
        <v>77</v>
      </c>
      <c r="I2" s="485"/>
    </row>
    <row r="3" spans="1:10" x14ac:dyDescent="0.35">
      <c r="A3" s="483"/>
      <c r="B3" s="485" t="s">
        <v>84</v>
      </c>
      <c r="C3" s="485"/>
      <c r="D3" s="485" t="s">
        <v>85</v>
      </c>
      <c r="E3" s="485"/>
      <c r="F3" s="485" t="s">
        <v>86</v>
      </c>
      <c r="G3" s="485"/>
      <c r="H3" s="485" t="s">
        <v>87</v>
      </c>
      <c r="I3" s="485"/>
    </row>
    <row r="4" spans="1:10" x14ac:dyDescent="0.35">
      <c r="A4" s="483"/>
      <c r="B4" s="486">
        <v>7.8750000000000001E-2</v>
      </c>
      <c r="C4" s="486"/>
      <c r="D4" s="486">
        <v>8.3750000000000005E-2</v>
      </c>
      <c r="E4" s="486"/>
      <c r="F4" s="486">
        <v>0.09</v>
      </c>
      <c r="G4" s="486"/>
      <c r="H4" s="486">
        <v>8.3750000000000005E-2</v>
      </c>
      <c r="I4" s="486"/>
    </row>
    <row r="5" spans="1:10" x14ac:dyDescent="0.35">
      <c r="A5" s="483"/>
      <c r="B5" s="479">
        <v>43570</v>
      </c>
      <c r="C5" s="479"/>
      <c r="D5" s="479">
        <v>45366</v>
      </c>
      <c r="E5" s="479"/>
      <c r="F5" s="479">
        <v>47192</v>
      </c>
      <c r="G5" s="479"/>
      <c r="H5" s="479">
        <v>49018</v>
      </c>
      <c r="I5" s="479"/>
    </row>
    <row r="6" spans="1:10" ht="29" x14ac:dyDescent="0.35">
      <c r="A6" s="484"/>
      <c r="B6" s="131" t="s">
        <v>82</v>
      </c>
      <c r="C6" s="132" t="s">
        <v>83</v>
      </c>
      <c r="D6" s="131" t="s">
        <v>82</v>
      </c>
      <c r="E6" s="132" t="s">
        <v>83</v>
      </c>
      <c r="F6" s="131" t="s">
        <v>82</v>
      </c>
      <c r="G6" s="132" t="s">
        <v>83</v>
      </c>
      <c r="H6" s="131" t="s">
        <v>82</v>
      </c>
      <c r="I6" s="132" t="s">
        <v>83</v>
      </c>
    </row>
    <row r="7" spans="1:10" x14ac:dyDescent="0.35">
      <c r="A7" s="133">
        <v>42006</v>
      </c>
      <c r="B7" s="134">
        <v>100.97</v>
      </c>
      <c r="C7" s="135">
        <v>7.6100000000000001E-2</v>
      </c>
      <c r="D7" s="134">
        <v>104.4</v>
      </c>
      <c r="E7" s="135">
        <v>7.6999999999999999E-2</v>
      </c>
      <c r="F7" s="134">
        <v>107.68</v>
      </c>
      <c r="G7" s="135">
        <v>8.0799999999999997E-2</v>
      </c>
      <c r="H7" s="134">
        <v>101.45</v>
      </c>
      <c r="I7" s="135">
        <v>8.2299999999999998E-2</v>
      </c>
      <c r="J7" s="139"/>
    </row>
    <row r="8" spans="1:10" x14ac:dyDescent="0.35">
      <c r="A8" s="133">
        <v>42009</v>
      </c>
      <c r="B8" s="134">
        <v>100.58</v>
      </c>
      <c r="C8" s="135">
        <v>7.7100000000000002E-2</v>
      </c>
      <c r="D8" s="134">
        <v>102.99</v>
      </c>
      <c r="E8" s="135">
        <v>7.9100000000000004E-2</v>
      </c>
      <c r="F8" s="134">
        <v>106.89</v>
      </c>
      <c r="G8" s="135">
        <v>8.1700000000000009E-2</v>
      </c>
      <c r="H8" s="134">
        <v>100.63</v>
      </c>
      <c r="I8" s="135">
        <v>8.3100000000000007E-2</v>
      </c>
      <c r="J8" s="139"/>
    </row>
    <row r="9" spans="1:10" x14ac:dyDescent="0.35">
      <c r="A9" s="133">
        <v>42010</v>
      </c>
      <c r="B9" s="134">
        <v>100.41</v>
      </c>
      <c r="C9" s="135">
        <v>7.7600000000000002E-2</v>
      </c>
      <c r="D9" s="134">
        <v>102.53</v>
      </c>
      <c r="E9" s="135">
        <v>7.9799999999999996E-2</v>
      </c>
      <c r="F9" s="134">
        <v>106.06</v>
      </c>
      <c r="G9" s="135">
        <v>8.270000000000001E-2</v>
      </c>
      <c r="H9" s="134">
        <v>99.86</v>
      </c>
      <c r="I9" s="135">
        <v>8.3900000000000002E-2</v>
      </c>
      <c r="J9" s="139"/>
    </row>
    <row r="10" spans="1:10" x14ac:dyDescent="0.35">
      <c r="A10" s="133">
        <v>42011</v>
      </c>
      <c r="B10" s="134">
        <v>101.08</v>
      </c>
      <c r="C10" s="135">
        <v>7.5700000000000003E-2</v>
      </c>
      <c r="D10" s="134">
        <v>102.91</v>
      </c>
      <c r="E10" s="135">
        <v>7.9300000000000009E-2</v>
      </c>
      <c r="F10" s="134">
        <v>106.65</v>
      </c>
      <c r="G10" s="135">
        <v>8.2000000000000003E-2</v>
      </c>
      <c r="H10" s="134">
        <v>99.96</v>
      </c>
      <c r="I10" s="135">
        <v>8.3799999999999999E-2</v>
      </c>
      <c r="J10" s="139"/>
    </row>
    <row r="11" spans="1:10" x14ac:dyDescent="0.35">
      <c r="A11" s="133">
        <v>42012</v>
      </c>
      <c r="B11" s="134">
        <v>101.3</v>
      </c>
      <c r="C11" s="135">
        <v>7.51E-2</v>
      </c>
      <c r="D11" s="134">
        <v>103.47</v>
      </c>
      <c r="E11" s="135">
        <v>7.8399999999999997E-2</v>
      </c>
      <c r="F11" s="134">
        <v>107.25</v>
      </c>
      <c r="G11" s="135">
        <v>8.1299999999999997E-2</v>
      </c>
      <c r="H11" s="134">
        <v>100.57</v>
      </c>
      <c r="I11" s="135">
        <v>8.3199999999999996E-2</v>
      </c>
      <c r="J11" s="139"/>
    </row>
    <row r="12" spans="1:10" x14ac:dyDescent="0.35">
      <c r="A12" s="136">
        <v>42013</v>
      </c>
      <c r="B12" s="137">
        <v>101.67</v>
      </c>
      <c r="C12" s="138">
        <v>7.4099999999999999E-2</v>
      </c>
      <c r="D12" s="137">
        <v>104.72</v>
      </c>
      <c r="E12" s="138">
        <v>7.6499999999999999E-2</v>
      </c>
      <c r="F12" s="137">
        <v>108.74</v>
      </c>
      <c r="G12" s="138">
        <v>7.9600000000000004E-2</v>
      </c>
      <c r="H12" s="137">
        <v>102.76</v>
      </c>
      <c r="I12" s="138">
        <v>8.09E-2</v>
      </c>
      <c r="J12" s="139"/>
    </row>
    <row r="13" spans="1:10" x14ac:dyDescent="0.35">
      <c r="A13" s="136">
        <v>42016</v>
      </c>
      <c r="B13" s="137">
        <v>101.76</v>
      </c>
      <c r="C13" s="138">
        <v>7.3900000000000007E-2</v>
      </c>
      <c r="D13" s="137">
        <v>104.73</v>
      </c>
      <c r="E13" s="138">
        <v>7.6499999999999999E-2</v>
      </c>
      <c r="F13" s="137">
        <v>108.76</v>
      </c>
      <c r="G13" s="138">
        <v>7.9600000000000004E-2</v>
      </c>
      <c r="H13" s="137">
        <v>103.03</v>
      </c>
      <c r="I13" s="138">
        <v>8.0700000000000008E-2</v>
      </c>
      <c r="J13" s="139"/>
    </row>
    <row r="14" spans="1:10" x14ac:dyDescent="0.35">
      <c r="A14" s="136">
        <v>42017</v>
      </c>
      <c r="B14" s="137">
        <v>101.64</v>
      </c>
      <c r="C14" s="138">
        <v>7.4200000000000002E-2</v>
      </c>
      <c r="D14" s="137">
        <v>104.32</v>
      </c>
      <c r="E14" s="138">
        <v>7.7100000000000002E-2</v>
      </c>
      <c r="F14" s="137">
        <v>108.34</v>
      </c>
      <c r="G14" s="138">
        <v>8.0100000000000005E-2</v>
      </c>
      <c r="H14" s="137">
        <v>102.38</v>
      </c>
      <c r="I14" s="138">
        <v>8.1299999999999997E-2</v>
      </c>
      <c r="J14" s="139"/>
    </row>
    <row r="15" spans="1:10" x14ac:dyDescent="0.35">
      <c r="A15" s="136">
        <v>42018</v>
      </c>
      <c r="B15" s="137">
        <v>101.89</v>
      </c>
      <c r="C15" s="138">
        <v>7.350000000000001E-2</v>
      </c>
      <c r="D15" s="137">
        <v>104.97</v>
      </c>
      <c r="E15" s="138">
        <v>7.6100000000000001E-2</v>
      </c>
      <c r="F15" s="137">
        <v>109.14</v>
      </c>
      <c r="G15" s="138">
        <v>7.9200000000000007E-2</v>
      </c>
      <c r="H15" s="137">
        <v>103.07</v>
      </c>
      <c r="I15" s="138">
        <v>8.0600000000000005E-2</v>
      </c>
      <c r="J15" s="139"/>
    </row>
    <row r="16" spans="1:10" x14ac:dyDescent="0.35">
      <c r="A16" s="136">
        <v>42019</v>
      </c>
      <c r="B16" s="137">
        <v>101.82</v>
      </c>
      <c r="C16" s="138">
        <v>7.3700000000000002E-2</v>
      </c>
      <c r="D16" s="137">
        <v>104.67</v>
      </c>
      <c r="E16" s="138">
        <v>7.6600000000000001E-2</v>
      </c>
      <c r="F16" s="137">
        <v>108.67</v>
      </c>
      <c r="G16" s="138">
        <v>7.9700000000000007E-2</v>
      </c>
      <c r="H16" s="137">
        <v>102.58</v>
      </c>
      <c r="I16" s="138">
        <v>8.1100000000000005E-2</v>
      </c>
      <c r="J16" s="139"/>
    </row>
    <row r="17" spans="1:10" x14ac:dyDescent="0.35">
      <c r="A17" s="133">
        <v>42020</v>
      </c>
      <c r="B17" s="134">
        <v>102.14</v>
      </c>
      <c r="C17" s="135">
        <v>7.2800000000000004E-2</v>
      </c>
      <c r="D17" s="134">
        <v>105.34</v>
      </c>
      <c r="E17" s="135">
        <v>7.5600000000000001E-2</v>
      </c>
      <c r="F17" s="134">
        <v>109.34</v>
      </c>
      <c r="G17" s="135">
        <v>7.9000000000000001E-2</v>
      </c>
      <c r="H17" s="134">
        <v>103.37</v>
      </c>
      <c r="I17" s="135">
        <v>8.0299999999999996E-2</v>
      </c>
      <c r="J17" s="139"/>
    </row>
    <row r="18" spans="1:10" x14ac:dyDescent="0.35">
      <c r="A18" s="133">
        <v>42023</v>
      </c>
      <c r="B18" s="134">
        <v>102.02</v>
      </c>
      <c r="C18" s="135">
        <v>7.3099999999999998E-2</v>
      </c>
      <c r="D18" s="134">
        <v>105.37</v>
      </c>
      <c r="E18" s="135">
        <v>7.5499999999999998E-2</v>
      </c>
      <c r="F18" s="134">
        <v>109.41</v>
      </c>
      <c r="G18" s="135">
        <v>7.8899999999999998E-2</v>
      </c>
      <c r="H18" s="134">
        <v>103.41</v>
      </c>
      <c r="I18" s="135">
        <v>8.0299999999999996E-2</v>
      </c>
      <c r="J18" s="139"/>
    </row>
    <row r="19" spans="1:10" x14ac:dyDescent="0.35">
      <c r="A19" s="133">
        <v>42024</v>
      </c>
      <c r="B19" s="134">
        <v>102.04</v>
      </c>
      <c r="C19" s="135">
        <v>7.3099999999999998E-2</v>
      </c>
      <c r="D19" s="134">
        <v>104.93</v>
      </c>
      <c r="E19" s="135">
        <v>7.6200000000000004E-2</v>
      </c>
      <c r="F19" s="134">
        <v>109.02</v>
      </c>
      <c r="G19" s="135">
        <v>7.9300000000000009E-2</v>
      </c>
      <c r="H19" s="134">
        <v>102.99</v>
      </c>
      <c r="I19" s="135">
        <v>8.0700000000000008E-2</v>
      </c>
      <c r="J19" s="139"/>
    </row>
    <row r="20" spans="1:10" x14ac:dyDescent="0.35">
      <c r="A20" s="133">
        <v>42025</v>
      </c>
      <c r="B20" s="134">
        <v>103.08</v>
      </c>
      <c r="C20" s="135">
        <v>7.0199999999999999E-2</v>
      </c>
      <c r="D20" s="134">
        <v>106.89</v>
      </c>
      <c r="E20" s="135">
        <v>7.3300000000000004E-2</v>
      </c>
      <c r="F20" s="134">
        <v>112.02</v>
      </c>
      <c r="G20" s="135">
        <v>7.5999999999999998E-2</v>
      </c>
      <c r="H20" s="134">
        <v>106.86</v>
      </c>
      <c r="I20" s="135">
        <v>7.6899999999999996E-2</v>
      </c>
      <c r="J20" s="139"/>
    </row>
    <row r="21" spans="1:10" x14ac:dyDescent="0.35">
      <c r="A21" s="133">
        <v>42026</v>
      </c>
      <c r="B21" s="134">
        <v>103.12</v>
      </c>
      <c r="C21" s="135">
        <v>7.010000000000001E-2</v>
      </c>
      <c r="D21" s="134">
        <v>108.07</v>
      </c>
      <c r="E21" s="135">
        <v>7.1599999999999997E-2</v>
      </c>
      <c r="F21" s="134">
        <v>113.56</v>
      </c>
      <c r="G21" s="135">
        <v>7.4400000000000008E-2</v>
      </c>
      <c r="H21" s="134">
        <v>108.28</v>
      </c>
      <c r="I21" s="135">
        <v>7.5499999999999998E-2</v>
      </c>
      <c r="J21" s="139"/>
    </row>
    <row r="22" spans="1:10" x14ac:dyDescent="0.35">
      <c r="A22" s="136">
        <v>42027</v>
      </c>
      <c r="B22" s="137">
        <v>104.01</v>
      </c>
      <c r="C22" s="138">
        <v>6.7699999999999996E-2</v>
      </c>
      <c r="D22" s="137">
        <v>109</v>
      </c>
      <c r="E22" s="138">
        <v>7.0300000000000001E-2</v>
      </c>
      <c r="F22" s="137">
        <v>114.76</v>
      </c>
      <c r="G22" s="138">
        <v>7.3099999999999998E-2</v>
      </c>
      <c r="H22" s="137">
        <v>109.32</v>
      </c>
      <c r="I22" s="138">
        <v>7.46E-2</v>
      </c>
      <c r="J22" s="139"/>
    </row>
    <row r="23" spans="1:10" x14ac:dyDescent="0.35">
      <c r="A23" s="136">
        <v>42030</v>
      </c>
      <c r="B23" s="137">
        <v>103.64</v>
      </c>
      <c r="C23" s="138">
        <v>6.8699999999999997E-2</v>
      </c>
      <c r="D23" s="137">
        <v>108.52</v>
      </c>
      <c r="E23" s="138">
        <v>7.0900000000000005E-2</v>
      </c>
      <c r="F23" s="137">
        <v>114.37</v>
      </c>
      <c r="G23" s="138">
        <v>7.350000000000001E-2</v>
      </c>
      <c r="H23" s="137">
        <v>108.69</v>
      </c>
      <c r="I23" s="138">
        <v>7.5200000000000003E-2</v>
      </c>
      <c r="J23" s="139"/>
    </row>
    <row r="24" spans="1:10" x14ac:dyDescent="0.35">
      <c r="A24" s="136">
        <v>42031</v>
      </c>
      <c r="B24" s="137">
        <v>103.64</v>
      </c>
      <c r="C24" s="138">
        <v>6.8699999999999997E-2</v>
      </c>
      <c r="D24" s="137">
        <v>108.52</v>
      </c>
      <c r="E24" s="138">
        <v>7.0900000000000005E-2</v>
      </c>
      <c r="F24" s="137">
        <v>114.37</v>
      </c>
      <c r="G24" s="138">
        <v>7.350000000000001E-2</v>
      </c>
      <c r="H24" s="137">
        <v>108.69</v>
      </c>
      <c r="I24" s="138">
        <v>7.5200000000000003E-2</v>
      </c>
      <c r="J24" s="139"/>
    </row>
    <row r="25" spans="1:10" x14ac:dyDescent="0.35">
      <c r="A25" s="136">
        <v>42032</v>
      </c>
      <c r="B25" s="137">
        <v>103.81</v>
      </c>
      <c r="C25" s="138">
        <v>6.8199999999999997E-2</v>
      </c>
      <c r="D25" s="137">
        <v>108.77</v>
      </c>
      <c r="E25" s="138">
        <v>7.0599999999999996E-2</v>
      </c>
      <c r="F25" s="137">
        <v>114.82</v>
      </c>
      <c r="G25" s="138">
        <v>7.3000000000000009E-2</v>
      </c>
      <c r="H25" s="137">
        <v>109.66</v>
      </c>
      <c r="I25" s="138">
        <v>7.4300000000000005E-2</v>
      </c>
      <c r="J25" s="139"/>
    </row>
    <row r="26" spans="1:10" x14ac:dyDescent="0.35">
      <c r="A26" s="136">
        <v>42033</v>
      </c>
      <c r="B26" s="137">
        <v>103.82</v>
      </c>
      <c r="C26" s="138">
        <v>6.8199999999999997E-2</v>
      </c>
      <c r="D26" s="137">
        <v>108.77</v>
      </c>
      <c r="E26" s="138">
        <v>7.0599999999999996E-2</v>
      </c>
      <c r="F26" s="137">
        <v>114.76</v>
      </c>
      <c r="G26" s="138">
        <v>7.3099999999999998E-2</v>
      </c>
      <c r="H26" s="137">
        <v>109.74</v>
      </c>
      <c r="I26" s="138">
        <v>7.4200000000000002E-2</v>
      </c>
      <c r="J26" s="139"/>
    </row>
    <row r="27" spans="1:10" x14ac:dyDescent="0.35">
      <c r="A27" s="133">
        <v>42034</v>
      </c>
      <c r="B27" s="134">
        <v>103.82</v>
      </c>
      <c r="C27" s="135">
        <v>6.8100000000000008E-2</v>
      </c>
      <c r="D27" s="134">
        <v>108.84</v>
      </c>
      <c r="E27" s="135">
        <v>7.0500000000000007E-2</v>
      </c>
      <c r="F27" s="134">
        <v>115</v>
      </c>
      <c r="G27" s="135">
        <v>7.2900000000000006E-2</v>
      </c>
      <c r="H27" s="134">
        <v>109.73</v>
      </c>
      <c r="I27" s="135">
        <v>7.4200000000000002E-2</v>
      </c>
      <c r="J27" s="139"/>
    </row>
    <row r="28" spans="1:10" x14ac:dyDescent="0.35">
      <c r="A28" s="133">
        <v>42037</v>
      </c>
      <c r="B28" s="134">
        <v>103.82</v>
      </c>
      <c r="C28" s="135">
        <v>6.8100000000000008E-2</v>
      </c>
      <c r="D28" s="134">
        <v>109.13</v>
      </c>
      <c r="E28" s="135">
        <v>7.010000000000001E-2</v>
      </c>
      <c r="F28" s="134">
        <v>115.19</v>
      </c>
      <c r="G28" s="135">
        <v>7.2599999999999998E-2</v>
      </c>
      <c r="H28" s="134">
        <v>110.14</v>
      </c>
      <c r="I28" s="135">
        <v>7.3800000000000004E-2</v>
      </c>
      <c r="J28" s="139"/>
    </row>
    <row r="29" spans="1:10" x14ac:dyDescent="0.35">
      <c r="A29" s="133">
        <v>42038</v>
      </c>
      <c r="B29" s="134">
        <v>103.92</v>
      </c>
      <c r="C29" s="135">
        <v>6.7900000000000002E-2</v>
      </c>
      <c r="D29" s="134">
        <v>110.4</v>
      </c>
      <c r="E29" s="135">
        <v>6.83E-2</v>
      </c>
      <c r="F29" s="134">
        <v>116.41</v>
      </c>
      <c r="G29" s="135">
        <v>7.1400000000000005E-2</v>
      </c>
      <c r="H29" s="134">
        <v>111.32</v>
      </c>
      <c r="I29" s="135">
        <v>7.2700000000000001E-2</v>
      </c>
      <c r="J29" s="139"/>
    </row>
    <row r="30" spans="1:10" x14ac:dyDescent="0.35">
      <c r="A30" s="133">
        <v>42039</v>
      </c>
      <c r="B30" s="134">
        <v>103.97</v>
      </c>
      <c r="C30" s="135">
        <v>6.7699999999999996E-2</v>
      </c>
      <c r="D30" s="134">
        <v>110.12</v>
      </c>
      <c r="E30" s="135">
        <v>6.8699999999999997E-2</v>
      </c>
      <c r="F30" s="134">
        <v>117.63</v>
      </c>
      <c r="G30" s="135">
        <v>7.0199999999999999E-2</v>
      </c>
      <c r="H30" s="134">
        <v>112.46</v>
      </c>
      <c r="I30" s="135">
        <v>7.17E-2</v>
      </c>
      <c r="J30" s="139"/>
    </row>
    <row r="31" spans="1:10" x14ac:dyDescent="0.35">
      <c r="A31" s="133">
        <v>42040</v>
      </c>
      <c r="B31" s="134">
        <v>103.62</v>
      </c>
      <c r="C31" s="135">
        <v>6.8699999999999997E-2</v>
      </c>
      <c r="D31" s="134">
        <v>109</v>
      </c>
      <c r="E31" s="135">
        <v>7.0199999999999999E-2</v>
      </c>
      <c r="F31" s="134">
        <v>117.08</v>
      </c>
      <c r="G31" s="135">
        <v>7.0699999999999999E-2</v>
      </c>
      <c r="H31" s="134">
        <v>111.08</v>
      </c>
      <c r="I31" s="135">
        <v>7.3000000000000009E-2</v>
      </c>
      <c r="J31" s="139"/>
    </row>
    <row r="32" spans="1:10" x14ac:dyDescent="0.35">
      <c r="A32" s="136">
        <v>42041</v>
      </c>
      <c r="B32" s="137">
        <v>103.65</v>
      </c>
      <c r="C32" s="138">
        <v>6.8600000000000008E-2</v>
      </c>
      <c r="D32" s="137">
        <v>109.03</v>
      </c>
      <c r="E32" s="138">
        <v>7.0199999999999999E-2</v>
      </c>
      <c r="F32" s="137">
        <v>116.91</v>
      </c>
      <c r="G32" s="138">
        <v>7.0900000000000005E-2</v>
      </c>
      <c r="H32" s="137">
        <v>111.07</v>
      </c>
      <c r="I32" s="138">
        <v>7.3000000000000009E-2</v>
      </c>
      <c r="J32" s="139"/>
    </row>
    <row r="33" spans="1:10" x14ac:dyDescent="0.35">
      <c r="A33" s="136">
        <v>42044</v>
      </c>
      <c r="B33" s="137">
        <v>103.31</v>
      </c>
      <c r="C33" s="138">
        <v>6.9500000000000006E-2</v>
      </c>
      <c r="D33" s="137">
        <v>108.17</v>
      </c>
      <c r="E33" s="138">
        <v>7.1400000000000005E-2</v>
      </c>
      <c r="F33" s="137">
        <v>115.86</v>
      </c>
      <c r="G33" s="138">
        <v>7.1900000000000006E-2</v>
      </c>
      <c r="H33" s="137">
        <v>109.76</v>
      </c>
      <c r="I33" s="138">
        <v>7.4200000000000002E-2</v>
      </c>
      <c r="J33" s="139"/>
    </row>
    <row r="34" spans="1:10" x14ac:dyDescent="0.35">
      <c r="A34" s="136">
        <v>42045</v>
      </c>
      <c r="B34" s="137">
        <v>103.42</v>
      </c>
      <c r="C34" s="138">
        <v>6.9199999999999998E-2</v>
      </c>
      <c r="D34" s="137">
        <v>108.75</v>
      </c>
      <c r="E34" s="138">
        <v>7.0599999999999996E-2</v>
      </c>
      <c r="F34" s="137">
        <v>115.66</v>
      </c>
      <c r="G34" s="138">
        <v>7.22E-2</v>
      </c>
      <c r="H34" s="137">
        <v>109.67</v>
      </c>
      <c r="I34" s="138">
        <v>7.4200000000000002E-2</v>
      </c>
      <c r="J34" s="139"/>
    </row>
    <row r="35" spans="1:10" x14ac:dyDescent="0.35">
      <c r="A35" s="136">
        <v>42046</v>
      </c>
      <c r="B35" s="137">
        <v>103.62</v>
      </c>
      <c r="C35" s="138">
        <v>6.8600000000000008E-2</v>
      </c>
      <c r="D35" s="137">
        <v>108.02</v>
      </c>
      <c r="E35" s="138">
        <v>7.1599999999999997E-2</v>
      </c>
      <c r="F35" s="137">
        <v>115.04</v>
      </c>
      <c r="G35" s="138">
        <v>7.2800000000000004E-2</v>
      </c>
      <c r="H35" s="137">
        <v>108.92</v>
      </c>
      <c r="I35" s="138">
        <v>7.4900000000000008E-2</v>
      </c>
      <c r="J35" s="139"/>
    </row>
    <row r="36" spans="1:10" x14ac:dyDescent="0.35">
      <c r="A36" s="136">
        <v>42047</v>
      </c>
      <c r="B36" s="137">
        <v>102.45</v>
      </c>
      <c r="C36" s="138">
        <v>7.1800000000000003E-2</v>
      </c>
      <c r="D36" s="137">
        <v>106.67</v>
      </c>
      <c r="E36" s="138">
        <v>7.3599999999999999E-2</v>
      </c>
      <c r="F36" s="137">
        <v>112.9</v>
      </c>
      <c r="G36" s="138">
        <v>7.4999999999999997E-2</v>
      </c>
      <c r="H36" s="137">
        <v>106.41</v>
      </c>
      <c r="I36" s="138">
        <v>7.7300000000000008E-2</v>
      </c>
      <c r="J36" s="139"/>
    </row>
    <row r="37" spans="1:10" x14ac:dyDescent="0.35">
      <c r="A37" s="133">
        <v>42048</v>
      </c>
      <c r="B37" s="134">
        <v>102.74</v>
      </c>
      <c r="C37" s="135">
        <v>7.1000000000000008E-2</v>
      </c>
      <c r="D37" s="134">
        <v>106.53</v>
      </c>
      <c r="E37" s="135">
        <v>7.3800000000000004E-2</v>
      </c>
      <c r="F37" s="134">
        <v>112.67</v>
      </c>
      <c r="G37" s="135">
        <v>7.5300000000000006E-2</v>
      </c>
      <c r="H37" s="134">
        <v>106.33</v>
      </c>
      <c r="I37" s="135">
        <v>7.7399999999999997E-2</v>
      </c>
      <c r="J37" s="139"/>
    </row>
    <row r="38" spans="1:10" x14ac:dyDescent="0.35">
      <c r="A38" s="133">
        <v>42051</v>
      </c>
      <c r="B38" s="134">
        <v>102.65</v>
      </c>
      <c r="C38" s="135">
        <v>7.1400000000000005E-2</v>
      </c>
      <c r="D38" s="134">
        <v>106.55000000000001</v>
      </c>
      <c r="E38" s="135">
        <v>7.3800000000000004E-2</v>
      </c>
      <c r="F38" s="134">
        <v>112.82000000000001</v>
      </c>
      <c r="G38" s="135">
        <v>7.5200000000000003E-2</v>
      </c>
      <c r="H38" s="134">
        <v>106.53</v>
      </c>
      <c r="I38" s="135">
        <v>7.7200000000000005E-2</v>
      </c>
      <c r="J38" s="139"/>
    </row>
    <row r="39" spans="1:10" x14ac:dyDescent="0.35">
      <c r="A39" s="133">
        <v>42052</v>
      </c>
      <c r="B39" s="134">
        <v>102.94000000000001</v>
      </c>
      <c r="C39" s="135">
        <v>7.0500000000000007E-2</v>
      </c>
      <c r="D39" s="134">
        <v>107.67</v>
      </c>
      <c r="E39" s="135">
        <v>7.2099999999999997E-2</v>
      </c>
      <c r="F39" s="134">
        <v>113.81</v>
      </c>
      <c r="G39" s="135">
        <v>7.4099999999999999E-2</v>
      </c>
      <c r="H39" s="134">
        <v>107.56</v>
      </c>
      <c r="I39" s="135">
        <v>7.6200000000000004E-2</v>
      </c>
      <c r="J39" s="139"/>
    </row>
    <row r="40" spans="1:10" x14ac:dyDescent="0.35">
      <c r="A40" s="133">
        <v>42053</v>
      </c>
      <c r="B40" s="134">
        <v>103.92</v>
      </c>
      <c r="C40" s="135">
        <v>6.7799999999999999E-2</v>
      </c>
      <c r="D40" s="134">
        <v>109.79</v>
      </c>
      <c r="E40" s="135">
        <v>6.9100000000000009E-2</v>
      </c>
      <c r="F40" s="134">
        <v>117.44000000000001</v>
      </c>
      <c r="G40" s="135">
        <v>7.0300000000000001E-2</v>
      </c>
      <c r="H40" s="134">
        <v>111.72</v>
      </c>
      <c r="I40" s="135">
        <v>7.2400000000000006E-2</v>
      </c>
      <c r="J40" s="139"/>
    </row>
    <row r="41" spans="1:10" x14ac:dyDescent="0.35">
      <c r="A41" s="133">
        <v>42055</v>
      </c>
      <c r="B41" s="134">
        <v>103.69000000000001</v>
      </c>
      <c r="C41" s="135">
        <v>6.8400000000000002E-2</v>
      </c>
      <c r="D41" s="134">
        <v>108.72</v>
      </c>
      <c r="E41" s="135">
        <v>7.0599999999999996E-2</v>
      </c>
      <c r="F41" s="134">
        <v>115.74000000000001</v>
      </c>
      <c r="G41" s="135">
        <v>7.2099999999999997E-2</v>
      </c>
      <c r="H41" s="134">
        <v>109.24000000000001</v>
      </c>
      <c r="I41" s="135">
        <v>7.46E-2</v>
      </c>
      <c r="J41" s="139"/>
    </row>
    <row r="42" spans="1:10" x14ac:dyDescent="0.35">
      <c r="A42" s="136">
        <v>42058</v>
      </c>
      <c r="B42" s="137">
        <v>103.97</v>
      </c>
      <c r="C42" s="138">
        <v>6.7600000000000007E-2</v>
      </c>
      <c r="D42" s="137">
        <v>109.02000000000001</v>
      </c>
      <c r="E42" s="138">
        <v>7.0199999999999999E-2</v>
      </c>
      <c r="F42" s="137">
        <v>116.15</v>
      </c>
      <c r="G42" s="138">
        <v>7.1599999999999997E-2</v>
      </c>
      <c r="H42" s="137">
        <v>109.74000000000001</v>
      </c>
      <c r="I42" s="138">
        <v>7.4200000000000002E-2</v>
      </c>
      <c r="J42" s="139"/>
    </row>
    <row r="43" spans="1:10" x14ac:dyDescent="0.35">
      <c r="A43" s="136">
        <v>42059</v>
      </c>
      <c r="B43" s="137">
        <v>103.93</v>
      </c>
      <c r="C43" s="138">
        <v>6.7699999999999996E-2</v>
      </c>
      <c r="D43" s="137">
        <v>108.91</v>
      </c>
      <c r="E43" s="138">
        <v>7.0300000000000001E-2</v>
      </c>
      <c r="F43" s="137">
        <v>115.8</v>
      </c>
      <c r="G43" s="138">
        <v>7.2000000000000008E-2</v>
      </c>
      <c r="H43" s="137">
        <v>109.3</v>
      </c>
      <c r="I43" s="138">
        <v>7.46E-2</v>
      </c>
      <c r="J43" s="139"/>
    </row>
    <row r="44" spans="1:10" x14ac:dyDescent="0.35">
      <c r="A44" s="136">
        <v>42060</v>
      </c>
      <c r="B44" s="137">
        <v>103.93</v>
      </c>
      <c r="C44" s="138">
        <v>6.7699999999999996E-2</v>
      </c>
      <c r="D44" s="137">
        <v>109.11</v>
      </c>
      <c r="E44" s="138">
        <v>7.0000000000000007E-2</v>
      </c>
      <c r="F44" s="137">
        <v>116.18</v>
      </c>
      <c r="G44" s="138">
        <v>7.1599999999999997E-2</v>
      </c>
      <c r="H44" s="137">
        <v>110.02</v>
      </c>
      <c r="I44" s="138">
        <v>7.3900000000000007E-2</v>
      </c>
      <c r="J44" s="139"/>
    </row>
    <row r="45" spans="1:10" x14ac:dyDescent="0.35">
      <c r="A45" s="136">
        <v>42061</v>
      </c>
      <c r="B45" s="137">
        <v>104.23</v>
      </c>
      <c r="C45" s="138">
        <v>6.6900000000000001E-2</v>
      </c>
      <c r="D45" s="137">
        <v>109.84</v>
      </c>
      <c r="E45" s="138">
        <v>6.9000000000000006E-2</v>
      </c>
      <c r="F45" s="137">
        <v>116.88</v>
      </c>
      <c r="G45" s="138">
        <v>7.0900000000000005E-2</v>
      </c>
      <c r="H45" s="137">
        <v>111.06</v>
      </c>
      <c r="I45" s="138">
        <v>7.3000000000000009E-2</v>
      </c>
      <c r="J45" s="139"/>
    </row>
    <row r="46" spans="1:10" x14ac:dyDescent="0.35">
      <c r="A46" s="136">
        <v>42062</v>
      </c>
      <c r="B46" s="137">
        <v>104.19</v>
      </c>
      <c r="C46" s="138">
        <v>6.7000000000000004E-2</v>
      </c>
      <c r="D46" s="137">
        <v>110.09</v>
      </c>
      <c r="E46" s="138">
        <v>6.8600000000000008E-2</v>
      </c>
      <c r="F46" s="137">
        <v>117.27</v>
      </c>
      <c r="G46" s="138">
        <v>7.0500000000000007E-2</v>
      </c>
      <c r="H46" s="137">
        <v>111.27</v>
      </c>
      <c r="I46" s="138">
        <v>7.2800000000000004E-2</v>
      </c>
      <c r="J46" s="139"/>
    </row>
    <row r="47" spans="1:10" x14ac:dyDescent="0.35">
      <c r="A47" s="133">
        <v>42065</v>
      </c>
      <c r="B47" s="134">
        <v>104.05</v>
      </c>
      <c r="C47" s="135">
        <v>6.7000000000000004E-2</v>
      </c>
      <c r="D47" s="134">
        <v>109.77</v>
      </c>
      <c r="E47" s="135">
        <v>6.8600000000000008E-2</v>
      </c>
      <c r="F47" s="134">
        <v>116.88000000000001</v>
      </c>
      <c r="G47" s="135">
        <v>7.0500000000000007E-2</v>
      </c>
      <c r="H47" s="134">
        <v>110.84</v>
      </c>
      <c r="I47" s="135">
        <v>7.2800000000000004E-2</v>
      </c>
      <c r="J47" s="139"/>
    </row>
    <row r="48" spans="1:10" x14ac:dyDescent="0.35">
      <c r="A48" s="133">
        <v>42066</v>
      </c>
      <c r="B48" s="134">
        <v>104.02</v>
      </c>
      <c r="C48" s="135">
        <v>6.7400000000000002E-2</v>
      </c>
      <c r="D48" s="134">
        <v>109.71</v>
      </c>
      <c r="E48" s="135">
        <v>6.9199999999999998E-2</v>
      </c>
      <c r="F48" s="134">
        <v>116.6</v>
      </c>
      <c r="G48" s="135">
        <v>7.1199999999999999E-2</v>
      </c>
      <c r="H48" s="134">
        <v>110.72</v>
      </c>
      <c r="I48" s="135">
        <v>7.3300000000000004E-2</v>
      </c>
      <c r="J48" s="139"/>
    </row>
    <row r="49" spans="1:10" x14ac:dyDescent="0.35">
      <c r="A49" s="133">
        <v>42067</v>
      </c>
      <c r="B49" s="134">
        <v>103.5</v>
      </c>
      <c r="C49" s="135">
        <v>6.88E-2</v>
      </c>
      <c r="D49" s="134">
        <v>107.91</v>
      </c>
      <c r="E49" s="135">
        <v>7.17E-2</v>
      </c>
      <c r="F49" s="134">
        <v>114.34</v>
      </c>
      <c r="G49" s="135">
        <v>7.350000000000001E-2</v>
      </c>
      <c r="H49" s="134">
        <v>108.21</v>
      </c>
      <c r="I49" s="135">
        <v>7.5600000000000001E-2</v>
      </c>
      <c r="J49" s="139"/>
    </row>
    <row r="50" spans="1:10" x14ac:dyDescent="0.35">
      <c r="A50" s="133">
        <v>42068</v>
      </c>
      <c r="B50" s="134">
        <v>103.42</v>
      </c>
      <c r="C50" s="135">
        <v>6.9100000000000009E-2</v>
      </c>
      <c r="D50" s="134">
        <v>106.93</v>
      </c>
      <c r="E50" s="135">
        <v>7.3200000000000001E-2</v>
      </c>
      <c r="F50" s="134">
        <v>113.46</v>
      </c>
      <c r="G50" s="135">
        <v>7.4400000000000008E-2</v>
      </c>
      <c r="H50" s="134">
        <v>107.17</v>
      </c>
      <c r="I50" s="135">
        <v>7.6600000000000001E-2</v>
      </c>
      <c r="J50" s="139"/>
    </row>
    <row r="51" spans="1:10" x14ac:dyDescent="0.35">
      <c r="A51" s="133">
        <v>42069</v>
      </c>
      <c r="B51" s="134">
        <v>103.45</v>
      </c>
      <c r="C51" s="135">
        <v>6.9000000000000006E-2</v>
      </c>
      <c r="D51" s="134">
        <v>107.17</v>
      </c>
      <c r="E51" s="135">
        <v>7.2800000000000004E-2</v>
      </c>
      <c r="F51" s="134">
        <v>113.34</v>
      </c>
      <c r="G51" s="135">
        <v>7.46E-2</v>
      </c>
      <c r="H51" s="134">
        <v>106.99</v>
      </c>
      <c r="I51" s="135">
        <v>7.6800000000000007E-2</v>
      </c>
      <c r="J51" s="139"/>
    </row>
    <row r="52" spans="1:10" x14ac:dyDescent="0.35">
      <c r="A52" s="136">
        <v>42072</v>
      </c>
      <c r="B52" s="137">
        <v>102.78</v>
      </c>
      <c r="C52" s="138">
        <v>7.0800000000000002E-2</v>
      </c>
      <c r="D52" s="137">
        <v>105.64</v>
      </c>
      <c r="E52" s="138">
        <v>7.51E-2</v>
      </c>
      <c r="F52" s="137">
        <v>111.28</v>
      </c>
      <c r="G52" s="138">
        <v>7.6800000000000007E-2</v>
      </c>
      <c r="H52" s="137">
        <v>105</v>
      </c>
      <c r="I52" s="138">
        <v>7.8700000000000006E-2</v>
      </c>
      <c r="J52" s="139"/>
    </row>
    <row r="53" spans="1:10" x14ac:dyDescent="0.35">
      <c r="A53" s="136">
        <v>42073</v>
      </c>
      <c r="B53" s="137">
        <v>102.73</v>
      </c>
      <c r="C53" s="138">
        <v>7.1000000000000008E-2</v>
      </c>
      <c r="D53" s="137">
        <v>106.46</v>
      </c>
      <c r="E53" s="138">
        <v>7.3900000000000007E-2</v>
      </c>
      <c r="F53" s="137">
        <v>112.23</v>
      </c>
      <c r="G53" s="138">
        <v>7.5700000000000003E-2</v>
      </c>
      <c r="H53" s="137">
        <v>106.52</v>
      </c>
      <c r="I53" s="138">
        <v>7.7200000000000005E-2</v>
      </c>
      <c r="J53" s="139"/>
    </row>
    <row r="54" spans="1:10" x14ac:dyDescent="0.35">
      <c r="A54" s="136">
        <v>42074</v>
      </c>
      <c r="B54" s="137">
        <v>101.75</v>
      </c>
      <c r="C54" s="138">
        <v>7.3700000000000002E-2</v>
      </c>
      <c r="D54" s="137">
        <v>103.91</v>
      </c>
      <c r="E54" s="138">
        <v>7.7700000000000005E-2</v>
      </c>
      <c r="F54" s="137">
        <v>108.28</v>
      </c>
      <c r="G54" s="138">
        <v>8.0100000000000005E-2</v>
      </c>
      <c r="H54" s="137">
        <v>102.07</v>
      </c>
      <c r="I54" s="138">
        <v>8.1600000000000006E-2</v>
      </c>
      <c r="J54" s="139"/>
    </row>
    <row r="55" spans="1:10" x14ac:dyDescent="0.35">
      <c r="A55" s="136">
        <v>42075</v>
      </c>
      <c r="B55" s="137">
        <v>102.17</v>
      </c>
      <c r="C55" s="138">
        <v>7.2500000000000009E-2</v>
      </c>
      <c r="D55" s="137">
        <v>104.76</v>
      </c>
      <c r="E55" s="138">
        <v>7.640000000000001E-2</v>
      </c>
      <c r="F55" s="137">
        <v>109.82</v>
      </c>
      <c r="G55" s="138">
        <v>7.8399999999999997E-2</v>
      </c>
      <c r="H55" s="137">
        <v>103.45</v>
      </c>
      <c r="I55" s="138">
        <v>8.0200000000000007E-2</v>
      </c>
      <c r="J55" s="139"/>
    </row>
    <row r="56" spans="1:10" x14ac:dyDescent="0.35">
      <c r="A56" s="136">
        <v>42076</v>
      </c>
      <c r="B56" s="137">
        <v>102.27</v>
      </c>
      <c r="C56" s="138">
        <v>7.2300000000000003E-2</v>
      </c>
      <c r="D56" s="137">
        <v>106.38</v>
      </c>
      <c r="E56" s="138">
        <v>7.3999999999999996E-2</v>
      </c>
      <c r="F56" s="137">
        <v>111.47</v>
      </c>
      <c r="G56" s="138">
        <v>7.6600000000000001E-2</v>
      </c>
      <c r="H56" s="137">
        <v>106.01</v>
      </c>
      <c r="I56" s="138">
        <v>7.7700000000000005E-2</v>
      </c>
      <c r="J56" s="139"/>
    </row>
    <row r="57" spans="1:10" x14ac:dyDescent="0.35">
      <c r="A57" s="133">
        <v>42079</v>
      </c>
      <c r="B57" s="134">
        <v>102.45</v>
      </c>
      <c r="C57" s="135">
        <v>7.17E-2</v>
      </c>
      <c r="D57" s="134">
        <v>106.82</v>
      </c>
      <c r="E57" s="135">
        <v>7.3300000000000004E-2</v>
      </c>
      <c r="F57" s="134">
        <v>113.09</v>
      </c>
      <c r="G57" s="135">
        <v>7.4800000000000005E-2</v>
      </c>
      <c r="H57" s="134">
        <v>107</v>
      </c>
      <c r="I57" s="135">
        <v>7.6700000000000004E-2</v>
      </c>
      <c r="J57" s="139"/>
    </row>
    <row r="58" spans="1:10" x14ac:dyDescent="0.35">
      <c r="A58" s="133">
        <v>42080</v>
      </c>
      <c r="B58" s="134">
        <v>102.17</v>
      </c>
      <c r="C58" s="135">
        <v>7.2500000000000009E-2</v>
      </c>
      <c r="D58" s="134">
        <v>106.26</v>
      </c>
      <c r="E58" s="135">
        <v>7.4099999999999999E-2</v>
      </c>
      <c r="F58" s="134">
        <v>111.96</v>
      </c>
      <c r="G58" s="135">
        <v>7.5999999999999998E-2</v>
      </c>
      <c r="H58" s="134">
        <v>106.18</v>
      </c>
      <c r="I58" s="135">
        <v>7.7499999999999999E-2</v>
      </c>
      <c r="J58" s="139"/>
    </row>
    <row r="59" spans="1:10" x14ac:dyDescent="0.35">
      <c r="A59" s="133">
        <v>42081</v>
      </c>
      <c r="B59" s="134">
        <v>102.69</v>
      </c>
      <c r="C59" s="135">
        <v>7.1099999999999997E-2</v>
      </c>
      <c r="D59" s="134">
        <v>106.68</v>
      </c>
      <c r="E59" s="135">
        <v>7.350000000000001E-2</v>
      </c>
      <c r="F59" s="134">
        <v>112.78</v>
      </c>
      <c r="G59" s="135">
        <v>7.51E-2</v>
      </c>
      <c r="H59" s="134">
        <v>106.67</v>
      </c>
      <c r="I59" s="135">
        <v>7.7100000000000002E-2</v>
      </c>
      <c r="J59" s="139"/>
    </row>
    <row r="60" spans="1:10" x14ac:dyDescent="0.35">
      <c r="A60" s="133">
        <v>42082</v>
      </c>
      <c r="B60" s="134">
        <v>102.9</v>
      </c>
      <c r="C60" s="135">
        <v>7.0500000000000007E-2</v>
      </c>
      <c r="D60" s="134">
        <v>107.57</v>
      </c>
      <c r="E60" s="135">
        <v>7.22E-2</v>
      </c>
      <c r="F60" s="134">
        <v>113.37</v>
      </c>
      <c r="G60" s="135">
        <v>7.4499999999999997E-2</v>
      </c>
      <c r="H60" s="134">
        <v>107.51</v>
      </c>
      <c r="I60" s="135">
        <v>7.6200000000000004E-2</v>
      </c>
      <c r="J60" s="139"/>
    </row>
    <row r="61" spans="1:10" x14ac:dyDescent="0.35">
      <c r="A61" s="133">
        <v>42083</v>
      </c>
      <c r="B61" s="134">
        <v>102.71</v>
      </c>
      <c r="C61" s="135">
        <v>7.1000000000000008E-2</v>
      </c>
      <c r="D61" s="134">
        <v>107.09</v>
      </c>
      <c r="E61" s="135">
        <v>7.2900000000000006E-2</v>
      </c>
      <c r="F61" s="134">
        <v>113.06</v>
      </c>
      <c r="G61" s="135">
        <v>7.4800000000000005E-2</v>
      </c>
      <c r="H61" s="134">
        <v>107.21</v>
      </c>
      <c r="I61" s="135">
        <v>7.6499999999999999E-2</v>
      </c>
      <c r="J61" s="139"/>
    </row>
    <row r="62" spans="1:10" x14ac:dyDescent="0.35">
      <c r="A62" s="136">
        <v>42086</v>
      </c>
      <c r="B62" s="137">
        <v>102.62</v>
      </c>
      <c r="C62" s="138">
        <v>7.1199999999999999E-2</v>
      </c>
      <c r="D62" s="137">
        <v>106.39</v>
      </c>
      <c r="E62" s="138">
        <v>7.3900000000000007E-2</v>
      </c>
      <c r="F62" s="137">
        <v>112.27</v>
      </c>
      <c r="G62" s="138">
        <v>7.5700000000000003E-2</v>
      </c>
      <c r="H62" s="137">
        <v>106.46</v>
      </c>
      <c r="I62" s="138">
        <v>7.7300000000000008E-2</v>
      </c>
      <c r="J62" s="139"/>
    </row>
    <row r="63" spans="1:10" x14ac:dyDescent="0.35">
      <c r="A63" s="136">
        <v>42087</v>
      </c>
      <c r="B63" s="137">
        <v>103.18</v>
      </c>
      <c r="C63" s="138">
        <v>6.9600000000000009E-2</v>
      </c>
      <c r="D63" s="137">
        <v>107.72</v>
      </c>
      <c r="E63" s="138">
        <v>7.2000000000000008E-2</v>
      </c>
      <c r="F63" s="137">
        <v>113.96</v>
      </c>
      <c r="G63" s="138">
        <v>7.3900000000000007E-2</v>
      </c>
      <c r="H63" s="137">
        <v>108.08</v>
      </c>
      <c r="I63" s="138">
        <v>7.5700000000000003E-2</v>
      </c>
      <c r="J63" s="139"/>
    </row>
    <row r="64" spans="1:10" x14ac:dyDescent="0.35">
      <c r="A64" s="136">
        <v>42088</v>
      </c>
      <c r="B64" s="137">
        <v>103.12</v>
      </c>
      <c r="C64" s="138">
        <v>6.9800000000000001E-2</v>
      </c>
      <c r="D64" s="137">
        <v>107.77</v>
      </c>
      <c r="E64" s="138">
        <v>7.1900000000000006E-2</v>
      </c>
      <c r="F64" s="137">
        <v>114.15</v>
      </c>
      <c r="G64" s="138">
        <v>7.3700000000000002E-2</v>
      </c>
      <c r="H64" s="137">
        <v>108.2</v>
      </c>
      <c r="I64" s="138">
        <v>7.5600000000000001E-2</v>
      </c>
      <c r="J64" s="139"/>
    </row>
    <row r="65" spans="1:10" x14ac:dyDescent="0.35">
      <c r="A65" s="136">
        <v>42089</v>
      </c>
      <c r="B65" s="137">
        <v>102.94</v>
      </c>
      <c r="C65" s="138">
        <v>7.0300000000000001E-2</v>
      </c>
      <c r="D65" s="137">
        <v>107.2</v>
      </c>
      <c r="E65" s="138">
        <v>7.2700000000000001E-2</v>
      </c>
      <c r="F65" s="137">
        <v>113.69</v>
      </c>
      <c r="G65" s="138">
        <v>7.4099999999999999E-2</v>
      </c>
      <c r="H65" s="137">
        <v>107.51</v>
      </c>
      <c r="I65" s="138">
        <v>7.6200000000000004E-2</v>
      </c>
      <c r="J65" s="139"/>
    </row>
    <row r="66" spans="1:10" x14ac:dyDescent="0.35">
      <c r="A66" s="136">
        <v>42090</v>
      </c>
      <c r="B66" s="137">
        <v>102.88</v>
      </c>
      <c r="C66" s="138">
        <v>7.6200000000000004E-2</v>
      </c>
      <c r="D66" s="137">
        <v>106.96</v>
      </c>
      <c r="E66" s="138">
        <v>7.6200000000000004E-2</v>
      </c>
      <c r="F66" s="137">
        <v>113.32</v>
      </c>
      <c r="G66" s="138">
        <v>7.6200000000000004E-2</v>
      </c>
      <c r="H66" s="137">
        <v>107.04</v>
      </c>
      <c r="I66" s="138">
        <v>7.6200000000000004E-2</v>
      </c>
      <c r="J66" s="139"/>
    </row>
    <row r="67" spans="1:10" x14ac:dyDescent="0.35">
      <c r="A67" s="133">
        <v>42093</v>
      </c>
      <c r="B67" s="134">
        <v>102.99</v>
      </c>
      <c r="C67" s="135">
        <v>7.0199999999999999E-2</v>
      </c>
      <c r="D67" s="134">
        <v>106.69</v>
      </c>
      <c r="E67" s="135">
        <v>7.350000000000001E-2</v>
      </c>
      <c r="F67" s="134">
        <v>112.75</v>
      </c>
      <c r="G67" s="135">
        <v>7.51E-2</v>
      </c>
      <c r="H67" s="134">
        <v>106.54</v>
      </c>
      <c r="I67" s="135">
        <v>7.7200000000000005E-2</v>
      </c>
      <c r="J67" s="139"/>
    </row>
    <row r="68" spans="1:10" x14ac:dyDescent="0.35">
      <c r="A68" s="133">
        <v>42094</v>
      </c>
      <c r="B68" s="134">
        <v>102.48</v>
      </c>
      <c r="C68" s="135">
        <v>7.1599999999999997E-2</v>
      </c>
      <c r="D68" s="134">
        <v>106.28</v>
      </c>
      <c r="E68" s="135">
        <v>7.4099999999999999E-2</v>
      </c>
      <c r="F68" s="134">
        <v>112.57</v>
      </c>
      <c r="G68" s="135">
        <v>7.5300000000000006E-2</v>
      </c>
      <c r="H68" s="134">
        <v>106.26</v>
      </c>
      <c r="I68" s="135">
        <v>7.7399999999999997E-2</v>
      </c>
      <c r="J68" s="139"/>
    </row>
    <row r="69" spans="1:10" x14ac:dyDescent="0.35">
      <c r="A69" s="133">
        <v>42095</v>
      </c>
      <c r="B69" s="134">
        <v>102.52</v>
      </c>
      <c r="C69" s="135">
        <v>7.1500000000000008E-2</v>
      </c>
      <c r="D69" s="134">
        <v>106.82</v>
      </c>
      <c r="E69" s="135">
        <v>7.3300000000000004E-2</v>
      </c>
      <c r="F69" s="134">
        <v>112.95</v>
      </c>
      <c r="G69" s="135">
        <v>7.4900000000000008E-2</v>
      </c>
      <c r="H69" s="134">
        <v>106.81</v>
      </c>
      <c r="I69" s="135">
        <v>7.6899999999999996E-2</v>
      </c>
      <c r="J69" s="139"/>
    </row>
    <row r="70" spans="1:10" x14ac:dyDescent="0.35">
      <c r="A70" s="133">
        <v>42096</v>
      </c>
      <c r="B70" s="134">
        <v>102.47</v>
      </c>
      <c r="C70" s="135">
        <v>7.1599999999999997E-2</v>
      </c>
      <c r="D70" s="134">
        <v>106.7</v>
      </c>
      <c r="E70" s="135">
        <v>7.3400000000000007E-2</v>
      </c>
      <c r="F70" s="134">
        <v>112.93</v>
      </c>
      <c r="G70" s="135">
        <v>7.4900000000000008E-2</v>
      </c>
      <c r="H70" s="134">
        <v>106.77</v>
      </c>
      <c r="I70" s="135">
        <v>7.6899999999999996E-2</v>
      </c>
      <c r="J70" s="139"/>
    </row>
    <row r="71" spans="1:10" x14ac:dyDescent="0.35">
      <c r="A71" s="133">
        <v>42100</v>
      </c>
      <c r="B71" s="134">
        <v>102.62</v>
      </c>
      <c r="C71" s="135">
        <v>7.1199999999999999E-2</v>
      </c>
      <c r="D71" s="134">
        <v>107.49</v>
      </c>
      <c r="E71" s="135">
        <v>7.2300000000000003E-2</v>
      </c>
      <c r="F71" s="134">
        <v>113.14</v>
      </c>
      <c r="G71" s="135">
        <v>7.4700000000000003E-2</v>
      </c>
      <c r="H71" s="134">
        <v>107.52</v>
      </c>
      <c r="I71" s="135">
        <v>7.6200000000000004E-2</v>
      </c>
      <c r="J71" s="139"/>
    </row>
    <row r="72" spans="1:10" x14ac:dyDescent="0.35">
      <c r="A72" s="136">
        <v>42101</v>
      </c>
      <c r="B72" s="137">
        <v>102.43</v>
      </c>
      <c r="C72" s="138">
        <v>7.17E-2</v>
      </c>
      <c r="D72" s="137">
        <v>107.08</v>
      </c>
      <c r="E72" s="138">
        <v>7.2900000000000006E-2</v>
      </c>
      <c r="F72" s="137">
        <v>113.2</v>
      </c>
      <c r="G72" s="138">
        <v>7.46E-2</v>
      </c>
      <c r="H72" s="137">
        <v>106.99</v>
      </c>
      <c r="I72" s="138">
        <v>7.6700000000000004E-2</v>
      </c>
      <c r="J72" s="139"/>
    </row>
    <row r="73" spans="1:10" x14ac:dyDescent="0.35">
      <c r="A73" s="136">
        <v>42102</v>
      </c>
      <c r="B73" s="137">
        <v>102.44</v>
      </c>
      <c r="C73" s="138">
        <v>7.17E-2</v>
      </c>
      <c r="D73" s="137">
        <v>107.14</v>
      </c>
      <c r="E73" s="138">
        <v>7.2800000000000004E-2</v>
      </c>
      <c r="F73" s="137">
        <v>113.05</v>
      </c>
      <c r="G73" s="138">
        <v>7.4800000000000005E-2</v>
      </c>
      <c r="H73" s="137">
        <v>107.06</v>
      </c>
      <c r="I73" s="138">
        <v>7.6700000000000004E-2</v>
      </c>
      <c r="J73" s="139"/>
    </row>
    <row r="74" spans="1:10" x14ac:dyDescent="0.35">
      <c r="A74" s="136">
        <v>42103</v>
      </c>
      <c r="B74" s="137">
        <v>102.39</v>
      </c>
      <c r="C74" s="138">
        <v>7.1800000000000003E-2</v>
      </c>
      <c r="D74" s="137">
        <v>107.24</v>
      </c>
      <c r="E74" s="138">
        <v>7.2599999999999998E-2</v>
      </c>
      <c r="F74" s="137">
        <v>113.19</v>
      </c>
      <c r="G74" s="138">
        <v>7.46E-2</v>
      </c>
      <c r="H74" s="137">
        <v>107.25</v>
      </c>
      <c r="I74" s="138">
        <v>7.6499999999999999E-2</v>
      </c>
      <c r="J74" s="139"/>
    </row>
    <row r="75" spans="1:10" x14ac:dyDescent="0.35">
      <c r="A75" s="136">
        <v>42104</v>
      </c>
      <c r="B75" s="137">
        <v>102.48</v>
      </c>
      <c r="C75" s="138">
        <v>7.1599999999999997E-2</v>
      </c>
      <c r="D75" s="137">
        <v>107.52</v>
      </c>
      <c r="E75" s="138">
        <v>7.22E-2</v>
      </c>
      <c r="F75" s="137">
        <v>113.55</v>
      </c>
      <c r="G75" s="138">
        <v>7.4300000000000005E-2</v>
      </c>
      <c r="H75" s="137">
        <v>107.5</v>
      </c>
      <c r="I75" s="138">
        <v>7.6200000000000004E-2</v>
      </c>
      <c r="J75" s="139"/>
    </row>
    <row r="76" spans="1:10" x14ac:dyDescent="0.35">
      <c r="A76" s="136">
        <v>42107</v>
      </c>
      <c r="B76" s="137">
        <v>102.5</v>
      </c>
      <c r="C76" s="138">
        <v>7.1500000000000008E-2</v>
      </c>
      <c r="D76" s="137">
        <v>107.68</v>
      </c>
      <c r="E76" s="138">
        <v>7.2000000000000008E-2</v>
      </c>
      <c r="F76" s="137">
        <v>113.64</v>
      </c>
      <c r="G76" s="138">
        <v>7.4200000000000002E-2</v>
      </c>
      <c r="H76" s="137">
        <v>107.75</v>
      </c>
      <c r="I76" s="138">
        <v>7.5999999999999998E-2</v>
      </c>
      <c r="J76" s="139"/>
    </row>
    <row r="77" spans="1:10" x14ac:dyDescent="0.35">
      <c r="A77" s="133">
        <v>42108</v>
      </c>
      <c r="B77" s="134">
        <v>102.43</v>
      </c>
      <c r="C77" s="135">
        <v>7.17E-2</v>
      </c>
      <c r="D77" s="134">
        <v>107.46</v>
      </c>
      <c r="E77" s="135">
        <v>7.2300000000000003E-2</v>
      </c>
      <c r="F77" s="134">
        <v>113.3</v>
      </c>
      <c r="G77" s="135">
        <v>7.4499999999999997E-2</v>
      </c>
      <c r="H77" s="134">
        <v>107.41</v>
      </c>
      <c r="I77" s="135">
        <v>7.6300000000000007E-2</v>
      </c>
      <c r="J77" s="139"/>
    </row>
    <row r="78" spans="1:10" x14ac:dyDescent="0.35">
      <c r="A78" s="133">
        <v>42109</v>
      </c>
      <c r="B78" s="134">
        <v>102.18</v>
      </c>
      <c r="C78" s="135">
        <v>7.2400000000000006E-2</v>
      </c>
      <c r="D78" s="134">
        <v>106.74</v>
      </c>
      <c r="E78" s="135">
        <v>7.3300000000000004E-2</v>
      </c>
      <c r="F78" s="134">
        <v>112.78</v>
      </c>
      <c r="G78" s="135">
        <v>7.51E-2</v>
      </c>
      <c r="H78" s="134">
        <v>106.78</v>
      </c>
      <c r="I78" s="135">
        <v>7.6899999999999996E-2</v>
      </c>
      <c r="J78" s="139"/>
    </row>
    <row r="79" spans="1:10" x14ac:dyDescent="0.35">
      <c r="A79" s="133">
        <v>42110</v>
      </c>
      <c r="B79" s="134">
        <v>102.13</v>
      </c>
      <c r="C79" s="135">
        <v>7.2599999999999998E-2</v>
      </c>
      <c r="D79" s="134">
        <v>106.5</v>
      </c>
      <c r="E79" s="135">
        <v>7.3700000000000002E-2</v>
      </c>
      <c r="F79" s="134">
        <v>112.53</v>
      </c>
      <c r="G79" s="135">
        <v>7.5300000000000006E-2</v>
      </c>
      <c r="H79" s="134">
        <v>106.6</v>
      </c>
      <c r="I79" s="135">
        <v>7.7100000000000002E-2</v>
      </c>
      <c r="J79" s="139"/>
    </row>
    <row r="80" spans="1:10" x14ac:dyDescent="0.35">
      <c r="A80" s="133">
        <v>42111</v>
      </c>
      <c r="B80" s="134">
        <v>101.54</v>
      </c>
      <c r="C80" s="135">
        <v>7.4300000000000005E-2</v>
      </c>
      <c r="D80" s="134">
        <v>105.5</v>
      </c>
      <c r="E80" s="135">
        <v>7.5200000000000003E-2</v>
      </c>
      <c r="F80" s="134">
        <v>111.47</v>
      </c>
      <c r="G80" s="135">
        <v>7.6499999999999999E-2</v>
      </c>
      <c r="H80" s="134">
        <v>105.39</v>
      </c>
      <c r="I80" s="135">
        <v>7.8300000000000008E-2</v>
      </c>
      <c r="J80" s="139"/>
    </row>
    <row r="81" spans="1:10" x14ac:dyDescent="0.35">
      <c r="A81" s="133">
        <v>42114</v>
      </c>
      <c r="B81" s="134">
        <v>101.62</v>
      </c>
      <c r="C81" s="135">
        <v>7.3999999999999996E-2</v>
      </c>
      <c r="D81" s="134">
        <v>105.72</v>
      </c>
      <c r="E81" s="135">
        <v>7.4900000000000008E-2</v>
      </c>
      <c r="F81" s="134">
        <v>111.52</v>
      </c>
      <c r="G81" s="135">
        <v>7.640000000000001E-2</v>
      </c>
      <c r="H81" s="134">
        <v>105.51</v>
      </c>
      <c r="I81" s="135">
        <v>7.8200000000000006E-2</v>
      </c>
      <c r="J81" s="139"/>
    </row>
    <row r="82" spans="1:10" x14ac:dyDescent="0.35">
      <c r="A82" s="136">
        <v>42115</v>
      </c>
      <c r="B82" s="137">
        <v>101.55</v>
      </c>
      <c r="C82" s="138">
        <v>7.4200000000000002E-2</v>
      </c>
      <c r="D82" s="137">
        <v>105.64</v>
      </c>
      <c r="E82" s="138">
        <v>7.4999999999999997E-2</v>
      </c>
      <c r="F82" s="137">
        <v>111.49</v>
      </c>
      <c r="G82" s="138">
        <v>7.6499999999999999E-2</v>
      </c>
      <c r="H82" s="137">
        <v>105.49</v>
      </c>
      <c r="I82" s="138">
        <v>7.8200000000000006E-2</v>
      </c>
      <c r="J82" s="139"/>
    </row>
    <row r="83" spans="1:10" x14ac:dyDescent="0.35">
      <c r="A83" s="136">
        <v>42116</v>
      </c>
      <c r="B83" s="137">
        <v>101.54</v>
      </c>
      <c r="C83" s="138">
        <v>7.4200000000000002E-2</v>
      </c>
      <c r="D83" s="137">
        <v>105.83</v>
      </c>
      <c r="E83" s="138">
        <v>7.4700000000000003E-2</v>
      </c>
      <c r="F83" s="137">
        <v>111.52</v>
      </c>
      <c r="G83" s="138">
        <v>7.640000000000001E-2</v>
      </c>
      <c r="H83" s="137">
        <v>105.63</v>
      </c>
      <c r="I83" s="138">
        <v>7.8E-2</v>
      </c>
      <c r="J83" s="139"/>
    </row>
    <row r="84" spans="1:10" x14ac:dyDescent="0.35">
      <c r="A84" s="136">
        <v>42117</v>
      </c>
      <c r="B84" s="137">
        <v>101.53</v>
      </c>
      <c r="C84" s="138">
        <v>7.4300000000000005E-2</v>
      </c>
      <c r="D84" s="137">
        <v>105.72</v>
      </c>
      <c r="E84" s="138">
        <v>7.4900000000000008E-2</v>
      </c>
      <c r="F84" s="137">
        <v>111.37</v>
      </c>
      <c r="G84" s="138">
        <v>7.6600000000000001E-2</v>
      </c>
      <c r="H84" s="137">
        <v>105.52</v>
      </c>
      <c r="I84" s="138">
        <v>7.8100000000000003E-2</v>
      </c>
      <c r="J84" s="139"/>
    </row>
    <row r="85" spans="1:10" x14ac:dyDescent="0.35">
      <c r="A85" s="136">
        <v>42118</v>
      </c>
      <c r="B85" s="137">
        <v>101.52</v>
      </c>
      <c r="C85" s="138">
        <v>7.4300000000000005E-2</v>
      </c>
      <c r="D85" s="137">
        <v>105.7</v>
      </c>
      <c r="E85" s="138">
        <v>7.4900000000000008E-2</v>
      </c>
      <c r="F85" s="137">
        <v>111.09</v>
      </c>
      <c r="G85" s="138">
        <v>7.6899999999999996E-2</v>
      </c>
      <c r="H85" s="137">
        <v>104.98</v>
      </c>
      <c r="I85" s="138">
        <v>7.8700000000000006E-2</v>
      </c>
      <c r="J85" s="139"/>
    </row>
    <row r="86" spans="1:10" x14ac:dyDescent="0.35">
      <c r="A86" s="136">
        <v>42121</v>
      </c>
      <c r="B86" s="137">
        <v>101.45</v>
      </c>
      <c r="C86" s="138">
        <v>7.4499999999999997E-2</v>
      </c>
      <c r="D86" s="137">
        <v>105.57</v>
      </c>
      <c r="E86" s="138">
        <v>7.51E-2</v>
      </c>
      <c r="F86" s="137">
        <v>110.79</v>
      </c>
      <c r="G86" s="138">
        <v>7.7200000000000005E-2</v>
      </c>
      <c r="H86" s="137">
        <v>104.93</v>
      </c>
      <c r="I86" s="138">
        <v>7.8700000000000006E-2</v>
      </c>
      <c r="J86" s="139"/>
    </row>
    <row r="87" spans="1:10" x14ac:dyDescent="0.35">
      <c r="A87" s="133">
        <v>42122</v>
      </c>
      <c r="B87" s="134">
        <v>101.02</v>
      </c>
      <c r="C87" s="135">
        <v>7.5800000000000006E-2</v>
      </c>
      <c r="D87" s="134">
        <v>104.28</v>
      </c>
      <c r="E87" s="135">
        <v>7.6999999999999999E-2</v>
      </c>
      <c r="F87" s="134">
        <v>109.16</v>
      </c>
      <c r="G87" s="135">
        <v>7.9000000000000001E-2</v>
      </c>
      <c r="H87" s="134">
        <v>103.26</v>
      </c>
      <c r="I87" s="135">
        <v>8.0399999999999999E-2</v>
      </c>
      <c r="J87" s="139"/>
    </row>
    <row r="88" spans="1:10" x14ac:dyDescent="0.35">
      <c r="A88" s="133">
        <v>42123</v>
      </c>
      <c r="B88" s="134">
        <v>100.9</v>
      </c>
      <c r="C88" s="135">
        <v>7.6100000000000001E-2</v>
      </c>
      <c r="D88" s="134">
        <v>104.17</v>
      </c>
      <c r="E88" s="135">
        <v>7.7200000000000005E-2</v>
      </c>
      <c r="F88" s="134">
        <v>108.86</v>
      </c>
      <c r="G88" s="135">
        <v>7.9399999999999998E-2</v>
      </c>
      <c r="H88" s="134">
        <v>102.97</v>
      </c>
      <c r="I88" s="135">
        <v>8.0700000000000008E-2</v>
      </c>
      <c r="J88" s="139"/>
    </row>
    <row r="89" spans="1:10" x14ac:dyDescent="0.35">
      <c r="A89" s="133">
        <v>42124</v>
      </c>
      <c r="B89" s="134">
        <v>100.81</v>
      </c>
      <c r="C89" s="135">
        <v>7.640000000000001E-2</v>
      </c>
      <c r="D89" s="134">
        <v>104.31</v>
      </c>
      <c r="E89" s="135">
        <v>7.6999999999999999E-2</v>
      </c>
      <c r="F89" s="134">
        <v>109.04</v>
      </c>
      <c r="G89" s="135">
        <v>7.9200000000000007E-2</v>
      </c>
      <c r="H89" s="134">
        <v>103.06</v>
      </c>
      <c r="I89" s="135">
        <v>8.0600000000000005E-2</v>
      </c>
      <c r="J89" s="139"/>
    </row>
    <row r="90" spans="1:10" x14ac:dyDescent="0.35">
      <c r="A90" s="133">
        <v>42128</v>
      </c>
      <c r="B90" s="134">
        <v>100.8</v>
      </c>
      <c r="C90" s="135">
        <v>7.640000000000001E-2</v>
      </c>
      <c r="D90" s="134">
        <v>104.2</v>
      </c>
      <c r="E90" s="135">
        <v>7.7100000000000002E-2</v>
      </c>
      <c r="F90" s="134">
        <v>109.03</v>
      </c>
      <c r="G90" s="135">
        <v>7.9200000000000007E-2</v>
      </c>
      <c r="H90" s="134">
        <v>103.12</v>
      </c>
      <c r="I90" s="135">
        <v>8.0500000000000002E-2</v>
      </c>
      <c r="J90" s="139"/>
    </row>
    <row r="91" spans="1:10" x14ac:dyDescent="0.35">
      <c r="A91" s="133">
        <v>42129</v>
      </c>
      <c r="B91" s="134">
        <v>100.82</v>
      </c>
      <c r="C91" s="135">
        <v>7.6300000000000007E-2</v>
      </c>
      <c r="D91" s="134">
        <v>103.99</v>
      </c>
      <c r="E91" s="135">
        <v>7.7499999999999999E-2</v>
      </c>
      <c r="F91" s="134">
        <v>108.85</v>
      </c>
      <c r="G91" s="135">
        <v>7.9399999999999998E-2</v>
      </c>
      <c r="H91" s="134">
        <v>102.77</v>
      </c>
      <c r="I91" s="135">
        <v>8.09E-2</v>
      </c>
      <c r="J91" s="139"/>
    </row>
    <row r="92" spans="1:10" x14ac:dyDescent="0.35">
      <c r="A92" s="136">
        <v>42130</v>
      </c>
      <c r="B92" s="137">
        <v>100.47</v>
      </c>
      <c r="C92" s="138">
        <v>7.7399999999999997E-2</v>
      </c>
      <c r="D92" s="137">
        <v>102.62</v>
      </c>
      <c r="E92" s="138">
        <v>7.9600000000000004E-2</v>
      </c>
      <c r="F92" s="137">
        <v>106.91</v>
      </c>
      <c r="G92" s="138">
        <v>8.1600000000000006E-2</v>
      </c>
      <c r="H92" s="137">
        <v>100.47</v>
      </c>
      <c r="I92" s="138">
        <v>8.3299999999999999E-2</v>
      </c>
      <c r="J92" s="139"/>
    </row>
    <row r="93" spans="1:10" x14ac:dyDescent="0.35">
      <c r="A93" s="136">
        <v>42131</v>
      </c>
      <c r="B93" s="137">
        <v>100.24</v>
      </c>
      <c r="C93" s="138">
        <v>7.8100000000000003E-2</v>
      </c>
      <c r="D93" s="137">
        <v>102.1</v>
      </c>
      <c r="E93" s="138">
        <v>8.0399999999999999E-2</v>
      </c>
      <c r="F93" s="137">
        <v>105.72</v>
      </c>
      <c r="G93" s="138">
        <v>8.3000000000000004E-2</v>
      </c>
      <c r="H93" s="137">
        <v>99.84</v>
      </c>
      <c r="I93" s="138">
        <v>8.4000000000000005E-2</v>
      </c>
      <c r="J93" s="139"/>
    </row>
    <row r="94" spans="1:10" x14ac:dyDescent="0.35">
      <c r="A94" s="136">
        <v>42132</v>
      </c>
      <c r="B94" s="137">
        <v>99.95</v>
      </c>
      <c r="C94" s="138">
        <v>7.8899999999999998E-2</v>
      </c>
      <c r="D94" s="137">
        <v>101.01</v>
      </c>
      <c r="E94" s="138">
        <v>8.2100000000000006E-2</v>
      </c>
      <c r="F94" s="137">
        <v>104.42</v>
      </c>
      <c r="G94" s="138">
        <v>8.4600000000000009E-2</v>
      </c>
      <c r="H94" s="137">
        <v>98.13</v>
      </c>
      <c r="I94" s="138">
        <v>8.5800000000000001E-2</v>
      </c>
      <c r="J94" s="139"/>
    </row>
    <row r="95" spans="1:10" x14ac:dyDescent="0.35">
      <c r="A95" s="136">
        <v>42135</v>
      </c>
      <c r="B95" s="137">
        <v>100.1</v>
      </c>
      <c r="C95" s="138">
        <v>7.85E-2</v>
      </c>
      <c r="D95" s="137">
        <v>101.46</v>
      </c>
      <c r="E95" s="138">
        <v>8.14E-2</v>
      </c>
      <c r="F95" s="137">
        <v>105.66</v>
      </c>
      <c r="G95" s="138">
        <v>8.3100000000000007E-2</v>
      </c>
      <c r="H95" s="137">
        <v>98.98</v>
      </c>
      <c r="I95" s="138">
        <v>8.4900000000000003E-2</v>
      </c>
      <c r="J95" s="139"/>
    </row>
    <row r="96" spans="1:10" x14ac:dyDescent="0.35">
      <c r="A96" s="136">
        <v>42136</v>
      </c>
      <c r="B96" s="137">
        <v>99.98</v>
      </c>
      <c r="C96" s="138">
        <v>7.8800000000000009E-2</v>
      </c>
      <c r="D96" s="137">
        <v>100.72</v>
      </c>
      <c r="E96" s="138">
        <v>8.2600000000000007E-2</v>
      </c>
      <c r="F96" s="137">
        <v>104.7</v>
      </c>
      <c r="G96" s="138">
        <v>8.4199999999999997E-2</v>
      </c>
      <c r="H96" s="137">
        <v>98.05</v>
      </c>
      <c r="I96" s="138">
        <v>8.5900000000000004E-2</v>
      </c>
      <c r="J96" s="139"/>
    </row>
    <row r="97" spans="1:10" x14ac:dyDescent="0.35">
      <c r="A97" s="133">
        <v>42137</v>
      </c>
      <c r="B97" s="134">
        <v>100.09</v>
      </c>
      <c r="C97" s="135">
        <v>7.85E-2</v>
      </c>
      <c r="D97" s="134">
        <v>101.87</v>
      </c>
      <c r="E97" s="135">
        <v>8.0799999999999997E-2</v>
      </c>
      <c r="F97" s="134">
        <v>105.88</v>
      </c>
      <c r="G97" s="135">
        <v>8.2799999999999999E-2</v>
      </c>
      <c r="H97" s="134">
        <v>99.5</v>
      </c>
      <c r="I97" s="135">
        <v>8.43E-2</v>
      </c>
      <c r="J97" s="139"/>
    </row>
    <row r="98" spans="1:10" x14ac:dyDescent="0.35">
      <c r="A98" s="133">
        <v>42139</v>
      </c>
      <c r="B98" s="134">
        <v>100.61</v>
      </c>
      <c r="C98" s="135">
        <v>7.6899999999999996E-2</v>
      </c>
      <c r="D98" s="134">
        <v>102.68</v>
      </c>
      <c r="E98" s="135">
        <v>7.9500000000000001E-2</v>
      </c>
      <c r="F98" s="134">
        <v>107.3</v>
      </c>
      <c r="G98" s="135">
        <v>8.1100000000000005E-2</v>
      </c>
      <c r="H98" s="134">
        <v>101.45</v>
      </c>
      <c r="I98" s="135">
        <v>8.2299999999999998E-2</v>
      </c>
      <c r="J98" s="139"/>
    </row>
    <row r="99" spans="1:10" x14ac:dyDescent="0.35">
      <c r="A99" s="133">
        <v>42142</v>
      </c>
      <c r="B99" s="134">
        <v>100.89</v>
      </c>
      <c r="C99" s="135">
        <v>7.6100000000000001E-2</v>
      </c>
      <c r="D99" s="134">
        <v>102.64</v>
      </c>
      <c r="E99" s="135">
        <v>7.9500000000000001E-2</v>
      </c>
      <c r="F99" s="134">
        <v>107.25</v>
      </c>
      <c r="G99" s="135">
        <v>8.1200000000000008E-2</v>
      </c>
      <c r="H99" s="134">
        <v>101.46</v>
      </c>
      <c r="I99" s="135">
        <v>8.2200000000000009E-2</v>
      </c>
      <c r="J99" s="139"/>
    </row>
    <row r="100" spans="1:10" x14ac:dyDescent="0.35">
      <c r="A100" s="133">
        <v>42143</v>
      </c>
      <c r="B100" s="134">
        <v>100.55</v>
      </c>
      <c r="C100" s="135">
        <v>7.7100000000000002E-2</v>
      </c>
      <c r="D100" s="134">
        <v>102.03</v>
      </c>
      <c r="E100" s="135">
        <v>8.0500000000000002E-2</v>
      </c>
      <c r="F100" s="134">
        <v>106.45</v>
      </c>
      <c r="G100" s="135">
        <v>8.2100000000000006E-2</v>
      </c>
      <c r="H100" s="134">
        <v>100.57</v>
      </c>
      <c r="I100" s="135">
        <v>8.3199999999999996E-2</v>
      </c>
      <c r="J100" s="139"/>
    </row>
    <row r="101" spans="1:10" x14ac:dyDescent="0.35">
      <c r="A101" s="133">
        <v>42144</v>
      </c>
      <c r="B101" s="134">
        <v>100.37</v>
      </c>
      <c r="C101" s="135">
        <v>7.7600000000000002E-2</v>
      </c>
      <c r="D101" s="134">
        <v>102.21</v>
      </c>
      <c r="E101" s="135">
        <v>8.0200000000000007E-2</v>
      </c>
      <c r="F101" s="134">
        <v>106.6</v>
      </c>
      <c r="G101" s="135">
        <v>8.2000000000000003E-2</v>
      </c>
      <c r="H101" s="134">
        <v>100.75</v>
      </c>
      <c r="I101" s="135">
        <v>8.3000000000000004E-2</v>
      </c>
      <c r="J101" s="139"/>
    </row>
    <row r="102" spans="1:10" x14ac:dyDescent="0.35">
      <c r="A102" s="136">
        <v>42145</v>
      </c>
      <c r="B102" s="137">
        <v>100.15</v>
      </c>
      <c r="C102" s="138">
        <v>7.8300000000000008E-2</v>
      </c>
      <c r="D102" s="137">
        <v>101.82</v>
      </c>
      <c r="E102" s="138">
        <v>8.0799999999999997E-2</v>
      </c>
      <c r="F102" s="137">
        <v>106.16</v>
      </c>
      <c r="G102" s="138">
        <v>8.2500000000000004E-2</v>
      </c>
      <c r="H102" s="137">
        <v>100.09</v>
      </c>
      <c r="I102" s="138">
        <v>8.3699999999999997E-2</v>
      </c>
      <c r="J102" s="139"/>
    </row>
    <row r="103" spans="1:10" x14ac:dyDescent="0.35">
      <c r="A103" s="136">
        <v>42146</v>
      </c>
      <c r="B103" s="137">
        <v>100.34</v>
      </c>
      <c r="C103" s="138">
        <v>7.7700000000000005E-2</v>
      </c>
      <c r="D103" s="137">
        <v>102.22</v>
      </c>
      <c r="E103" s="138">
        <v>8.0200000000000007E-2</v>
      </c>
      <c r="F103" s="137">
        <v>106.62</v>
      </c>
      <c r="G103" s="138">
        <v>8.1900000000000001E-2</v>
      </c>
      <c r="H103" s="137">
        <v>100.74</v>
      </c>
      <c r="I103" s="138">
        <v>8.3000000000000004E-2</v>
      </c>
      <c r="J103" s="139"/>
    </row>
    <row r="104" spans="1:10" x14ac:dyDescent="0.35">
      <c r="A104" s="136">
        <v>42149</v>
      </c>
      <c r="B104" s="137">
        <v>100.15</v>
      </c>
      <c r="C104" s="138">
        <v>7.8300000000000008E-2</v>
      </c>
      <c r="D104" s="137">
        <v>101.89</v>
      </c>
      <c r="E104" s="138">
        <v>8.0700000000000008E-2</v>
      </c>
      <c r="F104" s="137">
        <v>106.33</v>
      </c>
      <c r="G104" s="138">
        <v>8.2299999999999998E-2</v>
      </c>
      <c r="H104" s="137">
        <v>100.54</v>
      </c>
      <c r="I104" s="138">
        <v>8.3199999999999996E-2</v>
      </c>
      <c r="J104" s="139"/>
    </row>
    <row r="105" spans="1:10" x14ac:dyDescent="0.35">
      <c r="A105" s="136">
        <v>42150</v>
      </c>
      <c r="B105" s="137">
        <v>100.02</v>
      </c>
      <c r="C105" s="138">
        <v>7.8700000000000006E-2</v>
      </c>
      <c r="D105" s="137">
        <v>101.48</v>
      </c>
      <c r="E105" s="138">
        <v>8.14E-2</v>
      </c>
      <c r="F105" s="137">
        <v>105.95</v>
      </c>
      <c r="G105" s="138">
        <v>8.270000000000001E-2</v>
      </c>
      <c r="H105" s="137">
        <v>100.45</v>
      </c>
      <c r="I105" s="138">
        <v>8.3299999999999999E-2</v>
      </c>
      <c r="J105" s="139"/>
    </row>
    <row r="106" spans="1:10" x14ac:dyDescent="0.35">
      <c r="A106" s="136">
        <v>42151</v>
      </c>
      <c r="B106" s="137">
        <v>99.92</v>
      </c>
      <c r="C106" s="138">
        <v>7.9000000000000001E-2</v>
      </c>
      <c r="D106" s="137">
        <v>101.71</v>
      </c>
      <c r="E106" s="138">
        <v>8.1000000000000003E-2</v>
      </c>
      <c r="F106" s="137">
        <v>105.89</v>
      </c>
      <c r="G106" s="138">
        <v>8.2799999999999999E-2</v>
      </c>
      <c r="H106" s="137">
        <v>100.26</v>
      </c>
      <c r="I106" s="138">
        <v>8.3500000000000005E-2</v>
      </c>
      <c r="J106" s="139"/>
    </row>
    <row r="107" spans="1:10" x14ac:dyDescent="0.35">
      <c r="A107" s="133">
        <v>42152</v>
      </c>
      <c r="B107" s="134">
        <v>99.95</v>
      </c>
      <c r="C107" s="135">
        <v>7.8899999999999998E-2</v>
      </c>
      <c r="D107" s="134">
        <v>101.7</v>
      </c>
      <c r="E107" s="135">
        <v>8.1000000000000003E-2</v>
      </c>
      <c r="F107" s="134">
        <v>105.99</v>
      </c>
      <c r="G107" s="135">
        <v>8.270000000000001E-2</v>
      </c>
      <c r="H107" s="134">
        <v>100.57</v>
      </c>
      <c r="I107" s="135">
        <v>8.3199999999999996E-2</v>
      </c>
      <c r="J107" s="139"/>
    </row>
    <row r="108" spans="1:10" x14ac:dyDescent="0.35">
      <c r="A108" s="133">
        <v>42153</v>
      </c>
      <c r="B108" s="134">
        <v>99.8</v>
      </c>
      <c r="C108" s="135">
        <v>7.9399999999999998E-2</v>
      </c>
      <c r="D108" s="134">
        <v>101.71</v>
      </c>
      <c r="E108" s="135">
        <v>8.1000000000000003E-2</v>
      </c>
      <c r="F108" s="134">
        <v>105.93</v>
      </c>
      <c r="G108" s="135">
        <v>8.270000000000001E-2</v>
      </c>
      <c r="H108" s="134">
        <v>100.52</v>
      </c>
      <c r="I108" s="135">
        <v>8.3199999999999996E-2</v>
      </c>
      <c r="J108" s="139"/>
    </row>
    <row r="109" spans="1:10" x14ac:dyDescent="0.35">
      <c r="A109" s="133">
        <v>42156</v>
      </c>
      <c r="B109" s="134">
        <v>99.74</v>
      </c>
      <c r="C109" s="135">
        <v>7.9500000000000001E-2</v>
      </c>
      <c r="D109" s="134">
        <v>101.56</v>
      </c>
      <c r="E109" s="135">
        <v>8.1200000000000008E-2</v>
      </c>
      <c r="F109" s="134">
        <v>105.74</v>
      </c>
      <c r="G109" s="135">
        <v>8.3000000000000004E-2</v>
      </c>
      <c r="H109" s="134">
        <v>100.34</v>
      </c>
      <c r="I109" s="135">
        <v>8.3400000000000002E-2</v>
      </c>
      <c r="J109" s="139"/>
    </row>
    <row r="110" spans="1:10" x14ac:dyDescent="0.35">
      <c r="A110" s="133">
        <v>42158</v>
      </c>
      <c r="B110" s="134">
        <v>99.56</v>
      </c>
      <c r="C110" s="135">
        <v>8.0100000000000005E-2</v>
      </c>
      <c r="D110" s="134">
        <v>101.31</v>
      </c>
      <c r="E110" s="135">
        <v>8.1600000000000006E-2</v>
      </c>
      <c r="F110" s="134">
        <v>105.47</v>
      </c>
      <c r="G110" s="135">
        <v>8.3299999999999999E-2</v>
      </c>
      <c r="H110" s="134">
        <v>99.92</v>
      </c>
      <c r="I110" s="135">
        <v>8.3900000000000002E-2</v>
      </c>
      <c r="J110" s="139"/>
    </row>
    <row r="111" spans="1:10" x14ac:dyDescent="0.35">
      <c r="A111" s="133">
        <v>42159</v>
      </c>
      <c r="B111" s="134">
        <v>99.4</v>
      </c>
      <c r="C111" s="135">
        <v>8.0600000000000005E-2</v>
      </c>
      <c r="D111" s="134">
        <v>100.07000000000001</v>
      </c>
      <c r="E111" s="135">
        <v>8.3699999999999997E-2</v>
      </c>
      <c r="F111" s="134">
        <v>104.06</v>
      </c>
      <c r="G111" s="135">
        <v>8.5000000000000006E-2</v>
      </c>
      <c r="H111" s="134">
        <v>98.19</v>
      </c>
      <c r="I111" s="135">
        <v>8.5699999999999998E-2</v>
      </c>
      <c r="J111" s="139"/>
    </row>
    <row r="112" spans="1:10" x14ac:dyDescent="0.35">
      <c r="A112" s="136">
        <v>42160</v>
      </c>
      <c r="B112" s="137">
        <v>98.910000000000011</v>
      </c>
      <c r="C112" s="138">
        <v>8.2100000000000006E-2</v>
      </c>
      <c r="D112" s="137">
        <v>99.48</v>
      </c>
      <c r="E112" s="138">
        <v>8.4600000000000009E-2</v>
      </c>
      <c r="F112" s="137">
        <v>102.68</v>
      </c>
      <c r="G112" s="138">
        <v>8.6699999999999999E-2</v>
      </c>
      <c r="H112" s="137">
        <v>97.14</v>
      </c>
      <c r="I112" s="138">
        <v>8.6900000000000005E-2</v>
      </c>
      <c r="J112" s="139"/>
    </row>
    <row r="113" spans="1:10" x14ac:dyDescent="0.35">
      <c r="A113" s="136">
        <v>42163</v>
      </c>
      <c r="B113" s="137">
        <v>98.28</v>
      </c>
      <c r="C113" s="138">
        <v>8.4100000000000008E-2</v>
      </c>
      <c r="D113" s="137">
        <v>98.350000000000009</v>
      </c>
      <c r="E113" s="138">
        <v>8.6500000000000007E-2</v>
      </c>
      <c r="F113" s="137">
        <v>101.30000000000001</v>
      </c>
      <c r="G113" s="138">
        <v>8.8400000000000006E-2</v>
      </c>
      <c r="H113" s="137">
        <v>95.4</v>
      </c>
      <c r="I113" s="138">
        <v>8.8900000000000007E-2</v>
      </c>
      <c r="J113" s="139"/>
    </row>
    <row r="114" spans="1:10" x14ac:dyDescent="0.35">
      <c r="A114" s="136">
        <v>42164</v>
      </c>
      <c r="B114" s="137">
        <v>98.21</v>
      </c>
      <c r="C114" s="138">
        <v>8.43E-2</v>
      </c>
      <c r="D114" s="137">
        <v>97.76</v>
      </c>
      <c r="E114" s="138">
        <v>8.7500000000000008E-2</v>
      </c>
      <c r="F114" s="137">
        <v>100.42</v>
      </c>
      <c r="G114" s="138">
        <v>8.9499999999999996E-2</v>
      </c>
      <c r="H114" s="137">
        <v>95.09</v>
      </c>
      <c r="I114" s="138">
        <v>8.9200000000000002E-2</v>
      </c>
      <c r="J114" s="139"/>
    </row>
    <row r="115" spans="1:10" x14ac:dyDescent="0.35">
      <c r="A115" s="136">
        <v>42165</v>
      </c>
      <c r="B115" s="137">
        <v>98.46</v>
      </c>
      <c r="C115" s="138">
        <v>8.3500000000000005E-2</v>
      </c>
      <c r="D115" s="137">
        <v>98.7</v>
      </c>
      <c r="E115" s="138">
        <v>8.5900000000000004E-2</v>
      </c>
      <c r="F115" s="137">
        <v>101.89</v>
      </c>
      <c r="G115" s="138">
        <v>8.7599999999999997E-2</v>
      </c>
      <c r="H115" s="137">
        <v>96.69</v>
      </c>
      <c r="I115" s="138">
        <v>8.7400000000000005E-2</v>
      </c>
      <c r="J115" s="139"/>
    </row>
    <row r="116" spans="1:10" x14ac:dyDescent="0.35">
      <c r="A116" s="136">
        <v>42166</v>
      </c>
      <c r="B116" s="137">
        <v>98.25</v>
      </c>
      <c r="C116" s="138">
        <v>8.4199999999999997E-2</v>
      </c>
      <c r="D116" s="137">
        <v>98.4</v>
      </c>
      <c r="E116" s="138">
        <v>8.6400000000000005E-2</v>
      </c>
      <c r="F116" s="137">
        <v>101.68</v>
      </c>
      <c r="G116" s="138">
        <v>8.7900000000000006E-2</v>
      </c>
      <c r="H116" s="137">
        <v>96.54</v>
      </c>
      <c r="I116" s="138">
        <v>8.7599999999999997E-2</v>
      </c>
      <c r="J116" s="139"/>
    </row>
    <row r="117" spans="1:10" x14ac:dyDescent="0.35">
      <c r="A117" s="133">
        <v>42167</v>
      </c>
      <c r="B117" s="134">
        <v>98.12</v>
      </c>
      <c r="C117" s="135">
        <v>8.4600000000000009E-2</v>
      </c>
      <c r="D117" s="134">
        <v>98.23</v>
      </c>
      <c r="E117" s="135">
        <v>8.6699999999999999E-2</v>
      </c>
      <c r="F117" s="134">
        <v>101.25</v>
      </c>
      <c r="G117" s="135">
        <v>8.8400000000000006E-2</v>
      </c>
      <c r="H117" s="134">
        <v>96.28</v>
      </c>
      <c r="I117" s="135">
        <v>8.7900000000000006E-2</v>
      </c>
      <c r="J117" s="139"/>
    </row>
    <row r="118" spans="1:10" x14ac:dyDescent="0.35">
      <c r="A118" s="133">
        <v>42170</v>
      </c>
      <c r="B118" s="134">
        <v>98.1</v>
      </c>
      <c r="C118" s="135">
        <v>8.4699999999999998E-2</v>
      </c>
      <c r="D118" s="134">
        <v>98.41</v>
      </c>
      <c r="E118" s="135">
        <v>8.6400000000000005E-2</v>
      </c>
      <c r="F118" s="134">
        <v>101.49</v>
      </c>
      <c r="G118" s="135">
        <v>8.8099999999999998E-2</v>
      </c>
      <c r="H118" s="134">
        <v>96.37</v>
      </c>
      <c r="I118" s="135">
        <v>8.7800000000000003E-2</v>
      </c>
      <c r="J118" s="139"/>
    </row>
    <row r="119" spans="1:10" x14ac:dyDescent="0.35">
      <c r="A119" s="133">
        <v>42171</v>
      </c>
      <c r="B119" s="134">
        <v>97.95</v>
      </c>
      <c r="C119" s="135">
        <v>8.5100000000000009E-2</v>
      </c>
      <c r="D119" s="134">
        <v>98.57</v>
      </c>
      <c r="E119" s="135">
        <v>8.6099999999999996E-2</v>
      </c>
      <c r="F119" s="134">
        <v>101.73</v>
      </c>
      <c r="G119" s="135">
        <v>8.7800000000000003E-2</v>
      </c>
      <c r="H119" s="134">
        <v>96.37</v>
      </c>
      <c r="I119" s="135">
        <v>8.7800000000000003E-2</v>
      </c>
      <c r="J119" s="139"/>
    </row>
    <row r="120" spans="1:10" x14ac:dyDescent="0.35">
      <c r="A120" s="133">
        <v>42172</v>
      </c>
      <c r="B120" s="134">
        <v>97.89</v>
      </c>
      <c r="C120" s="135">
        <v>8.5300000000000001E-2</v>
      </c>
      <c r="D120" s="134">
        <v>98.52</v>
      </c>
      <c r="E120" s="135">
        <v>8.6199999999999999E-2</v>
      </c>
      <c r="F120" s="134">
        <v>101.79</v>
      </c>
      <c r="G120" s="135">
        <v>8.7800000000000003E-2</v>
      </c>
      <c r="H120" s="134">
        <v>96.24</v>
      </c>
      <c r="I120" s="135">
        <v>8.7900000000000006E-2</v>
      </c>
      <c r="J120" s="139"/>
    </row>
    <row r="121" spans="1:10" x14ac:dyDescent="0.35">
      <c r="A121" s="133">
        <v>42173</v>
      </c>
      <c r="B121" s="134">
        <v>98.33</v>
      </c>
      <c r="C121" s="135">
        <v>8.3900000000000002E-2</v>
      </c>
      <c r="D121" s="134">
        <v>99.6</v>
      </c>
      <c r="E121" s="135">
        <v>8.4400000000000003E-2</v>
      </c>
      <c r="F121" s="134">
        <v>102.89</v>
      </c>
      <c r="G121" s="135">
        <v>8.6400000000000005E-2</v>
      </c>
      <c r="H121" s="134">
        <v>97.34</v>
      </c>
      <c r="I121" s="135">
        <v>8.6699999999999999E-2</v>
      </c>
      <c r="J121" s="139"/>
    </row>
    <row r="122" spans="1:10" x14ac:dyDescent="0.35">
      <c r="A122" s="136">
        <v>42174</v>
      </c>
      <c r="B122" s="137">
        <v>98.68</v>
      </c>
      <c r="C122" s="138">
        <v>8.2799999999999999E-2</v>
      </c>
      <c r="D122" s="137">
        <v>99.51</v>
      </c>
      <c r="E122" s="138">
        <v>8.4600000000000009E-2</v>
      </c>
      <c r="F122" s="137">
        <v>102.99</v>
      </c>
      <c r="G122" s="138">
        <v>8.6300000000000002E-2</v>
      </c>
      <c r="H122" s="137">
        <v>97.27</v>
      </c>
      <c r="I122" s="138">
        <v>8.6699999999999999E-2</v>
      </c>
      <c r="J122" s="139"/>
    </row>
    <row r="123" spans="1:10" x14ac:dyDescent="0.35">
      <c r="A123" s="136">
        <v>42177</v>
      </c>
      <c r="B123" s="137">
        <v>98.96</v>
      </c>
      <c r="C123" s="138">
        <v>8.2000000000000003E-2</v>
      </c>
      <c r="D123" s="137">
        <v>99.75</v>
      </c>
      <c r="E123" s="138">
        <v>8.4199999999999997E-2</v>
      </c>
      <c r="F123" s="137">
        <v>103.25</v>
      </c>
      <c r="G123" s="138">
        <v>8.5900000000000004E-2</v>
      </c>
      <c r="H123" s="137">
        <v>97.37</v>
      </c>
      <c r="I123" s="138">
        <v>8.6599999999999996E-2</v>
      </c>
    </row>
    <row r="124" spans="1:10" x14ac:dyDescent="0.35">
      <c r="A124" s="136">
        <v>42178</v>
      </c>
      <c r="B124" s="137">
        <v>99.13</v>
      </c>
      <c r="C124" s="138">
        <v>8.14E-2</v>
      </c>
      <c r="D124" s="137">
        <v>100.19</v>
      </c>
      <c r="E124" s="138">
        <v>8.3500000000000005E-2</v>
      </c>
      <c r="F124" s="137">
        <v>104.09</v>
      </c>
      <c r="G124" s="138">
        <v>8.4900000000000003E-2</v>
      </c>
      <c r="H124" s="137">
        <v>98.15</v>
      </c>
      <c r="I124" s="138">
        <v>8.5800000000000001E-2</v>
      </c>
    </row>
    <row r="125" spans="1:10" x14ac:dyDescent="0.35">
      <c r="A125" s="136">
        <v>42179</v>
      </c>
      <c r="B125" s="137">
        <v>99.93</v>
      </c>
      <c r="C125" s="138">
        <v>7.9000000000000001E-2</v>
      </c>
      <c r="D125" s="137">
        <v>101.15</v>
      </c>
      <c r="E125" s="138">
        <v>8.1900000000000001E-2</v>
      </c>
      <c r="F125" s="137">
        <v>106.15</v>
      </c>
      <c r="G125" s="138">
        <v>8.2500000000000004E-2</v>
      </c>
      <c r="H125" s="137">
        <v>100.29</v>
      </c>
      <c r="I125" s="138">
        <v>8.3500000000000005E-2</v>
      </c>
    </row>
    <row r="126" spans="1:10" x14ac:dyDescent="0.35">
      <c r="A126" s="136">
        <v>42180</v>
      </c>
      <c r="B126" s="137">
        <v>99.28</v>
      </c>
      <c r="C126" s="138">
        <v>8.1000000000000003E-2</v>
      </c>
      <c r="D126" s="137">
        <v>101.01</v>
      </c>
      <c r="E126" s="138">
        <v>8.2100000000000006E-2</v>
      </c>
      <c r="F126" s="137">
        <v>105.7</v>
      </c>
      <c r="G126" s="138">
        <v>8.3000000000000004E-2</v>
      </c>
      <c r="H126" s="137">
        <v>99.97</v>
      </c>
      <c r="I126" s="138">
        <v>8.3799999999999999E-2</v>
      </c>
    </row>
    <row r="127" spans="1:10" x14ac:dyDescent="0.35">
      <c r="A127" s="133">
        <v>42181</v>
      </c>
      <c r="B127" s="134">
        <v>99.08</v>
      </c>
      <c r="C127" s="135">
        <v>8.1600000000000006E-2</v>
      </c>
      <c r="D127" s="134">
        <v>100.01</v>
      </c>
      <c r="E127" s="135">
        <v>8.3699999999999997E-2</v>
      </c>
      <c r="F127" s="134">
        <v>104.62</v>
      </c>
      <c r="G127" s="135">
        <v>8.43E-2</v>
      </c>
      <c r="H127" s="134">
        <v>98.91</v>
      </c>
      <c r="I127" s="135">
        <v>8.4900000000000003E-2</v>
      </c>
    </row>
    <row r="128" spans="1:10" x14ac:dyDescent="0.35">
      <c r="A128" s="133">
        <v>42184</v>
      </c>
      <c r="B128" s="134">
        <v>99.04</v>
      </c>
      <c r="C128" s="135">
        <v>8.1700000000000009E-2</v>
      </c>
      <c r="D128" s="134">
        <v>99.59</v>
      </c>
      <c r="E128" s="135">
        <v>8.4400000000000003E-2</v>
      </c>
      <c r="F128" s="134">
        <v>104.26</v>
      </c>
      <c r="G128" s="135">
        <v>8.4699999999999998E-2</v>
      </c>
      <c r="H128" s="134">
        <v>98.57</v>
      </c>
      <c r="I128" s="135">
        <v>8.5300000000000001E-2</v>
      </c>
    </row>
    <row r="129" spans="1:9" x14ac:dyDescent="0.35">
      <c r="A129" s="133">
        <v>42185</v>
      </c>
      <c r="B129" s="134">
        <v>99.12</v>
      </c>
      <c r="C129" s="135">
        <v>8.1500000000000003E-2</v>
      </c>
      <c r="D129" s="134">
        <v>100.06</v>
      </c>
      <c r="E129" s="135">
        <v>8.3699999999999997E-2</v>
      </c>
      <c r="F129" s="134">
        <v>104.9</v>
      </c>
      <c r="G129" s="135">
        <v>8.3900000000000002E-2</v>
      </c>
      <c r="H129" s="134">
        <v>99</v>
      </c>
      <c r="I129" s="135">
        <v>8.4900000000000003E-2</v>
      </c>
    </row>
    <row r="130" spans="1:9" x14ac:dyDescent="0.35">
      <c r="A130" s="133">
        <v>42186</v>
      </c>
      <c r="B130" s="134">
        <v>99.88</v>
      </c>
      <c r="C130" s="135">
        <v>7.9100000000000004E-2</v>
      </c>
      <c r="D130" s="134">
        <v>100.97</v>
      </c>
      <c r="E130" s="135">
        <v>8.2200000000000009E-2</v>
      </c>
      <c r="F130" s="134">
        <v>105.87</v>
      </c>
      <c r="G130" s="135">
        <v>8.2799999999999999E-2</v>
      </c>
      <c r="H130" s="134">
        <v>100.22</v>
      </c>
      <c r="I130" s="135">
        <v>8.3500000000000005E-2</v>
      </c>
    </row>
    <row r="131" spans="1:9" x14ac:dyDescent="0.35">
      <c r="A131" s="133">
        <v>42187</v>
      </c>
      <c r="B131" s="134">
        <v>99.64</v>
      </c>
      <c r="C131" s="135">
        <v>7.9899999999999999E-2</v>
      </c>
      <c r="D131" s="134">
        <v>100.72</v>
      </c>
      <c r="E131" s="135">
        <v>8.2600000000000007E-2</v>
      </c>
      <c r="F131" s="134">
        <v>105.35</v>
      </c>
      <c r="G131" s="135">
        <v>8.3400000000000002E-2</v>
      </c>
      <c r="H131" s="134">
        <v>99.69</v>
      </c>
      <c r="I131" s="135">
        <v>8.4100000000000008E-2</v>
      </c>
    </row>
    <row r="132" spans="1:9" x14ac:dyDescent="0.35">
      <c r="A132" s="136">
        <v>42188</v>
      </c>
      <c r="B132" s="137">
        <v>100.1</v>
      </c>
      <c r="C132" s="138">
        <v>7.8399999999999997E-2</v>
      </c>
      <c r="D132" s="137">
        <v>101.01</v>
      </c>
      <c r="E132" s="138">
        <v>8.2100000000000006E-2</v>
      </c>
      <c r="F132" s="137">
        <v>105.94</v>
      </c>
      <c r="G132" s="138">
        <v>8.270000000000001E-2</v>
      </c>
      <c r="H132" s="137">
        <v>99.92</v>
      </c>
      <c r="I132" s="138">
        <v>8.3900000000000002E-2</v>
      </c>
    </row>
    <row r="133" spans="1:9" x14ac:dyDescent="0.35">
      <c r="A133" s="136">
        <v>42191</v>
      </c>
      <c r="B133" s="137">
        <v>99.93</v>
      </c>
      <c r="C133" s="138">
        <v>7.9000000000000001E-2</v>
      </c>
      <c r="D133" s="137">
        <v>100.75</v>
      </c>
      <c r="E133" s="138">
        <v>8.2500000000000004E-2</v>
      </c>
      <c r="F133" s="137">
        <v>105.65</v>
      </c>
      <c r="G133" s="138">
        <v>8.3000000000000004E-2</v>
      </c>
      <c r="H133" s="137">
        <v>99.79</v>
      </c>
      <c r="I133" s="138">
        <v>8.4000000000000005E-2</v>
      </c>
    </row>
    <row r="134" spans="1:9" x14ac:dyDescent="0.35">
      <c r="A134" s="136">
        <v>42192</v>
      </c>
      <c r="B134" s="137">
        <v>100.1</v>
      </c>
      <c r="C134" s="138">
        <v>7.8399999999999997E-2</v>
      </c>
      <c r="D134" s="137">
        <v>101.28</v>
      </c>
      <c r="E134" s="138">
        <v>8.1700000000000009E-2</v>
      </c>
      <c r="F134" s="137">
        <v>106.26</v>
      </c>
      <c r="G134" s="138">
        <v>8.2299999999999998E-2</v>
      </c>
      <c r="H134" s="137">
        <v>100.58</v>
      </c>
      <c r="I134" s="138">
        <v>8.3199999999999996E-2</v>
      </c>
    </row>
    <row r="135" spans="1:9" x14ac:dyDescent="0.35">
      <c r="A135" s="136">
        <v>42193</v>
      </c>
      <c r="B135" s="137">
        <v>99.64</v>
      </c>
      <c r="C135" s="138">
        <v>7.9899999999999999E-2</v>
      </c>
      <c r="D135" s="137">
        <v>100.15</v>
      </c>
      <c r="E135" s="138">
        <v>8.3500000000000005E-2</v>
      </c>
      <c r="F135" s="137">
        <v>104.42</v>
      </c>
      <c r="G135" s="138">
        <v>8.4500000000000006E-2</v>
      </c>
      <c r="H135" s="137">
        <v>98.86</v>
      </c>
      <c r="I135" s="138">
        <v>8.5000000000000006E-2</v>
      </c>
    </row>
    <row r="136" spans="1:9" x14ac:dyDescent="0.35">
      <c r="A136" s="136">
        <v>42194</v>
      </c>
      <c r="B136" s="137">
        <v>99.14</v>
      </c>
      <c r="C136" s="138">
        <v>8.14E-2</v>
      </c>
      <c r="D136" s="137">
        <v>99.76</v>
      </c>
      <c r="E136" s="138">
        <v>8.4199999999999997E-2</v>
      </c>
      <c r="F136" s="137">
        <v>103.45</v>
      </c>
      <c r="G136" s="138">
        <v>8.5699999999999998E-2</v>
      </c>
      <c r="H136" s="137">
        <v>97.53</v>
      </c>
      <c r="I136" s="138">
        <v>8.6500000000000007E-2</v>
      </c>
    </row>
    <row r="137" spans="1:9" x14ac:dyDescent="0.35">
      <c r="A137" s="133">
        <v>42195</v>
      </c>
      <c r="B137" s="134">
        <v>99.46</v>
      </c>
      <c r="C137" s="135">
        <v>8.0399999999999999E-2</v>
      </c>
      <c r="D137" s="134">
        <v>100.08</v>
      </c>
      <c r="E137" s="135">
        <v>8.3600000000000008E-2</v>
      </c>
      <c r="F137" s="134">
        <v>104.21</v>
      </c>
      <c r="G137" s="135">
        <v>8.48E-2</v>
      </c>
      <c r="H137" s="134">
        <v>98.17</v>
      </c>
      <c r="I137" s="135">
        <v>8.5800000000000001E-2</v>
      </c>
    </row>
    <row r="138" spans="1:9" x14ac:dyDescent="0.35">
      <c r="A138" s="133">
        <v>42198</v>
      </c>
      <c r="B138" s="134">
        <v>99.75</v>
      </c>
      <c r="C138" s="135">
        <v>7.9500000000000001E-2</v>
      </c>
      <c r="D138" s="134">
        <v>100.67</v>
      </c>
      <c r="E138" s="135">
        <v>8.270000000000001E-2</v>
      </c>
      <c r="F138" s="134">
        <v>104.88</v>
      </c>
      <c r="G138" s="135">
        <v>8.4000000000000005E-2</v>
      </c>
      <c r="H138" s="134">
        <v>99.02</v>
      </c>
      <c r="I138" s="135">
        <v>8.48E-2</v>
      </c>
    </row>
    <row r="139" spans="1:9" x14ac:dyDescent="0.35">
      <c r="A139" s="133">
        <v>42199</v>
      </c>
      <c r="B139" s="134">
        <v>99.59</v>
      </c>
      <c r="C139" s="135">
        <v>0.08</v>
      </c>
      <c r="D139" s="134">
        <v>100.61</v>
      </c>
      <c r="E139" s="135">
        <v>8.2799999999999999E-2</v>
      </c>
      <c r="F139" s="134">
        <v>104.85</v>
      </c>
      <c r="G139" s="135">
        <v>8.4000000000000005E-2</v>
      </c>
      <c r="H139" s="134">
        <v>99.11</v>
      </c>
      <c r="I139" s="135">
        <v>8.4699999999999998E-2</v>
      </c>
    </row>
    <row r="140" spans="1:9" x14ac:dyDescent="0.35">
      <c r="A140" s="133">
        <v>42200</v>
      </c>
      <c r="B140" s="134">
        <v>99.6</v>
      </c>
      <c r="C140" s="135">
        <v>0.08</v>
      </c>
      <c r="D140" s="134">
        <v>100.55</v>
      </c>
      <c r="E140" s="135">
        <v>8.2900000000000001E-2</v>
      </c>
      <c r="F140" s="134">
        <v>104.91</v>
      </c>
      <c r="G140" s="135">
        <v>8.3900000000000002E-2</v>
      </c>
      <c r="H140" s="134">
        <v>99.16</v>
      </c>
      <c r="I140" s="135">
        <v>8.4699999999999998E-2</v>
      </c>
    </row>
    <row r="141" spans="1:9" x14ac:dyDescent="0.35">
      <c r="A141" s="133">
        <v>42207</v>
      </c>
      <c r="B141" s="134">
        <v>99.61</v>
      </c>
      <c r="C141" s="135">
        <v>0.08</v>
      </c>
      <c r="D141" s="134">
        <v>100.52</v>
      </c>
      <c r="E141" s="135">
        <v>8.2900000000000001E-2</v>
      </c>
      <c r="F141" s="134">
        <v>104.89</v>
      </c>
      <c r="G141" s="135">
        <v>8.3900000000000002E-2</v>
      </c>
      <c r="H141" s="134">
        <v>99.11</v>
      </c>
      <c r="I141" s="135">
        <v>8.4699999999999998E-2</v>
      </c>
    </row>
    <row r="142" spans="1:9" x14ac:dyDescent="0.35">
      <c r="A142" s="136">
        <v>42208</v>
      </c>
      <c r="B142" s="137">
        <v>99.79</v>
      </c>
      <c r="C142" s="138">
        <v>7.9399999999999998E-2</v>
      </c>
      <c r="D142" s="137">
        <v>100.75</v>
      </c>
      <c r="E142" s="138">
        <v>8.2500000000000004E-2</v>
      </c>
      <c r="F142" s="137">
        <v>104.82</v>
      </c>
      <c r="G142" s="138">
        <v>8.4000000000000005E-2</v>
      </c>
      <c r="H142" s="137">
        <v>99.32</v>
      </c>
      <c r="I142" s="138">
        <v>8.4500000000000006E-2</v>
      </c>
    </row>
    <row r="143" spans="1:9" x14ac:dyDescent="0.35">
      <c r="A143" s="136">
        <v>42209</v>
      </c>
      <c r="B143" s="137">
        <v>99.98</v>
      </c>
      <c r="C143" s="138">
        <v>7.8800000000000009E-2</v>
      </c>
      <c r="D143" s="137">
        <v>100.72</v>
      </c>
      <c r="E143" s="138">
        <v>8.2600000000000007E-2</v>
      </c>
      <c r="F143" s="137">
        <v>104.9</v>
      </c>
      <c r="G143" s="138">
        <v>8.3900000000000002E-2</v>
      </c>
      <c r="H143" s="137">
        <v>99.29</v>
      </c>
      <c r="I143" s="138">
        <v>8.4500000000000006E-2</v>
      </c>
    </row>
    <row r="144" spans="1:9" x14ac:dyDescent="0.35">
      <c r="A144" s="136">
        <v>42212</v>
      </c>
      <c r="B144" s="137">
        <v>100.01</v>
      </c>
      <c r="C144" s="138">
        <v>7.8700000000000006E-2</v>
      </c>
      <c r="D144" s="137">
        <v>100.62</v>
      </c>
      <c r="E144" s="138">
        <v>8.2799999999999999E-2</v>
      </c>
      <c r="F144" s="137">
        <v>104.91</v>
      </c>
      <c r="G144" s="138">
        <v>8.3900000000000002E-2</v>
      </c>
      <c r="H144" s="137">
        <v>99.32</v>
      </c>
      <c r="I144" s="138">
        <v>8.4500000000000006E-2</v>
      </c>
    </row>
    <row r="145" spans="1:9" x14ac:dyDescent="0.35">
      <c r="A145" s="136">
        <v>42213</v>
      </c>
      <c r="B145" s="137">
        <v>99.35</v>
      </c>
      <c r="C145" s="138">
        <v>8.0799999999999997E-2</v>
      </c>
      <c r="D145" s="137">
        <v>99.33</v>
      </c>
      <c r="E145" s="138">
        <v>8.4900000000000003E-2</v>
      </c>
      <c r="F145" s="137">
        <v>103.56</v>
      </c>
      <c r="G145" s="138">
        <v>8.5600000000000009E-2</v>
      </c>
      <c r="H145" s="137">
        <v>97.52</v>
      </c>
      <c r="I145" s="138">
        <v>8.6500000000000007E-2</v>
      </c>
    </row>
    <row r="146" spans="1:9" x14ac:dyDescent="0.35">
      <c r="A146" s="136">
        <v>42214</v>
      </c>
      <c r="B146" s="137">
        <v>99.17</v>
      </c>
      <c r="C146" s="138">
        <v>8.14E-2</v>
      </c>
      <c r="D146" s="137">
        <v>98.31</v>
      </c>
      <c r="E146" s="138">
        <v>8.6599999999999996E-2</v>
      </c>
      <c r="F146" s="137">
        <v>101.74</v>
      </c>
      <c r="G146" s="138">
        <v>8.7800000000000003E-2</v>
      </c>
      <c r="H146" s="137">
        <v>96.34</v>
      </c>
      <c r="I146" s="138">
        <v>8.7800000000000003E-2</v>
      </c>
    </row>
    <row r="147" spans="1:9" x14ac:dyDescent="0.35">
      <c r="A147" s="133">
        <v>42215</v>
      </c>
      <c r="B147" s="134">
        <v>99.19</v>
      </c>
      <c r="C147" s="135">
        <v>8.1299999999999997E-2</v>
      </c>
      <c r="D147" s="134">
        <v>98.57</v>
      </c>
      <c r="E147" s="135">
        <v>8.6199999999999999E-2</v>
      </c>
      <c r="F147" s="134">
        <v>101.91</v>
      </c>
      <c r="G147" s="135">
        <v>8.7599999999999997E-2</v>
      </c>
      <c r="H147" s="134">
        <v>96.16</v>
      </c>
      <c r="I147" s="135">
        <v>8.8000000000000009E-2</v>
      </c>
    </row>
    <row r="148" spans="1:9" x14ac:dyDescent="0.35">
      <c r="A148" s="133">
        <v>42216</v>
      </c>
      <c r="B148" s="134">
        <v>99.39</v>
      </c>
      <c r="C148" s="135">
        <v>8.0700000000000008E-2</v>
      </c>
      <c r="D148" s="134">
        <v>98.84</v>
      </c>
      <c r="E148" s="135">
        <v>8.5699999999999998E-2</v>
      </c>
      <c r="F148" s="134">
        <v>102.23</v>
      </c>
      <c r="G148" s="135">
        <v>8.72E-2</v>
      </c>
      <c r="H148" s="134">
        <v>96.26</v>
      </c>
      <c r="I148" s="135">
        <v>8.7900000000000006E-2</v>
      </c>
    </row>
    <row r="149" spans="1:9" x14ac:dyDescent="0.35">
      <c r="A149" s="133">
        <v>42219</v>
      </c>
      <c r="B149" s="134">
        <v>99.24</v>
      </c>
      <c r="C149" s="135">
        <v>8.1200000000000008E-2</v>
      </c>
      <c r="D149" s="134">
        <v>98.66</v>
      </c>
      <c r="E149" s="135">
        <v>8.6000000000000007E-2</v>
      </c>
      <c r="F149" s="134">
        <v>101.86</v>
      </c>
      <c r="G149" s="135">
        <v>8.77E-2</v>
      </c>
      <c r="H149" s="134">
        <v>95.84</v>
      </c>
      <c r="I149" s="135">
        <v>8.8400000000000006E-2</v>
      </c>
    </row>
    <row r="150" spans="1:9" x14ac:dyDescent="0.35">
      <c r="A150" s="133">
        <v>42223</v>
      </c>
      <c r="B150" s="134">
        <v>99.24</v>
      </c>
      <c r="C150" s="135">
        <v>8.1200000000000008E-2</v>
      </c>
      <c r="D150" s="134">
        <v>98.66</v>
      </c>
      <c r="E150" s="135">
        <v>8.6000000000000007E-2</v>
      </c>
      <c r="F150" s="134">
        <v>101.86</v>
      </c>
      <c r="G150" s="135">
        <v>8.77E-2</v>
      </c>
      <c r="H150" s="134">
        <v>95.84</v>
      </c>
      <c r="I150" s="135">
        <v>8.8400000000000006E-2</v>
      </c>
    </row>
    <row r="151" spans="1:9" x14ac:dyDescent="0.35">
      <c r="A151" s="133">
        <v>42226</v>
      </c>
      <c r="B151" s="134">
        <v>99.24</v>
      </c>
      <c r="C151" s="135">
        <v>8.1200000000000008E-2</v>
      </c>
      <c r="D151" s="134">
        <v>98.66</v>
      </c>
      <c r="E151" s="135">
        <v>8.6000000000000007E-2</v>
      </c>
      <c r="F151" s="134">
        <v>101.86</v>
      </c>
      <c r="G151" s="135">
        <v>8.77E-2</v>
      </c>
      <c r="H151" s="134">
        <v>95.84</v>
      </c>
      <c r="I151" s="135">
        <v>8.8400000000000006E-2</v>
      </c>
    </row>
    <row r="152" spans="1:9" x14ac:dyDescent="0.35">
      <c r="A152" s="136">
        <v>42227</v>
      </c>
      <c r="B152" s="137">
        <v>99.31</v>
      </c>
      <c r="C152" s="138">
        <v>8.1000000000000003E-2</v>
      </c>
      <c r="D152" s="137">
        <v>99.45</v>
      </c>
      <c r="E152" s="138">
        <v>8.4699999999999998E-2</v>
      </c>
      <c r="F152" s="137">
        <v>101.74000000000001</v>
      </c>
      <c r="G152" s="138">
        <v>8.7800000000000003E-2</v>
      </c>
      <c r="H152" s="137">
        <v>95.76</v>
      </c>
      <c r="I152" s="138">
        <v>8.8500000000000009E-2</v>
      </c>
    </row>
    <row r="153" spans="1:9" x14ac:dyDescent="0.35">
      <c r="A153" s="136">
        <v>42228</v>
      </c>
      <c r="B153" s="137">
        <v>98.78</v>
      </c>
      <c r="C153" s="138">
        <v>8.270000000000001E-2</v>
      </c>
      <c r="D153" s="137">
        <v>97.88000000000001</v>
      </c>
      <c r="E153" s="138">
        <v>8.7300000000000003E-2</v>
      </c>
      <c r="F153" s="137">
        <v>99.09</v>
      </c>
      <c r="G153" s="138">
        <v>9.1200000000000003E-2</v>
      </c>
      <c r="H153" s="137">
        <v>93.100000000000009</v>
      </c>
      <c r="I153" s="138">
        <v>9.1600000000000001E-2</v>
      </c>
    </row>
    <row r="154" spans="1:9" x14ac:dyDescent="0.35">
      <c r="A154" s="136">
        <v>42229</v>
      </c>
      <c r="B154" s="137">
        <v>98.75</v>
      </c>
      <c r="C154" s="138">
        <v>8.2799999999999999E-2</v>
      </c>
      <c r="D154" s="137">
        <v>97.95</v>
      </c>
      <c r="E154" s="138">
        <v>8.72E-2</v>
      </c>
      <c r="F154" s="137">
        <v>99.13000000000001</v>
      </c>
      <c r="G154" s="138">
        <v>9.1200000000000003E-2</v>
      </c>
      <c r="H154" s="137">
        <v>93.600000000000009</v>
      </c>
      <c r="I154" s="138">
        <v>9.0999999999999998E-2</v>
      </c>
    </row>
    <row r="155" spans="1:9" x14ac:dyDescent="0.35">
      <c r="A155" s="136">
        <v>42230</v>
      </c>
      <c r="B155" s="137">
        <v>98.81</v>
      </c>
      <c r="C155" s="138">
        <v>8.2600000000000007E-2</v>
      </c>
      <c r="D155" s="137">
        <v>98.37</v>
      </c>
      <c r="E155" s="138">
        <v>8.6500000000000007E-2</v>
      </c>
      <c r="F155" s="137">
        <v>100.22</v>
      </c>
      <c r="G155" s="138">
        <v>8.9800000000000005E-2</v>
      </c>
      <c r="H155" s="137">
        <v>94.25</v>
      </c>
      <c r="I155" s="138">
        <v>9.0200000000000002E-2</v>
      </c>
    </row>
    <row r="156" spans="1:9" x14ac:dyDescent="0.35">
      <c r="A156" s="136">
        <v>42234</v>
      </c>
      <c r="B156" s="137">
        <v>98.77</v>
      </c>
      <c r="C156" s="138">
        <v>8.270000000000001E-2</v>
      </c>
      <c r="D156" s="137">
        <v>98.26</v>
      </c>
      <c r="E156" s="138">
        <v>8.6699999999999999E-2</v>
      </c>
      <c r="F156" s="137">
        <v>100.17</v>
      </c>
      <c r="G156" s="138">
        <v>8.9800000000000005E-2</v>
      </c>
      <c r="H156" s="137">
        <v>94.03</v>
      </c>
      <c r="I156" s="138">
        <v>9.0499999999999997E-2</v>
      </c>
    </row>
    <row r="157" spans="1:9" x14ac:dyDescent="0.35">
      <c r="A157" s="133">
        <v>42235</v>
      </c>
      <c r="B157" s="134">
        <v>98.75</v>
      </c>
      <c r="C157" s="135">
        <v>8.2799999999999999E-2</v>
      </c>
      <c r="D157" s="134">
        <v>98.91</v>
      </c>
      <c r="E157" s="135">
        <v>8.5600000000000009E-2</v>
      </c>
      <c r="F157" s="134">
        <v>100.55</v>
      </c>
      <c r="G157" s="135">
        <v>8.9300000000000004E-2</v>
      </c>
      <c r="H157" s="134">
        <v>94.43</v>
      </c>
      <c r="I157" s="135">
        <v>0.09</v>
      </c>
    </row>
    <row r="158" spans="1:9" x14ac:dyDescent="0.35">
      <c r="A158" s="133">
        <v>42236</v>
      </c>
      <c r="B158" s="134">
        <v>98.73</v>
      </c>
      <c r="C158" s="135">
        <v>8.2900000000000001E-2</v>
      </c>
      <c r="D158" s="134">
        <v>98.98</v>
      </c>
      <c r="E158" s="135">
        <v>8.5500000000000007E-2</v>
      </c>
      <c r="F158" s="134">
        <v>100.52000000000001</v>
      </c>
      <c r="G158" s="135">
        <v>8.9400000000000007E-2</v>
      </c>
      <c r="H158" s="134">
        <v>94.14</v>
      </c>
      <c r="I158" s="135">
        <v>9.0400000000000008E-2</v>
      </c>
    </row>
    <row r="159" spans="1:9" x14ac:dyDescent="0.35">
      <c r="A159" s="133">
        <v>42237</v>
      </c>
      <c r="B159" s="134">
        <v>98.11</v>
      </c>
      <c r="C159" s="135">
        <v>8.4900000000000003E-2</v>
      </c>
      <c r="D159" s="134">
        <v>96.96</v>
      </c>
      <c r="E159" s="135">
        <v>8.8900000000000007E-2</v>
      </c>
      <c r="F159" s="134">
        <v>99.03</v>
      </c>
      <c r="G159" s="135">
        <v>9.1300000000000006E-2</v>
      </c>
      <c r="H159" s="134">
        <v>93.03</v>
      </c>
      <c r="I159" s="135">
        <v>9.1700000000000004E-2</v>
      </c>
    </row>
    <row r="160" spans="1:9" x14ac:dyDescent="0.35">
      <c r="A160" s="133">
        <v>42240</v>
      </c>
      <c r="B160" s="134">
        <v>97.26</v>
      </c>
      <c r="C160" s="135">
        <v>8.77E-2</v>
      </c>
      <c r="D160" s="134">
        <v>96.15</v>
      </c>
      <c r="E160" s="135">
        <v>9.0300000000000005E-2</v>
      </c>
      <c r="F160" s="134">
        <v>98.37</v>
      </c>
      <c r="G160" s="135">
        <v>9.2200000000000004E-2</v>
      </c>
      <c r="H160" s="134">
        <v>92.04</v>
      </c>
      <c r="I160" s="135">
        <v>9.2899999999999996E-2</v>
      </c>
    </row>
    <row r="161" spans="1:9" x14ac:dyDescent="0.35">
      <c r="A161" s="133">
        <v>42241</v>
      </c>
      <c r="B161" s="134">
        <v>97.57</v>
      </c>
      <c r="C161" s="135">
        <v>8.6699999999999999E-2</v>
      </c>
      <c r="D161" s="134">
        <v>96.73</v>
      </c>
      <c r="E161" s="135">
        <v>8.9300000000000004E-2</v>
      </c>
      <c r="F161" s="134">
        <v>98.39</v>
      </c>
      <c r="G161" s="135">
        <v>9.2100000000000001E-2</v>
      </c>
      <c r="H161" s="134">
        <v>91.93</v>
      </c>
      <c r="I161" s="135">
        <v>9.2999999999999999E-2</v>
      </c>
    </row>
    <row r="162" spans="1:9" x14ac:dyDescent="0.35">
      <c r="A162" s="136">
        <v>42242</v>
      </c>
      <c r="B162" s="137">
        <v>97.61</v>
      </c>
      <c r="C162" s="138">
        <v>8.6599999999999996E-2</v>
      </c>
      <c r="D162" s="137">
        <v>96.960000000000008</v>
      </c>
      <c r="E162" s="138">
        <v>8.8900000000000007E-2</v>
      </c>
      <c r="F162" s="137">
        <v>98.23</v>
      </c>
      <c r="G162" s="138">
        <v>9.2399999999999996E-2</v>
      </c>
      <c r="H162" s="137">
        <v>91.99</v>
      </c>
      <c r="I162" s="138">
        <v>9.2899999999999996E-2</v>
      </c>
    </row>
    <row r="163" spans="1:9" x14ac:dyDescent="0.35">
      <c r="A163" s="136">
        <v>42243</v>
      </c>
      <c r="B163" s="137">
        <v>97.68</v>
      </c>
      <c r="C163" s="138">
        <v>8.6300000000000002E-2</v>
      </c>
      <c r="D163" s="137">
        <v>97.89</v>
      </c>
      <c r="E163" s="138">
        <v>8.7300000000000003E-2</v>
      </c>
      <c r="F163" s="137">
        <v>99.050000000000011</v>
      </c>
      <c r="G163" s="138">
        <v>9.1300000000000006E-2</v>
      </c>
      <c r="H163" s="137">
        <v>92.77000000000001</v>
      </c>
      <c r="I163" s="138">
        <v>9.1999999999999998E-2</v>
      </c>
    </row>
    <row r="164" spans="1:9" x14ac:dyDescent="0.35">
      <c r="A164" s="136">
        <v>42244</v>
      </c>
      <c r="B164" s="137">
        <v>98.17</v>
      </c>
      <c r="C164" s="138">
        <v>8.4699999999999998E-2</v>
      </c>
      <c r="D164" s="137">
        <v>98</v>
      </c>
      <c r="E164" s="138">
        <v>8.72E-2</v>
      </c>
      <c r="F164" s="137">
        <v>99.68</v>
      </c>
      <c r="G164" s="138">
        <v>9.0499999999999997E-2</v>
      </c>
      <c r="H164" s="137">
        <v>93.570000000000007</v>
      </c>
      <c r="I164" s="138">
        <v>9.0999999999999998E-2</v>
      </c>
    </row>
    <row r="165" spans="1:9" x14ac:dyDescent="0.35">
      <c r="A165" s="136">
        <v>42247</v>
      </c>
      <c r="B165" s="137">
        <v>98.240000000000009</v>
      </c>
      <c r="C165" s="138">
        <v>8.4500000000000006E-2</v>
      </c>
      <c r="D165" s="137">
        <v>97.910000000000011</v>
      </c>
      <c r="E165" s="138">
        <v>8.7300000000000003E-2</v>
      </c>
      <c r="F165" s="137">
        <v>99.550000000000011</v>
      </c>
      <c r="G165" s="138">
        <v>9.06E-2</v>
      </c>
      <c r="H165" s="137">
        <v>93.48</v>
      </c>
      <c r="I165" s="138">
        <v>9.11E-2</v>
      </c>
    </row>
    <row r="166" spans="1:9" x14ac:dyDescent="0.35">
      <c r="A166" s="136">
        <v>42248</v>
      </c>
      <c r="B166" s="137">
        <v>98.190000000000012</v>
      </c>
      <c r="C166" s="138">
        <v>8.4699999999999998E-2</v>
      </c>
      <c r="D166" s="137">
        <v>97.87</v>
      </c>
      <c r="E166" s="138">
        <v>8.7400000000000005E-2</v>
      </c>
      <c r="F166" s="137">
        <v>99.78</v>
      </c>
      <c r="G166" s="138">
        <v>9.0300000000000005E-2</v>
      </c>
      <c r="H166" s="137">
        <v>93.75</v>
      </c>
      <c r="I166" s="138">
        <v>9.0800000000000006E-2</v>
      </c>
    </row>
    <row r="167" spans="1:9" x14ac:dyDescent="0.35">
      <c r="A167" s="133">
        <v>42249</v>
      </c>
      <c r="B167" s="134">
        <v>98</v>
      </c>
      <c r="C167" s="135">
        <v>8.5300000000000001E-2</v>
      </c>
      <c r="D167" s="134">
        <v>97.63</v>
      </c>
      <c r="E167" s="135">
        <v>8.7800000000000003E-2</v>
      </c>
      <c r="F167" s="134">
        <v>99.63000000000001</v>
      </c>
      <c r="G167" s="135">
        <v>9.0499999999999997E-2</v>
      </c>
      <c r="H167" s="134">
        <v>93.7</v>
      </c>
      <c r="I167" s="135">
        <v>9.0900000000000009E-2</v>
      </c>
    </row>
    <row r="168" spans="1:9" x14ac:dyDescent="0.35">
      <c r="A168" s="133">
        <v>42250</v>
      </c>
      <c r="B168" s="134">
        <v>97.960000000000008</v>
      </c>
      <c r="C168" s="135">
        <v>8.5500000000000007E-2</v>
      </c>
      <c r="D168" s="134">
        <v>97.62</v>
      </c>
      <c r="E168" s="135">
        <v>8.7800000000000003E-2</v>
      </c>
      <c r="F168" s="134">
        <v>99.59</v>
      </c>
      <c r="G168" s="135">
        <v>9.06E-2</v>
      </c>
      <c r="H168" s="134">
        <v>93.79</v>
      </c>
      <c r="I168" s="135">
        <v>9.0800000000000006E-2</v>
      </c>
    </row>
    <row r="169" spans="1:9" x14ac:dyDescent="0.35">
      <c r="A169" s="133">
        <v>42251</v>
      </c>
      <c r="B169" s="134">
        <v>97.990000000000009</v>
      </c>
      <c r="C169" s="135">
        <v>8.5400000000000004E-2</v>
      </c>
      <c r="D169" s="134">
        <v>97.01</v>
      </c>
      <c r="E169" s="135">
        <v>8.8900000000000007E-2</v>
      </c>
      <c r="F169" s="134">
        <v>99.2</v>
      </c>
      <c r="G169" s="135">
        <v>9.11E-2</v>
      </c>
      <c r="H169" s="134">
        <v>93.18</v>
      </c>
      <c r="I169" s="135">
        <v>9.1499999999999998E-2</v>
      </c>
    </row>
    <row r="170" spans="1:9" x14ac:dyDescent="0.35">
      <c r="A170" s="133">
        <v>42254</v>
      </c>
      <c r="B170" s="134">
        <v>97.73</v>
      </c>
      <c r="C170" s="135">
        <v>8.6199999999999999E-2</v>
      </c>
      <c r="D170" s="134">
        <v>96.75</v>
      </c>
      <c r="E170" s="135">
        <v>8.9300000000000004E-2</v>
      </c>
      <c r="F170" s="134">
        <v>98.85</v>
      </c>
      <c r="G170" s="135">
        <v>9.1499999999999998E-2</v>
      </c>
      <c r="H170" s="134">
        <v>92.73</v>
      </c>
      <c r="I170" s="135">
        <v>9.1999999999999998E-2</v>
      </c>
    </row>
    <row r="171" spans="1:9" x14ac:dyDescent="0.35">
      <c r="A171" s="133">
        <v>42255</v>
      </c>
      <c r="B171" s="134">
        <v>97.3</v>
      </c>
      <c r="C171" s="135">
        <v>8.77E-2</v>
      </c>
      <c r="D171" s="134">
        <v>95.45</v>
      </c>
      <c r="E171" s="135">
        <v>9.1600000000000001E-2</v>
      </c>
      <c r="F171" s="134">
        <v>97.05</v>
      </c>
      <c r="G171" s="135">
        <v>9.3899999999999997E-2</v>
      </c>
      <c r="H171" s="134">
        <v>90.94</v>
      </c>
      <c r="I171" s="135">
        <v>9.4200000000000006E-2</v>
      </c>
    </row>
    <row r="172" spans="1:9" x14ac:dyDescent="0.35">
      <c r="A172" s="136">
        <v>42256</v>
      </c>
      <c r="B172" s="137">
        <v>97.58</v>
      </c>
      <c r="C172" s="138">
        <v>8.6699999999999999E-2</v>
      </c>
      <c r="D172" s="137">
        <v>96.23</v>
      </c>
      <c r="E172" s="138">
        <v>9.0200000000000002E-2</v>
      </c>
      <c r="F172" s="137">
        <v>97.87</v>
      </c>
      <c r="G172" s="138">
        <v>9.2800000000000007E-2</v>
      </c>
      <c r="H172" s="137">
        <v>92.05</v>
      </c>
      <c r="I172" s="138">
        <v>9.2899999999999996E-2</v>
      </c>
    </row>
    <row r="173" spans="1:9" x14ac:dyDescent="0.35">
      <c r="A173" s="136">
        <v>42257</v>
      </c>
      <c r="B173" s="137">
        <v>97.49</v>
      </c>
      <c r="C173" s="138">
        <v>8.7000000000000008E-2</v>
      </c>
      <c r="D173" s="137">
        <v>95.72</v>
      </c>
      <c r="E173" s="138">
        <v>9.11E-2</v>
      </c>
      <c r="F173" s="137">
        <v>97.3</v>
      </c>
      <c r="G173" s="138">
        <v>9.3600000000000003E-2</v>
      </c>
      <c r="H173" s="137">
        <v>91.27</v>
      </c>
      <c r="I173" s="138">
        <v>9.3800000000000008E-2</v>
      </c>
    </row>
    <row r="174" spans="1:9" x14ac:dyDescent="0.35">
      <c r="A174" s="136">
        <v>42258</v>
      </c>
      <c r="B174" s="137">
        <v>97.39</v>
      </c>
      <c r="C174" s="138">
        <v>8.7400000000000005E-2</v>
      </c>
      <c r="D174" s="137">
        <v>95.27</v>
      </c>
      <c r="E174" s="138">
        <v>9.1900000000000009E-2</v>
      </c>
      <c r="F174" s="137">
        <v>97.54</v>
      </c>
      <c r="G174" s="138">
        <v>9.3300000000000008E-2</v>
      </c>
      <c r="H174" s="137">
        <v>91.01</v>
      </c>
      <c r="I174" s="138">
        <v>9.4100000000000003E-2</v>
      </c>
    </row>
    <row r="175" spans="1:9" x14ac:dyDescent="0.35">
      <c r="A175" s="136">
        <v>42261</v>
      </c>
      <c r="B175" s="137">
        <v>97.13</v>
      </c>
      <c r="C175" s="138">
        <v>8.8300000000000003E-2</v>
      </c>
      <c r="D175" s="137">
        <v>94.92</v>
      </c>
      <c r="E175" s="138">
        <v>9.2600000000000002E-2</v>
      </c>
      <c r="F175" s="137">
        <v>96.78</v>
      </c>
      <c r="G175" s="138">
        <v>9.4300000000000009E-2</v>
      </c>
      <c r="H175" s="137">
        <v>90.64</v>
      </c>
      <c r="I175" s="138">
        <v>9.4600000000000004E-2</v>
      </c>
    </row>
    <row r="176" spans="1:9" x14ac:dyDescent="0.35">
      <c r="A176" s="136">
        <v>42262</v>
      </c>
      <c r="B176" s="137">
        <v>96.85</v>
      </c>
      <c r="C176" s="138">
        <v>8.9200000000000002E-2</v>
      </c>
      <c r="D176" s="137">
        <v>94.58</v>
      </c>
      <c r="E176" s="138">
        <v>9.3200000000000005E-2</v>
      </c>
      <c r="F176" s="137">
        <v>96.76</v>
      </c>
      <c r="G176" s="138">
        <v>9.4300000000000009E-2</v>
      </c>
      <c r="H176" s="137">
        <v>90.5</v>
      </c>
      <c r="I176" s="138">
        <v>9.4800000000000009E-2</v>
      </c>
    </row>
    <row r="177" spans="1:9" x14ac:dyDescent="0.35">
      <c r="A177" s="133">
        <v>42263</v>
      </c>
      <c r="B177" s="134">
        <v>96.47</v>
      </c>
      <c r="C177" s="135">
        <v>9.0499999999999997E-2</v>
      </c>
      <c r="D177" s="134">
        <v>93.87</v>
      </c>
      <c r="E177" s="135">
        <v>9.4500000000000001E-2</v>
      </c>
      <c r="F177" s="134">
        <v>95.82</v>
      </c>
      <c r="G177" s="135">
        <v>9.5600000000000004E-2</v>
      </c>
      <c r="H177" s="134">
        <v>89.51</v>
      </c>
      <c r="I177" s="135">
        <v>9.6000000000000002E-2</v>
      </c>
    </row>
    <row r="178" spans="1:9" x14ac:dyDescent="0.35">
      <c r="A178" s="133">
        <v>42264</v>
      </c>
      <c r="B178" s="134">
        <v>96.27</v>
      </c>
      <c r="C178" s="135">
        <v>9.1200000000000003E-2</v>
      </c>
      <c r="D178" s="134">
        <v>93.64</v>
      </c>
      <c r="E178" s="135">
        <v>9.4899999999999998E-2</v>
      </c>
      <c r="F178" s="134">
        <v>95.79</v>
      </c>
      <c r="G178" s="135">
        <v>9.5700000000000007E-2</v>
      </c>
      <c r="H178" s="134">
        <v>89.26</v>
      </c>
      <c r="I178" s="135">
        <v>9.6299999999999997E-2</v>
      </c>
    </row>
    <row r="179" spans="1:9" x14ac:dyDescent="0.35">
      <c r="A179" s="133">
        <v>42265</v>
      </c>
      <c r="B179" s="134">
        <v>96.21</v>
      </c>
      <c r="C179" s="135">
        <v>9.1499999999999998E-2</v>
      </c>
      <c r="D179" s="134">
        <v>94.59</v>
      </c>
      <c r="E179" s="135">
        <v>9.3200000000000005E-2</v>
      </c>
      <c r="F179" s="134">
        <v>96.67</v>
      </c>
      <c r="G179" s="135">
        <v>9.4500000000000001E-2</v>
      </c>
      <c r="H179" s="134">
        <v>90.03</v>
      </c>
      <c r="I179" s="135">
        <v>9.5399999999999999E-2</v>
      </c>
    </row>
    <row r="180" spans="1:9" x14ac:dyDescent="0.35">
      <c r="A180" s="133">
        <v>42268</v>
      </c>
      <c r="B180" s="134">
        <v>97.1</v>
      </c>
      <c r="C180" s="135">
        <v>8.8400000000000006E-2</v>
      </c>
      <c r="D180" s="134">
        <v>96.05</v>
      </c>
      <c r="E180" s="135">
        <v>9.06E-2</v>
      </c>
      <c r="F180" s="134">
        <v>97.87</v>
      </c>
      <c r="G180" s="135">
        <v>9.2800000000000007E-2</v>
      </c>
      <c r="H180" s="134">
        <v>91.94</v>
      </c>
      <c r="I180" s="135">
        <v>9.2999999999999999E-2</v>
      </c>
    </row>
    <row r="181" spans="1:9" x14ac:dyDescent="0.35">
      <c r="A181" s="133">
        <v>42269</v>
      </c>
      <c r="B181" s="134">
        <v>96.67</v>
      </c>
      <c r="C181" s="135">
        <v>8.9900000000000008E-2</v>
      </c>
      <c r="D181" s="134">
        <v>95.94</v>
      </c>
      <c r="E181" s="135">
        <v>9.0800000000000006E-2</v>
      </c>
      <c r="F181" s="134">
        <v>97.63</v>
      </c>
      <c r="G181" s="135">
        <v>9.3200000000000005E-2</v>
      </c>
      <c r="H181" s="134">
        <v>91.62</v>
      </c>
      <c r="I181" s="135">
        <v>9.3399999999999997E-2</v>
      </c>
    </row>
    <row r="182" spans="1:9" x14ac:dyDescent="0.35">
      <c r="A182" s="136">
        <v>42270</v>
      </c>
      <c r="B182" s="137">
        <v>96.21</v>
      </c>
      <c r="C182" s="138">
        <v>9.1499999999999998E-2</v>
      </c>
      <c r="D182" s="137">
        <v>93.99</v>
      </c>
      <c r="E182" s="138">
        <v>9.4200000000000006E-2</v>
      </c>
      <c r="F182" s="137">
        <v>96.07</v>
      </c>
      <c r="G182" s="138">
        <v>9.530000000000001E-2</v>
      </c>
      <c r="H182" s="137">
        <v>89.99</v>
      </c>
      <c r="I182" s="138">
        <v>9.5399999999999999E-2</v>
      </c>
    </row>
    <row r="183" spans="1:9" x14ac:dyDescent="0.35">
      <c r="A183" s="136">
        <v>42272</v>
      </c>
      <c r="B183" s="137">
        <v>95.86</v>
      </c>
      <c r="C183" s="138">
        <v>9.2700000000000005E-2</v>
      </c>
      <c r="D183" s="137">
        <v>93.66</v>
      </c>
      <c r="E183" s="138">
        <v>9.4800000000000009E-2</v>
      </c>
      <c r="F183" s="137">
        <v>95.67</v>
      </c>
      <c r="G183" s="138">
        <v>9.5799999999999996E-2</v>
      </c>
      <c r="H183" s="137">
        <v>89.2</v>
      </c>
      <c r="I183" s="138">
        <v>9.64E-2</v>
      </c>
    </row>
    <row r="184" spans="1:9" x14ac:dyDescent="0.35">
      <c r="A184" s="136">
        <v>42275</v>
      </c>
      <c r="B184" s="137">
        <v>95.61</v>
      </c>
      <c r="C184" s="138">
        <v>9.3600000000000003E-2</v>
      </c>
      <c r="D184" s="137">
        <v>93.53</v>
      </c>
      <c r="E184" s="138">
        <v>9.5100000000000004E-2</v>
      </c>
      <c r="F184" s="137">
        <v>95.37</v>
      </c>
      <c r="G184" s="138">
        <v>9.6200000000000008E-2</v>
      </c>
      <c r="H184" s="137">
        <v>88.33</v>
      </c>
      <c r="I184" s="138">
        <v>9.7500000000000003E-2</v>
      </c>
    </row>
    <row r="185" spans="1:9" x14ac:dyDescent="0.35">
      <c r="A185" s="136">
        <v>42276</v>
      </c>
      <c r="B185" s="137">
        <v>94.97</v>
      </c>
      <c r="C185" s="138">
        <v>9.5899999999999999E-2</v>
      </c>
      <c r="D185" s="137">
        <v>91.75</v>
      </c>
      <c r="E185" s="138">
        <v>9.8400000000000001E-2</v>
      </c>
      <c r="F185" s="137">
        <v>93.52000000000001</v>
      </c>
      <c r="G185" s="138">
        <v>9.8799999999999999E-2</v>
      </c>
      <c r="H185" s="137">
        <v>86.67</v>
      </c>
      <c r="I185" s="138">
        <v>9.9699999999999997E-2</v>
      </c>
    </row>
    <row r="186" spans="1:9" x14ac:dyDescent="0.35">
      <c r="A186" s="136">
        <v>42277</v>
      </c>
      <c r="B186" s="137">
        <v>94.81</v>
      </c>
      <c r="C186" s="138">
        <v>9.64E-2</v>
      </c>
      <c r="D186" s="137">
        <v>92.800000000000011</v>
      </c>
      <c r="E186" s="138">
        <v>9.64E-2</v>
      </c>
      <c r="F186" s="137">
        <v>93.77000000000001</v>
      </c>
      <c r="G186" s="138">
        <v>9.8500000000000004E-2</v>
      </c>
      <c r="H186" s="137">
        <v>86.89</v>
      </c>
      <c r="I186" s="138">
        <v>9.9400000000000002E-2</v>
      </c>
    </row>
    <row r="187" spans="1:9" x14ac:dyDescent="0.35">
      <c r="A187" s="133">
        <v>42278</v>
      </c>
      <c r="B187" s="134">
        <v>95.47</v>
      </c>
      <c r="C187" s="135">
        <v>9.4100000000000003E-2</v>
      </c>
      <c r="D187" s="134">
        <v>93.63000000000001</v>
      </c>
      <c r="E187" s="135">
        <v>9.4899999999999998E-2</v>
      </c>
      <c r="F187" s="134">
        <v>95.42</v>
      </c>
      <c r="G187" s="135">
        <v>9.6200000000000008E-2</v>
      </c>
      <c r="H187" s="134">
        <v>88.01</v>
      </c>
      <c r="I187" s="135">
        <v>9.8000000000000004E-2</v>
      </c>
    </row>
    <row r="188" spans="1:9" x14ac:dyDescent="0.35">
      <c r="A188" s="133">
        <v>42279</v>
      </c>
      <c r="B188" s="134">
        <v>96.01</v>
      </c>
      <c r="C188" s="135">
        <v>9.2299999999999993E-2</v>
      </c>
      <c r="D188" s="134">
        <v>93.95</v>
      </c>
      <c r="E188" s="135">
        <v>9.4299999999999995E-2</v>
      </c>
      <c r="F188" s="134">
        <v>96.35</v>
      </c>
      <c r="G188" s="135">
        <v>9.4899999999999998E-2</v>
      </c>
      <c r="H188" s="134">
        <v>88.72</v>
      </c>
      <c r="I188" s="135">
        <v>9.7000000000000003E-2</v>
      </c>
    </row>
    <row r="189" spans="1:9" x14ac:dyDescent="0.35">
      <c r="A189" s="133">
        <v>42282</v>
      </c>
      <c r="B189" s="134">
        <v>96.45</v>
      </c>
      <c r="C189" s="135">
        <v>9.0800000000000006E-2</v>
      </c>
      <c r="D189" s="134">
        <v>95.240000000000009</v>
      </c>
      <c r="E189" s="135">
        <v>9.1999999999999998E-2</v>
      </c>
      <c r="F189" s="134">
        <v>97.64</v>
      </c>
      <c r="G189" s="135">
        <v>9.3100000000000002E-2</v>
      </c>
      <c r="H189" s="134">
        <v>91.23</v>
      </c>
      <c r="I189" s="135">
        <v>9.3899999999999997E-2</v>
      </c>
    </row>
    <row r="190" spans="1:9" x14ac:dyDescent="0.35">
      <c r="A190" s="133">
        <v>42283</v>
      </c>
      <c r="B190" s="134">
        <v>97.9</v>
      </c>
      <c r="C190" s="135">
        <v>8.5800000000000001E-2</v>
      </c>
      <c r="D190" s="134">
        <v>97.910000000000011</v>
      </c>
      <c r="E190" s="135">
        <v>8.7300000000000003E-2</v>
      </c>
      <c r="F190" s="134">
        <v>100.53</v>
      </c>
      <c r="G190" s="135">
        <v>8.9400000000000007E-2</v>
      </c>
      <c r="H190" s="134">
        <v>95.11</v>
      </c>
      <c r="I190" s="135">
        <v>8.9200000000000002E-2</v>
      </c>
    </row>
    <row r="191" spans="1:9" x14ac:dyDescent="0.35">
      <c r="A191" s="133">
        <v>42284</v>
      </c>
      <c r="B191" s="134">
        <v>98.68</v>
      </c>
      <c r="C191" s="135">
        <v>8.3199999999999996E-2</v>
      </c>
      <c r="D191" s="134">
        <v>98.61</v>
      </c>
      <c r="E191" s="135">
        <v>8.6099999999999996E-2</v>
      </c>
      <c r="F191" s="134">
        <v>101.33</v>
      </c>
      <c r="G191" s="135">
        <v>8.8300000000000003E-2</v>
      </c>
      <c r="H191" s="134">
        <v>95.62</v>
      </c>
      <c r="I191" s="135">
        <v>8.8700000000000001E-2</v>
      </c>
    </row>
    <row r="192" spans="1:9" x14ac:dyDescent="0.35">
      <c r="A192" s="136">
        <v>42285</v>
      </c>
      <c r="B192" s="137">
        <v>98.22</v>
      </c>
      <c r="C192" s="138">
        <v>8.48E-2</v>
      </c>
      <c r="D192" s="137">
        <v>97.85</v>
      </c>
      <c r="E192" s="138">
        <v>8.7400000000000005E-2</v>
      </c>
      <c r="F192" s="137">
        <v>100.12</v>
      </c>
      <c r="G192" s="138">
        <v>8.9900000000000008E-2</v>
      </c>
      <c r="H192" s="137">
        <v>94.2</v>
      </c>
      <c r="I192" s="138">
        <v>9.0300000000000005E-2</v>
      </c>
    </row>
    <row r="193" spans="1:9" x14ac:dyDescent="0.35">
      <c r="A193" s="136">
        <v>42286</v>
      </c>
      <c r="B193" s="137">
        <v>98.37</v>
      </c>
      <c r="C193" s="138">
        <v>8.43E-2</v>
      </c>
      <c r="D193" s="137">
        <v>98.68</v>
      </c>
      <c r="E193" s="138">
        <v>8.6000000000000007E-2</v>
      </c>
      <c r="F193" s="137">
        <v>101.25</v>
      </c>
      <c r="G193" s="138">
        <v>8.8400000000000006E-2</v>
      </c>
      <c r="H193" s="137">
        <v>94.98</v>
      </c>
      <c r="I193" s="138">
        <v>8.9400000000000007E-2</v>
      </c>
    </row>
    <row r="194" spans="1:9" x14ac:dyDescent="0.35">
      <c r="A194" s="136">
        <v>42289</v>
      </c>
      <c r="B194" s="137">
        <v>98.69</v>
      </c>
      <c r="C194" s="138">
        <v>8.3199999999999996E-2</v>
      </c>
      <c r="D194" s="137">
        <v>98.96</v>
      </c>
      <c r="E194" s="138">
        <v>8.5500000000000007E-2</v>
      </c>
      <c r="F194" s="137">
        <v>101.82</v>
      </c>
      <c r="G194" s="138">
        <v>8.77E-2</v>
      </c>
      <c r="H194" s="137">
        <v>95.67</v>
      </c>
      <c r="I194" s="138">
        <v>8.8599999999999998E-2</v>
      </c>
    </row>
    <row r="195" spans="1:9" x14ac:dyDescent="0.35">
      <c r="A195" s="136">
        <v>42290</v>
      </c>
      <c r="B195" s="137">
        <v>98.6</v>
      </c>
      <c r="C195" s="138">
        <v>8.3500000000000005E-2</v>
      </c>
      <c r="D195" s="137">
        <v>98.95</v>
      </c>
      <c r="E195" s="138">
        <v>8.5600000000000009E-2</v>
      </c>
      <c r="F195" s="137">
        <v>101.83</v>
      </c>
      <c r="G195" s="138">
        <v>8.77E-2</v>
      </c>
      <c r="H195" s="137">
        <v>95.69</v>
      </c>
      <c r="I195" s="138">
        <v>8.8599999999999998E-2</v>
      </c>
    </row>
    <row r="196" spans="1:9" x14ac:dyDescent="0.35">
      <c r="A196" s="136">
        <v>42292</v>
      </c>
      <c r="B196" s="137">
        <v>98.78</v>
      </c>
      <c r="C196" s="138">
        <v>8.2900000000000001E-2</v>
      </c>
      <c r="D196" s="137">
        <v>98.84</v>
      </c>
      <c r="E196" s="138">
        <v>8.5699999999999998E-2</v>
      </c>
      <c r="F196" s="137">
        <v>101.7</v>
      </c>
      <c r="G196" s="138">
        <v>8.7900000000000006E-2</v>
      </c>
      <c r="H196" s="137">
        <v>95.21</v>
      </c>
      <c r="I196" s="138">
        <v>8.9099999999999999E-2</v>
      </c>
    </row>
    <row r="197" spans="1:9" x14ac:dyDescent="0.35">
      <c r="A197" s="133">
        <v>42293</v>
      </c>
      <c r="B197" s="134">
        <v>97.22</v>
      </c>
      <c r="C197" s="135">
        <v>8.8200000000000001E-2</v>
      </c>
      <c r="D197" s="134">
        <v>98.24</v>
      </c>
      <c r="E197" s="135">
        <v>8.6800000000000002E-2</v>
      </c>
      <c r="F197" s="134">
        <v>100.69</v>
      </c>
      <c r="G197" s="135">
        <v>8.9099999999999999E-2</v>
      </c>
      <c r="H197" s="134">
        <v>94.01</v>
      </c>
      <c r="I197" s="135">
        <v>9.0499999999999997E-2</v>
      </c>
    </row>
    <row r="198" spans="1:9" x14ac:dyDescent="0.35">
      <c r="A198" s="133">
        <v>42296</v>
      </c>
      <c r="B198" s="134">
        <v>98.22</v>
      </c>
      <c r="C198" s="135">
        <v>8.48E-2</v>
      </c>
      <c r="D198" s="134">
        <v>98.47</v>
      </c>
      <c r="E198" s="135">
        <v>8.6400000000000005E-2</v>
      </c>
      <c r="F198" s="134">
        <v>101.12</v>
      </c>
      <c r="G198" s="135">
        <v>8.8599999999999998E-2</v>
      </c>
      <c r="H198" s="134">
        <v>94.55</v>
      </c>
      <c r="I198" s="135">
        <v>8.9900000000000008E-2</v>
      </c>
    </row>
    <row r="199" spans="1:9" x14ac:dyDescent="0.35">
      <c r="A199" s="133">
        <v>42297</v>
      </c>
      <c r="B199" s="134">
        <v>98.11</v>
      </c>
      <c r="C199" s="135">
        <v>8.5199999999999998E-2</v>
      </c>
      <c r="D199" s="134">
        <v>98.16</v>
      </c>
      <c r="E199" s="135">
        <v>8.6900000000000005E-2</v>
      </c>
      <c r="F199" s="134">
        <v>100.84</v>
      </c>
      <c r="G199" s="135">
        <v>8.8900000000000007E-2</v>
      </c>
      <c r="H199" s="134">
        <v>94.2</v>
      </c>
      <c r="I199" s="135">
        <v>9.0300000000000005E-2</v>
      </c>
    </row>
    <row r="200" spans="1:9" x14ac:dyDescent="0.35">
      <c r="A200" s="133">
        <v>42298</v>
      </c>
      <c r="B200" s="134">
        <v>98.02</v>
      </c>
      <c r="C200" s="135">
        <v>8.5500000000000007E-2</v>
      </c>
      <c r="D200" s="134">
        <v>97.97</v>
      </c>
      <c r="E200" s="135">
        <v>8.72E-2</v>
      </c>
      <c r="F200" s="134">
        <v>99.54</v>
      </c>
      <c r="G200" s="135">
        <v>9.06E-2</v>
      </c>
      <c r="H200" s="134">
        <v>93.25</v>
      </c>
      <c r="I200" s="135">
        <v>9.1400000000000009E-2</v>
      </c>
    </row>
    <row r="201" spans="1:9" x14ac:dyDescent="0.35">
      <c r="A201" s="133">
        <v>42299</v>
      </c>
      <c r="B201" s="134">
        <v>98.02</v>
      </c>
      <c r="C201" s="135">
        <v>8.5500000000000007E-2</v>
      </c>
      <c r="D201" s="134">
        <v>97.93</v>
      </c>
      <c r="E201" s="135">
        <v>8.7300000000000003E-2</v>
      </c>
      <c r="F201" s="134">
        <v>99.47</v>
      </c>
      <c r="G201" s="135">
        <v>9.0700000000000003E-2</v>
      </c>
      <c r="H201" s="134">
        <v>92.89</v>
      </c>
      <c r="I201" s="135">
        <v>9.1900000000000009E-2</v>
      </c>
    </row>
    <row r="202" spans="1:9" x14ac:dyDescent="0.35">
      <c r="A202" s="136">
        <v>42300</v>
      </c>
      <c r="B202" s="137">
        <v>97.94</v>
      </c>
      <c r="C202" s="138">
        <v>8.5800000000000001E-2</v>
      </c>
      <c r="D202" s="137">
        <v>98.38</v>
      </c>
      <c r="E202" s="138">
        <v>8.6500000000000007E-2</v>
      </c>
      <c r="F202" s="137">
        <v>100.41</v>
      </c>
      <c r="G202" s="138">
        <v>8.9499999999999996E-2</v>
      </c>
      <c r="H202" s="137">
        <v>93.74</v>
      </c>
      <c r="I202" s="138">
        <v>9.0800000000000006E-2</v>
      </c>
    </row>
    <row r="203" spans="1:9" x14ac:dyDescent="0.35">
      <c r="A203" s="136">
        <v>42303</v>
      </c>
      <c r="B203" s="137">
        <v>97.95</v>
      </c>
      <c r="C203" s="138">
        <v>8.5699999999999998E-2</v>
      </c>
      <c r="D203" s="137">
        <v>98.63</v>
      </c>
      <c r="E203" s="138">
        <v>8.6099999999999996E-2</v>
      </c>
      <c r="F203" s="137">
        <v>100.55</v>
      </c>
      <c r="G203" s="138">
        <v>8.9300000000000004E-2</v>
      </c>
      <c r="H203" s="137">
        <v>94.47</v>
      </c>
      <c r="I203" s="138">
        <v>0.09</v>
      </c>
    </row>
    <row r="204" spans="1:9" x14ac:dyDescent="0.35">
      <c r="A204" s="136">
        <v>42304</v>
      </c>
      <c r="B204" s="137">
        <v>97.99</v>
      </c>
      <c r="C204" s="138">
        <v>8.5600000000000009E-2</v>
      </c>
      <c r="D204" s="137">
        <v>98.77</v>
      </c>
      <c r="E204" s="138">
        <v>8.5900000000000004E-2</v>
      </c>
      <c r="F204" s="137">
        <v>100.63</v>
      </c>
      <c r="G204" s="138">
        <v>8.9200000000000002E-2</v>
      </c>
      <c r="H204" s="137">
        <v>94.8</v>
      </c>
      <c r="I204" s="138">
        <v>8.9599999999999999E-2</v>
      </c>
    </row>
    <row r="205" spans="1:9" x14ac:dyDescent="0.35">
      <c r="A205" s="136">
        <v>42305</v>
      </c>
      <c r="B205" s="137">
        <v>98.13</v>
      </c>
      <c r="C205" s="138">
        <v>8.5100000000000009E-2</v>
      </c>
      <c r="D205" s="137">
        <v>99.12</v>
      </c>
      <c r="E205" s="138">
        <v>8.5300000000000001E-2</v>
      </c>
      <c r="F205" s="137">
        <v>100.89</v>
      </c>
      <c r="G205" s="138">
        <v>8.8900000000000007E-2</v>
      </c>
      <c r="H205" s="137">
        <v>95.08</v>
      </c>
      <c r="I205" s="138">
        <v>8.9300000000000004E-2</v>
      </c>
    </row>
    <row r="206" spans="1:9" x14ac:dyDescent="0.35">
      <c r="A206" s="136">
        <v>42306</v>
      </c>
      <c r="B206" s="137">
        <v>97.77</v>
      </c>
      <c r="C206" s="138">
        <v>8.6400000000000005E-2</v>
      </c>
      <c r="D206" s="137">
        <v>98.51</v>
      </c>
      <c r="E206" s="138">
        <v>8.6300000000000002E-2</v>
      </c>
      <c r="F206" s="137">
        <v>100.48</v>
      </c>
      <c r="G206" s="138">
        <v>8.9400000000000007E-2</v>
      </c>
      <c r="H206" s="137">
        <v>94.51</v>
      </c>
      <c r="I206" s="138">
        <v>8.9900000000000008E-2</v>
      </c>
    </row>
    <row r="207" spans="1:9" x14ac:dyDescent="0.35">
      <c r="A207" s="133">
        <v>42307</v>
      </c>
      <c r="B207" s="134">
        <v>97.53</v>
      </c>
      <c r="C207" s="135">
        <v>8.72E-2</v>
      </c>
      <c r="D207" s="134">
        <v>97.58</v>
      </c>
      <c r="E207" s="135">
        <v>8.7900000000000006E-2</v>
      </c>
      <c r="F207" s="134">
        <v>99.36</v>
      </c>
      <c r="G207" s="135">
        <v>9.0900000000000009E-2</v>
      </c>
      <c r="H207" s="134">
        <v>93.39</v>
      </c>
      <c r="I207" s="135">
        <v>9.1300000000000006E-2</v>
      </c>
    </row>
    <row r="208" spans="1:9" x14ac:dyDescent="0.35">
      <c r="A208" s="133">
        <v>42310</v>
      </c>
      <c r="B208" s="134">
        <v>97.55</v>
      </c>
      <c r="C208" s="135">
        <v>8.72E-2</v>
      </c>
      <c r="D208" s="134">
        <v>97.21</v>
      </c>
      <c r="E208" s="135">
        <v>8.8599999999999998E-2</v>
      </c>
      <c r="F208" s="134">
        <v>99.22</v>
      </c>
      <c r="G208" s="135">
        <v>9.0999999999999998E-2</v>
      </c>
      <c r="H208" s="134">
        <v>93.23</v>
      </c>
      <c r="I208" s="135">
        <v>9.1499999999999998E-2</v>
      </c>
    </row>
    <row r="209" spans="1:9" x14ac:dyDescent="0.35">
      <c r="A209" s="133">
        <v>42311</v>
      </c>
      <c r="B209" s="134">
        <v>97.6</v>
      </c>
      <c r="C209" s="135">
        <v>8.7000000000000008E-2</v>
      </c>
      <c r="D209" s="134">
        <v>97.69</v>
      </c>
      <c r="E209" s="135">
        <v>8.77E-2</v>
      </c>
      <c r="F209" s="134">
        <v>99.56</v>
      </c>
      <c r="G209" s="135">
        <v>9.06E-2</v>
      </c>
      <c r="H209" s="134">
        <v>93.52</v>
      </c>
      <c r="I209" s="135">
        <v>9.11E-2</v>
      </c>
    </row>
    <row r="210" spans="1:9" x14ac:dyDescent="0.35">
      <c r="A210" s="133">
        <v>42312</v>
      </c>
      <c r="B210" s="134">
        <v>97.8</v>
      </c>
      <c r="C210" s="135">
        <v>8.6300000000000002E-2</v>
      </c>
      <c r="D210" s="134">
        <v>98.26</v>
      </c>
      <c r="E210" s="135">
        <v>8.6699999999999999E-2</v>
      </c>
      <c r="F210" s="134">
        <v>100.64</v>
      </c>
      <c r="G210" s="135">
        <v>8.9200000000000002E-2</v>
      </c>
      <c r="H210" s="134">
        <v>94.34</v>
      </c>
      <c r="I210" s="135">
        <v>9.01E-2</v>
      </c>
    </row>
    <row r="211" spans="1:9" x14ac:dyDescent="0.35">
      <c r="A211" s="133">
        <v>42313</v>
      </c>
      <c r="B211" s="134">
        <v>97.8</v>
      </c>
      <c r="C211" s="135">
        <v>8.6300000000000002E-2</v>
      </c>
      <c r="D211" s="134">
        <v>98.14</v>
      </c>
      <c r="E211" s="135">
        <v>8.6900000000000005E-2</v>
      </c>
      <c r="F211" s="134">
        <v>100.1</v>
      </c>
      <c r="G211" s="135">
        <v>8.9900000000000008E-2</v>
      </c>
      <c r="H211" s="134">
        <v>94.08</v>
      </c>
      <c r="I211" s="135">
        <v>9.0400000000000008E-2</v>
      </c>
    </row>
    <row r="212" spans="1:9" x14ac:dyDescent="0.35">
      <c r="A212" s="136">
        <v>42314</v>
      </c>
      <c r="B212" s="137">
        <v>98.01</v>
      </c>
      <c r="C212" s="138">
        <v>8.5600000000000009E-2</v>
      </c>
      <c r="D212" s="137">
        <v>98.79</v>
      </c>
      <c r="E212" s="138">
        <v>8.5800000000000001E-2</v>
      </c>
      <c r="F212" s="137">
        <v>100.87</v>
      </c>
      <c r="G212" s="138">
        <v>8.8900000000000007E-2</v>
      </c>
      <c r="H212" s="137">
        <v>94.78</v>
      </c>
      <c r="I212" s="138">
        <v>8.9599999999999999E-2</v>
      </c>
    </row>
    <row r="213" spans="1:9" x14ac:dyDescent="0.35">
      <c r="A213" s="136">
        <v>42317</v>
      </c>
      <c r="B213" s="137">
        <v>97.8</v>
      </c>
      <c r="C213" s="138">
        <v>8.6300000000000002E-2</v>
      </c>
      <c r="D213" s="137">
        <v>98.04</v>
      </c>
      <c r="E213" s="138">
        <v>8.7099999999999997E-2</v>
      </c>
      <c r="F213" s="137">
        <v>100.24</v>
      </c>
      <c r="G213" s="138">
        <v>8.9700000000000002E-2</v>
      </c>
      <c r="H213" s="137">
        <v>93.98</v>
      </c>
      <c r="I213" s="138">
        <v>9.06E-2</v>
      </c>
    </row>
    <row r="214" spans="1:9" x14ac:dyDescent="0.35">
      <c r="A214" s="136">
        <v>42318</v>
      </c>
      <c r="B214" s="137">
        <v>97.68</v>
      </c>
      <c r="C214" s="138">
        <v>8.6699999999999999E-2</v>
      </c>
      <c r="D214" s="137">
        <v>98.17</v>
      </c>
      <c r="E214" s="138">
        <v>8.6900000000000005E-2</v>
      </c>
      <c r="F214" s="137">
        <v>100.46</v>
      </c>
      <c r="G214" s="138">
        <v>8.9400000000000007E-2</v>
      </c>
      <c r="H214" s="137">
        <v>94.31</v>
      </c>
      <c r="I214" s="138">
        <v>9.0200000000000002E-2</v>
      </c>
    </row>
    <row r="215" spans="1:9" x14ac:dyDescent="0.35">
      <c r="A215" s="136">
        <v>42319</v>
      </c>
      <c r="B215" s="137">
        <v>98.19</v>
      </c>
      <c r="C215" s="138">
        <v>8.5000000000000006E-2</v>
      </c>
      <c r="D215" s="137">
        <v>98.94</v>
      </c>
      <c r="E215" s="138">
        <v>8.5600000000000009E-2</v>
      </c>
      <c r="F215" s="137">
        <v>101.57</v>
      </c>
      <c r="G215" s="138">
        <v>8.8000000000000009E-2</v>
      </c>
      <c r="H215" s="137">
        <v>95.35</v>
      </c>
      <c r="I215" s="138">
        <v>8.900000000000001E-2</v>
      </c>
    </row>
    <row r="216" spans="1:9" x14ac:dyDescent="0.35">
      <c r="A216" s="136">
        <v>42320</v>
      </c>
      <c r="B216" s="137">
        <v>98.12</v>
      </c>
      <c r="C216" s="138">
        <v>8.5199999999999998E-2</v>
      </c>
      <c r="D216" s="137">
        <v>98.93</v>
      </c>
      <c r="E216" s="138">
        <v>8.5600000000000009E-2</v>
      </c>
      <c r="F216" s="137">
        <v>101.11</v>
      </c>
      <c r="G216" s="138">
        <v>8.8599999999999998E-2</v>
      </c>
      <c r="H216" s="137">
        <v>95.57</v>
      </c>
      <c r="I216" s="138">
        <v>8.8700000000000001E-2</v>
      </c>
    </row>
    <row r="217" spans="1:9" x14ac:dyDescent="0.35">
      <c r="A217" s="133">
        <v>42321</v>
      </c>
      <c r="B217" s="134">
        <v>98.11</v>
      </c>
      <c r="C217" s="135">
        <v>8.5300000000000001E-2</v>
      </c>
      <c r="D217" s="134">
        <v>98.49</v>
      </c>
      <c r="E217" s="135">
        <v>8.6300000000000002E-2</v>
      </c>
      <c r="F217" s="134">
        <v>100.83</v>
      </c>
      <c r="G217" s="135">
        <v>8.8900000000000007E-2</v>
      </c>
      <c r="H217" s="134">
        <v>95.38</v>
      </c>
      <c r="I217" s="135">
        <v>8.8900000000000007E-2</v>
      </c>
    </row>
    <row r="218" spans="1:9" x14ac:dyDescent="0.35">
      <c r="A218" s="133">
        <v>42324</v>
      </c>
      <c r="B218" s="134">
        <v>97.95</v>
      </c>
      <c r="C218" s="135">
        <v>8.5800000000000001E-2</v>
      </c>
      <c r="D218" s="134">
        <v>98.47</v>
      </c>
      <c r="E218" s="135">
        <v>8.6400000000000005E-2</v>
      </c>
      <c r="F218" s="134">
        <v>101.44</v>
      </c>
      <c r="G218" s="135">
        <v>8.8200000000000001E-2</v>
      </c>
      <c r="H218" s="134">
        <v>95.84</v>
      </c>
      <c r="I218" s="135">
        <v>8.8400000000000006E-2</v>
      </c>
    </row>
    <row r="219" spans="1:9" x14ac:dyDescent="0.35">
      <c r="A219" s="133">
        <v>42325</v>
      </c>
      <c r="B219" s="134">
        <v>98.04</v>
      </c>
      <c r="C219" s="135">
        <v>8.5500000000000007E-2</v>
      </c>
      <c r="D219" s="134">
        <v>98.52</v>
      </c>
      <c r="E219" s="135">
        <v>8.6300000000000002E-2</v>
      </c>
      <c r="F219" s="134">
        <v>101.4</v>
      </c>
      <c r="G219" s="135">
        <v>8.8200000000000001E-2</v>
      </c>
      <c r="H219" s="134">
        <v>95.8</v>
      </c>
      <c r="I219" s="135">
        <v>8.8400000000000006E-2</v>
      </c>
    </row>
    <row r="220" spans="1:9" x14ac:dyDescent="0.35">
      <c r="A220" s="133">
        <v>42326</v>
      </c>
      <c r="B220" s="134">
        <v>98.16</v>
      </c>
      <c r="C220" s="135">
        <v>8.5100000000000009E-2</v>
      </c>
      <c r="D220" s="134">
        <v>98.9</v>
      </c>
      <c r="E220" s="135">
        <v>8.5600000000000009E-2</v>
      </c>
      <c r="F220" s="134">
        <v>101.94</v>
      </c>
      <c r="G220" s="135">
        <v>8.7500000000000008E-2</v>
      </c>
      <c r="H220" s="134">
        <v>96.16</v>
      </c>
      <c r="I220" s="135">
        <v>8.8000000000000009E-2</v>
      </c>
    </row>
    <row r="221" spans="1:9" x14ac:dyDescent="0.35">
      <c r="A221" s="133">
        <v>42327</v>
      </c>
      <c r="B221" s="134">
        <v>98.21</v>
      </c>
      <c r="C221" s="135">
        <v>8.4900000000000003E-2</v>
      </c>
      <c r="D221" s="134">
        <v>98.87</v>
      </c>
      <c r="E221" s="135">
        <v>8.5699999999999998E-2</v>
      </c>
      <c r="F221" s="134">
        <v>101.94</v>
      </c>
      <c r="G221" s="135">
        <v>8.7500000000000008E-2</v>
      </c>
      <c r="H221" s="134">
        <v>96.18</v>
      </c>
      <c r="I221" s="135">
        <v>8.8000000000000009E-2</v>
      </c>
    </row>
    <row r="222" spans="1:9" x14ac:dyDescent="0.35">
      <c r="A222" s="136">
        <v>42328</v>
      </c>
      <c r="B222" s="137">
        <v>98.17</v>
      </c>
      <c r="C222" s="138">
        <v>8.5100000000000009E-2</v>
      </c>
      <c r="D222" s="137">
        <v>98.68</v>
      </c>
      <c r="E222" s="138">
        <v>8.6000000000000007E-2</v>
      </c>
      <c r="F222" s="137">
        <v>101.75</v>
      </c>
      <c r="G222" s="138">
        <v>8.7800000000000003E-2</v>
      </c>
      <c r="H222" s="137">
        <v>95.75</v>
      </c>
      <c r="I222" s="138">
        <v>8.8500000000000009E-2</v>
      </c>
    </row>
    <row r="223" spans="1:9" x14ac:dyDescent="0.35">
      <c r="A223" s="136">
        <v>42331</v>
      </c>
      <c r="B223" s="137">
        <v>98.14</v>
      </c>
      <c r="C223" s="138">
        <v>8.5199999999999998E-2</v>
      </c>
      <c r="D223" s="137">
        <v>98.53</v>
      </c>
      <c r="E223" s="138">
        <v>8.6300000000000002E-2</v>
      </c>
      <c r="F223" s="137">
        <v>101.69</v>
      </c>
      <c r="G223" s="138">
        <v>8.7800000000000003E-2</v>
      </c>
      <c r="H223" s="137">
        <v>96.05</v>
      </c>
      <c r="I223" s="138">
        <v>8.8200000000000001E-2</v>
      </c>
    </row>
    <row r="224" spans="1:9" x14ac:dyDescent="0.35">
      <c r="A224" s="136">
        <v>42332</v>
      </c>
      <c r="B224" s="137">
        <v>98.04</v>
      </c>
      <c r="C224" s="138">
        <v>8.5500000000000007E-2</v>
      </c>
      <c r="D224" s="137">
        <v>98.21</v>
      </c>
      <c r="E224" s="138">
        <v>8.6800000000000002E-2</v>
      </c>
      <c r="F224" s="137">
        <v>101.23</v>
      </c>
      <c r="G224" s="138">
        <v>8.8400000000000006E-2</v>
      </c>
      <c r="H224" s="137">
        <v>95.87</v>
      </c>
      <c r="I224" s="138">
        <v>8.8400000000000006E-2</v>
      </c>
    </row>
    <row r="225" spans="1:9" x14ac:dyDescent="0.35">
      <c r="A225" s="136">
        <v>42333</v>
      </c>
      <c r="B225" s="137">
        <v>98.42</v>
      </c>
      <c r="C225" s="138">
        <v>8.4199999999999997E-2</v>
      </c>
      <c r="D225" s="137">
        <v>98.79</v>
      </c>
      <c r="E225" s="138">
        <v>8.5800000000000001E-2</v>
      </c>
      <c r="F225" s="137">
        <v>101.77</v>
      </c>
      <c r="G225" s="138">
        <v>8.77E-2</v>
      </c>
      <c r="H225" s="137">
        <v>96.18</v>
      </c>
      <c r="I225" s="138">
        <v>8.8000000000000009E-2</v>
      </c>
    </row>
    <row r="226" spans="1:9" x14ac:dyDescent="0.35">
      <c r="A226" s="136">
        <v>42334</v>
      </c>
      <c r="B226" s="137">
        <v>98.48</v>
      </c>
      <c r="C226" s="138">
        <v>8.4000000000000005E-2</v>
      </c>
      <c r="D226" s="137">
        <v>98.87</v>
      </c>
      <c r="E226" s="138">
        <v>8.5699999999999998E-2</v>
      </c>
      <c r="F226" s="137">
        <v>102.01</v>
      </c>
      <c r="G226" s="138">
        <v>8.7400000000000005E-2</v>
      </c>
      <c r="H226" s="137">
        <v>96.11</v>
      </c>
      <c r="I226" s="138">
        <v>8.8099999999999998E-2</v>
      </c>
    </row>
    <row r="227" spans="1:9" x14ac:dyDescent="0.35">
      <c r="A227" s="133">
        <v>42335</v>
      </c>
      <c r="B227" s="134">
        <v>98.55</v>
      </c>
      <c r="C227" s="135">
        <v>8.3799999999999999E-2</v>
      </c>
      <c r="D227" s="134">
        <v>98.96</v>
      </c>
      <c r="E227" s="135">
        <v>8.5500000000000007E-2</v>
      </c>
      <c r="F227" s="134">
        <v>102.5</v>
      </c>
      <c r="G227" s="135">
        <v>8.6800000000000002E-2</v>
      </c>
      <c r="H227" s="134">
        <v>96.27</v>
      </c>
      <c r="I227" s="135">
        <v>8.7900000000000006E-2</v>
      </c>
    </row>
    <row r="228" spans="1:9" x14ac:dyDescent="0.35">
      <c r="A228" s="133">
        <v>42338</v>
      </c>
      <c r="B228" s="134">
        <v>98.21</v>
      </c>
      <c r="C228" s="135">
        <v>8.5000000000000006E-2</v>
      </c>
      <c r="D228" s="134">
        <v>98.55</v>
      </c>
      <c r="E228" s="135">
        <v>8.6199999999999999E-2</v>
      </c>
      <c r="F228" s="134">
        <v>102.25</v>
      </c>
      <c r="G228" s="135">
        <v>8.7099999999999997E-2</v>
      </c>
      <c r="H228" s="134">
        <v>96.03</v>
      </c>
      <c r="I228" s="135">
        <v>8.8200000000000001E-2</v>
      </c>
    </row>
    <row r="229" spans="1:9" x14ac:dyDescent="0.35">
      <c r="A229" s="133">
        <v>42339</v>
      </c>
      <c r="B229" s="134">
        <v>98.39</v>
      </c>
      <c r="C229" s="135">
        <v>8.43E-2</v>
      </c>
      <c r="D229" s="134">
        <v>99.03</v>
      </c>
      <c r="E229" s="135">
        <v>8.5400000000000004E-2</v>
      </c>
      <c r="F229" s="134">
        <v>102.57</v>
      </c>
      <c r="G229" s="135">
        <v>8.6699999999999999E-2</v>
      </c>
      <c r="H229" s="134">
        <v>96.23</v>
      </c>
      <c r="I229" s="135">
        <v>8.8000000000000009E-2</v>
      </c>
    </row>
    <row r="230" spans="1:9" x14ac:dyDescent="0.35">
      <c r="A230" s="133">
        <v>42340</v>
      </c>
      <c r="B230" s="134">
        <v>98.78</v>
      </c>
      <c r="C230" s="135">
        <v>8.3000000000000004E-2</v>
      </c>
      <c r="D230" s="134">
        <v>99.75</v>
      </c>
      <c r="E230" s="135">
        <v>8.4199999999999997E-2</v>
      </c>
      <c r="F230" s="134">
        <v>103.44</v>
      </c>
      <c r="G230" s="135">
        <v>8.5600000000000009E-2</v>
      </c>
      <c r="H230" s="134">
        <v>97.34</v>
      </c>
      <c r="I230" s="135">
        <v>8.6699999999999999E-2</v>
      </c>
    </row>
    <row r="231" spans="1:9" x14ac:dyDescent="0.35">
      <c r="A231" s="133">
        <v>42341</v>
      </c>
      <c r="B231" s="134">
        <v>98.49</v>
      </c>
      <c r="C231" s="135">
        <v>8.4000000000000005E-2</v>
      </c>
      <c r="D231" s="134">
        <v>99.49</v>
      </c>
      <c r="E231" s="135">
        <v>8.4600000000000009E-2</v>
      </c>
      <c r="F231" s="134">
        <v>103.17</v>
      </c>
      <c r="G231" s="135">
        <v>8.6000000000000007E-2</v>
      </c>
      <c r="H231" s="134">
        <v>96.96</v>
      </c>
      <c r="I231" s="135">
        <v>8.7099999999999997E-2</v>
      </c>
    </row>
    <row r="232" spans="1:9" x14ac:dyDescent="0.35">
      <c r="A232" s="136">
        <v>42342</v>
      </c>
      <c r="B232" s="137">
        <v>98.38</v>
      </c>
      <c r="C232" s="138">
        <v>8.4400000000000003E-2</v>
      </c>
      <c r="D232" s="137">
        <v>99.33</v>
      </c>
      <c r="E232" s="138">
        <v>8.4900000000000003E-2</v>
      </c>
      <c r="F232" s="137">
        <v>103.04</v>
      </c>
      <c r="G232" s="138">
        <v>8.6099999999999996E-2</v>
      </c>
      <c r="H232" s="137">
        <v>96.47</v>
      </c>
      <c r="I232" s="138">
        <v>8.77E-2</v>
      </c>
    </row>
    <row r="233" spans="1:9" x14ac:dyDescent="0.35">
      <c r="A233" s="136">
        <v>42345</v>
      </c>
      <c r="B233" s="137">
        <v>98.32</v>
      </c>
      <c r="C233" s="138">
        <v>8.4600000000000009E-2</v>
      </c>
      <c r="D233" s="137">
        <v>99.06</v>
      </c>
      <c r="E233" s="138">
        <v>8.5400000000000004E-2</v>
      </c>
      <c r="F233" s="137">
        <v>102.69</v>
      </c>
      <c r="G233" s="138">
        <v>8.6599999999999996E-2</v>
      </c>
      <c r="H233" s="137">
        <v>96.23</v>
      </c>
      <c r="I233" s="138">
        <v>8.8000000000000009E-2</v>
      </c>
    </row>
    <row r="234" spans="1:9" x14ac:dyDescent="0.35">
      <c r="A234" s="136">
        <v>42346</v>
      </c>
      <c r="B234" s="137">
        <v>98.29</v>
      </c>
      <c r="C234" s="138">
        <v>8.4699999999999998E-2</v>
      </c>
      <c r="D234" s="137">
        <v>98.95</v>
      </c>
      <c r="E234" s="138">
        <v>8.5600000000000009E-2</v>
      </c>
      <c r="F234" s="137">
        <v>102.45</v>
      </c>
      <c r="G234" s="138">
        <v>8.6900000000000005E-2</v>
      </c>
      <c r="H234" s="137">
        <v>96.04</v>
      </c>
      <c r="I234" s="138">
        <v>8.8200000000000001E-2</v>
      </c>
    </row>
    <row r="235" spans="1:9" x14ac:dyDescent="0.35">
      <c r="A235" s="136">
        <v>42348</v>
      </c>
      <c r="B235" s="137">
        <v>98</v>
      </c>
      <c r="C235" s="138">
        <v>8.5699999999999998E-2</v>
      </c>
      <c r="D235" s="137">
        <v>98.89</v>
      </c>
      <c r="E235" s="138">
        <v>8.5699999999999998E-2</v>
      </c>
      <c r="F235" s="137">
        <v>101.98</v>
      </c>
      <c r="G235" s="138">
        <v>8.7500000000000008E-2</v>
      </c>
      <c r="H235" s="137">
        <v>96.04</v>
      </c>
      <c r="I235" s="138">
        <v>8.8200000000000001E-2</v>
      </c>
    </row>
    <row r="236" spans="1:9" x14ac:dyDescent="0.35">
      <c r="A236" s="136">
        <v>42349</v>
      </c>
      <c r="B236" s="137">
        <v>97.89</v>
      </c>
      <c r="C236" s="138">
        <v>8.6099999999999996E-2</v>
      </c>
      <c r="D236" s="137">
        <v>98.66</v>
      </c>
      <c r="E236" s="138">
        <v>8.6099999999999996E-2</v>
      </c>
      <c r="F236" s="137">
        <v>101.68</v>
      </c>
      <c r="G236" s="138">
        <v>8.7800000000000003E-2</v>
      </c>
      <c r="H236" s="137">
        <v>95.68</v>
      </c>
      <c r="I236" s="138">
        <v>8.8599999999999998E-2</v>
      </c>
    </row>
    <row r="237" spans="1:9" x14ac:dyDescent="0.35">
      <c r="A237" s="133">
        <v>42352</v>
      </c>
      <c r="B237" s="134">
        <v>97.62</v>
      </c>
      <c r="C237" s="135">
        <v>8.7099999999999997E-2</v>
      </c>
      <c r="D237" s="134">
        <v>96.97</v>
      </c>
      <c r="E237" s="135">
        <v>8.900000000000001E-2</v>
      </c>
      <c r="F237" s="134">
        <v>99.77</v>
      </c>
      <c r="G237" s="135">
        <v>9.0300000000000005E-2</v>
      </c>
      <c r="H237" s="134">
        <v>94</v>
      </c>
      <c r="I237" s="135">
        <v>9.06E-2</v>
      </c>
    </row>
    <row r="238" spans="1:9" x14ac:dyDescent="0.35">
      <c r="A238" s="133">
        <v>42353</v>
      </c>
      <c r="B238" s="134">
        <v>97.16</v>
      </c>
      <c r="C238" s="135">
        <v>8.8800000000000004E-2</v>
      </c>
      <c r="D238" s="134">
        <v>96.01</v>
      </c>
      <c r="E238" s="135">
        <v>9.0700000000000003E-2</v>
      </c>
      <c r="F238" s="134">
        <v>98.8</v>
      </c>
      <c r="G238" s="135">
        <v>9.1600000000000001E-2</v>
      </c>
      <c r="H238" s="134">
        <v>92.56</v>
      </c>
      <c r="I238" s="135">
        <v>9.2300000000000007E-2</v>
      </c>
    </row>
    <row r="239" spans="1:9" x14ac:dyDescent="0.35">
      <c r="A239" s="133">
        <v>42354</v>
      </c>
      <c r="B239" s="134">
        <v>97.24</v>
      </c>
      <c r="C239" s="135">
        <v>8.8500000000000009E-2</v>
      </c>
      <c r="D239" s="134">
        <v>96.62</v>
      </c>
      <c r="E239" s="135">
        <v>8.9599999999999999E-2</v>
      </c>
      <c r="F239" s="134">
        <v>99.21</v>
      </c>
      <c r="G239" s="135">
        <v>9.11E-2</v>
      </c>
      <c r="H239" s="134">
        <v>92.37</v>
      </c>
      <c r="I239" s="135">
        <v>9.2499999999999999E-2</v>
      </c>
    </row>
    <row r="240" spans="1:9" x14ac:dyDescent="0.35">
      <c r="A240" s="133">
        <v>42355</v>
      </c>
      <c r="B240" s="134">
        <v>97.85</v>
      </c>
      <c r="C240" s="135">
        <v>8.6300000000000002E-2</v>
      </c>
      <c r="D240" s="134">
        <v>97.97</v>
      </c>
      <c r="E240" s="135">
        <v>8.7300000000000003E-2</v>
      </c>
      <c r="F240" s="134">
        <v>100.93</v>
      </c>
      <c r="G240" s="135">
        <v>8.8800000000000004E-2</v>
      </c>
      <c r="H240" s="134">
        <v>94.34</v>
      </c>
      <c r="I240" s="135">
        <v>9.0200000000000002E-2</v>
      </c>
    </row>
    <row r="241" spans="1:9" x14ac:dyDescent="0.35">
      <c r="A241" s="133">
        <v>42356</v>
      </c>
      <c r="B241" s="134">
        <v>97.93</v>
      </c>
      <c r="C241" s="135">
        <v>8.6000000000000007E-2</v>
      </c>
      <c r="D241" s="134">
        <v>98.33</v>
      </c>
      <c r="E241" s="135">
        <v>8.6599999999999996E-2</v>
      </c>
      <c r="F241" s="134">
        <v>101.34</v>
      </c>
      <c r="G241" s="135">
        <v>8.8300000000000003E-2</v>
      </c>
      <c r="H241" s="134">
        <v>94.93</v>
      </c>
      <c r="I241" s="135">
        <v>8.9499999999999996E-2</v>
      </c>
    </row>
    <row r="242" spans="1:9" x14ac:dyDescent="0.35">
      <c r="A242" s="136">
        <v>42359</v>
      </c>
      <c r="B242" s="137">
        <v>97.8</v>
      </c>
      <c r="C242" s="138">
        <v>8.6500000000000007E-2</v>
      </c>
      <c r="D242" s="137">
        <v>97.86</v>
      </c>
      <c r="E242" s="138">
        <v>8.7500000000000008E-2</v>
      </c>
      <c r="F242" s="137">
        <v>100.96</v>
      </c>
      <c r="G242" s="138">
        <v>8.8800000000000004E-2</v>
      </c>
      <c r="H242" s="137">
        <v>94.61</v>
      </c>
      <c r="I242" s="138">
        <v>8.9800000000000005E-2</v>
      </c>
    </row>
    <row r="243" spans="1:9" x14ac:dyDescent="0.35">
      <c r="A243" s="136">
        <v>42360</v>
      </c>
      <c r="B243" s="137">
        <v>97.85</v>
      </c>
      <c r="C243" s="138">
        <v>8.6300000000000002E-2</v>
      </c>
      <c r="D243" s="137">
        <v>98.29</v>
      </c>
      <c r="E243" s="138">
        <v>8.6699999999999999E-2</v>
      </c>
      <c r="F243" s="137">
        <v>101.15</v>
      </c>
      <c r="G243" s="138">
        <v>8.8500000000000009E-2</v>
      </c>
      <c r="H243" s="137">
        <v>94.66</v>
      </c>
      <c r="I243" s="138">
        <v>8.9800000000000005E-2</v>
      </c>
    </row>
    <row r="244" spans="1:9" x14ac:dyDescent="0.35">
      <c r="A244" s="136">
        <v>42361</v>
      </c>
      <c r="B244" s="137">
        <v>97.800000000000011</v>
      </c>
      <c r="C244" s="138">
        <v>8.6500000000000007E-2</v>
      </c>
      <c r="D244" s="137">
        <v>98.160000000000011</v>
      </c>
      <c r="E244" s="138">
        <v>8.6900000000000005E-2</v>
      </c>
      <c r="F244" s="137">
        <v>101.09</v>
      </c>
      <c r="G244" s="138">
        <v>8.8599999999999998E-2</v>
      </c>
      <c r="H244" s="137">
        <v>94.48</v>
      </c>
      <c r="I244" s="138">
        <v>0.09</v>
      </c>
    </row>
    <row r="245" spans="1:9" x14ac:dyDescent="0.35">
      <c r="A245" s="136">
        <v>42366</v>
      </c>
      <c r="B245" s="137">
        <v>97.490000000000009</v>
      </c>
      <c r="C245" s="138">
        <v>8.77E-2</v>
      </c>
      <c r="D245" s="137">
        <v>97.61</v>
      </c>
      <c r="E245" s="138">
        <v>8.7900000000000006E-2</v>
      </c>
      <c r="F245" s="137">
        <v>100.71000000000001</v>
      </c>
      <c r="G245" s="138">
        <v>8.9099999999999999E-2</v>
      </c>
      <c r="H245" s="137">
        <v>94.34</v>
      </c>
      <c r="I245" s="138">
        <v>9.0200000000000002E-2</v>
      </c>
    </row>
    <row r="246" spans="1:9" x14ac:dyDescent="0.35">
      <c r="A246" s="136">
        <v>42367</v>
      </c>
      <c r="B246" s="137">
        <v>97.490000000000009</v>
      </c>
      <c r="C246" s="138">
        <v>8.77E-2</v>
      </c>
      <c r="D246" s="137">
        <v>97.47</v>
      </c>
      <c r="E246" s="138">
        <v>8.8200000000000001E-2</v>
      </c>
      <c r="F246" s="137">
        <v>100.61</v>
      </c>
      <c r="G246" s="138">
        <v>8.9200000000000002E-2</v>
      </c>
      <c r="H246" s="137">
        <v>94.350000000000009</v>
      </c>
      <c r="I246" s="138">
        <v>9.01E-2</v>
      </c>
    </row>
    <row r="247" spans="1:9" x14ac:dyDescent="0.35">
      <c r="A247" s="133">
        <v>42368</v>
      </c>
      <c r="B247" s="134">
        <v>97.36</v>
      </c>
      <c r="C247" s="135">
        <v>8.8200000000000001E-2</v>
      </c>
      <c r="D247" s="134">
        <v>97.31</v>
      </c>
      <c r="E247" s="135">
        <v>8.8400000000000006E-2</v>
      </c>
      <c r="F247" s="134">
        <v>100.16000000000001</v>
      </c>
      <c r="G247" s="135">
        <v>8.9800000000000005E-2</v>
      </c>
      <c r="H247" s="134">
        <v>93.570000000000007</v>
      </c>
      <c r="I247" s="135">
        <v>9.11E-2</v>
      </c>
    </row>
    <row r="248" spans="1:9" x14ac:dyDescent="0.35">
      <c r="A248" s="133">
        <v>42369</v>
      </c>
      <c r="B248" s="134">
        <v>97.440000000000012</v>
      </c>
      <c r="C248" s="135">
        <v>8.7900000000000006E-2</v>
      </c>
      <c r="D248" s="134">
        <v>97.45</v>
      </c>
      <c r="E248" s="135">
        <v>8.8200000000000001E-2</v>
      </c>
      <c r="F248" s="134">
        <v>100.43</v>
      </c>
      <c r="G248" s="135">
        <v>8.9499999999999996E-2</v>
      </c>
      <c r="H248" s="134">
        <v>93.89</v>
      </c>
      <c r="I248" s="135">
        <v>9.0700000000000003E-2</v>
      </c>
    </row>
  </sheetData>
  <mergeCells count="18">
    <mergeCell ref="F4:G4"/>
    <mergeCell ref="H4:I4"/>
    <mergeCell ref="B5:C5"/>
    <mergeCell ref="D5:E5"/>
    <mergeCell ref="F5:G5"/>
    <mergeCell ref="H5:I5"/>
    <mergeCell ref="A1:I1"/>
    <mergeCell ref="A2:A6"/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</mergeCells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52"/>
  <sheetViews>
    <sheetView workbookViewId="0">
      <pane ySplit="6" topLeftCell="A235" activePane="bottomLeft" state="frozen"/>
      <selection activeCell="A55" sqref="A55"/>
      <selection pane="bottomLeft" activeCell="A55" sqref="A55"/>
    </sheetView>
  </sheetViews>
  <sheetFormatPr defaultColWidth="0" defaultRowHeight="14.5" x14ac:dyDescent="0.35"/>
  <cols>
    <col min="1" max="1" width="12.453125" style="47" customWidth="1"/>
    <col min="2" max="9" width="10" style="47" customWidth="1"/>
    <col min="10" max="10" width="9.1796875" style="47" customWidth="1"/>
    <col min="11" max="16384" width="9.1796875" style="47" hidden="1"/>
  </cols>
  <sheetData>
    <row r="1" spans="1:10" x14ac:dyDescent="0.35">
      <c r="A1" s="480" t="s">
        <v>72</v>
      </c>
      <c r="B1" s="481"/>
      <c r="C1" s="481"/>
      <c r="D1" s="481"/>
      <c r="E1" s="481"/>
      <c r="F1" s="481"/>
      <c r="G1" s="481"/>
      <c r="H1" s="481"/>
      <c r="I1" s="481"/>
    </row>
    <row r="2" spans="1:10" x14ac:dyDescent="0.35">
      <c r="A2" s="482" t="s">
        <v>73</v>
      </c>
      <c r="B2" s="485" t="s">
        <v>74</v>
      </c>
      <c r="C2" s="485"/>
      <c r="D2" s="485" t="s">
        <v>75</v>
      </c>
      <c r="E2" s="485"/>
      <c r="F2" s="485" t="s">
        <v>76</v>
      </c>
      <c r="G2" s="485"/>
      <c r="H2" s="485" t="s">
        <v>77</v>
      </c>
      <c r="I2" s="485"/>
    </row>
    <row r="3" spans="1:10" x14ac:dyDescent="0.35">
      <c r="A3" s="483"/>
      <c r="B3" s="485" t="s">
        <v>88</v>
      </c>
      <c r="C3" s="485"/>
      <c r="D3" s="485" t="s">
        <v>89</v>
      </c>
      <c r="E3" s="485"/>
      <c r="F3" s="485" t="s">
        <v>90</v>
      </c>
      <c r="G3" s="485"/>
      <c r="H3" s="485" t="s">
        <v>91</v>
      </c>
      <c r="I3" s="485"/>
    </row>
    <row r="4" spans="1:10" x14ac:dyDescent="0.35">
      <c r="A4" s="483"/>
      <c r="B4" s="486">
        <v>8.2500000000000004E-2</v>
      </c>
      <c r="C4" s="486"/>
      <c r="D4" s="486">
        <v>8.3750000000000005E-2</v>
      </c>
      <c r="E4" s="486"/>
      <c r="F4" s="486">
        <v>8.7499999999999994E-2</v>
      </c>
      <c r="G4" s="486"/>
      <c r="H4" s="486">
        <v>8.2500000000000004E-2</v>
      </c>
      <c r="I4" s="486"/>
    </row>
    <row r="5" spans="1:10" x14ac:dyDescent="0.35">
      <c r="A5" s="483"/>
      <c r="B5" s="479">
        <v>44392</v>
      </c>
      <c r="C5" s="479"/>
      <c r="D5" s="479">
        <v>46280</v>
      </c>
      <c r="E5" s="479"/>
      <c r="F5" s="479">
        <v>47983</v>
      </c>
      <c r="G5" s="479"/>
      <c r="H5" s="479">
        <v>49810</v>
      </c>
      <c r="I5" s="479"/>
    </row>
    <row r="6" spans="1:10" ht="29" x14ac:dyDescent="0.35">
      <c r="A6" s="484"/>
      <c r="B6" s="131" t="s">
        <v>82</v>
      </c>
      <c r="C6" s="132" t="s">
        <v>83</v>
      </c>
      <c r="D6" s="131" t="s">
        <v>82</v>
      </c>
      <c r="E6" s="132" t="s">
        <v>83</v>
      </c>
      <c r="F6" s="131" t="s">
        <v>82</v>
      </c>
      <c r="G6" s="132" t="s">
        <v>83</v>
      </c>
      <c r="H6" s="131" t="s">
        <v>82</v>
      </c>
      <c r="I6" s="132" t="s">
        <v>83</v>
      </c>
    </row>
    <row r="7" spans="1:10" x14ac:dyDescent="0.35">
      <c r="A7" s="133">
        <v>42373</v>
      </c>
      <c r="B7" s="134">
        <v>97.91</v>
      </c>
      <c r="C7" s="135">
        <v>8.7400000000000005E-2</v>
      </c>
      <c r="D7" s="134">
        <v>97.76</v>
      </c>
      <c r="E7" s="135">
        <v>8.7000000000000008E-2</v>
      </c>
      <c r="F7" s="134">
        <v>98.49</v>
      </c>
      <c r="G7" s="135">
        <v>8.9400000000000007E-2</v>
      </c>
      <c r="H7" s="134">
        <v>93.89</v>
      </c>
      <c r="I7" s="135">
        <v>8.9099999999999999E-2</v>
      </c>
      <c r="J7" s="139"/>
    </row>
    <row r="8" spans="1:10" x14ac:dyDescent="0.35">
      <c r="A8" s="133">
        <v>42374</v>
      </c>
      <c r="B8" s="134">
        <v>97.51</v>
      </c>
      <c r="C8" s="135">
        <v>8.8300000000000003E-2</v>
      </c>
      <c r="D8" s="134">
        <v>97.25</v>
      </c>
      <c r="E8" s="135">
        <v>8.7800000000000003E-2</v>
      </c>
      <c r="F8" s="134">
        <v>98.25</v>
      </c>
      <c r="G8" s="135">
        <v>8.9700000000000002E-2</v>
      </c>
      <c r="H8" s="134">
        <v>92.68</v>
      </c>
      <c r="I8" s="135">
        <v>9.0499999999999997E-2</v>
      </c>
      <c r="J8" s="139"/>
    </row>
    <row r="9" spans="1:10" x14ac:dyDescent="0.35">
      <c r="A9" s="133">
        <v>42375</v>
      </c>
      <c r="B9" s="134">
        <v>97.62</v>
      </c>
      <c r="C9" s="135">
        <v>8.8099999999999998E-2</v>
      </c>
      <c r="D9" s="134">
        <v>97.14</v>
      </c>
      <c r="E9" s="135">
        <v>8.8000000000000009E-2</v>
      </c>
      <c r="F9" s="134">
        <v>98.47</v>
      </c>
      <c r="G9" s="135">
        <v>8.9400000000000007E-2</v>
      </c>
      <c r="H9" s="134">
        <v>93.05</v>
      </c>
      <c r="I9" s="135">
        <v>0.09</v>
      </c>
      <c r="J9" s="139"/>
    </row>
    <row r="10" spans="1:10" x14ac:dyDescent="0.35">
      <c r="A10" s="133">
        <v>42376</v>
      </c>
      <c r="B10" s="134">
        <v>97.49</v>
      </c>
      <c r="C10" s="135">
        <v>8.8400000000000006E-2</v>
      </c>
      <c r="D10" s="134">
        <v>97.2</v>
      </c>
      <c r="E10" s="135">
        <v>8.7900000000000006E-2</v>
      </c>
      <c r="F10" s="134">
        <v>98.16</v>
      </c>
      <c r="G10" s="135">
        <v>8.9800000000000005E-2</v>
      </c>
      <c r="H10" s="134">
        <v>93.36</v>
      </c>
      <c r="I10" s="135">
        <v>8.9700000000000002E-2</v>
      </c>
      <c r="J10" s="139"/>
    </row>
    <row r="11" spans="1:10" x14ac:dyDescent="0.35">
      <c r="A11" s="133">
        <v>42377</v>
      </c>
      <c r="B11" s="134">
        <v>97.69</v>
      </c>
      <c r="C11" s="135">
        <v>8.7900000000000006E-2</v>
      </c>
      <c r="D11" s="134">
        <v>97.74</v>
      </c>
      <c r="E11" s="135">
        <v>8.7099999999999997E-2</v>
      </c>
      <c r="F11" s="134">
        <v>98.79</v>
      </c>
      <c r="G11" s="135">
        <v>8.900000000000001E-2</v>
      </c>
      <c r="H11" s="134">
        <v>93.55</v>
      </c>
      <c r="I11" s="135">
        <v>8.9499999999999996E-2</v>
      </c>
      <c r="J11" s="139"/>
    </row>
    <row r="12" spans="1:10" x14ac:dyDescent="0.35">
      <c r="A12" s="136">
        <v>42380</v>
      </c>
      <c r="B12" s="137">
        <v>97.52</v>
      </c>
      <c r="C12" s="138">
        <v>8.8300000000000003E-2</v>
      </c>
      <c r="D12" s="137">
        <v>97.27</v>
      </c>
      <c r="E12" s="138">
        <v>8.7800000000000003E-2</v>
      </c>
      <c r="F12" s="137">
        <v>98.74</v>
      </c>
      <c r="G12" s="138">
        <v>8.900000000000001E-2</v>
      </c>
      <c r="H12" s="137">
        <v>93.72</v>
      </c>
      <c r="I12" s="138">
        <v>8.9300000000000004E-2</v>
      </c>
      <c r="J12" s="139"/>
    </row>
    <row r="13" spans="1:10" x14ac:dyDescent="0.35">
      <c r="A13" s="136">
        <v>42381</v>
      </c>
      <c r="B13" s="137">
        <v>98.46</v>
      </c>
      <c r="C13" s="138">
        <v>8.6099999999999996E-2</v>
      </c>
      <c r="D13" s="137">
        <v>98.24</v>
      </c>
      <c r="E13" s="138">
        <v>8.6300000000000002E-2</v>
      </c>
      <c r="F13" s="137">
        <v>99.29</v>
      </c>
      <c r="G13" s="138">
        <v>8.8400000000000006E-2</v>
      </c>
      <c r="H13" s="137">
        <v>94.38</v>
      </c>
      <c r="I13" s="138">
        <v>8.8500000000000009E-2</v>
      </c>
      <c r="J13" s="139"/>
    </row>
    <row r="14" spans="1:10" x14ac:dyDescent="0.35">
      <c r="A14" s="136">
        <v>42382</v>
      </c>
      <c r="B14" s="137">
        <v>99.02</v>
      </c>
      <c r="C14" s="138">
        <v>8.48E-2</v>
      </c>
      <c r="D14" s="137">
        <v>98.85</v>
      </c>
      <c r="E14" s="138">
        <v>8.5400000000000004E-2</v>
      </c>
      <c r="F14" s="137">
        <v>100.77</v>
      </c>
      <c r="G14" s="138">
        <v>8.6599999999999996E-2</v>
      </c>
      <c r="H14" s="137">
        <v>95.01</v>
      </c>
      <c r="I14" s="138">
        <v>8.7800000000000003E-2</v>
      </c>
      <c r="J14" s="139"/>
    </row>
    <row r="15" spans="1:10" x14ac:dyDescent="0.35">
      <c r="A15" s="136">
        <v>42383</v>
      </c>
      <c r="B15" s="137">
        <v>99.02</v>
      </c>
      <c r="C15" s="138">
        <v>8.48E-2</v>
      </c>
      <c r="D15" s="137">
        <v>98.85</v>
      </c>
      <c r="E15" s="138">
        <v>8.5400000000000004E-2</v>
      </c>
      <c r="F15" s="137">
        <v>100.77</v>
      </c>
      <c r="G15" s="138">
        <v>8.6599999999999996E-2</v>
      </c>
      <c r="H15" s="137">
        <v>95.01</v>
      </c>
      <c r="I15" s="138">
        <v>8.7800000000000003E-2</v>
      </c>
      <c r="J15" s="139"/>
    </row>
    <row r="16" spans="1:10" x14ac:dyDescent="0.35">
      <c r="A16" s="136">
        <v>42384</v>
      </c>
      <c r="B16" s="137">
        <v>99.19</v>
      </c>
      <c r="C16" s="138">
        <v>8.4400000000000003E-2</v>
      </c>
      <c r="D16" s="137">
        <v>99.24</v>
      </c>
      <c r="E16" s="138">
        <v>8.4900000000000003E-2</v>
      </c>
      <c r="F16" s="137">
        <v>101.1</v>
      </c>
      <c r="G16" s="138">
        <v>8.6199999999999999E-2</v>
      </c>
      <c r="H16" s="137">
        <v>95.85</v>
      </c>
      <c r="I16" s="138">
        <v>8.6900000000000005E-2</v>
      </c>
      <c r="J16" s="139"/>
    </row>
    <row r="17" spans="1:10" x14ac:dyDescent="0.35">
      <c r="A17" s="133">
        <v>42387</v>
      </c>
      <c r="B17" s="134">
        <v>98.79</v>
      </c>
      <c r="C17" s="135">
        <v>8.5400000000000004E-2</v>
      </c>
      <c r="D17" s="134">
        <v>98.52</v>
      </c>
      <c r="E17" s="135">
        <v>8.5900000000000004E-2</v>
      </c>
      <c r="F17" s="134">
        <v>99.95</v>
      </c>
      <c r="G17" s="135">
        <v>8.7599999999999997E-2</v>
      </c>
      <c r="H17" s="134">
        <v>95.29</v>
      </c>
      <c r="I17" s="135">
        <v>8.7500000000000008E-2</v>
      </c>
      <c r="J17" s="139"/>
    </row>
    <row r="18" spans="1:10" x14ac:dyDescent="0.35">
      <c r="A18" s="133">
        <v>42388</v>
      </c>
      <c r="B18" s="134">
        <v>98.78</v>
      </c>
      <c r="C18" s="135">
        <v>8.5400000000000004E-2</v>
      </c>
      <c r="D18" s="134">
        <v>98.43</v>
      </c>
      <c r="E18" s="135">
        <v>8.6099999999999996E-2</v>
      </c>
      <c r="F18" s="134">
        <v>99.49</v>
      </c>
      <c r="G18" s="135">
        <v>8.8099999999999998E-2</v>
      </c>
      <c r="H18" s="134">
        <v>94.84</v>
      </c>
      <c r="I18" s="135">
        <v>8.8000000000000009E-2</v>
      </c>
      <c r="J18" s="139"/>
    </row>
    <row r="19" spans="1:10" x14ac:dyDescent="0.35">
      <c r="A19" s="133">
        <v>42389</v>
      </c>
      <c r="B19" s="134">
        <v>98.82</v>
      </c>
      <c r="C19" s="135">
        <v>8.5300000000000001E-2</v>
      </c>
      <c r="D19" s="134">
        <v>98.76</v>
      </c>
      <c r="E19" s="135">
        <v>8.5600000000000009E-2</v>
      </c>
      <c r="F19" s="134">
        <v>99.67</v>
      </c>
      <c r="G19" s="135">
        <v>8.7900000000000006E-2</v>
      </c>
      <c r="H19" s="134">
        <v>94.82</v>
      </c>
      <c r="I19" s="135">
        <v>8.8000000000000009E-2</v>
      </c>
      <c r="J19" s="139"/>
    </row>
    <row r="20" spans="1:10" x14ac:dyDescent="0.35">
      <c r="A20" s="133">
        <v>42390</v>
      </c>
      <c r="B20" s="134">
        <v>99.19</v>
      </c>
      <c r="C20" s="135">
        <v>8.4400000000000003E-2</v>
      </c>
      <c r="D20" s="134">
        <v>99.49</v>
      </c>
      <c r="E20" s="135">
        <v>8.4500000000000006E-2</v>
      </c>
      <c r="F20" s="134">
        <v>100.19</v>
      </c>
      <c r="G20" s="135">
        <v>8.7300000000000003E-2</v>
      </c>
      <c r="H20" s="134">
        <v>95.27</v>
      </c>
      <c r="I20" s="135">
        <v>8.7599999999999997E-2</v>
      </c>
      <c r="J20" s="139"/>
    </row>
    <row r="21" spans="1:10" x14ac:dyDescent="0.35">
      <c r="A21" s="133">
        <v>42391</v>
      </c>
      <c r="B21" s="134">
        <v>99.47</v>
      </c>
      <c r="C21" s="135">
        <v>8.3799999999999999E-2</v>
      </c>
      <c r="D21" s="134">
        <v>99.61</v>
      </c>
      <c r="E21" s="135">
        <v>8.43E-2</v>
      </c>
      <c r="F21" s="134">
        <v>100.37</v>
      </c>
      <c r="G21" s="135">
        <v>8.7099999999999997E-2</v>
      </c>
      <c r="H21" s="134">
        <v>95.41</v>
      </c>
      <c r="I21" s="135">
        <v>8.7400000000000005E-2</v>
      </c>
      <c r="J21" s="139"/>
    </row>
    <row r="22" spans="1:10" x14ac:dyDescent="0.35">
      <c r="A22" s="136">
        <v>42394</v>
      </c>
      <c r="B22" s="137">
        <v>99.97</v>
      </c>
      <c r="C22" s="138">
        <v>8.2600000000000007E-2</v>
      </c>
      <c r="D22" s="137">
        <v>100.26</v>
      </c>
      <c r="E22" s="138">
        <v>8.3400000000000002E-2</v>
      </c>
      <c r="F22" s="137">
        <v>101.12</v>
      </c>
      <c r="G22" s="138">
        <v>8.6199999999999999E-2</v>
      </c>
      <c r="H22" s="137">
        <v>96.17</v>
      </c>
      <c r="I22" s="138">
        <v>8.6599999999999996E-2</v>
      </c>
      <c r="J22" s="139"/>
    </row>
    <row r="23" spans="1:10" x14ac:dyDescent="0.35">
      <c r="A23" s="136">
        <v>42395</v>
      </c>
      <c r="B23" s="137">
        <v>99.82</v>
      </c>
      <c r="C23" s="138">
        <v>8.3000000000000004E-2</v>
      </c>
      <c r="D23" s="137">
        <v>100.07</v>
      </c>
      <c r="E23" s="138">
        <v>8.3699999999999997E-2</v>
      </c>
      <c r="F23" s="137">
        <v>100.82</v>
      </c>
      <c r="G23" s="138">
        <v>8.6599999999999996E-2</v>
      </c>
      <c r="H23" s="137">
        <v>96.1</v>
      </c>
      <c r="I23" s="138">
        <v>8.6599999999999996E-2</v>
      </c>
      <c r="J23" s="139"/>
    </row>
    <row r="24" spans="1:10" x14ac:dyDescent="0.35">
      <c r="A24" s="136">
        <v>42396</v>
      </c>
      <c r="B24" s="137">
        <v>99.81</v>
      </c>
      <c r="C24" s="138">
        <v>8.3000000000000004E-2</v>
      </c>
      <c r="D24" s="137">
        <v>99.79</v>
      </c>
      <c r="E24" s="138">
        <v>8.4100000000000008E-2</v>
      </c>
      <c r="F24" s="137">
        <v>100.22</v>
      </c>
      <c r="G24" s="138">
        <v>8.7300000000000003E-2</v>
      </c>
      <c r="H24" s="137">
        <v>95.52</v>
      </c>
      <c r="I24" s="138">
        <v>8.7300000000000003E-2</v>
      </c>
      <c r="J24" s="139"/>
    </row>
    <row r="25" spans="1:10" x14ac:dyDescent="0.35">
      <c r="A25" s="136">
        <v>42397</v>
      </c>
      <c r="B25" s="137">
        <v>100.01</v>
      </c>
      <c r="C25" s="138">
        <v>8.2500000000000004E-2</v>
      </c>
      <c r="D25" s="137">
        <v>99.85</v>
      </c>
      <c r="E25" s="138">
        <v>8.4000000000000005E-2</v>
      </c>
      <c r="F25" s="137">
        <v>100.15</v>
      </c>
      <c r="G25" s="138">
        <v>8.7300000000000003E-2</v>
      </c>
      <c r="H25" s="137">
        <v>95.61</v>
      </c>
      <c r="I25" s="138">
        <v>8.72E-2</v>
      </c>
      <c r="J25" s="139"/>
    </row>
    <row r="26" spans="1:10" x14ac:dyDescent="0.35">
      <c r="A26" s="136">
        <v>42398</v>
      </c>
      <c r="B26" s="137">
        <v>100.01</v>
      </c>
      <c r="C26" s="138">
        <v>8.2500000000000004E-2</v>
      </c>
      <c r="D26" s="137">
        <v>100.02</v>
      </c>
      <c r="E26" s="138">
        <v>8.3799999999999999E-2</v>
      </c>
      <c r="F26" s="137">
        <v>100.12</v>
      </c>
      <c r="G26" s="138">
        <v>8.7400000000000005E-2</v>
      </c>
      <c r="H26" s="137">
        <v>95.76</v>
      </c>
      <c r="I26" s="138">
        <v>8.7000000000000008E-2</v>
      </c>
      <c r="J26" s="139"/>
    </row>
    <row r="27" spans="1:10" x14ac:dyDescent="0.35">
      <c r="A27" s="133">
        <v>42401</v>
      </c>
      <c r="B27" s="134">
        <v>101.06</v>
      </c>
      <c r="C27" s="135">
        <v>8.0100000000000005E-2</v>
      </c>
      <c r="D27" s="134">
        <v>101.46</v>
      </c>
      <c r="E27" s="135">
        <v>8.1700000000000009E-2</v>
      </c>
      <c r="F27" s="134">
        <v>102.52</v>
      </c>
      <c r="G27" s="135">
        <v>8.4600000000000009E-2</v>
      </c>
      <c r="H27" s="134">
        <v>97.66</v>
      </c>
      <c r="I27" s="135">
        <v>8.5000000000000006E-2</v>
      </c>
      <c r="J27" s="139"/>
    </row>
    <row r="28" spans="1:10" x14ac:dyDescent="0.35">
      <c r="A28" s="133">
        <v>42402</v>
      </c>
      <c r="B28" s="134">
        <v>100.99</v>
      </c>
      <c r="C28" s="135">
        <v>8.0299999999999996E-2</v>
      </c>
      <c r="D28" s="134">
        <v>101.76</v>
      </c>
      <c r="E28" s="135">
        <v>8.1299999999999997E-2</v>
      </c>
      <c r="F28" s="134">
        <v>102.89</v>
      </c>
      <c r="G28" s="135">
        <v>8.4100000000000008E-2</v>
      </c>
      <c r="H28" s="134">
        <v>98.08</v>
      </c>
      <c r="I28" s="135">
        <v>8.4500000000000006E-2</v>
      </c>
      <c r="J28" s="139"/>
    </row>
    <row r="29" spans="1:10" x14ac:dyDescent="0.35">
      <c r="A29" s="133">
        <v>42403</v>
      </c>
      <c r="B29" s="134">
        <v>100.97</v>
      </c>
      <c r="C29" s="135">
        <v>8.0299999999999996E-2</v>
      </c>
      <c r="D29" s="134">
        <v>101.77</v>
      </c>
      <c r="E29" s="135">
        <v>8.1299999999999997E-2</v>
      </c>
      <c r="F29" s="134">
        <v>102.76</v>
      </c>
      <c r="G29" s="135">
        <v>8.43E-2</v>
      </c>
      <c r="H29" s="134">
        <v>98.33</v>
      </c>
      <c r="I29" s="135">
        <v>8.43E-2</v>
      </c>
      <c r="J29" s="139"/>
    </row>
    <row r="30" spans="1:10" x14ac:dyDescent="0.35">
      <c r="A30" s="133">
        <v>42404</v>
      </c>
      <c r="B30" s="134">
        <v>101.07</v>
      </c>
      <c r="C30" s="135">
        <v>8.0100000000000005E-2</v>
      </c>
      <c r="D30" s="134">
        <v>102.05</v>
      </c>
      <c r="E30" s="135">
        <v>8.09E-2</v>
      </c>
      <c r="F30" s="134">
        <v>102.99</v>
      </c>
      <c r="G30" s="135">
        <v>8.4000000000000005E-2</v>
      </c>
      <c r="H30" s="134">
        <v>98.47</v>
      </c>
      <c r="I30" s="135">
        <v>8.4100000000000008E-2</v>
      </c>
      <c r="J30" s="139"/>
    </row>
    <row r="31" spans="1:10" x14ac:dyDescent="0.35">
      <c r="A31" s="133">
        <v>42405</v>
      </c>
      <c r="B31" s="134">
        <v>101.47</v>
      </c>
      <c r="C31" s="135">
        <v>7.9200000000000007E-2</v>
      </c>
      <c r="D31" s="134">
        <v>102.72</v>
      </c>
      <c r="E31" s="135">
        <v>7.9899999999999999E-2</v>
      </c>
      <c r="F31" s="134">
        <v>103.57</v>
      </c>
      <c r="G31" s="135">
        <v>8.3299999999999999E-2</v>
      </c>
      <c r="H31" s="134">
        <v>98.75</v>
      </c>
      <c r="I31" s="135">
        <v>8.3799999999999999E-2</v>
      </c>
      <c r="J31" s="139"/>
    </row>
    <row r="32" spans="1:10" x14ac:dyDescent="0.35">
      <c r="A32" s="136">
        <v>42409</v>
      </c>
      <c r="B32" s="137">
        <v>101.37</v>
      </c>
      <c r="C32" s="138">
        <v>7.9399999999999998E-2</v>
      </c>
      <c r="D32" s="137">
        <v>102.85</v>
      </c>
      <c r="E32" s="138">
        <v>7.9700000000000007E-2</v>
      </c>
      <c r="F32" s="137">
        <v>103.78</v>
      </c>
      <c r="G32" s="138">
        <v>8.3100000000000007E-2</v>
      </c>
      <c r="H32" s="137">
        <v>98.88</v>
      </c>
      <c r="I32" s="138">
        <v>8.3699999999999997E-2</v>
      </c>
      <c r="J32" s="139"/>
    </row>
    <row r="33" spans="1:10" x14ac:dyDescent="0.35">
      <c r="A33" s="136">
        <v>42410</v>
      </c>
      <c r="B33" s="137">
        <v>101.39</v>
      </c>
      <c r="C33" s="138">
        <v>7.9300000000000009E-2</v>
      </c>
      <c r="D33" s="137">
        <v>102.76</v>
      </c>
      <c r="E33" s="138">
        <v>7.9899999999999999E-2</v>
      </c>
      <c r="F33" s="137">
        <v>103.85</v>
      </c>
      <c r="G33" s="138">
        <v>8.3000000000000004E-2</v>
      </c>
      <c r="H33" s="137">
        <v>98.99</v>
      </c>
      <c r="I33" s="138">
        <v>8.3600000000000008E-2</v>
      </c>
      <c r="J33" s="139"/>
    </row>
    <row r="34" spans="1:10" x14ac:dyDescent="0.35">
      <c r="A34" s="136">
        <v>42411</v>
      </c>
      <c r="B34" s="137">
        <v>101.89</v>
      </c>
      <c r="C34" s="138">
        <v>7.8200000000000006E-2</v>
      </c>
      <c r="D34" s="137">
        <v>103.4</v>
      </c>
      <c r="E34" s="138">
        <v>7.9000000000000001E-2</v>
      </c>
      <c r="F34" s="137">
        <v>104.15</v>
      </c>
      <c r="G34" s="138">
        <v>8.270000000000001E-2</v>
      </c>
      <c r="H34" s="137">
        <v>99.2</v>
      </c>
      <c r="I34" s="138">
        <v>8.3400000000000002E-2</v>
      </c>
      <c r="J34" s="139"/>
    </row>
    <row r="35" spans="1:10" x14ac:dyDescent="0.35">
      <c r="A35" s="136">
        <v>42412</v>
      </c>
      <c r="B35" s="137">
        <v>101.8</v>
      </c>
      <c r="C35" s="138">
        <v>7.8399999999999997E-2</v>
      </c>
      <c r="D35" s="137">
        <v>103.17</v>
      </c>
      <c r="E35" s="138">
        <v>7.9300000000000009E-2</v>
      </c>
      <c r="F35" s="137">
        <v>104.04</v>
      </c>
      <c r="G35" s="138">
        <v>8.2799999999999999E-2</v>
      </c>
      <c r="H35" s="137">
        <v>99.05</v>
      </c>
      <c r="I35" s="138">
        <v>8.3500000000000005E-2</v>
      </c>
      <c r="J35" s="139"/>
    </row>
    <row r="36" spans="1:10" x14ac:dyDescent="0.35">
      <c r="A36" s="133">
        <v>42415</v>
      </c>
      <c r="B36" s="134">
        <v>101.84</v>
      </c>
      <c r="C36" s="135">
        <v>7.8300000000000008E-2</v>
      </c>
      <c r="D36" s="134">
        <v>102.99</v>
      </c>
      <c r="E36" s="135">
        <v>7.9600000000000004E-2</v>
      </c>
      <c r="F36" s="134">
        <v>104</v>
      </c>
      <c r="G36" s="135">
        <v>8.2900000000000001E-2</v>
      </c>
      <c r="H36" s="134">
        <v>99.1</v>
      </c>
      <c r="I36" s="135">
        <v>8.3500000000000005E-2</v>
      </c>
      <c r="J36" s="139"/>
    </row>
    <row r="37" spans="1:10" x14ac:dyDescent="0.35">
      <c r="A37" s="133">
        <v>42416</v>
      </c>
      <c r="B37" s="134">
        <v>102.18</v>
      </c>
      <c r="C37" s="135">
        <v>7.7499999999999999E-2</v>
      </c>
      <c r="D37" s="134">
        <v>103.23</v>
      </c>
      <c r="E37" s="135">
        <v>7.9200000000000007E-2</v>
      </c>
      <c r="F37" s="134">
        <v>104.23</v>
      </c>
      <c r="G37" s="135">
        <v>8.2600000000000007E-2</v>
      </c>
      <c r="H37" s="134">
        <v>99.54</v>
      </c>
      <c r="I37" s="135">
        <v>8.3000000000000004E-2</v>
      </c>
      <c r="J37" s="139"/>
    </row>
    <row r="38" spans="1:10" x14ac:dyDescent="0.35">
      <c r="A38" s="133">
        <v>42417</v>
      </c>
      <c r="B38" s="134">
        <v>102.11</v>
      </c>
      <c r="C38" s="135">
        <v>7.7700000000000005E-2</v>
      </c>
      <c r="D38" s="134">
        <v>102.87</v>
      </c>
      <c r="E38" s="135">
        <v>7.9700000000000007E-2</v>
      </c>
      <c r="F38" s="134">
        <v>103.84</v>
      </c>
      <c r="G38" s="135">
        <v>8.3000000000000004E-2</v>
      </c>
      <c r="H38" s="134">
        <v>98.95</v>
      </c>
      <c r="I38" s="135">
        <v>8.3600000000000008E-2</v>
      </c>
      <c r="J38" s="139"/>
    </row>
    <row r="39" spans="1:10" x14ac:dyDescent="0.35">
      <c r="A39" s="133">
        <v>42418</v>
      </c>
      <c r="B39" s="134">
        <v>102.02</v>
      </c>
      <c r="C39" s="135">
        <v>7.7899999999999997E-2</v>
      </c>
      <c r="D39" s="134">
        <v>102.66</v>
      </c>
      <c r="E39" s="135">
        <v>0.08</v>
      </c>
      <c r="F39" s="134">
        <v>103.45</v>
      </c>
      <c r="G39" s="135">
        <v>8.3500000000000005E-2</v>
      </c>
      <c r="H39" s="134">
        <v>98.5</v>
      </c>
      <c r="I39" s="135">
        <v>8.4100000000000008E-2</v>
      </c>
      <c r="J39" s="139"/>
    </row>
    <row r="40" spans="1:10" x14ac:dyDescent="0.35">
      <c r="A40" s="133">
        <v>42419</v>
      </c>
      <c r="B40" s="134">
        <v>101.99</v>
      </c>
      <c r="C40" s="135">
        <v>7.7899999999999997E-2</v>
      </c>
      <c r="D40" s="134">
        <v>102.56</v>
      </c>
      <c r="E40" s="135">
        <v>8.0200000000000007E-2</v>
      </c>
      <c r="F40" s="134">
        <v>103.34</v>
      </c>
      <c r="G40" s="135">
        <v>8.3600000000000008E-2</v>
      </c>
      <c r="H40" s="134">
        <v>98.35</v>
      </c>
      <c r="I40" s="135">
        <v>8.4199999999999997E-2</v>
      </c>
      <c r="J40" s="139"/>
    </row>
    <row r="41" spans="1:10" x14ac:dyDescent="0.35">
      <c r="A41" s="136">
        <v>42422</v>
      </c>
      <c r="B41" s="137">
        <v>101.99</v>
      </c>
      <c r="C41" s="138">
        <v>7.7899999999999997E-2</v>
      </c>
      <c r="D41" s="137">
        <v>102.06</v>
      </c>
      <c r="E41" s="138">
        <v>8.09E-2</v>
      </c>
      <c r="F41" s="137">
        <v>103.16</v>
      </c>
      <c r="G41" s="138">
        <v>8.3799999999999999E-2</v>
      </c>
      <c r="H41" s="137">
        <v>98.18</v>
      </c>
      <c r="I41" s="138">
        <v>8.4400000000000003E-2</v>
      </c>
      <c r="J41" s="139"/>
    </row>
    <row r="42" spans="1:10" x14ac:dyDescent="0.35">
      <c r="A42" s="136">
        <v>42423</v>
      </c>
      <c r="B42" s="137">
        <v>102.04</v>
      </c>
      <c r="C42" s="138">
        <v>7.7800000000000008E-2</v>
      </c>
      <c r="D42" s="137">
        <v>101.97</v>
      </c>
      <c r="E42" s="138">
        <v>8.1000000000000003E-2</v>
      </c>
      <c r="F42" s="137">
        <v>102.89</v>
      </c>
      <c r="G42" s="138">
        <v>8.4100000000000008E-2</v>
      </c>
      <c r="H42" s="137">
        <v>97.93</v>
      </c>
      <c r="I42" s="138">
        <v>8.4699999999999998E-2</v>
      </c>
      <c r="J42" s="139"/>
    </row>
    <row r="43" spans="1:10" x14ac:dyDescent="0.35">
      <c r="A43" s="136">
        <v>42424</v>
      </c>
      <c r="B43" s="137">
        <v>101.86</v>
      </c>
      <c r="C43" s="138">
        <v>7.8200000000000006E-2</v>
      </c>
      <c r="D43" s="137">
        <v>101.37</v>
      </c>
      <c r="E43" s="138">
        <v>8.1799999999999998E-2</v>
      </c>
      <c r="F43" s="137">
        <v>102.32</v>
      </c>
      <c r="G43" s="138">
        <v>8.48E-2</v>
      </c>
      <c r="H43" s="137">
        <v>97.56</v>
      </c>
      <c r="I43" s="138">
        <v>8.5100000000000009E-2</v>
      </c>
      <c r="J43" s="139"/>
    </row>
    <row r="44" spans="1:10" x14ac:dyDescent="0.35">
      <c r="A44" s="136">
        <v>42425</v>
      </c>
      <c r="B44" s="137">
        <v>101.55</v>
      </c>
      <c r="C44" s="138">
        <v>7.8899999999999998E-2</v>
      </c>
      <c r="D44" s="137">
        <v>101.03</v>
      </c>
      <c r="E44" s="138">
        <v>8.2299999999999998E-2</v>
      </c>
      <c r="F44" s="137">
        <v>101.49</v>
      </c>
      <c r="G44" s="138">
        <v>8.5800000000000001E-2</v>
      </c>
      <c r="H44" s="137">
        <v>96.69</v>
      </c>
      <c r="I44" s="138">
        <v>8.6000000000000007E-2</v>
      </c>
      <c r="J44" s="139"/>
    </row>
    <row r="45" spans="1:10" x14ac:dyDescent="0.35">
      <c r="A45" s="136">
        <v>42426</v>
      </c>
      <c r="B45" s="137">
        <v>101.47</v>
      </c>
      <c r="C45" s="138">
        <v>7.9100000000000004E-2</v>
      </c>
      <c r="D45" s="137">
        <v>100.98</v>
      </c>
      <c r="E45" s="138">
        <v>8.2400000000000001E-2</v>
      </c>
      <c r="F45" s="137">
        <v>101.26</v>
      </c>
      <c r="G45" s="138">
        <v>8.6000000000000007E-2</v>
      </c>
      <c r="H45" s="137">
        <v>96.68</v>
      </c>
      <c r="I45" s="138">
        <v>8.6000000000000007E-2</v>
      </c>
      <c r="J45" s="139"/>
    </row>
    <row r="46" spans="1:10" x14ac:dyDescent="0.35">
      <c r="A46" s="133">
        <v>42429</v>
      </c>
      <c r="B46" s="134">
        <v>101.44</v>
      </c>
      <c r="C46" s="135">
        <v>7.9200000000000007E-2</v>
      </c>
      <c r="D46" s="134">
        <v>101.25</v>
      </c>
      <c r="E46" s="135">
        <v>8.2000000000000003E-2</v>
      </c>
      <c r="F46" s="134">
        <v>101.38</v>
      </c>
      <c r="G46" s="135">
        <v>8.5900000000000004E-2</v>
      </c>
      <c r="H46" s="134">
        <v>96.81</v>
      </c>
      <c r="I46" s="135">
        <v>8.5900000000000004E-2</v>
      </c>
      <c r="J46" s="139"/>
    </row>
    <row r="47" spans="1:10" x14ac:dyDescent="0.35">
      <c r="A47" s="133">
        <v>42430</v>
      </c>
      <c r="B47" s="134">
        <v>101.37</v>
      </c>
      <c r="C47" s="135">
        <v>7.9300000000000009E-2</v>
      </c>
      <c r="D47" s="134">
        <v>100.96</v>
      </c>
      <c r="E47" s="135">
        <v>8.2400000000000001E-2</v>
      </c>
      <c r="F47" s="134">
        <v>101.1</v>
      </c>
      <c r="G47" s="135">
        <v>8.6199999999999999E-2</v>
      </c>
      <c r="H47" s="134">
        <v>96.22</v>
      </c>
      <c r="I47" s="135">
        <v>8.6500000000000007E-2</v>
      </c>
      <c r="J47" s="139"/>
    </row>
    <row r="48" spans="1:10" x14ac:dyDescent="0.35">
      <c r="A48" s="133">
        <v>42431</v>
      </c>
      <c r="B48" s="134">
        <v>101.71</v>
      </c>
      <c r="C48" s="135">
        <v>7.8600000000000003E-2</v>
      </c>
      <c r="D48" s="134">
        <v>101.78</v>
      </c>
      <c r="E48" s="135">
        <v>8.1299999999999997E-2</v>
      </c>
      <c r="F48" s="134">
        <v>102.15</v>
      </c>
      <c r="G48" s="135">
        <v>8.5000000000000006E-2</v>
      </c>
      <c r="H48" s="134">
        <v>97.77</v>
      </c>
      <c r="I48" s="135">
        <v>8.4900000000000003E-2</v>
      </c>
      <c r="J48" s="139"/>
    </row>
    <row r="49" spans="1:10" x14ac:dyDescent="0.35">
      <c r="A49" s="133">
        <v>42432</v>
      </c>
      <c r="B49" s="134">
        <v>102.22</v>
      </c>
      <c r="C49" s="135">
        <v>7.7399999999999997E-2</v>
      </c>
      <c r="D49" s="134">
        <v>102.41</v>
      </c>
      <c r="E49" s="135">
        <v>8.0399999999999999E-2</v>
      </c>
      <c r="F49" s="134">
        <v>102.87</v>
      </c>
      <c r="G49" s="135">
        <v>8.4100000000000008E-2</v>
      </c>
      <c r="H49" s="134">
        <v>98.41</v>
      </c>
      <c r="I49" s="135">
        <v>8.4199999999999997E-2</v>
      </c>
      <c r="J49" s="139"/>
    </row>
    <row r="50" spans="1:10" x14ac:dyDescent="0.35">
      <c r="A50" s="133">
        <v>42433</v>
      </c>
      <c r="B50" s="134">
        <v>102.47</v>
      </c>
      <c r="C50" s="135">
        <v>7.6800000000000007E-2</v>
      </c>
      <c r="D50" s="134">
        <v>103.41</v>
      </c>
      <c r="E50" s="135">
        <v>7.9000000000000001E-2</v>
      </c>
      <c r="F50" s="134">
        <v>104.04</v>
      </c>
      <c r="G50" s="135">
        <v>8.2799999999999999E-2</v>
      </c>
      <c r="H50" s="134">
        <v>99.95</v>
      </c>
      <c r="I50" s="135">
        <v>8.2600000000000007E-2</v>
      </c>
      <c r="J50" s="139"/>
    </row>
    <row r="51" spans="1:10" x14ac:dyDescent="0.35">
      <c r="A51" s="136">
        <v>42436</v>
      </c>
      <c r="B51" s="137">
        <v>103.36</v>
      </c>
      <c r="C51" s="138">
        <v>7.4800000000000005E-2</v>
      </c>
      <c r="D51" s="137">
        <v>104.53</v>
      </c>
      <c r="E51" s="138">
        <v>7.7399999999999997E-2</v>
      </c>
      <c r="F51" s="137">
        <v>105.5</v>
      </c>
      <c r="G51" s="138">
        <v>8.1200000000000008E-2</v>
      </c>
      <c r="H51" s="137">
        <v>100.91</v>
      </c>
      <c r="I51" s="138">
        <v>8.1600000000000006E-2</v>
      </c>
      <c r="J51" s="139"/>
    </row>
    <row r="52" spans="1:10" x14ac:dyDescent="0.35">
      <c r="A52" s="136">
        <v>42437</v>
      </c>
      <c r="B52" s="137">
        <v>103.21</v>
      </c>
      <c r="C52" s="138">
        <v>7.51E-2</v>
      </c>
      <c r="D52" s="137">
        <v>103.97</v>
      </c>
      <c r="E52" s="138">
        <v>7.8200000000000006E-2</v>
      </c>
      <c r="F52" s="137">
        <v>104.88</v>
      </c>
      <c r="G52" s="138">
        <v>8.1900000000000001E-2</v>
      </c>
      <c r="H52" s="137">
        <v>100.32</v>
      </c>
      <c r="I52" s="138">
        <v>8.2200000000000009E-2</v>
      </c>
      <c r="J52" s="139"/>
    </row>
    <row r="53" spans="1:10" x14ac:dyDescent="0.35">
      <c r="A53" s="136">
        <v>42439</v>
      </c>
      <c r="B53" s="137">
        <v>103</v>
      </c>
      <c r="C53" s="138">
        <v>7.5600000000000001E-2</v>
      </c>
      <c r="D53" s="137">
        <v>103.49</v>
      </c>
      <c r="E53" s="138">
        <v>7.8899999999999998E-2</v>
      </c>
      <c r="F53" s="137">
        <v>104.24</v>
      </c>
      <c r="G53" s="138">
        <v>8.2600000000000007E-2</v>
      </c>
      <c r="H53" s="137">
        <v>99.93</v>
      </c>
      <c r="I53" s="138">
        <v>8.2600000000000007E-2</v>
      </c>
      <c r="J53" s="139"/>
    </row>
    <row r="54" spans="1:10" x14ac:dyDescent="0.35">
      <c r="A54" s="136">
        <v>42440</v>
      </c>
      <c r="B54" s="137">
        <v>103.61</v>
      </c>
      <c r="C54" s="138">
        <v>7.4200000000000002E-2</v>
      </c>
      <c r="D54" s="137">
        <v>104.02</v>
      </c>
      <c r="E54" s="138">
        <v>7.8100000000000003E-2</v>
      </c>
      <c r="F54" s="137">
        <v>104.64</v>
      </c>
      <c r="G54" s="138">
        <v>8.2100000000000006E-2</v>
      </c>
      <c r="H54" s="137">
        <v>100.6</v>
      </c>
      <c r="I54" s="138">
        <v>8.1900000000000001E-2</v>
      </c>
      <c r="J54" s="139"/>
    </row>
    <row r="55" spans="1:10" x14ac:dyDescent="0.35">
      <c r="A55" s="133">
        <v>42443</v>
      </c>
      <c r="B55" s="134">
        <v>104.24</v>
      </c>
      <c r="C55" s="135">
        <v>7.2800000000000004E-2</v>
      </c>
      <c r="D55" s="134">
        <v>105.05</v>
      </c>
      <c r="E55" s="135">
        <v>7.6700000000000004E-2</v>
      </c>
      <c r="F55" s="134">
        <v>105.22</v>
      </c>
      <c r="G55" s="135">
        <v>8.1500000000000003E-2</v>
      </c>
      <c r="H55" s="134">
        <v>100.82</v>
      </c>
      <c r="I55" s="135">
        <v>8.1700000000000009E-2</v>
      </c>
      <c r="J55" s="139"/>
    </row>
    <row r="56" spans="1:10" x14ac:dyDescent="0.35">
      <c r="A56" s="133">
        <v>42444</v>
      </c>
      <c r="B56" s="134">
        <v>104.02</v>
      </c>
      <c r="C56" s="135">
        <v>7.3300000000000004E-2</v>
      </c>
      <c r="D56" s="134">
        <v>104.64</v>
      </c>
      <c r="E56" s="135">
        <v>7.7300000000000008E-2</v>
      </c>
      <c r="F56" s="134">
        <v>104.67</v>
      </c>
      <c r="G56" s="135">
        <v>8.2100000000000006E-2</v>
      </c>
      <c r="H56" s="134">
        <v>100.63</v>
      </c>
      <c r="I56" s="135">
        <v>8.1900000000000001E-2</v>
      </c>
      <c r="J56" s="139"/>
    </row>
    <row r="57" spans="1:10" x14ac:dyDescent="0.35">
      <c r="A57" s="133">
        <v>42445</v>
      </c>
      <c r="B57" s="134">
        <v>104.05</v>
      </c>
      <c r="C57" s="135">
        <v>7.3200000000000001E-2</v>
      </c>
      <c r="D57" s="134">
        <v>104.57</v>
      </c>
      <c r="E57" s="135">
        <v>7.7399999999999997E-2</v>
      </c>
      <c r="F57" s="134">
        <v>104.71</v>
      </c>
      <c r="G57" s="135">
        <v>8.2000000000000003E-2</v>
      </c>
      <c r="H57" s="134">
        <v>100.13</v>
      </c>
      <c r="I57" s="135">
        <v>8.2400000000000001E-2</v>
      </c>
      <c r="J57" s="139"/>
    </row>
    <row r="58" spans="1:10" x14ac:dyDescent="0.35">
      <c r="A58" s="133">
        <v>42446</v>
      </c>
      <c r="B58" s="134">
        <v>104.27</v>
      </c>
      <c r="C58" s="135">
        <v>7.2700000000000001E-2</v>
      </c>
      <c r="D58" s="134">
        <v>105.21</v>
      </c>
      <c r="E58" s="135">
        <v>7.6499999999999999E-2</v>
      </c>
      <c r="F58" s="134">
        <v>105.61</v>
      </c>
      <c r="G58" s="135">
        <v>8.1000000000000003E-2</v>
      </c>
      <c r="H58" s="134">
        <v>101.14</v>
      </c>
      <c r="I58" s="135">
        <v>8.14E-2</v>
      </c>
      <c r="J58" s="139"/>
    </row>
    <row r="59" spans="1:10" x14ac:dyDescent="0.35">
      <c r="A59" s="133">
        <v>42447</v>
      </c>
      <c r="B59" s="134">
        <v>104.48</v>
      </c>
      <c r="C59" s="135">
        <v>7.22E-2</v>
      </c>
      <c r="D59" s="134">
        <v>105.68</v>
      </c>
      <c r="E59" s="135">
        <v>7.5800000000000006E-2</v>
      </c>
      <c r="F59" s="134">
        <v>106.41</v>
      </c>
      <c r="G59" s="135">
        <v>8.0100000000000005E-2</v>
      </c>
      <c r="H59" s="134">
        <v>101.46</v>
      </c>
      <c r="I59" s="135">
        <v>8.1100000000000005E-2</v>
      </c>
      <c r="J59" s="139"/>
    </row>
    <row r="60" spans="1:10" x14ac:dyDescent="0.35">
      <c r="A60" s="136">
        <v>42450</v>
      </c>
      <c r="B60" s="137">
        <v>104.18</v>
      </c>
      <c r="C60" s="138">
        <v>7.2900000000000006E-2</v>
      </c>
      <c r="D60" s="137">
        <v>105.2</v>
      </c>
      <c r="E60" s="138">
        <v>7.6499999999999999E-2</v>
      </c>
      <c r="F60" s="137">
        <v>105.8</v>
      </c>
      <c r="G60" s="138">
        <v>8.0799999999999997E-2</v>
      </c>
      <c r="H60" s="137">
        <v>100.59</v>
      </c>
      <c r="I60" s="138">
        <v>8.1900000000000001E-2</v>
      </c>
      <c r="J60" s="139"/>
    </row>
    <row r="61" spans="1:10" x14ac:dyDescent="0.35">
      <c r="A61" s="136">
        <v>42451</v>
      </c>
      <c r="B61" s="137">
        <v>103.94</v>
      </c>
      <c r="C61" s="138">
        <v>7.3400000000000007E-2</v>
      </c>
      <c r="D61" s="137">
        <v>104.79</v>
      </c>
      <c r="E61" s="138">
        <v>7.6999999999999999E-2</v>
      </c>
      <c r="F61" s="137">
        <v>105.04</v>
      </c>
      <c r="G61" s="138">
        <v>8.1700000000000009E-2</v>
      </c>
      <c r="H61" s="137">
        <v>100.43</v>
      </c>
      <c r="I61" s="138">
        <v>8.2100000000000006E-2</v>
      </c>
      <c r="J61" s="139"/>
    </row>
    <row r="62" spans="1:10" x14ac:dyDescent="0.35">
      <c r="A62" s="136">
        <v>42452</v>
      </c>
      <c r="B62" s="137">
        <v>103.58</v>
      </c>
      <c r="C62" s="138">
        <v>7.4200000000000002E-2</v>
      </c>
      <c r="D62" s="137">
        <v>104.5</v>
      </c>
      <c r="E62" s="138">
        <v>7.7499999999999999E-2</v>
      </c>
      <c r="F62" s="137">
        <v>104.75</v>
      </c>
      <c r="G62" s="138">
        <v>8.2000000000000003E-2</v>
      </c>
      <c r="H62" s="137">
        <v>100.08</v>
      </c>
      <c r="I62" s="138">
        <v>8.2500000000000004E-2</v>
      </c>
      <c r="J62" s="139"/>
    </row>
    <row r="63" spans="1:10" x14ac:dyDescent="0.35">
      <c r="A63" s="136">
        <v>42453</v>
      </c>
      <c r="B63" s="137">
        <v>103.48</v>
      </c>
      <c r="C63" s="138">
        <v>7.4499999999999997E-2</v>
      </c>
      <c r="D63" s="137">
        <v>104.47</v>
      </c>
      <c r="E63" s="138">
        <v>7.7499999999999999E-2</v>
      </c>
      <c r="F63" s="137">
        <v>104.52</v>
      </c>
      <c r="G63" s="138">
        <v>8.2299999999999998E-2</v>
      </c>
      <c r="H63" s="137">
        <v>100</v>
      </c>
      <c r="I63" s="138">
        <v>8.2500000000000004E-2</v>
      </c>
      <c r="J63" s="139"/>
    </row>
    <row r="64" spans="1:10" x14ac:dyDescent="0.35">
      <c r="A64" s="133">
        <v>42457</v>
      </c>
      <c r="B64" s="134">
        <v>103.47</v>
      </c>
      <c r="C64" s="135">
        <v>7.4499999999999997E-2</v>
      </c>
      <c r="D64" s="134">
        <v>104.39</v>
      </c>
      <c r="E64" s="135">
        <v>7.7600000000000002E-2</v>
      </c>
      <c r="F64" s="134">
        <v>104.47</v>
      </c>
      <c r="G64" s="135">
        <v>8.2299999999999998E-2</v>
      </c>
      <c r="H64" s="134">
        <v>100.36</v>
      </c>
      <c r="I64" s="135">
        <v>8.2200000000000009E-2</v>
      </c>
      <c r="J64" s="139"/>
    </row>
    <row r="65" spans="1:10" x14ac:dyDescent="0.35">
      <c r="A65" s="133">
        <v>42458</v>
      </c>
      <c r="B65" s="134">
        <v>103.42</v>
      </c>
      <c r="C65" s="135">
        <v>7.46E-2</v>
      </c>
      <c r="D65" s="134">
        <v>104.05</v>
      </c>
      <c r="E65" s="135">
        <v>7.8100000000000003E-2</v>
      </c>
      <c r="F65" s="134">
        <v>104.09</v>
      </c>
      <c r="G65" s="135">
        <v>8.270000000000001E-2</v>
      </c>
      <c r="H65" s="134">
        <v>100.15</v>
      </c>
      <c r="I65" s="135">
        <v>8.2400000000000001E-2</v>
      </c>
      <c r="J65" s="139"/>
    </row>
    <row r="66" spans="1:10" x14ac:dyDescent="0.35">
      <c r="A66" s="133">
        <v>42459</v>
      </c>
      <c r="B66" s="134">
        <v>103.55</v>
      </c>
      <c r="C66" s="135">
        <v>7.4300000000000005E-2</v>
      </c>
      <c r="D66" s="134">
        <v>104.5</v>
      </c>
      <c r="E66" s="135">
        <v>7.7399999999999997E-2</v>
      </c>
      <c r="F66" s="134">
        <v>104.65</v>
      </c>
      <c r="G66" s="135">
        <v>8.2100000000000006E-2</v>
      </c>
      <c r="H66" s="134">
        <v>100.49</v>
      </c>
      <c r="I66" s="135">
        <v>8.2000000000000003E-2</v>
      </c>
      <c r="J66" s="139"/>
    </row>
    <row r="67" spans="1:10" x14ac:dyDescent="0.35">
      <c r="A67" s="133">
        <v>42460</v>
      </c>
      <c r="B67" s="134">
        <v>103.57</v>
      </c>
      <c r="C67" s="135">
        <v>7.4200000000000002E-2</v>
      </c>
      <c r="D67" s="134">
        <v>105.08</v>
      </c>
      <c r="E67" s="135">
        <v>7.6600000000000001E-2</v>
      </c>
      <c r="F67" s="134">
        <v>105.14</v>
      </c>
      <c r="G67" s="135">
        <v>8.1600000000000006E-2</v>
      </c>
      <c r="H67" s="134">
        <v>101</v>
      </c>
      <c r="I67" s="135">
        <v>8.1500000000000003E-2</v>
      </c>
      <c r="J67" s="139"/>
    </row>
    <row r="68" spans="1:10" x14ac:dyDescent="0.35">
      <c r="A68" s="133">
        <v>42461</v>
      </c>
      <c r="B68" s="134">
        <v>104.38</v>
      </c>
      <c r="C68" s="135">
        <v>7.2400000000000006E-2</v>
      </c>
      <c r="D68" s="134">
        <v>106.2</v>
      </c>
      <c r="E68" s="135">
        <v>7.51E-2</v>
      </c>
      <c r="F68" s="134">
        <v>107.2</v>
      </c>
      <c r="G68" s="135">
        <v>7.9300000000000009E-2</v>
      </c>
      <c r="H68" s="134">
        <v>102.45</v>
      </c>
      <c r="I68" s="135">
        <v>8.0100000000000005E-2</v>
      </c>
      <c r="J68" s="139"/>
    </row>
    <row r="69" spans="1:10" x14ac:dyDescent="0.35">
      <c r="A69" s="136">
        <v>42464</v>
      </c>
      <c r="B69" s="137">
        <v>104.39</v>
      </c>
      <c r="C69" s="138">
        <v>7.2400000000000006E-2</v>
      </c>
      <c r="D69" s="137">
        <v>106.04</v>
      </c>
      <c r="E69" s="138">
        <v>7.5300000000000006E-2</v>
      </c>
      <c r="F69" s="137">
        <v>107.24</v>
      </c>
      <c r="G69" s="138">
        <v>7.9200000000000007E-2</v>
      </c>
      <c r="H69" s="137">
        <v>103.01</v>
      </c>
      <c r="I69" s="138">
        <v>7.9500000000000001E-2</v>
      </c>
      <c r="J69" s="139"/>
    </row>
    <row r="70" spans="1:10" x14ac:dyDescent="0.35">
      <c r="A70" s="136">
        <v>42465</v>
      </c>
      <c r="B70" s="137">
        <v>103.85</v>
      </c>
      <c r="C70" s="138">
        <v>7.3599999999999999E-2</v>
      </c>
      <c r="D70" s="137">
        <v>105.52</v>
      </c>
      <c r="E70" s="138">
        <v>7.5999999999999998E-2</v>
      </c>
      <c r="F70" s="137">
        <v>106.59</v>
      </c>
      <c r="G70" s="138">
        <v>7.9899999999999999E-2</v>
      </c>
      <c r="H70" s="137">
        <v>102.7</v>
      </c>
      <c r="I70" s="138">
        <v>7.9799999999999996E-2</v>
      </c>
      <c r="J70" s="139"/>
    </row>
    <row r="71" spans="1:10" x14ac:dyDescent="0.35">
      <c r="A71" s="136">
        <v>42466</v>
      </c>
      <c r="B71" s="137">
        <v>103.93</v>
      </c>
      <c r="C71" s="138">
        <v>7.3400000000000007E-2</v>
      </c>
      <c r="D71" s="137">
        <v>105.3</v>
      </c>
      <c r="E71" s="138">
        <v>7.6300000000000007E-2</v>
      </c>
      <c r="F71" s="137">
        <v>106.51</v>
      </c>
      <c r="G71" s="138">
        <v>0.08</v>
      </c>
      <c r="H71" s="137">
        <v>102.82</v>
      </c>
      <c r="I71" s="138">
        <v>7.9700000000000007E-2</v>
      </c>
      <c r="J71" s="139"/>
    </row>
    <row r="72" spans="1:10" x14ac:dyDescent="0.35">
      <c r="A72" s="136">
        <v>42467</v>
      </c>
      <c r="B72" s="137">
        <v>104</v>
      </c>
      <c r="C72" s="138">
        <v>7.3200000000000001E-2</v>
      </c>
      <c r="D72" s="137">
        <v>105.78</v>
      </c>
      <c r="E72" s="138">
        <v>7.5700000000000003E-2</v>
      </c>
      <c r="F72" s="137">
        <v>107</v>
      </c>
      <c r="G72" s="138">
        <v>7.9500000000000001E-2</v>
      </c>
      <c r="H72" s="137">
        <v>103.1</v>
      </c>
      <c r="I72" s="138">
        <v>7.9399999999999998E-2</v>
      </c>
      <c r="J72" s="139"/>
    </row>
    <row r="73" spans="1:10" x14ac:dyDescent="0.35">
      <c r="A73" s="136">
        <v>42468</v>
      </c>
      <c r="B73" s="137">
        <v>103.99</v>
      </c>
      <c r="C73" s="138">
        <v>7.3200000000000001E-2</v>
      </c>
      <c r="D73" s="137">
        <v>105.93</v>
      </c>
      <c r="E73" s="138">
        <v>7.5499999999999998E-2</v>
      </c>
      <c r="F73" s="137">
        <v>107.71</v>
      </c>
      <c r="G73" s="138">
        <v>7.8700000000000006E-2</v>
      </c>
      <c r="H73" s="137">
        <v>103.58</v>
      </c>
      <c r="I73" s="138">
        <v>7.9000000000000001E-2</v>
      </c>
      <c r="J73" s="139"/>
    </row>
    <row r="74" spans="1:10" x14ac:dyDescent="0.35">
      <c r="A74" s="133">
        <v>42471</v>
      </c>
      <c r="B74" s="134">
        <v>104</v>
      </c>
      <c r="C74" s="135">
        <v>7.3200000000000001E-2</v>
      </c>
      <c r="D74" s="134">
        <v>106.13</v>
      </c>
      <c r="E74" s="135">
        <v>7.5200000000000003E-2</v>
      </c>
      <c r="F74" s="134">
        <v>108.29</v>
      </c>
      <c r="G74" s="135">
        <v>7.8100000000000003E-2</v>
      </c>
      <c r="H74" s="134">
        <v>104.1</v>
      </c>
      <c r="I74" s="135">
        <v>7.85E-2</v>
      </c>
      <c r="J74" s="139"/>
    </row>
    <row r="75" spans="1:10" x14ac:dyDescent="0.35">
      <c r="A75" s="133">
        <v>42472</v>
      </c>
      <c r="B75" s="134">
        <v>104.09</v>
      </c>
      <c r="C75" s="135">
        <v>7.3000000000000009E-2</v>
      </c>
      <c r="D75" s="134">
        <v>106.23</v>
      </c>
      <c r="E75" s="135">
        <v>7.51E-2</v>
      </c>
      <c r="F75" s="134">
        <v>108.67</v>
      </c>
      <c r="G75" s="135">
        <v>7.7700000000000005E-2</v>
      </c>
      <c r="H75" s="134">
        <v>104.52</v>
      </c>
      <c r="I75" s="135">
        <v>7.8100000000000003E-2</v>
      </c>
      <c r="J75" s="139"/>
    </row>
    <row r="76" spans="1:10" x14ac:dyDescent="0.35">
      <c r="A76" s="133">
        <v>42473</v>
      </c>
      <c r="B76" s="134">
        <v>104.68</v>
      </c>
      <c r="C76" s="135">
        <v>7.17E-2</v>
      </c>
      <c r="D76" s="134">
        <v>107.59</v>
      </c>
      <c r="E76" s="135">
        <v>7.3300000000000004E-2</v>
      </c>
      <c r="F76" s="134">
        <v>110.5</v>
      </c>
      <c r="G76" s="135">
        <v>7.5700000000000003E-2</v>
      </c>
      <c r="H76" s="134">
        <v>106.23</v>
      </c>
      <c r="I76" s="135">
        <v>7.640000000000001E-2</v>
      </c>
      <c r="J76" s="139"/>
    </row>
    <row r="77" spans="1:10" x14ac:dyDescent="0.35">
      <c r="A77" s="133">
        <v>42474</v>
      </c>
      <c r="B77" s="134">
        <v>104.24</v>
      </c>
      <c r="C77" s="135">
        <v>7.2700000000000001E-2</v>
      </c>
      <c r="D77" s="134">
        <v>106.73</v>
      </c>
      <c r="E77" s="135">
        <v>7.4400000000000008E-2</v>
      </c>
      <c r="F77" s="134">
        <v>109.61</v>
      </c>
      <c r="G77" s="135">
        <v>7.6700000000000004E-2</v>
      </c>
      <c r="H77" s="134">
        <v>105.62</v>
      </c>
      <c r="I77" s="135">
        <v>7.6999999999999999E-2</v>
      </c>
      <c r="J77" s="139"/>
    </row>
    <row r="78" spans="1:10" x14ac:dyDescent="0.35">
      <c r="A78" s="133">
        <v>42475</v>
      </c>
      <c r="B78" s="134">
        <v>104.69</v>
      </c>
      <c r="C78" s="135">
        <v>7.1599999999999997E-2</v>
      </c>
      <c r="D78" s="134">
        <v>107.26</v>
      </c>
      <c r="E78" s="135">
        <v>7.3700000000000002E-2</v>
      </c>
      <c r="F78" s="134">
        <v>110.16</v>
      </c>
      <c r="G78" s="135">
        <v>7.6100000000000001E-2</v>
      </c>
      <c r="H78" s="134">
        <v>105.93</v>
      </c>
      <c r="I78" s="135">
        <v>7.6700000000000004E-2</v>
      </c>
      <c r="J78" s="139"/>
    </row>
    <row r="79" spans="1:10" x14ac:dyDescent="0.35">
      <c r="A79" s="136">
        <v>42478</v>
      </c>
      <c r="B79" s="137">
        <v>104.33</v>
      </c>
      <c r="C79" s="138">
        <v>7.2400000000000006E-2</v>
      </c>
      <c r="D79" s="137">
        <v>107.09</v>
      </c>
      <c r="E79" s="138">
        <v>7.3900000000000007E-2</v>
      </c>
      <c r="F79" s="137">
        <v>110</v>
      </c>
      <c r="G79" s="138">
        <v>7.6300000000000007E-2</v>
      </c>
      <c r="H79" s="137">
        <v>105.79</v>
      </c>
      <c r="I79" s="138">
        <v>7.6800000000000007E-2</v>
      </c>
      <c r="J79" s="139"/>
    </row>
    <row r="80" spans="1:10" x14ac:dyDescent="0.35">
      <c r="A80" s="136">
        <v>42479</v>
      </c>
      <c r="B80" s="137">
        <v>104.44</v>
      </c>
      <c r="C80" s="138">
        <v>7.22E-2</v>
      </c>
      <c r="D80" s="137">
        <v>107.09</v>
      </c>
      <c r="E80" s="138">
        <v>7.3900000000000007E-2</v>
      </c>
      <c r="F80" s="137">
        <v>109.85</v>
      </c>
      <c r="G80" s="138">
        <v>7.640000000000001E-2</v>
      </c>
      <c r="H80" s="137">
        <v>105.83</v>
      </c>
      <c r="I80" s="138">
        <v>7.6800000000000007E-2</v>
      </c>
      <c r="J80" s="139"/>
    </row>
    <row r="81" spans="1:10" x14ac:dyDescent="0.35">
      <c r="A81" s="136">
        <v>42480</v>
      </c>
      <c r="B81" s="137">
        <v>104.58</v>
      </c>
      <c r="C81" s="138">
        <v>7.1900000000000006E-2</v>
      </c>
      <c r="D81" s="137">
        <v>107.23</v>
      </c>
      <c r="E81" s="138">
        <v>7.3700000000000002E-2</v>
      </c>
      <c r="F81" s="137">
        <v>109.94</v>
      </c>
      <c r="G81" s="138">
        <v>7.6300000000000007E-2</v>
      </c>
      <c r="H81" s="137">
        <v>105.77</v>
      </c>
      <c r="I81" s="138">
        <v>7.6899999999999996E-2</v>
      </c>
      <c r="J81" s="139"/>
    </row>
    <row r="82" spans="1:10" x14ac:dyDescent="0.35">
      <c r="A82" s="136">
        <v>42481</v>
      </c>
      <c r="B82" s="137">
        <v>104.52</v>
      </c>
      <c r="C82" s="138">
        <v>7.2000000000000008E-2</v>
      </c>
      <c r="D82" s="137">
        <v>107</v>
      </c>
      <c r="E82" s="138">
        <v>7.3999999999999996E-2</v>
      </c>
      <c r="F82" s="137">
        <v>109.78</v>
      </c>
      <c r="G82" s="138">
        <v>7.6499999999999999E-2</v>
      </c>
      <c r="H82" s="137">
        <v>105.74</v>
      </c>
      <c r="I82" s="138">
        <v>7.6899999999999996E-2</v>
      </c>
      <c r="J82" s="139"/>
    </row>
    <row r="83" spans="1:10" x14ac:dyDescent="0.35">
      <c r="A83" s="136">
        <v>42482</v>
      </c>
      <c r="B83" s="137">
        <v>104.46</v>
      </c>
      <c r="C83" s="138">
        <v>7.2099999999999997E-2</v>
      </c>
      <c r="D83" s="137">
        <v>106.64</v>
      </c>
      <c r="E83" s="138">
        <v>7.4499999999999997E-2</v>
      </c>
      <c r="F83" s="137">
        <v>109.39</v>
      </c>
      <c r="G83" s="138">
        <v>7.6899999999999996E-2</v>
      </c>
      <c r="H83" s="137">
        <v>105.46</v>
      </c>
      <c r="I83" s="138">
        <v>7.7200000000000005E-2</v>
      </c>
      <c r="J83" s="139"/>
    </row>
    <row r="84" spans="1:10" x14ac:dyDescent="0.35">
      <c r="A84" s="133">
        <v>42485</v>
      </c>
      <c r="B84" s="134">
        <v>104.18</v>
      </c>
      <c r="C84" s="135">
        <v>7.2700000000000001E-2</v>
      </c>
      <c r="D84" s="134">
        <v>105.73</v>
      </c>
      <c r="E84" s="135">
        <v>7.5700000000000003E-2</v>
      </c>
      <c r="F84" s="134">
        <v>108.45</v>
      </c>
      <c r="G84" s="135">
        <v>7.7899999999999997E-2</v>
      </c>
      <c r="H84" s="134">
        <v>104.67</v>
      </c>
      <c r="I84" s="135">
        <v>7.7899999999999997E-2</v>
      </c>
      <c r="J84" s="139"/>
    </row>
    <row r="85" spans="1:10" x14ac:dyDescent="0.35">
      <c r="A85" s="133">
        <v>42486</v>
      </c>
      <c r="B85" s="134">
        <v>103.79</v>
      </c>
      <c r="C85" s="135">
        <v>7.3599999999999999E-2</v>
      </c>
      <c r="D85" s="134">
        <v>105.3</v>
      </c>
      <c r="E85" s="135">
        <v>7.6300000000000007E-2</v>
      </c>
      <c r="F85" s="134">
        <v>107.8</v>
      </c>
      <c r="G85" s="135">
        <v>7.8600000000000003E-2</v>
      </c>
      <c r="H85" s="134">
        <v>104.19</v>
      </c>
      <c r="I85" s="135">
        <v>7.8399999999999997E-2</v>
      </c>
      <c r="J85" s="139"/>
    </row>
    <row r="86" spans="1:10" x14ac:dyDescent="0.35">
      <c r="A86" s="133">
        <v>42487</v>
      </c>
      <c r="B86" s="134">
        <v>104.03</v>
      </c>
      <c r="C86" s="135">
        <v>7.3099999999999998E-2</v>
      </c>
      <c r="D86" s="134">
        <v>106.13</v>
      </c>
      <c r="E86" s="135">
        <v>7.5200000000000003E-2</v>
      </c>
      <c r="F86" s="134">
        <v>108.83</v>
      </c>
      <c r="G86" s="135">
        <v>7.7499999999999999E-2</v>
      </c>
      <c r="H86" s="134">
        <v>105.57</v>
      </c>
      <c r="I86" s="135">
        <v>7.7100000000000002E-2</v>
      </c>
      <c r="J86" s="139"/>
    </row>
    <row r="87" spans="1:10" x14ac:dyDescent="0.35">
      <c r="A87" s="133">
        <v>42488</v>
      </c>
      <c r="B87" s="134">
        <v>104.02</v>
      </c>
      <c r="C87" s="135">
        <v>7.3099999999999998E-2</v>
      </c>
      <c r="D87" s="134">
        <v>105.76</v>
      </c>
      <c r="E87" s="135">
        <v>7.5700000000000003E-2</v>
      </c>
      <c r="F87" s="134">
        <v>108.49</v>
      </c>
      <c r="G87" s="135">
        <v>7.7899999999999997E-2</v>
      </c>
      <c r="H87" s="134">
        <v>105.15</v>
      </c>
      <c r="I87" s="135">
        <v>7.7399999999999997E-2</v>
      </c>
      <c r="J87" s="139"/>
    </row>
    <row r="88" spans="1:10" x14ac:dyDescent="0.35">
      <c r="A88" s="133">
        <v>42489</v>
      </c>
      <c r="B88" s="134">
        <v>103.74</v>
      </c>
      <c r="C88" s="135">
        <v>7.3700000000000002E-2</v>
      </c>
      <c r="D88" s="134">
        <v>104.8</v>
      </c>
      <c r="E88" s="135">
        <v>7.6999999999999999E-2</v>
      </c>
      <c r="F88" s="134">
        <v>107.71</v>
      </c>
      <c r="G88" s="135">
        <v>7.8700000000000006E-2</v>
      </c>
      <c r="H88" s="134">
        <v>103.86</v>
      </c>
      <c r="I88" s="135">
        <v>7.8700000000000006E-2</v>
      </c>
      <c r="J88" s="139"/>
    </row>
    <row r="89" spans="1:10" x14ac:dyDescent="0.35">
      <c r="A89" s="136">
        <v>42492</v>
      </c>
      <c r="B89" s="137">
        <v>103.69</v>
      </c>
      <c r="C89" s="138">
        <v>7.3800000000000004E-2</v>
      </c>
      <c r="D89" s="137">
        <v>104.82</v>
      </c>
      <c r="E89" s="138">
        <v>7.6999999999999999E-2</v>
      </c>
      <c r="F89" s="137">
        <v>107.7</v>
      </c>
      <c r="G89" s="138">
        <v>7.8700000000000006E-2</v>
      </c>
      <c r="H89" s="137">
        <v>103.93</v>
      </c>
      <c r="I89" s="138">
        <v>7.8600000000000003E-2</v>
      </c>
      <c r="J89" s="139"/>
    </row>
    <row r="90" spans="1:10" x14ac:dyDescent="0.35">
      <c r="A90" s="136">
        <v>42493</v>
      </c>
      <c r="B90" s="137">
        <v>103.67</v>
      </c>
      <c r="C90" s="138">
        <v>7.3900000000000007E-2</v>
      </c>
      <c r="D90" s="137">
        <v>105.13</v>
      </c>
      <c r="E90" s="138">
        <v>7.6499999999999999E-2</v>
      </c>
      <c r="F90" s="137">
        <v>107.89</v>
      </c>
      <c r="G90" s="138">
        <v>7.85E-2</v>
      </c>
      <c r="H90" s="137">
        <v>103.99</v>
      </c>
      <c r="I90" s="138">
        <v>7.8600000000000003E-2</v>
      </c>
      <c r="J90" s="139"/>
    </row>
    <row r="91" spans="1:10" x14ac:dyDescent="0.35">
      <c r="A91" s="136">
        <v>42494</v>
      </c>
      <c r="B91" s="137">
        <v>103.61</v>
      </c>
      <c r="C91" s="138">
        <v>7.3999999999999996E-2</v>
      </c>
      <c r="D91" s="137">
        <v>104.96</v>
      </c>
      <c r="E91" s="138">
        <v>7.6800000000000007E-2</v>
      </c>
      <c r="F91" s="137">
        <v>107.82</v>
      </c>
      <c r="G91" s="138">
        <v>7.8600000000000003E-2</v>
      </c>
      <c r="H91" s="137">
        <v>103.8</v>
      </c>
      <c r="I91" s="138">
        <v>7.8800000000000009E-2</v>
      </c>
      <c r="J91" s="139"/>
    </row>
    <row r="92" spans="1:10" x14ac:dyDescent="0.35">
      <c r="A92" s="133">
        <v>42499</v>
      </c>
      <c r="B92" s="134">
        <v>103.73</v>
      </c>
      <c r="C92" s="135">
        <v>7.3700000000000002E-2</v>
      </c>
      <c r="D92" s="134">
        <v>104.54</v>
      </c>
      <c r="E92" s="135">
        <v>7.7300000000000008E-2</v>
      </c>
      <c r="F92" s="134">
        <v>107.63</v>
      </c>
      <c r="G92" s="135">
        <v>7.8800000000000009E-2</v>
      </c>
      <c r="H92" s="134">
        <v>103.73</v>
      </c>
      <c r="I92" s="135">
        <v>7.8800000000000009E-2</v>
      </c>
      <c r="J92" s="139"/>
    </row>
    <row r="93" spans="1:10" x14ac:dyDescent="0.35">
      <c r="A93" s="133">
        <v>42500</v>
      </c>
      <c r="B93" s="134">
        <v>103.35</v>
      </c>
      <c r="C93" s="135">
        <v>7.46E-2</v>
      </c>
      <c r="D93" s="134">
        <v>104.14</v>
      </c>
      <c r="E93" s="135">
        <v>7.7899999999999997E-2</v>
      </c>
      <c r="F93" s="134">
        <v>106.89</v>
      </c>
      <c r="G93" s="135">
        <v>7.9600000000000004E-2</v>
      </c>
      <c r="H93" s="134">
        <v>103.33</v>
      </c>
      <c r="I93" s="135">
        <v>7.9200000000000007E-2</v>
      </c>
      <c r="J93" s="139"/>
    </row>
    <row r="94" spans="1:10" x14ac:dyDescent="0.35">
      <c r="A94" s="133">
        <v>42501</v>
      </c>
      <c r="B94" s="134">
        <v>103.38</v>
      </c>
      <c r="C94" s="135">
        <v>7.4499999999999997E-2</v>
      </c>
      <c r="D94" s="134">
        <v>104.59</v>
      </c>
      <c r="E94" s="135">
        <v>7.7300000000000008E-2</v>
      </c>
      <c r="F94" s="134">
        <v>107.16</v>
      </c>
      <c r="G94" s="135">
        <v>7.9300000000000009E-2</v>
      </c>
      <c r="H94" s="134">
        <v>103.04</v>
      </c>
      <c r="I94" s="135">
        <v>7.9500000000000001E-2</v>
      </c>
      <c r="J94" s="139"/>
    </row>
    <row r="95" spans="1:10" x14ac:dyDescent="0.35">
      <c r="A95" s="133">
        <v>42502</v>
      </c>
      <c r="B95" s="134">
        <v>103.23</v>
      </c>
      <c r="C95" s="135">
        <v>7.4900000000000008E-2</v>
      </c>
      <c r="D95" s="134">
        <v>104.36</v>
      </c>
      <c r="E95" s="135">
        <v>7.7600000000000002E-2</v>
      </c>
      <c r="F95" s="134">
        <v>106.76</v>
      </c>
      <c r="G95" s="135">
        <v>7.9799999999999996E-2</v>
      </c>
      <c r="H95" s="134">
        <v>102.76</v>
      </c>
      <c r="I95" s="135">
        <v>7.9799999999999996E-2</v>
      </c>
      <c r="J95" s="139"/>
    </row>
    <row r="96" spans="1:10" x14ac:dyDescent="0.35">
      <c r="A96" s="133">
        <v>42503</v>
      </c>
      <c r="B96" s="134">
        <v>103.2</v>
      </c>
      <c r="C96" s="135">
        <v>7.4900000000000008E-2</v>
      </c>
      <c r="D96" s="134">
        <v>104.42</v>
      </c>
      <c r="E96" s="135">
        <v>7.7499999999999999E-2</v>
      </c>
      <c r="F96" s="134">
        <v>106.77</v>
      </c>
      <c r="G96" s="135">
        <v>7.9700000000000007E-2</v>
      </c>
      <c r="H96" s="134">
        <v>102.76</v>
      </c>
      <c r="I96" s="135">
        <v>7.9799999999999996E-2</v>
      </c>
      <c r="J96" s="139"/>
    </row>
    <row r="97" spans="1:10" x14ac:dyDescent="0.35">
      <c r="A97" s="136">
        <v>42506</v>
      </c>
      <c r="B97" s="137">
        <v>103.66</v>
      </c>
      <c r="C97" s="138">
        <v>7.3900000000000007E-2</v>
      </c>
      <c r="D97" s="137">
        <v>105.19</v>
      </c>
      <c r="E97" s="138">
        <v>7.640000000000001E-2</v>
      </c>
      <c r="F97" s="137">
        <v>107.6</v>
      </c>
      <c r="G97" s="138">
        <v>7.8800000000000009E-2</v>
      </c>
      <c r="H97" s="137">
        <v>103.43</v>
      </c>
      <c r="I97" s="138">
        <v>7.9100000000000004E-2</v>
      </c>
      <c r="J97" s="139"/>
    </row>
    <row r="98" spans="1:10" x14ac:dyDescent="0.35">
      <c r="A98" s="136">
        <v>42507</v>
      </c>
      <c r="B98" s="137">
        <v>103.72</v>
      </c>
      <c r="C98" s="138">
        <v>7.3700000000000002E-2</v>
      </c>
      <c r="D98" s="137">
        <v>105.43</v>
      </c>
      <c r="E98" s="138">
        <v>7.6100000000000001E-2</v>
      </c>
      <c r="F98" s="137">
        <v>107.94</v>
      </c>
      <c r="G98" s="138">
        <v>7.85E-2</v>
      </c>
      <c r="H98" s="137">
        <v>103.78</v>
      </c>
      <c r="I98" s="138">
        <v>7.8800000000000009E-2</v>
      </c>
      <c r="J98" s="139"/>
    </row>
    <row r="99" spans="1:10" x14ac:dyDescent="0.35">
      <c r="A99" s="136">
        <v>42508</v>
      </c>
      <c r="B99" s="137">
        <v>103.76</v>
      </c>
      <c r="C99" s="138">
        <v>7.3599999999999999E-2</v>
      </c>
      <c r="D99" s="137">
        <v>105.57</v>
      </c>
      <c r="E99" s="138">
        <v>7.5900000000000009E-2</v>
      </c>
      <c r="F99" s="137">
        <v>108.24</v>
      </c>
      <c r="G99" s="138">
        <v>7.8100000000000003E-2</v>
      </c>
      <c r="H99" s="137">
        <v>104.03</v>
      </c>
      <c r="I99" s="138">
        <v>7.85E-2</v>
      </c>
      <c r="J99" s="139"/>
    </row>
    <row r="100" spans="1:10" x14ac:dyDescent="0.35">
      <c r="A100" s="136">
        <v>42509</v>
      </c>
      <c r="B100" s="137">
        <v>103.09</v>
      </c>
      <c r="C100" s="138">
        <v>7.5200000000000003E-2</v>
      </c>
      <c r="D100" s="137">
        <v>104.41</v>
      </c>
      <c r="E100" s="138">
        <v>7.7499999999999999E-2</v>
      </c>
      <c r="F100" s="137">
        <v>106.81</v>
      </c>
      <c r="G100" s="138">
        <v>7.9700000000000007E-2</v>
      </c>
      <c r="H100" s="137">
        <v>102.83</v>
      </c>
      <c r="I100" s="138">
        <v>7.9700000000000007E-2</v>
      </c>
      <c r="J100" s="139"/>
    </row>
    <row r="101" spans="1:10" x14ac:dyDescent="0.35">
      <c r="A101" s="136">
        <v>42510</v>
      </c>
      <c r="B101" s="137">
        <v>102.97</v>
      </c>
      <c r="C101" s="138">
        <v>7.5400000000000009E-2</v>
      </c>
      <c r="D101" s="137">
        <v>103.98</v>
      </c>
      <c r="E101" s="138">
        <v>7.8100000000000003E-2</v>
      </c>
      <c r="F101" s="137">
        <v>106.03</v>
      </c>
      <c r="G101" s="138">
        <v>8.0600000000000005E-2</v>
      </c>
      <c r="H101" s="137">
        <v>102.42</v>
      </c>
      <c r="I101" s="138">
        <v>8.0100000000000005E-2</v>
      </c>
      <c r="J101" s="139"/>
    </row>
    <row r="102" spans="1:10" x14ac:dyDescent="0.35">
      <c r="A102" s="133">
        <v>42513</v>
      </c>
      <c r="B102" s="134">
        <v>102.81</v>
      </c>
      <c r="C102" s="135">
        <v>7.5800000000000006E-2</v>
      </c>
      <c r="D102" s="134">
        <v>103.54</v>
      </c>
      <c r="E102" s="135">
        <v>7.8700000000000006E-2</v>
      </c>
      <c r="F102" s="134">
        <v>105.53</v>
      </c>
      <c r="G102" s="135">
        <v>8.1100000000000005E-2</v>
      </c>
      <c r="H102" s="134">
        <v>101.95</v>
      </c>
      <c r="I102" s="135">
        <v>8.0600000000000005E-2</v>
      </c>
      <c r="J102" s="139"/>
    </row>
    <row r="103" spans="1:10" x14ac:dyDescent="0.35">
      <c r="A103" s="133">
        <v>42514</v>
      </c>
      <c r="B103" s="134">
        <v>102.89</v>
      </c>
      <c r="C103" s="135">
        <v>7.5600000000000001E-2</v>
      </c>
      <c r="D103" s="134">
        <v>103.35</v>
      </c>
      <c r="E103" s="135">
        <v>7.9000000000000001E-2</v>
      </c>
      <c r="F103" s="134">
        <v>105.35</v>
      </c>
      <c r="G103" s="135">
        <v>8.1299999999999997E-2</v>
      </c>
      <c r="H103" s="134">
        <v>101.65</v>
      </c>
      <c r="I103" s="135">
        <v>8.09E-2</v>
      </c>
      <c r="J103" s="139"/>
    </row>
    <row r="104" spans="1:10" x14ac:dyDescent="0.35">
      <c r="A104" s="133">
        <v>42515</v>
      </c>
      <c r="B104" s="134">
        <v>102.78</v>
      </c>
      <c r="C104" s="135">
        <v>7.5900000000000009E-2</v>
      </c>
      <c r="D104" s="134">
        <v>103.2</v>
      </c>
      <c r="E104" s="135">
        <v>7.9200000000000007E-2</v>
      </c>
      <c r="F104" s="134">
        <v>105.39</v>
      </c>
      <c r="G104" s="135">
        <v>8.1299999999999997E-2</v>
      </c>
      <c r="H104" s="134">
        <v>101.35</v>
      </c>
      <c r="I104" s="135">
        <v>8.1200000000000008E-2</v>
      </c>
      <c r="J104" s="139"/>
    </row>
    <row r="105" spans="1:10" x14ac:dyDescent="0.35">
      <c r="A105" s="133">
        <v>42516</v>
      </c>
      <c r="B105" s="134">
        <v>103.09</v>
      </c>
      <c r="C105" s="135">
        <v>7.51E-2</v>
      </c>
      <c r="D105" s="134">
        <v>103.94</v>
      </c>
      <c r="E105" s="135">
        <v>7.8100000000000003E-2</v>
      </c>
      <c r="F105" s="134">
        <v>106.1</v>
      </c>
      <c r="G105" s="135">
        <v>8.0500000000000002E-2</v>
      </c>
      <c r="H105" s="134">
        <v>102.06</v>
      </c>
      <c r="I105" s="135">
        <v>8.0500000000000002E-2</v>
      </c>
      <c r="J105" s="139"/>
    </row>
    <row r="106" spans="1:10" x14ac:dyDescent="0.35">
      <c r="A106" s="133">
        <v>42517</v>
      </c>
      <c r="B106" s="134">
        <v>103.04</v>
      </c>
      <c r="C106" s="135">
        <v>7.5300000000000006E-2</v>
      </c>
      <c r="D106" s="134">
        <v>104</v>
      </c>
      <c r="E106" s="135">
        <v>7.8100000000000003E-2</v>
      </c>
      <c r="F106" s="134">
        <v>106.28</v>
      </c>
      <c r="G106" s="135">
        <v>8.0299999999999996E-2</v>
      </c>
      <c r="H106" s="134">
        <v>102.15</v>
      </c>
      <c r="I106" s="135">
        <v>8.0399999999999999E-2</v>
      </c>
      <c r="J106" s="139"/>
    </row>
    <row r="107" spans="1:10" x14ac:dyDescent="0.35">
      <c r="A107" s="136">
        <v>42520</v>
      </c>
      <c r="B107" s="137">
        <v>103</v>
      </c>
      <c r="C107" s="138">
        <v>7.5300000000000006E-2</v>
      </c>
      <c r="D107" s="137">
        <v>103.88</v>
      </c>
      <c r="E107" s="138">
        <v>7.8200000000000006E-2</v>
      </c>
      <c r="F107" s="137">
        <v>106.25</v>
      </c>
      <c r="G107" s="138">
        <v>8.0299999999999996E-2</v>
      </c>
      <c r="H107" s="137">
        <v>102.05</v>
      </c>
      <c r="I107" s="138">
        <v>8.0500000000000002E-2</v>
      </c>
      <c r="J107" s="139"/>
    </row>
    <row r="108" spans="1:10" x14ac:dyDescent="0.35">
      <c r="A108" s="136">
        <v>42521</v>
      </c>
      <c r="B108" s="137">
        <v>103</v>
      </c>
      <c r="C108" s="138">
        <v>7.5400000000000009E-2</v>
      </c>
      <c r="D108" s="137">
        <v>103.84</v>
      </c>
      <c r="E108" s="138">
        <v>7.8300000000000008E-2</v>
      </c>
      <c r="F108" s="137">
        <v>106.26</v>
      </c>
      <c r="G108" s="138">
        <v>8.0299999999999996E-2</v>
      </c>
      <c r="H108" s="137">
        <v>102</v>
      </c>
      <c r="I108" s="138">
        <v>8.0500000000000002E-2</v>
      </c>
      <c r="J108" s="139"/>
    </row>
    <row r="109" spans="1:10" x14ac:dyDescent="0.35">
      <c r="A109" s="136">
        <v>42522</v>
      </c>
      <c r="B109" s="137">
        <v>103.04</v>
      </c>
      <c r="C109" s="138">
        <v>7.5300000000000006E-2</v>
      </c>
      <c r="D109" s="137">
        <v>103.8</v>
      </c>
      <c r="E109" s="138">
        <v>7.8300000000000008E-2</v>
      </c>
      <c r="F109" s="137">
        <v>106.27</v>
      </c>
      <c r="G109" s="138">
        <v>8.0299999999999996E-2</v>
      </c>
      <c r="H109" s="137">
        <v>102.05</v>
      </c>
      <c r="I109" s="138">
        <v>8.0500000000000002E-2</v>
      </c>
      <c r="J109" s="139"/>
    </row>
    <row r="110" spans="1:10" x14ac:dyDescent="0.35">
      <c r="A110" s="136">
        <v>42523</v>
      </c>
      <c r="B110" s="137">
        <v>102.93</v>
      </c>
      <c r="C110" s="138">
        <v>7.5499999999999998E-2</v>
      </c>
      <c r="D110" s="137">
        <v>103.48</v>
      </c>
      <c r="E110" s="138">
        <v>7.8800000000000009E-2</v>
      </c>
      <c r="F110" s="137">
        <v>105.79</v>
      </c>
      <c r="G110" s="138">
        <v>8.0799999999999997E-2</v>
      </c>
      <c r="H110" s="137">
        <v>101.74</v>
      </c>
      <c r="I110" s="138">
        <v>8.0799999999999997E-2</v>
      </c>
      <c r="J110" s="139"/>
    </row>
    <row r="111" spans="1:10" x14ac:dyDescent="0.35">
      <c r="A111" s="136">
        <v>42524</v>
      </c>
      <c r="B111" s="137">
        <v>103.16</v>
      </c>
      <c r="C111" s="138">
        <v>7.4999999999999997E-2</v>
      </c>
      <c r="D111" s="137">
        <v>103.75</v>
      </c>
      <c r="E111" s="138">
        <v>7.8399999999999997E-2</v>
      </c>
      <c r="F111" s="137">
        <v>106.26</v>
      </c>
      <c r="G111" s="138">
        <v>8.0299999999999996E-2</v>
      </c>
      <c r="H111" s="137">
        <v>102.32</v>
      </c>
      <c r="I111" s="138">
        <v>8.0200000000000007E-2</v>
      </c>
      <c r="J111" s="139"/>
    </row>
    <row r="112" spans="1:10" x14ac:dyDescent="0.35">
      <c r="A112" s="133">
        <v>42527</v>
      </c>
      <c r="B112" s="134">
        <v>103.28</v>
      </c>
      <c r="C112" s="135">
        <v>7.4700000000000003E-2</v>
      </c>
      <c r="D112" s="134">
        <v>104.32</v>
      </c>
      <c r="E112" s="135">
        <v>7.7600000000000002E-2</v>
      </c>
      <c r="F112" s="134">
        <v>106.87</v>
      </c>
      <c r="G112" s="135">
        <v>7.9600000000000004E-2</v>
      </c>
      <c r="H112" s="134">
        <v>103.04</v>
      </c>
      <c r="I112" s="135">
        <v>7.9500000000000001E-2</v>
      </c>
      <c r="J112" s="139"/>
    </row>
    <row r="113" spans="1:10" x14ac:dyDescent="0.35">
      <c r="A113" s="133">
        <v>42528</v>
      </c>
      <c r="B113" s="134">
        <v>103.25</v>
      </c>
      <c r="C113" s="135">
        <v>7.4800000000000005E-2</v>
      </c>
      <c r="D113" s="134">
        <v>104.46</v>
      </c>
      <c r="E113" s="135">
        <v>7.7399999999999997E-2</v>
      </c>
      <c r="F113" s="134">
        <v>107.3</v>
      </c>
      <c r="G113" s="135">
        <v>7.9100000000000004E-2</v>
      </c>
      <c r="H113" s="134">
        <v>103.91</v>
      </c>
      <c r="I113" s="135">
        <v>7.8600000000000003E-2</v>
      </c>
      <c r="J113" s="139"/>
    </row>
    <row r="114" spans="1:10" x14ac:dyDescent="0.35">
      <c r="A114" s="133">
        <v>42529</v>
      </c>
      <c r="B114" s="134">
        <v>103.67</v>
      </c>
      <c r="C114" s="135">
        <v>7.3800000000000004E-2</v>
      </c>
      <c r="D114" s="134">
        <v>105.68</v>
      </c>
      <c r="E114" s="135">
        <v>7.5700000000000003E-2</v>
      </c>
      <c r="F114" s="134">
        <v>108.45</v>
      </c>
      <c r="G114" s="135">
        <v>7.7899999999999997E-2</v>
      </c>
      <c r="H114" s="134">
        <v>104.74</v>
      </c>
      <c r="I114" s="135">
        <v>7.7800000000000008E-2</v>
      </c>
      <c r="J114" s="139"/>
    </row>
    <row r="115" spans="1:10" x14ac:dyDescent="0.35">
      <c r="A115" s="133">
        <v>42530</v>
      </c>
      <c r="B115" s="134">
        <v>103.78</v>
      </c>
      <c r="C115" s="135">
        <v>7.350000000000001E-2</v>
      </c>
      <c r="D115" s="134">
        <v>106.06</v>
      </c>
      <c r="E115" s="135">
        <v>7.5200000000000003E-2</v>
      </c>
      <c r="F115" s="134">
        <v>108.73</v>
      </c>
      <c r="G115" s="135">
        <v>7.7600000000000002E-2</v>
      </c>
      <c r="H115" s="134">
        <v>105</v>
      </c>
      <c r="I115" s="135">
        <v>7.7600000000000002E-2</v>
      </c>
      <c r="J115" s="139"/>
    </row>
    <row r="116" spans="1:10" x14ac:dyDescent="0.35">
      <c r="A116" s="133">
        <v>42531</v>
      </c>
      <c r="B116" s="134">
        <v>103.56</v>
      </c>
      <c r="C116" s="135">
        <v>7.3999999999999996E-2</v>
      </c>
      <c r="D116" s="134">
        <v>105.56</v>
      </c>
      <c r="E116" s="135">
        <v>7.5900000000000009E-2</v>
      </c>
      <c r="F116" s="134">
        <v>108.38</v>
      </c>
      <c r="G116" s="135">
        <v>7.7899999999999997E-2</v>
      </c>
      <c r="H116" s="134">
        <v>104.66</v>
      </c>
      <c r="I116" s="135">
        <v>7.7899999999999997E-2</v>
      </c>
      <c r="J116" s="139"/>
    </row>
    <row r="117" spans="1:10" x14ac:dyDescent="0.35">
      <c r="A117" s="136">
        <v>42534</v>
      </c>
      <c r="B117" s="137">
        <v>103.49</v>
      </c>
      <c r="C117" s="138">
        <v>7.4200000000000002E-2</v>
      </c>
      <c r="D117" s="137">
        <v>105.45</v>
      </c>
      <c r="E117" s="138">
        <v>7.5999999999999998E-2</v>
      </c>
      <c r="F117" s="137">
        <v>108.08</v>
      </c>
      <c r="G117" s="138">
        <v>7.8300000000000008E-2</v>
      </c>
      <c r="H117" s="137">
        <v>104.39</v>
      </c>
      <c r="I117" s="138">
        <v>7.8200000000000006E-2</v>
      </c>
      <c r="J117" s="139"/>
    </row>
    <row r="118" spans="1:10" x14ac:dyDescent="0.35">
      <c r="A118" s="136">
        <v>42535</v>
      </c>
      <c r="B118" s="137">
        <v>103.57</v>
      </c>
      <c r="C118" s="138">
        <v>7.3999999999999996E-2</v>
      </c>
      <c r="D118" s="137">
        <v>105.55</v>
      </c>
      <c r="E118" s="138">
        <v>7.5900000000000009E-2</v>
      </c>
      <c r="F118" s="137">
        <v>108.04</v>
      </c>
      <c r="G118" s="138">
        <v>7.8300000000000008E-2</v>
      </c>
      <c r="H118" s="137">
        <v>104.39</v>
      </c>
      <c r="I118" s="138">
        <v>7.8200000000000006E-2</v>
      </c>
      <c r="J118" s="139"/>
    </row>
    <row r="119" spans="1:10" x14ac:dyDescent="0.35">
      <c r="A119" s="136">
        <v>42536</v>
      </c>
      <c r="B119" s="137">
        <v>103.34</v>
      </c>
      <c r="C119" s="138">
        <v>7.4499999999999997E-2</v>
      </c>
      <c r="D119" s="137">
        <v>105.25</v>
      </c>
      <c r="E119" s="138">
        <v>7.6300000000000007E-2</v>
      </c>
      <c r="F119" s="137">
        <v>107.66</v>
      </c>
      <c r="G119" s="138">
        <v>7.8700000000000006E-2</v>
      </c>
      <c r="H119" s="137">
        <v>104.01</v>
      </c>
      <c r="I119" s="138">
        <v>7.85E-2</v>
      </c>
      <c r="J119" s="139"/>
    </row>
    <row r="120" spans="1:10" x14ac:dyDescent="0.35">
      <c r="A120" s="136">
        <v>42537</v>
      </c>
      <c r="B120" s="137">
        <v>103.57</v>
      </c>
      <c r="C120" s="138">
        <v>7.3999999999999996E-2</v>
      </c>
      <c r="D120" s="137">
        <v>105.81</v>
      </c>
      <c r="E120" s="138">
        <v>7.5499999999999998E-2</v>
      </c>
      <c r="F120" s="137">
        <v>107.97</v>
      </c>
      <c r="G120" s="138">
        <v>7.8399999999999997E-2</v>
      </c>
      <c r="H120" s="137">
        <v>104.33</v>
      </c>
      <c r="I120" s="138">
        <v>7.8200000000000006E-2</v>
      </c>
      <c r="J120" s="139"/>
    </row>
    <row r="121" spans="1:10" x14ac:dyDescent="0.35">
      <c r="A121" s="136">
        <v>42538</v>
      </c>
      <c r="B121" s="137">
        <v>103.54</v>
      </c>
      <c r="C121" s="138">
        <v>7.3999999999999996E-2</v>
      </c>
      <c r="D121" s="137">
        <v>105.65</v>
      </c>
      <c r="E121" s="138">
        <v>7.5700000000000003E-2</v>
      </c>
      <c r="F121" s="137">
        <v>107.72</v>
      </c>
      <c r="G121" s="138">
        <v>7.8700000000000006E-2</v>
      </c>
      <c r="H121" s="137">
        <v>104.27</v>
      </c>
      <c r="I121" s="138">
        <v>7.8300000000000008E-2</v>
      </c>
      <c r="J121" s="139"/>
    </row>
    <row r="122" spans="1:10" x14ac:dyDescent="0.35">
      <c r="A122" s="133">
        <v>42541</v>
      </c>
      <c r="B122" s="134">
        <v>103.49</v>
      </c>
      <c r="C122" s="135">
        <v>7.4099999999999999E-2</v>
      </c>
      <c r="D122" s="134">
        <v>105.60000000000001</v>
      </c>
      <c r="E122" s="135">
        <v>7.5800000000000006E-2</v>
      </c>
      <c r="F122" s="134">
        <v>107.67</v>
      </c>
      <c r="G122" s="135">
        <v>7.8700000000000006E-2</v>
      </c>
      <c r="H122" s="134">
        <v>104.24</v>
      </c>
      <c r="I122" s="135">
        <v>7.8300000000000008E-2</v>
      </c>
      <c r="J122" s="139"/>
    </row>
    <row r="123" spans="1:10" x14ac:dyDescent="0.35">
      <c r="A123" s="133">
        <v>42542</v>
      </c>
      <c r="B123" s="134">
        <v>103.49</v>
      </c>
      <c r="C123" s="135">
        <v>7.4099999999999999E-2</v>
      </c>
      <c r="D123" s="134">
        <v>105.55000000000001</v>
      </c>
      <c r="E123" s="135">
        <v>7.5900000000000009E-2</v>
      </c>
      <c r="F123" s="134">
        <v>107.55000000000001</v>
      </c>
      <c r="G123" s="135">
        <v>7.8800000000000009E-2</v>
      </c>
      <c r="H123" s="134">
        <v>104.02000000000001</v>
      </c>
      <c r="I123" s="135">
        <v>7.85E-2</v>
      </c>
    </row>
    <row r="124" spans="1:10" x14ac:dyDescent="0.35">
      <c r="A124" s="133">
        <v>42543</v>
      </c>
      <c r="B124" s="134">
        <v>103.34</v>
      </c>
      <c r="C124" s="135">
        <v>7.4499999999999997E-2</v>
      </c>
      <c r="D124" s="134">
        <v>105.51</v>
      </c>
      <c r="E124" s="135">
        <v>7.5900000000000009E-2</v>
      </c>
      <c r="F124" s="134">
        <v>107.49</v>
      </c>
      <c r="G124" s="135">
        <v>7.8899999999999998E-2</v>
      </c>
      <c r="H124" s="134">
        <v>103.54</v>
      </c>
      <c r="I124" s="135">
        <v>7.9000000000000001E-2</v>
      </c>
    </row>
    <row r="125" spans="1:10" x14ac:dyDescent="0.35">
      <c r="A125" s="133">
        <v>42544</v>
      </c>
      <c r="B125" s="134">
        <v>103.41000000000001</v>
      </c>
      <c r="C125" s="135">
        <v>7.4300000000000005E-2</v>
      </c>
      <c r="D125" s="134">
        <v>105.72</v>
      </c>
      <c r="E125" s="135">
        <v>7.5600000000000001E-2</v>
      </c>
      <c r="F125" s="134">
        <v>107.8</v>
      </c>
      <c r="G125" s="135">
        <v>7.8600000000000003E-2</v>
      </c>
      <c r="H125" s="134">
        <v>103.55</v>
      </c>
      <c r="I125" s="135">
        <v>7.9000000000000001E-2</v>
      </c>
    </row>
    <row r="126" spans="1:10" x14ac:dyDescent="0.35">
      <c r="A126" s="133">
        <v>42545</v>
      </c>
      <c r="B126" s="134">
        <v>103.35000000000001</v>
      </c>
      <c r="C126" s="135">
        <v>7.4499999999999997E-2</v>
      </c>
      <c r="D126" s="134">
        <v>105.4</v>
      </c>
      <c r="E126" s="135">
        <v>7.6100000000000001E-2</v>
      </c>
      <c r="F126" s="134">
        <v>107.5</v>
      </c>
      <c r="G126" s="135">
        <v>7.8899999999999998E-2</v>
      </c>
      <c r="H126" s="134">
        <v>103.56</v>
      </c>
      <c r="I126" s="135">
        <v>7.9000000000000001E-2</v>
      </c>
    </row>
    <row r="127" spans="1:10" x14ac:dyDescent="0.35">
      <c r="A127" s="136">
        <v>42548</v>
      </c>
      <c r="B127" s="137">
        <v>102.84</v>
      </c>
      <c r="C127" s="138">
        <v>7.5700000000000003E-2</v>
      </c>
      <c r="D127" s="137">
        <v>104.29</v>
      </c>
      <c r="E127" s="138">
        <v>7.7600000000000002E-2</v>
      </c>
      <c r="F127" s="137">
        <v>106.36</v>
      </c>
      <c r="G127" s="138">
        <v>8.0100000000000005E-2</v>
      </c>
      <c r="H127" s="137">
        <v>102.83</v>
      </c>
      <c r="I127" s="138">
        <v>7.9700000000000007E-2</v>
      </c>
    </row>
    <row r="128" spans="1:10" x14ac:dyDescent="0.35">
      <c r="A128" s="136">
        <v>42549</v>
      </c>
      <c r="B128" s="137">
        <v>103.37</v>
      </c>
      <c r="C128" s="138">
        <v>7.4400000000000008E-2</v>
      </c>
      <c r="D128" s="137">
        <v>105.87</v>
      </c>
      <c r="E128" s="138">
        <v>7.5400000000000009E-2</v>
      </c>
      <c r="F128" s="137">
        <v>108.37</v>
      </c>
      <c r="G128" s="138">
        <v>7.7899999999999997E-2</v>
      </c>
      <c r="H128" s="137">
        <v>104.11</v>
      </c>
      <c r="I128" s="138">
        <v>7.8399999999999997E-2</v>
      </c>
    </row>
    <row r="129" spans="1:9" x14ac:dyDescent="0.35">
      <c r="A129" s="136">
        <v>42550</v>
      </c>
      <c r="B129" s="137">
        <v>103.66</v>
      </c>
      <c r="C129" s="138">
        <v>7.3700000000000002E-2</v>
      </c>
      <c r="D129" s="137">
        <v>106.41000000000001</v>
      </c>
      <c r="E129" s="138">
        <v>7.4700000000000003E-2</v>
      </c>
      <c r="F129" s="137">
        <v>109.10000000000001</v>
      </c>
      <c r="G129" s="138">
        <v>7.7100000000000002E-2</v>
      </c>
      <c r="H129" s="137">
        <v>104.89</v>
      </c>
      <c r="I129" s="138">
        <v>7.7700000000000005E-2</v>
      </c>
    </row>
    <row r="130" spans="1:9" x14ac:dyDescent="0.35">
      <c r="A130" s="136">
        <v>42551</v>
      </c>
      <c r="B130" s="137">
        <v>104.08</v>
      </c>
      <c r="C130" s="138">
        <v>7.2700000000000001E-2</v>
      </c>
      <c r="D130" s="137">
        <v>106.68</v>
      </c>
      <c r="E130" s="138">
        <v>7.4300000000000005E-2</v>
      </c>
      <c r="F130" s="137">
        <v>109.57</v>
      </c>
      <c r="G130" s="138">
        <v>7.6600000000000001E-2</v>
      </c>
      <c r="H130" s="137">
        <v>105.62</v>
      </c>
      <c r="I130" s="138">
        <v>7.6999999999999999E-2</v>
      </c>
    </row>
    <row r="131" spans="1:9" x14ac:dyDescent="0.35">
      <c r="A131" s="136">
        <v>42552</v>
      </c>
      <c r="B131" s="137">
        <v>104.30000000000001</v>
      </c>
      <c r="C131" s="138">
        <v>7.22E-2</v>
      </c>
      <c r="D131" s="137">
        <v>107.36</v>
      </c>
      <c r="E131" s="138">
        <v>7.3400000000000007E-2</v>
      </c>
      <c r="F131" s="137">
        <v>110.53</v>
      </c>
      <c r="G131" s="138">
        <v>7.5600000000000001E-2</v>
      </c>
      <c r="H131" s="137">
        <v>106.51</v>
      </c>
      <c r="I131" s="138">
        <v>7.6100000000000001E-2</v>
      </c>
    </row>
    <row r="132" spans="1:9" x14ac:dyDescent="0.35">
      <c r="A132" s="133">
        <v>42562</v>
      </c>
      <c r="B132" s="134">
        <v>105.36</v>
      </c>
      <c r="C132" s="135">
        <v>6.9699999999999998E-2</v>
      </c>
      <c r="D132" s="134">
        <v>108.78</v>
      </c>
      <c r="E132" s="135">
        <v>7.1500000000000008E-2</v>
      </c>
      <c r="F132" s="134">
        <v>112.27000000000001</v>
      </c>
      <c r="G132" s="135">
        <v>7.3800000000000004E-2</v>
      </c>
      <c r="H132" s="134">
        <v>108.31</v>
      </c>
      <c r="I132" s="135">
        <v>7.4499999999999997E-2</v>
      </c>
    </row>
    <row r="133" spans="1:9" x14ac:dyDescent="0.35">
      <c r="A133" s="133">
        <v>42563</v>
      </c>
      <c r="B133" s="134">
        <v>105.53</v>
      </c>
      <c r="C133" s="135">
        <v>6.93E-2</v>
      </c>
      <c r="D133" s="134">
        <v>109.51</v>
      </c>
      <c r="E133" s="135">
        <v>7.0500000000000007E-2</v>
      </c>
      <c r="F133" s="134">
        <v>113.24000000000001</v>
      </c>
      <c r="G133" s="135">
        <v>7.2800000000000004E-2</v>
      </c>
      <c r="H133" s="134">
        <v>109.39</v>
      </c>
      <c r="I133" s="135">
        <v>7.350000000000001E-2</v>
      </c>
    </row>
    <row r="134" spans="1:9" x14ac:dyDescent="0.35">
      <c r="A134" s="133">
        <v>42564</v>
      </c>
      <c r="B134" s="134">
        <v>105.55000000000001</v>
      </c>
      <c r="C134" s="135">
        <v>6.9199999999999998E-2</v>
      </c>
      <c r="D134" s="134">
        <v>109.47</v>
      </c>
      <c r="E134" s="135">
        <v>7.0599999999999996E-2</v>
      </c>
      <c r="F134" s="134">
        <v>113.14</v>
      </c>
      <c r="G134" s="135">
        <v>7.2900000000000006E-2</v>
      </c>
      <c r="H134" s="134">
        <v>108.77000000000001</v>
      </c>
      <c r="I134" s="135">
        <v>7.3999999999999996E-2</v>
      </c>
    </row>
    <row r="135" spans="1:9" x14ac:dyDescent="0.35">
      <c r="A135" s="133">
        <v>42565</v>
      </c>
      <c r="B135" s="134">
        <v>105.22</v>
      </c>
      <c r="C135" s="135">
        <v>7.0000000000000007E-2</v>
      </c>
      <c r="D135" s="134">
        <v>109.01</v>
      </c>
      <c r="E135" s="135">
        <v>7.1199999999999999E-2</v>
      </c>
      <c r="F135" s="134">
        <v>112.54</v>
      </c>
      <c r="G135" s="135">
        <v>7.350000000000001E-2</v>
      </c>
      <c r="H135" s="134">
        <v>108.25</v>
      </c>
      <c r="I135" s="135">
        <v>7.4499999999999997E-2</v>
      </c>
    </row>
    <row r="136" spans="1:9" x14ac:dyDescent="0.35">
      <c r="A136" s="133">
        <v>42566</v>
      </c>
      <c r="B136" s="134">
        <v>105.38000000000001</v>
      </c>
      <c r="C136" s="135">
        <v>6.9600000000000009E-2</v>
      </c>
      <c r="D136" s="134">
        <v>108.96000000000001</v>
      </c>
      <c r="E136" s="135">
        <v>7.1199999999999999E-2</v>
      </c>
      <c r="F136" s="134">
        <v>112.49000000000001</v>
      </c>
      <c r="G136" s="135">
        <v>7.3599999999999999E-2</v>
      </c>
      <c r="H136" s="134">
        <v>108.15</v>
      </c>
      <c r="I136" s="135">
        <v>7.46E-2</v>
      </c>
    </row>
    <row r="137" spans="1:9" x14ac:dyDescent="0.35">
      <c r="A137" s="136">
        <v>42569</v>
      </c>
      <c r="B137" s="137">
        <v>105.31</v>
      </c>
      <c r="C137" s="138">
        <v>6.9800000000000001E-2</v>
      </c>
      <c r="D137" s="137">
        <v>109.08</v>
      </c>
      <c r="E137" s="138">
        <v>7.1099999999999997E-2</v>
      </c>
      <c r="F137" s="137">
        <v>112.44000000000001</v>
      </c>
      <c r="G137" s="138">
        <v>7.3599999999999999E-2</v>
      </c>
      <c r="H137" s="137">
        <v>108.22</v>
      </c>
      <c r="I137" s="138">
        <v>7.4499999999999997E-2</v>
      </c>
    </row>
    <row r="138" spans="1:9" x14ac:dyDescent="0.35">
      <c r="A138" s="136">
        <v>42570</v>
      </c>
      <c r="B138" s="137">
        <v>105.41000000000001</v>
      </c>
      <c r="C138" s="138">
        <v>6.9500000000000006E-2</v>
      </c>
      <c r="D138" s="137">
        <v>109.26</v>
      </c>
      <c r="E138" s="138">
        <v>7.0800000000000002E-2</v>
      </c>
      <c r="F138" s="137">
        <v>112.5</v>
      </c>
      <c r="G138" s="138">
        <v>7.350000000000001E-2</v>
      </c>
      <c r="H138" s="137">
        <v>108.38000000000001</v>
      </c>
      <c r="I138" s="138">
        <v>7.4400000000000008E-2</v>
      </c>
    </row>
    <row r="139" spans="1:9" x14ac:dyDescent="0.35">
      <c r="A139" s="136">
        <v>42571</v>
      </c>
      <c r="B139" s="137">
        <v>106.10000000000001</v>
      </c>
      <c r="C139" s="138">
        <v>6.7900000000000002E-2</v>
      </c>
      <c r="D139" s="137">
        <v>110.17</v>
      </c>
      <c r="E139" s="138">
        <v>6.9600000000000009E-2</v>
      </c>
      <c r="F139" s="137">
        <v>113.58</v>
      </c>
      <c r="G139" s="138">
        <v>7.2400000000000006E-2</v>
      </c>
      <c r="H139" s="137">
        <v>109.21000000000001</v>
      </c>
      <c r="I139" s="138">
        <v>7.3599999999999999E-2</v>
      </c>
    </row>
    <row r="140" spans="1:9" x14ac:dyDescent="0.35">
      <c r="A140" s="136">
        <v>42572</v>
      </c>
      <c r="B140" s="137">
        <v>106.04</v>
      </c>
      <c r="C140" s="138">
        <v>6.8000000000000005E-2</v>
      </c>
      <c r="D140" s="137">
        <v>109.98</v>
      </c>
      <c r="E140" s="138">
        <v>6.9900000000000004E-2</v>
      </c>
      <c r="F140" s="137">
        <v>113.29</v>
      </c>
      <c r="G140" s="138">
        <v>7.2700000000000001E-2</v>
      </c>
      <c r="H140" s="137">
        <v>108.53</v>
      </c>
      <c r="I140" s="138">
        <v>7.4200000000000002E-2</v>
      </c>
    </row>
    <row r="141" spans="1:9" x14ac:dyDescent="0.35">
      <c r="A141" s="136">
        <v>42573</v>
      </c>
      <c r="B141" s="137">
        <v>105.83</v>
      </c>
      <c r="C141" s="138">
        <v>6.8500000000000005E-2</v>
      </c>
      <c r="D141" s="137">
        <v>109.62</v>
      </c>
      <c r="E141" s="138">
        <v>7.0400000000000004E-2</v>
      </c>
      <c r="F141" s="137">
        <v>112.69000000000001</v>
      </c>
      <c r="G141" s="138">
        <v>7.3300000000000004E-2</v>
      </c>
      <c r="H141" s="137">
        <v>108.07000000000001</v>
      </c>
      <c r="I141" s="138">
        <v>7.4700000000000003E-2</v>
      </c>
    </row>
    <row r="142" spans="1:9" x14ac:dyDescent="0.35">
      <c r="A142" s="133">
        <v>42576</v>
      </c>
      <c r="B142" s="134">
        <v>105.77000000000001</v>
      </c>
      <c r="C142" s="135">
        <v>6.8600000000000008E-2</v>
      </c>
      <c r="D142" s="134">
        <v>109.65</v>
      </c>
      <c r="E142" s="135">
        <v>7.0300000000000001E-2</v>
      </c>
      <c r="F142" s="134">
        <v>112.7</v>
      </c>
      <c r="G142" s="135">
        <v>7.3300000000000004E-2</v>
      </c>
      <c r="H142" s="134">
        <v>108.01</v>
      </c>
      <c r="I142" s="135">
        <v>7.4700000000000003E-2</v>
      </c>
    </row>
    <row r="143" spans="1:9" x14ac:dyDescent="0.35">
      <c r="A143" s="133">
        <v>42577</v>
      </c>
      <c r="B143" s="134">
        <v>105.56</v>
      </c>
      <c r="C143" s="135">
        <v>6.9100000000000009E-2</v>
      </c>
      <c r="D143" s="134">
        <v>109.05000000000001</v>
      </c>
      <c r="E143" s="135">
        <v>7.1099999999999997E-2</v>
      </c>
      <c r="F143" s="134">
        <v>112.27000000000001</v>
      </c>
      <c r="G143" s="135">
        <v>7.3800000000000004E-2</v>
      </c>
      <c r="H143" s="134">
        <v>107.58</v>
      </c>
      <c r="I143" s="135">
        <v>7.51E-2</v>
      </c>
    </row>
    <row r="144" spans="1:9" x14ac:dyDescent="0.35">
      <c r="A144" s="133">
        <v>42578</v>
      </c>
      <c r="B144" s="134">
        <v>105.96000000000001</v>
      </c>
      <c r="C144" s="135">
        <v>6.8199999999999997E-2</v>
      </c>
      <c r="D144" s="134">
        <v>109.98</v>
      </c>
      <c r="E144" s="135">
        <v>6.9900000000000004E-2</v>
      </c>
      <c r="F144" s="134">
        <v>113.37</v>
      </c>
      <c r="G144" s="135">
        <v>7.2599999999999998E-2</v>
      </c>
      <c r="H144" s="134">
        <v>108.6</v>
      </c>
      <c r="I144" s="135">
        <v>7.4200000000000002E-2</v>
      </c>
    </row>
    <row r="145" spans="1:9" x14ac:dyDescent="0.35">
      <c r="A145" s="133">
        <v>42579</v>
      </c>
      <c r="B145" s="134">
        <v>106.03</v>
      </c>
      <c r="C145" s="135">
        <v>6.8000000000000005E-2</v>
      </c>
      <c r="D145" s="134">
        <v>110.35000000000001</v>
      </c>
      <c r="E145" s="135">
        <v>6.9400000000000003E-2</v>
      </c>
      <c r="F145" s="134">
        <v>113.46000000000001</v>
      </c>
      <c r="G145" s="135">
        <v>7.2500000000000009E-2</v>
      </c>
      <c r="H145" s="134">
        <v>108.98</v>
      </c>
      <c r="I145" s="135">
        <v>7.3800000000000004E-2</v>
      </c>
    </row>
    <row r="146" spans="1:9" x14ac:dyDescent="0.35">
      <c r="A146" s="133">
        <v>42580</v>
      </c>
      <c r="B146" s="134">
        <v>106.33</v>
      </c>
      <c r="C146" s="135">
        <v>6.7299999999999999E-2</v>
      </c>
      <c r="D146" s="134">
        <v>110.61</v>
      </c>
      <c r="E146" s="135">
        <v>6.9000000000000006E-2</v>
      </c>
      <c r="F146" s="134">
        <v>113.92</v>
      </c>
      <c r="G146" s="135">
        <v>7.2099999999999997E-2</v>
      </c>
      <c r="H146" s="134">
        <v>109.56</v>
      </c>
      <c r="I146" s="135">
        <v>7.3300000000000004E-2</v>
      </c>
    </row>
    <row r="147" spans="1:9" x14ac:dyDescent="0.35">
      <c r="A147" s="136">
        <v>42583</v>
      </c>
      <c r="B147" s="137">
        <v>106.44000000000001</v>
      </c>
      <c r="C147" s="138">
        <v>6.7000000000000004E-2</v>
      </c>
      <c r="D147" s="137">
        <v>110.71000000000001</v>
      </c>
      <c r="E147" s="138">
        <v>6.8900000000000003E-2</v>
      </c>
      <c r="F147" s="137">
        <v>114.22</v>
      </c>
      <c r="G147" s="138">
        <v>7.1800000000000003E-2</v>
      </c>
      <c r="H147" s="137">
        <v>110.03</v>
      </c>
      <c r="I147" s="138">
        <v>7.2900000000000006E-2</v>
      </c>
    </row>
    <row r="148" spans="1:9" x14ac:dyDescent="0.35">
      <c r="A148" s="136">
        <v>42584</v>
      </c>
      <c r="B148" s="137">
        <v>106.58</v>
      </c>
      <c r="C148" s="138">
        <v>6.6700000000000009E-2</v>
      </c>
      <c r="D148" s="137">
        <v>110.88000000000001</v>
      </c>
      <c r="E148" s="138">
        <v>6.8699999999999997E-2</v>
      </c>
      <c r="F148" s="137">
        <v>114.2</v>
      </c>
      <c r="G148" s="138">
        <v>7.1800000000000003E-2</v>
      </c>
      <c r="H148" s="137">
        <v>110.12</v>
      </c>
      <c r="I148" s="138">
        <v>7.2800000000000004E-2</v>
      </c>
    </row>
    <row r="149" spans="1:9" x14ac:dyDescent="0.35">
      <c r="A149" s="136">
        <v>42585</v>
      </c>
      <c r="B149" s="137">
        <v>106.72</v>
      </c>
      <c r="C149" s="138">
        <v>6.6400000000000001E-2</v>
      </c>
      <c r="D149" s="137">
        <v>111.34</v>
      </c>
      <c r="E149" s="138">
        <v>6.8100000000000008E-2</v>
      </c>
      <c r="F149" s="137">
        <v>114.28</v>
      </c>
      <c r="G149" s="138">
        <v>7.17E-2</v>
      </c>
      <c r="H149" s="137">
        <v>110.27000000000001</v>
      </c>
      <c r="I149" s="138">
        <v>7.2700000000000001E-2</v>
      </c>
    </row>
    <row r="150" spans="1:9" x14ac:dyDescent="0.35">
      <c r="A150" s="136">
        <v>42586</v>
      </c>
      <c r="B150" s="137">
        <v>106.52000000000001</v>
      </c>
      <c r="C150" s="138">
        <v>6.6799999999999998E-2</v>
      </c>
      <c r="D150" s="137">
        <v>110.79</v>
      </c>
      <c r="E150" s="138">
        <v>6.88E-2</v>
      </c>
      <c r="F150" s="137">
        <v>113.78</v>
      </c>
      <c r="G150" s="138">
        <v>7.22E-2</v>
      </c>
      <c r="H150" s="137">
        <v>109.85000000000001</v>
      </c>
      <c r="I150" s="138">
        <v>7.3000000000000009E-2</v>
      </c>
    </row>
    <row r="151" spans="1:9" x14ac:dyDescent="0.35">
      <c r="A151" s="136">
        <v>42587</v>
      </c>
      <c r="B151" s="137">
        <v>106.62</v>
      </c>
      <c r="C151" s="138">
        <v>6.6600000000000006E-2</v>
      </c>
      <c r="D151" s="137">
        <v>111.04</v>
      </c>
      <c r="E151" s="138">
        <v>6.8500000000000005E-2</v>
      </c>
      <c r="F151" s="137">
        <v>114</v>
      </c>
      <c r="G151" s="138">
        <v>7.2000000000000008E-2</v>
      </c>
      <c r="H151" s="137">
        <v>109.94000000000001</v>
      </c>
      <c r="I151" s="138">
        <v>7.3000000000000009E-2</v>
      </c>
    </row>
    <row r="152" spans="1:9" x14ac:dyDescent="0.35">
      <c r="A152" s="133">
        <v>42590</v>
      </c>
      <c r="B152" s="134">
        <v>106.61</v>
      </c>
      <c r="C152" s="135">
        <v>6.6600000000000006E-2</v>
      </c>
      <c r="D152" s="134">
        <v>111.14</v>
      </c>
      <c r="E152" s="135">
        <v>6.83E-2</v>
      </c>
      <c r="F152" s="134">
        <v>113.82000000000001</v>
      </c>
      <c r="G152" s="135">
        <v>7.22E-2</v>
      </c>
      <c r="H152" s="134">
        <v>109.79</v>
      </c>
      <c r="I152" s="135">
        <v>7.3099999999999998E-2</v>
      </c>
    </row>
    <row r="153" spans="1:9" x14ac:dyDescent="0.35">
      <c r="A153" s="133">
        <v>42591</v>
      </c>
      <c r="B153" s="134">
        <v>106.67</v>
      </c>
      <c r="C153" s="135">
        <v>6.6400000000000001E-2</v>
      </c>
      <c r="D153" s="134">
        <v>111.14</v>
      </c>
      <c r="E153" s="135">
        <v>6.83E-2</v>
      </c>
      <c r="F153" s="134">
        <v>113.87</v>
      </c>
      <c r="G153" s="135">
        <v>7.2099999999999997E-2</v>
      </c>
      <c r="H153" s="134">
        <v>109.72</v>
      </c>
      <c r="I153" s="135">
        <v>7.3200000000000001E-2</v>
      </c>
    </row>
    <row r="154" spans="1:9" x14ac:dyDescent="0.35">
      <c r="A154" s="133">
        <v>42592</v>
      </c>
      <c r="B154" s="134">
        <v>106.76</v>
      </c>
      <c r="C154" s="135">
        <v>6.6200000000000009E-2</v>
      </c>
      <c r="D154" s="134">
        <v>111.48</v>
      </c>
      <c r="E154" s="135">
        <v>6.7900000000000002E-2</v>
      </c>
      <c r="F154" s="134">
        <v>114.05000000000001</v>
      </c>
      <c r="G154" s="135">
        <v>7.1900000000000006E-2</v>
      </c>
      <c r="H154" s="134">
        <v>110</v>
      </c>
      <c r="I154" s="135">
        <v>7.2900000000000006E-2</v>
      </c>
    </row>
    <row r="155" spans="1:9" x14ac:dyDescent="0.35">
      <c r="A155" s="133">
        <v>42593</v>
      </c>
      <c r="B155" s="134">
        <v>106.79</v>
      </c>
      <c r="C155" s="135">
        <v>6.6100000000000006E-2</v>
      </c>
      <c r="D155" s="134">
        <v>111.73</v>
      </c>
      <c r="E155" s="135">
        <v>6.7600000000000007E-2</v>
      </c>
      <c r="F155" s="134">
        <v>114.22</v>
      </c>
      <c r="G155" s="135">
        <v>7.1800000000000003E-2</v>
      </c>
      <c r="H155" s="134">
        <v>110.18</v>
      </c>
      <c r="I155" s="135">
        <v>7.2700000000000001E-2</v>
      </c>
    </row>
    <row r="156" spans="1:9" x14ac:dyDescent="0.35">
      <c r="A156" s="133">
        <v>42594</v>
      </c>
      <c r="B156" s="134">
        <v>106.79</v>
      </c>
      <c r="C156" s="135">
        <v>6.6100000000000006E-2</v>
      </c>
      <c r="D156" s="134">
        <v>111.76</v>
      </c>
      <c r="E156" s="135">
        <v>6.7500000000000004E-2</v>
      </c>
      <c r="F156" s="134">
        <v>114.04</v>
      </c>
      <c r="G156" s="135">
        <v>7.1900000000000006E-2</v>
      </c>
      <c r="H156" s="134">
        <v>109.99000000000001</v>
      </c>
      <c r="I156" s="135">
        <v>7.2900000000000006E-2</v>
      </c>
    </row>
    <row r="157" spans="1:9" x14ac:dyDescent="0.35">
      <c r="A157" s="136">
        <v>42597</v>
      </c>
      <c r="B157" s="137">
        <v>106.79</v>
      </c>
      <c r="C157" s="138">
        <v>6.6100000000000006E-2</v>
      </c>
      <c r="D157" s="137">
        <v>111.51</v>
      </c>
      <c r="E157" s="138">
        <v>6.7799999999999999E-2</v>
      </c>
      <c r="F157" s="137">
        <v>114.19000000000001</v>
      </c>
      <c r="G157" s="138">
        <v>7.1800000000000003E-2</v>
      </c>
      <c r="H157" s="137">
        <v>110</v>
      </c>
      <c r="I157" s="138">
        <v>7.2900000000000006E-2</v>
      </c>
    </row>
    <row r="158" spans="1:9" x14ac:dyDescent="0.35">
      <c r="A158" s="136">
        <v>42598</v>
      </c>
      <c r="B158" s="137">
        <v>106.68</v>
      </c>
      <c r="C158" s="138">
        <v>6.6400000000000001E-2</v>
      </c>
      <c r="D158" s="137">
        <v>111.43</v>
      </c>
      <c r="E158" s="138">
        <v>6.7900000000000002E-2</v>
      </c>
      <c r="F158" s="137">
        <v>114.07000000000001</v>
      </c>
      <c r="G158" s="138">
        <v>7.1900000000000006E-2</v>
      </c>
      <c r="H158" s="137">
        <v>109.94000000000001</v>
      </c>
      <c r="I158" s="138">
        <v>7.3000000000000009E-2</v>
      </c>
    </row>
    <row r="159" spans="1:9" x14ac:dyDescent="0.35">
      <c r="A159" s="136">
        <v>42600</v>
      </c>
      <c r="B159" s="137">
        <v>106.74000000000001</v>
      </c>
      <c r="C159" s="138">
        <v>6.6200000000000009E-2</v>
      </c>
      <c r="D159" s="137">
        <v>111.34</v>
      </c>
      <c r="E159" s="138">
        <v>6.8100000000000008E-2</v>
      </c>
      <c r="F159" s="137">
        <v>114.02000000000001</v>
      </c>
      <c r="G159" s="138">
        <v>7.1900000000000006E-2</v>
      </c>
      <c r="H159" s="137">
        <v>109.78</v>
      </c>
      <c r="I159" s="138">
        <v>7.3099999999999998E-2</v>
      </c>
    </row>
    <row r="160" spans="1:9" x14ac:dyDescent="0.35">
      <c r="A160" s="136">
        <v>42601</v>
      </c>
      <c r="B160" s="137">
        <v>106.99000000000001</v>
      </c>
      <c r="C160" s="138">
        <v>6.5600000000000006E-2</v>
      </c>
      <c r="D160" s="137">
        <v>111.46000000000001</v>
      </c>
      <c r="E160" s="138">
        <v>6.7900000000000002E-2</v>
      </c>
      <c r="F160" s="137">
        <v>114.22</v>
      </c>
      <c r="G160" s="138">
        <v>7.17E-2</v>
      </c>
      <c r="H160" s="137">
        <v>110</v>
      </c>
      <c r="I160" s="138">
        <v>7.2900000000000006E-2</v>
      </c>
    </row>
    <row r="161" spans="1:9" x14ac:dyDescent="0.35">
      <c r="A161" s="133">
        <v>42604</v>
      </c>
      <c r="B161" s="134">
        <v>106.59</v>
      </c>
      <c r="C161" s="135">
        <v>6.6500000000000004E-2</v>
      </c>
      <c r="D161" s="134">
        <v>110.95</v>
      </c>
      <c r="E161" s="135">
        <v>6.8500000000000005E-2</v>
      </c>
      <c r="F161" s="134">
        <v>113.82</v>
      </c>
      <c r="G161" s="135">
        <v>7.2099999999999997E-2</v>
      </c>
      <c r="H161" s="134">
        <v>109.47</v>
      </c>
      <c r="I161" s="135">
        <v>7.3400000000000007E-2</v>
      </c>
    </row>
    <row r="162" spans="1:9" x14ac:dyDescent="0.35">
      <c r="A162" s="133">
        <v>42605</v>
      </c>
      <c r="B162" s="134">
        <v>106.07</v>
      </c>
      <c r="C162" s="135">
        <v>6.7699999999999996E-2</v>
      </c>
      <c r="D162" s="134">
        <v>109.32</v>
      </c>
      <c r="E162" s="135">
        <v>7.0699999999999999E-2</v>
      </c>
      <c r="F162" s="134">
        <v>112.52</v>
      </c>
      <c r="G162" s="135">
        <v>7.350000000000001E-2</v>
      </c>
      <c r="H162" s="134">
        <v>108.55</v>
      </c>
      <c r="I162" s="135">
        <v>7.4200000000000002E-2</v>
      </c>
    </row>
    <row r="163" spans="1:9" x14ac:dyDescent="0.35">
      <c r="A163" s="133">
        <v>42606</v>
      </c>
      <c r="B163" s="134">
        <v>106.04</v>
      </c>
      <c r="C163" s="135">
        <v>6.7799999999999999E-2</v>
      </c>
      <c r="D163" s="134">
        <v>109.26</v>
      </c>
      <c r="E163" s="135">
        <v>7.0800000000000002E-2</v>
      </c>
      <c r="F163" s="134">
        <v>112.41</v>
      </c>
      <c r="G163" s="135">
        <v>7.3599999999999999E-2</v>
      </c>
      <c r="H163" s="134">
        <v>108.17</v>
      </c>
      <c r="I163" s="135">
        <v>7.46E-2</v>
      </c>
    </row>
    <row r="164" spans="1:9" x14ac:dyDescent="0.35">
      <c r="A164" s="133">
        <v>42607</v>
      </c>
      <c r="B164" s="134">
        <v>106.14</v>
      </c>
      <c r="C164" s="135">
        <v>6.7600000000000007E-2</v>
      </c>
      <c r="D164" s="134">
        <v>109.3</v>
      </c>
      <c r="E164" s="135">
        <v>7.0699999999999999E-2</v>
      </c>
      <c r="F164" s="134">
        <v>112.54</v>
      </c>
      <c r="G164" s="135">
        <v>7.350000000000001E-2</v>
      </c>
      <c r="H164" s="134">
        <v>108.45</v>
      </c>
      <c r="I164" s="135">
        <v>7.4300000000000005E-2</v>
      </c>
    </row>
    <row r="165" spans="1:9" x14ac:dyDescent="0.35">
      <c r="A165" s="133">
        <v>42608</v>
      </c>
      <c r="B165" s="134">
        <v>106.17</v>
      </c>
      <c r="C165" s="135">
        <v>6.7500000000000004E-2</v>
      </c>
      <c r="D165" s="134">
        <v>109.47</v>
      </c>
      <c r="E165" s="135">
        <v>7.0500000000000007E-2</v>
      </c>
      <c r="F165" s="134">
        <v>112.67</v>
      </c>
      <c r="G165" s="135">
        <v>7.3300000000000004E-2</v>
      </c>
      <c r="H165" s="134">
        <v>108.62</v>
      </c>
      <c r="I165" s="135">
        <v>7.4099999999999999E-2</v>
      </c>
    </row>
    <row r="166" spans="1:9" x14ac:dyDescent="0.35">
      <c r="A166" s="136">
        <v>42611</v>
      </c>
      <c r="B166" s="137">
        <v>105.95</v>
      </c>
      <c r="C166" s="138">
        <v>6.8000000000000005E-2</v>
      </c>
      <c r="D166" s="137">
        <v>109.03</v>
      </c>
      <c r="E166" s="138">
        <v>7.1099999999999997E-2</v>
      </c>
      <c r="F166" s="137">
        <v>112.12</v>
      </c>
      <c r="G166" s="138">
        <v>7.3900000000000007E-2</v>
      </c>
      <c r="H166" s="137">
        <v>108.06</v>
      </c>
      <c r="I166" s="138">
        <v>7.4700000000000003E-2</v>
      </c>
    </row>
    <row r="167" spans="1:9" x14ac:dyDescent="0.35">
      <c r="A167" s="136">
        <v>42612</v>
      </c>
      <c r="B167" s="137">
        <v>105.99000000000001</v>
      </c>
      <c r="C167" s="138">
        <v>6.7900000000000002E-2</v>
      </c>
      <c r="D167" s="137">
        <v>108.97</v>
      </c>
      <c r="E167" s="138">
        <v>7.1099999999999997E-2</v>
      </c>
      <c r="F167" s="137">
        <v>112.07000000000001</v>
      </c>
      <c r="G167" s="138">
        <v>7.3900000000000007E-2</v>
      </c>
      <c r="H167" s="137">
        <v>108.02000000000001</v>
      </c>
      <c r="I167" s="138">
        <v>7.4700000000000003E-2</v>
      </c>
    </row>
    <row r="168" spans="1:9" x14ac:dyDescent="0.35">
      <c r="A168" s="136">
        <v>42613</v>
      </c>
      <c r="B168" s="137">
        <v>105.97</v>
      </c>
      <c r="C168" s="138">
        <v>6.7900000000000002E-2</v>
      </c>
      <c r="D168" s="137">
        <v>108.78</v>
      </c>
      <c r="E168" s="138">
        <v>7.1400000000000005E-2</v>
      </c>
      <c r="F168" s="137">
        <v>111.92</v>
      </c>
      <c r="G168" s="138">
        <v>7.4099999999999999E-2</v>
      </c>
      <c r="H168" s="137">
        <v>107.82000000000001</v>
      </c>
      <c r="I168" s="138">
        <v>7.4900000000000008E-2</v>
      </c>
    </row>
    <row r="169" spans="1:9" x14ac:dyDescent="0.35">
      <c r="A169" s="136">
        <v>42614</v>
      </c>
      <c r="B169" s="137">
        <v>106.13000000000001</v>
      </c>
      <c r="C169" s="138">
        <v>6.7500000000000004E-2</v>
      </c>
      <c r="D169" s="137">
        <v>109.26</v>
      </c>
      <c r="E169" s="138">
        <v>7.0800000000000002E-2</v>
      </c>
      <c r="F169" s="137">
        <v>112.4</v>
      </c>
      <c r="G169" s="138">
        <v>7.3599999999999999E-2</v>
      </c>
      <c r="H169" s="137">
        <v>108.47</v>
      </c>
      <c r="I169" s="138">
        <v>7.4300000000000005E-2</v>
      </c>
    </row>
    <row r="170" spans="1:9" x14ac:dyDescent="0.35">
      <c r="A170" s="136">
        <v>42615</v>
      </c>
      <c r="B170" s="137">
        <v>106.60000000000001</v>
      </c>
      <c r="C170" s="138">
        <v>6.6400000000000001E-2</v>
      </c>
      <c r="D170" s="137">
        <v>110.30000000000001</v>
      </c>
      <c r="E170" s="138">
        <v>6.9400000000000003E-2</v>
      </c>
      <c r="F170" s="137">
        <v>113.4</v>
      </c>
      <c r="G170" s="138">
        <v>7.2599999999999998E-2</v>
      </c>
      <c r="H170" s="137">
        <v>109.4</v>
      </c>
      <c r="I170" s="138">
        <v>7.3400000000000007E-2</v>
      </c>
    </row>
    <row r="171" spans="1:9" x14ac:dyDescent="0.35">
      <c r="A171" s="133">
        <v>42618</v>
      </c>
      <c r="B171" s="134">
        <v>106.57000000000001</v>
      </c>
      <c r="C171" s="135">
        <v>6.6500000000000004E-2</v>
      </c>
      <c r="D171" s="134">
        <v>110.46000000000001</v>
      </c>
      <c r="E171" s="135">
        <v>6.9199999999999998E-2</v>
      </c>
      <c r="F171" s="134">
        <v>113.5</v>
      </c>
      <c r="G171" s="135">
        <v>7.2500000000000009E-2</v>
      </c>
      <c r="H171" s="134">
        <v>109.63000000000001</v>
      </c>
      <c r="I171" s="135">
        <v>7.3200000000000001E-2</v>
      </c>
    </row>
    <row r="172" spans="1:9" x14ac:dyDescent="0.35">
      <c r="A172" s="133">
        <v>42619</v>
      </c>
      <c r="B172" s="134">
        <v>106.74000000000001</v>
      </c>
      <c r="C172" s="135">
        <v>6.6100000000000006E-2</v>
      </c>
      <c r="D172" s="134">
        <v>110.93</v>
      </c>
      <c r="E172" s="135">
        <v>6.8500000000000005E-2</v>
      </c>
      <c r="F172" s="134">
        <v>114</v>
      </c>
      <c r="G172" s="135">
        <v>7.1900000000000006E-2</v>
      </c>
      <c r="H172" s="134">
        <v>109.97</v>
      </c>
      <c r="I172" s="135">
        <v>7.2900000000000006E-2</v>
      </c>
    </row>
    <row r="173" spans="1:9" x14ac:dyDescent="0.35">
      <c r="A173" s="133">
        <v>42620</v>
      </c>
      <c r="B173" s="134">
        <v>106.88000000000001</v>
      </c>
      <c r="C173" s="135">
        <v>6.5700000000000008E-2</v>
      </c>
      <c r="D173" s="134">
        <v>111.03</v>
      </c>
      <c r="E173" s="135">
        <v>6.8400000000000002E-2</v>
      </c>
      <c r="F173" s="134">
        <v>114.12</v>
      </c>
      <c r="G173" s="135">
        <v>7.1800000000000003E-2</v>
      </c>
      <c r="H173" s="134">
        <v>110.04</v>
      </c>
      <c r="I173" s="135">
        <v>7.2900000000000006E-2</v>
      </c>
    </row>
    <row r="174" spans="1:9" x14ac:dyDescent="0.35">
      <c r="A174" s="133">
        <v>42621</v>
      </c>
      <c r="B174" s="134">
        <v>106.62</v>
      </c>
      <c r="C174" s="135">
        <v>6.6299999999999998E-2</v>
      </c>
      <c r="D174" s="134">
        <v>110.75</v>
      </c>
      <c r="E174" s="135">
        <v>6.88E-2</v>
      </c>
      <c r="F174" s="134">
        <v>113.83</v>
      </c>
      <c r="G174" s="135">
        <v>7.2099999999999997E-2</v>
      </c>
      <c r="H174" s="134">
        <v>109.82000000000001</v>
      </c>
      <c r="I174" s="135">
        <v>7.3099999999999998E-2</v>
      </c>
    </row>
    <row r="175" spans="1:9" x14ac:dyDescent="0.35">
      <c r="A175" s="133">
        <v>42622</v>
      </c>
      <c r="B175" s="134">
        <v>106.59</v>
      </c>
      <c r="C175" s="135">
        <v>6.6400000000000001E-2</v>
      </c>
      <c r="D175" s="134">
        <v>110.58</v>
      </c>
      <c r="E175" s="135">
        <v>6.9000000000000006E-2</v>
      </c>
      <c r="F175" s="134">
        <v>113.65</v>
      </c>
      <c r="G175" s="135">
        <v>7.2300000000000003E-2</v>
      </c>
      <c r="H175" s="134">
        <v>109.69000000000001</v>
      </c>
      <c r="I175" s="135">
        <v>7.3200000000000001E-2</v>
      </c>
    </row>
    <row r="176" spans="1:9" x14ac:dyDescent="0.35">
      <c r="A176" s="136">
        <v>42626</v>
      </c>
      <c r="B176" s="137">
        <v>106.39</v>
      </c>
      <c r="C176" s="138">
        <v>6.6799999999999998E-2</v>
      </c>
      <c r="D176" s="137">
        <v>109.97</v>
      </c>
      <c r="E176" s="138">
        <v>6.9800000000000001E-2</v>
      </c>
      <c r="F176" s="137">
        <v>113.37</v>
      </c>
      <c r="G176" s="138">
        <v>7.2599999999999998E-2</v>
      </c>
      <c r="H176" s="137">
        <v>109.41000000000001</v>
      </c>
      <c r="I176" s="138">
        <v>7.3400000000000007E-2</v>
      </c>
    </row>
    <row r="177" spans="1:9" x14ac:dyDescent="0.35">
      <c r="A177" s="136">
        <v>42627</v>
      </c>
      <c r="B177" s="137">
        <v>105.98</v>
      </c>
      <c r="C177" s="138">
        <v>6.7799999999999999E-2</v>
      </c>
      <c r="D177" s="137">
        <v>109.4</v>
      </c>
      <c r="E177" s="138">
        <v>7.0500000000000007E-2</v>
      </c>
      <c r="F177" s="137">
        <v>112.89</v>
      </c>
      <c r="G177" s="138">
        <v>7.3099999999999998E-2</v>
      </c>
      <c r="H177" s="137">
        <v>108.75</v>
      </c>
      <c r="I177" s="138">
        <v>7.3999999999999996E-2</v>
      </c>
    </row>
    <row r="178" spans="1:9" x14ac:dyDescent="0.35">
      <c r="A178" s="136">
        <v>42628</v>
      </c>
      <c r="B178" s="137">
        <v>105.86</v>
      </c>
      <c r="C178" s="138">
        <v>6.8100000000000008E-2</v>
      </c>
      <c r="D178" s="137">
        <v>109.29</v>
      </c>
      <c r="E178" s="138">
        <v>7.0699999999999999E-2</v>
      </c>
      <c r="F178" s="137">
        <v>112.64</v>
      </c>
      <c r="G178" s="138">
        <v>7.3300000000000004E-2</v>
      </c>
      <c r="H178" s="137">
        <v>108.67</v>
      </c>
      <c r="I178" s="138">
        <v>7.4099999999999999E-2</v>
      </c>
    </row>
    <row r="179" spans="1:9" x14ac:dyDescent="0.35">
      <c r="A179" s="136">
        <v>42629</v>
      </c>
      <c r="B179" s="137">
        <v>106.03</v>
      </c>
      <c r="C179" s="138">
        <v>6.7699999999999996E-2</v>
      </c>
      <c r="D179" s="137">
        <v>109.75</v>
      </c>
      <c r="E179" s="138">
        <v>7.010000000000001E-2</v>
      </c>
      <c r="F179" s="137">
        <v>112.99000000000001</v>
      </c>
      <c r="G179" s="138">
        <v>7.3000000000000009E-2</v>
      </c>
      <c r="H179" s="137">
        <v>108.68</v>
      </c>
      <c r="I179" s="138">
        <v>7.4099999999999999E-2</v>
      </c>
    </row>
    <row r="180" spans="1:9" x14ac:dyDescent="0.35">
      <c r="A180" s="133">
        <v>42632</v>
      </c>
      <c r="B180" s="134">
        <v>106.09</v>
      </c>
      <c r="C180" s="135">
        <v>6.7500000000000004E-2</v>
      </c>
      <c r="D180" s="134">
        <v>110.07000000000001</v>
      </c>
      <c r="E180" s="135">
        <v>6.9600000000000009E-2</v>
      </c>
      <c r="F180" s="134">
        <v>113.13000000000001</v>
      </c>
      <c r="G180" s="135">
        <v>7.2800000000000004E-2</v>
      </c>
      <c r="H180" s="134">
        <v>108.79</v>
      </c>
      <c r="I180" s="135">
        <v>7.3999999999999996E-2</v>
      </c>
    </row>
    <row r="181" spans="1:9" x14ac:dyDescent="0.35">
      <c r="A181" s="133">
        <v>42633</v>
      </c>
      <c r="B181" s="134">
        <v>106</v>
      </c>
      <c r="C181" s="135">
        <v>6.7699999999999996E-2</v>
      </c>
      <c r="D181" s="134">
        <v>110.12</v>
      </c>
      <c r="E181" s="135">
        <v>6.9600000000000009E-2</v>
      </c>
      <c r="F181" s="134">
        <v>113.2</v>
      </c>
      <c r="G181" s="135">
        <v>7.2700000000000001E-2</v>
      </c>
      <c r="H181" s="134">
        <v>108.93</v>
      </c>
      <c r="I181" s="135">
        <v>7.3900000000000007E-2</v>
      </c>
    </row>
    <row r="182" spans="1:9" x14ac:dyDescent="0.35">
      <c r="A182" s="133">
        <v>42634</v>
      </c>
      <c r="B182" s="134">
        <v>106.02000000000001</v>
      </c>
      <c r="C182" s="135">
        <v>6.7600000000000007E-2</v>
      </c>
      <c r="D182" s="134">
        <v>110.13000000000001</v>
      </c>
      <c r="E182" s="135">
        <v>6.9600000000000009E-2</v>
      </c>
      <c r="F182" s="134">
        <v>113.28</v>
      </c>
      <c r="G182" s="135">
        <v>7.2700000000000001E-2</v>
      </c>
      <c r="H182" s="134">
        <v>109.05000000000001</v>
      </c>
      <c r="I182" s="135">
        <v>7.3700000000000002E-2</v>
      </c>
    </row>
    <row r="183" spans="1:9" x14ac:dyDescent="0.35">
      <c r="A183" s="133">
        <v>42635</v>
      </c>
      <c r="B183" s="134">
        <v>106.37</v>
      </c>
      <c r="C183" s="135">
        <v>6.6799999999999998E-2</v>
      </c>
      <c r="D183" s="134">
        <v>110.78</v>
      </c>
      <c r="E183" s="135">
        <v>6.8699999999999997E-2</v>
      </c>
      <c r="F183" s="134">
        <v>114.01</v>
      </c>
      <c r="G183" s="135">
        <v>7.1900000000000006E-2</v>
      </c>
      <c r="H183" s="134">
        <v>109.59</v>
      </c>
      <c r="I183" s="135">
        <v>7.3300000000000004E-2</v>
      </c>
    </row>
    <row r="184" spans="1:9" x14ac:dyDescent="0.35">
      <c r="A184" s="133">
        <v>42636</v>
      </c>
      <c r="B184" s="134">
        <v>106.41000000000001</v>
      </c>
      <c r="C184" s="135">
        <v>6.6700000000000009E-2</v>
      </c>
      <c r="D184" s="134">
        <v>111</v>
      </c>
      <c r="E184" s="135">
        <v>6.8400000000000002E-2</v>
      </c>
      <c r="F184" s="134">
        <v>114.08</v>
      </c>
      <c r="G184" s="135">
        <v>7.1800000000000003E-2</v>
      </c>
      <c r="H184" s="134">
        <v>109.72</v>
      </c>
      <c r="I184" s="135">
        <v>7.3099999999999998E-2</v>
      </c>
    </row>
    <row r="185" spans="1:9" x14ac:dyDescent="0.35">
      <c r="A185" s="136">
        <v>42639</v>
      </c>
      <c r="B185" s="137">
        <v>106.38000000000001</v>
      </c>
      <c r="C185" s="138">
        <v>6.6700000000000009E-2</v>
      </c>
      <c r="D185" s="137">
        <v>110.71000000000001</v>
      </c>
      <c r="E185" s="138">
        <v>6.88E-2</v>
      </c>
      <c r="F185" s="137">
        <v>114.06</v>
      </c>
      <c r="G185" s="138">
        <v>7.1900000000000006E-2</v>
      </c>
      <c r="H185" s="137">
        <v>109.67</v>
      </c>
      <c r="I185" s="138">
        <v>7.3200000000000001E-2</v>
      </c>
    </row>
    <row r="186" spans="1:9" x14ac:dyDescent="0.35">
      <c r="A186" s="136">
        <v>42640</v>
      </c>
      <c r="B186" s="137">
        <v>106.34</v>
      </c>
      <c r="C186" s="138">
        <v>6.6799999999999998E-2</v>
      </c>
      <c r="D186" s="137">
        <v>110.19000000000001</v>
      </c>
      <c r="E186" s="138">
        <v>6.9500000000000006E-2</v>
      </c>
      <c r="F186" s="137">
        <v>114</v>
      </c>
      <c r="G186" s="138">
        <v>7.1900000000000006E-2</v>
      </c>
      <c r="H186" s="137">
        <v>109.60000000000001</v>
      </c>
      <c r="I186" s="138">
        <v>7.3200000000000001E-2</v>
      </c>
    </row>
    <row r="187" spans="1:9" x14ac:dyDescent="0.35">
      <c r="A187" s="136">
        <v>42641</v>
      </c>
      <c r="B187" s="137">
        <v>106.25</v>
      </c>
      <c r="C187" s="138">
        <v>6.7000000000000004E-2</v>
      </c>
      <c r="D187" s="137">
        <v>110.63000000000001</v>
      </c>
      <c r="E187" s="138">
        <v>6.8900000000000003E-2</v>
      </c>
      <c r="F187" s="137">
        <v>113.97</v>
      </c>
      <c r="G187" s="138">
        <v>7.1900000000000006E-2</v>
      </c>
      <c r="H187" s="137">
        <v>109.53</v>
      </c>
      <c r="I187" s="138">
        <v>7.3300000000000004E-2</v>
      </c>
    </row>
    <row r="188" spans="1:9" x14ac:dyDescent="0.35">
      <c r="A188" s="136">
        <v>42642</v>
      </c>
      <c r="B188" s="137">
        <v>105.99000000000001</v>
      </c>
      <c r="C188" s="138">
        <v>6.7699999999999996E-2</v>
      </c>
      <c r="D188" s="137">
        <v>110.30000000000001</v>
      </c>
      <c r="E188" s="138">
        <v>6.93E-2</v>
      </c>
      <c r="F188" s="137">
        <v>113.66000000000001</v>
      </c>
      <c r="G188" s="138">
        <v>7.2300000000000003E-2</v>
      </c>
      <c r="H188" s="137">
        <v>109.42</v>
      </c>
      <c r="I188" s="138">
        <v>7.3400000000000007E-2</v>
      </c>
    </row>
    <row r="189" spans="1:9" x14ac:dyDescent="0.35">
      <c r="A189" s="136">
        <v>42643</v>
      </c>
      <c r="B189" s="137">
        <v>105.88000000000001</v>
      </c>
      <c r="C189" s="138">
        <v>6.7900000000000002E-2</v>
      </c>
      <c r="D189" s="137">
        <v>109.87</v>
      </c>
      <c r="E189" s="138">
        <v>6.9900000000000004E-2</v>
      </c>
      <c r="F189" s="137">
        <v>113.47</v>
      </c>
      <c r="G189" s="138">
        <v>7.2400000000000006E-2</v>
      </c>
      <c r="H189" s="137">
        <v>109.17</v>
      </c>
      <c r="I189" s="138">
        <v>7.3599999999999999E-2</v>
      </c>
    </row>
    <row r="190" spans="1:9" x14ac:dyDescent="0.35">
      <c r="A190" s="133">
        <v>42646</v>
      </c>
      <c r="B190" s="134">
        <v>105.75</v>
      </c>
      <c r="C190" s="135">
        <v>6.8199999999999997E-2</v>
      </c>
      <c r="D190" s="134">
        <v>109.61</v>
      </c>
      <c r="E190" s="135">
        <v>7.0199999999999999E-2</v>
      </c>
      <c r="F190" s="134">
        <v>113.17</v>
      </c>
      <c r="G190" s="135">
        <v>7.2800000000000004E-2</v>
      </c>
      <c r="H190" s="134">
        <v>108.98</v>
      </c>
      <c r="I190" s="135">
        <v>7.3800000000000004E-2</v>
      </c>
    </row>
    <row r="191" spans="1:9" x14ac:dyDescent="0.35">
      <c r="A191" s="133">
        <v>42647</v>
      </c>
      <c r="B191" s="134">
        <v>105.88000000000001</v>
      </c>
      <c r="C191" s="135">
        <v>6.7900000000000002E-2</v>
      </c>
      <c r="D191" s="134">
        <v>109.74000000000001</v>
      </c>
      <c r="E191" s="135">
        <v>7.0000000000000007E-2</v>
      </c>
      <c r="F191" s="134">
        <v>113.41000000000001</v>
      </c>
      <c r="G191" s="135">
        <v>7.2500000000000009E-2</v>
      </c>
      <c r="H191" s="134">
        <v>109.26</v>
      </c>
      <c r="I191" s="135">
        <v>7.350000000000001E-2</v>
      </c>
    </row>
    <row r="192" spans="1:9" x14ac:dyDescent="0.35">
      <c r="A192" s="133">
        <v>42648</v>
      </c>
      <c r="B192" s="134">
        <v>105.86</v>
      </c>
      <c r="C192" s="135">
        <v>6.7900000000000002E-2</v>
      </c>
      <c r="D192" s="134">
        <v>109.77000000000001</v>
      </c>
      <c r="E192" s="135">
        <v>7.0000000000000007E-2</v>
      </c>
      <c r="F192" s="134">
        <v>113.54</v>
      </c>
      <c r="G192" s="135">
        <v>7.2400000000000006E-2</v>
      </c>
      <c r="H192" s="134">
        <v>109.44000000000001</v>
      </c>
      <c r="I192" s="135">
        <v>7.3400000000000007E-2</v>
      </c>
    </row>
    <row r="193" spans="1:9" x14ac:dyDescent="0.35">
      <c r="A193" s="133">
        <v>42649</v>
      </c>
      <c r="B193" s="134">
        <v>105.7</v>
      </c>
      <c r="C193" s="135">
        <v>6.83E-2</v>
      </c>
      <c r="D193" s="134">
        <v>109.68</v>
      </c>
      <c r="E193" s="135">
        <v>7.010000000000001E-2</v>
      </c>
      <c r="F193" s="134">
        <v>113.4</v>
      </c>
      <c r="G193" s="135">
        <v>7.2500000000000009E-2</v>
      </c>
      <c r="H193" s="134">
        <v>109.24000000000001</v>
      </c>
      <c r="I193" s="135">
        <v>7.3599999999999999E-2</v>
      </c>
    </row>
    <row r="194" spans="1:9" x14ac:dyDescent="0.35">
      <c r="A194" s="133">
        <v>42650</v>
      </c>
      <c r="B194" s="134">
        <v>105.36</v>
      </c>
      <c r="C194" s="135">
        <v>6.9100000000000009E-2</v>
      </c>
      <c r="D194" s="134">
        <v>109.19000000000001</v>
      </c>
      <c r="E194" s="135">
        <v>7.0800000000000002E-2</v>
      </c>
      <c r="F194" s="134">
        <v>112.82000000000001</v>
      </c>
      <c r="G194" s="135">
        <v>7.3099999999999998E-2</v>
      </c>
      <c r="H194" s="134">
        <v>108.71000000000001</v>
      </c>
      <c r="I194" s="135">
        <v>7.3999999999999996E-2</v>
      </c>
    </row>
    <row r="195" spans="1:9" x14ac:dyDescent="0.35">
      <c r="A195" s="136">
        <v>42653</v>
      </c>
      <c r="B195" s="137">
        <v>105.37</v>
      </c>
      <c r="C195" s="138">
        <v>6.9100000000000009E-2</v>
      </c>
      <c r="D195" s="137">
        <v>109.17</v>
      </c>
      <c r="E195" s="138">
        <v>7.0800000000000002E-2</v>
      </c>
      <c r="F195" s="137">
        <v>112.80000000000001</v>
      </c>
      <c r="G195" s="138">
        <v>7.3099999999999998E-2</v>
      </c>
      <c r="H195" s="137">
        <v>108.68</v>
      </c>
      <c r="I195" s="138">
        <v>7.4099999999999999E-2</v>
      </c>
    </row>
    <row r="196" spans="1:9" x14ac:dyDescent="0.35">
      <c r="A196" s="136">
        <v>42654</v>
      </c>
      <c r="B196" s="137">
        <v>105.31</v>
      </c>
      <c r="C196" s="138">
        <v>6.9199999999999998E-2</v>
      </c>
      <c r="D196" s="137">
        <v>109.04</v>
      </c>
      <c r="E196" s="138">
        <v>7.0900000000000005E-2</v>
      </c>
      <c r="F196" s="137">
        <v>112.59</v>
      </c>
      <c r="G196" s="138">
        <v>7.3300000000000004E-2</v>
      </c>
      <c r="H196" s="137">
        <v>108.11</v>
      </c>
      <c r="I196" s="138">
        <v>7.46E-2</v>
      </c>
    </row>
    <row r="197" spans="1:9" x14ac:dyDescent="0.35">
      <c r="A197" s="136">
        <v>42655</v>
      </c>
      <c r="B197" s="137">
        <v>105.24000000000001</v>
      </c>
      <c r="C197" s="138">
        <v>6.9400000000000003E-2</v>
      </c>
      <c r="D197" s="137">
        <v>109.03</v>
      </c>
      <c r="E197" s="138">
        <v>7.1000000000000008E-2</v>
      </c>
      <c r="F197" s="137">
        <v>112.3</v>
      </c>
      <c r="G197" s="138">
        <v>7.3599999999999999E-2</v>
      </c>
      <c r="H197" s="137">
        <v>107.68</v>
      </c>
      <c r="I197" s="138">
        <v>7.4999999999999997E-2</v>
      </c>
    </row>
    <row r="198" spans="1:9" x14ac:dyDescent="0.35">
      <c r="A198" s="136">
        <v>42656</v>
      </c>
      <c r="B198" s="137">
        <v>105.31</v>
      </c>
      <c r="C198" s="138">
        <v>6.9199999999999998E-2</v>
      </c>
      <c r="D198" s="137">
        <v>109.35000000000001</v>
      </c>
      <c r="E198" s="138">
        <v>7.0500000000000007E-2</v>
      </c>
      <c r="F198" s="137">
        <v>112.62</v>
      </c>
      <c r="G198" s="138">
        <v>7.3300000000000004E-2</v>
      </c>
      <c r="H198" s="137">
        <v>107.81</v>
      </c>
      <c r="I198" s="138">
        <v>7.4900000000000008E-2</v>
      </c>
    </row>
    <row r="199" spans="1:9" x14ac:dyDescent="0.35">
      <c r="A199" s="136">
        <v>42657</v>
      </c>
      <c r="B199" s="137">
        <v>105.29</v>
      </c>
      <c r="C199" s="138">
        <v>6.9199999999999998E-2</v>
      </c>
      <c r="D199" s="137">
        <v>109.41000000000001</v>
      </c>
      <c r="E199" s="138">
        <v>7.0400000000000004E-2</v>
      </c>
      <c r="F199" s="137">
        <v>112.73</v>
      </c>
      <c r="G199" s="138">
        <v>7.3200000000000001E-2</v>
      </c>
      <c r="H199" s="137">
        <v>107.92</v>
      </c>
      <c r="I199" s="138">
        <v>7.4800000000000005E-2</v>
      </c>
    </row>
    <row r="200" spans="1:9" x14ac:dyDescent="0.35">
      <c r="A200" s="133">
        <v>42660</v>
      </c>
      <c r="B200" s="134">
        <v>105.30000000000001</v>
      </c>
      <c r="C200" s="135">
        <v>6.9199999999999998E-2</v>
      </c>
      <c r="D200" s="134">
        <v>109.54</v>
      </c>
      <c r="E200" s="135">
        <v>7.0300000000000001E-2</v>
      </c>
      <c r="F200" s="134">
        <v>112.76</v>
      </c>
      <c r="G200" s="135">
        <v>7.3200000000000001E-2</v>
      </c>
      <c r="H200" s="134">
        <v>107.94000000000001</v>
      </c>
      <c r="I200" s="135">
        <v>7.4800000000000005E-2</v>
      </c>
    </row>
    <row r="201" spans="1:9" x14ac:dyDescent="0.35">
      <c r="A201" s="133">
        <v>42661</v>
      </c>
      <c r="B201" s="134">
        <v>105.10000000000001</v>
      </c>
      <c r="C201" s="135">
        <v>6.9699999999999998E-2</v>
      </c>
      <c r="D201" s="134">
        <v>109.11</v>
      </c>
      <c r="E201" s="135">
        <v>7.0800000000000002E-2</v>
      </c>
      <c r="F201" s="134">
        <v>112.38000000000001</v>
      </c>
      <c r="G201" s="135">
        <v>7.3599999999999999E-2</v>
      </c>
      <c r="H201" s="134">
        <v>107.43</v>
      </c>
      <c r="I201" s="135">
        <v>7.5200000000000003E-2</v>
      </c>
    </row>
    <row r="202" spans="1:9" x14ac:dyDescent="0.35">
      <c r="A202" s="133">
        <v>42662</v>
      </c>
      <c r="B202" s="134">
        <v>105.04</v>
      </c>
      <c r="C202" s="135">
        <v>6.9800000000000001E-2</v>
      </c>
      <c r="D202" s="134">
        <v>108.93</v>
      </c>
      <c r="E202" s="135">
        <v>7.1099999999999997E-2</v>
      </c>
      <c r="F202" s="134">
        <v>111.85000000000001</v>
      </c>
      <c r="G202" s="135">
        <v>7.4099999999999999E-2</v>
      </c>
      <c r="H202" s="134">
        <v>106.85000000000001</v>
      </c>
      <c r="I202" s="135">
        <v>7.5800000000000006E-2</v>
      </c>
    </row>
    <row r="203" spans="1:9" x14ac:dyDescent="0.35">
      <c r="A203" s="133">
        <v>42663</v>
      </c>
      <c r="B203" s="134">
        <v>104.98</v>
      </c>
      <c r="C203" s="135">
        <v>7.0000000000000007E-2</v>
      </c>
      <c r="D203" s="134">
        <v>108.89</v>
      </c>
      <c r="E203" s="135">
        <v>7.1099999999999997E-2</v>
      </c>
      <c r="F203" s="134">
        <v>111.72</v>
      </c>
      <c r="G203" s="135">
        <v>7.4200000000000002E-2</v>
      </c>
      <c r="H203" s="134">
        <v>106.54</v>
      </c>
      <c r="I203" s="135">
        <v>7.6100000000000001E-2</v>
      </c>
    </row>
    <row r="204" spans="1:9" x14ac:dyDescent="0.35">
      <c r="A204" s="133">
        <v>42664</v>
      </c>
      <c r="B204" s="134">
        <v>105.27000000000001</v>
      </c>
      <c r="C204" s="135">
        <v>6.9199999999999998E-2</v>
      </c>
      <c r="D204" s="134">
        <v>109.12</v>
      </c>
      <c r="E204" s="135">
        <v>7.0800000000000002E-2</v>
      </c>
      <c r="F204" s="134">
        <v>112.01</v>
      </c>
      <c r="G204" s="135">
        <v>7.3900000000000007E-2</v>
      </c>
      <c r="H204" s="134">
        <v>106.72</v>
      </c>
      <c r="I204" s="135">
        <v>7.5900000000000009E-2</v>
      </c>
    </row>
    <row r="205" spans="1:9" x14ac:dyDescent="0.35">
      <c r="A205" s="136">
        <v>42667</v>
      </c>
      <c r="B205" s="137">
        <v>105.41000000000001</v>
      </c>
      <c r="C205" s="138">
        <v>6.8900000000000003E-2</v>
      </c>
      <c r="D205" s="137">
        <v>109.43</v>
      </c>
      <c r="E205" s="138">
        <v>7.0400000000000004E-2</v>
      </c>
      <c r="F205" s="137">
        <v>111.95</v>
      </c>
      <c r="G205" s="138">
        <v>7.3999999999999996E-2</v>
      </c>
      <c r="H205" s="137">
        <v>106.80000000000001</v>
      </c>
      <c r="I205" s="138">
        <v>7.5800000000000006E-2</v>
      </c>
    </row>
    <row r="206" spans="1:9" x14ac:dyDescent="0.35">
      <c r="A206" s="136">
        <v>42668</v>
      </c>
      <c r="B206" s="137">
        <v>105.74000000000001</v>
      </c>
      <c r="C206" s="138">
        <v>6.8100000000000008E-2</v>
      </c>
      <c r="D206" s="137">
        <v>109.58</v>
      </c>
      <c r="E206" s="138">
        <v>7.0199999999999999E-2</v>
      </c>
      <c r="F206" s="137">
        <v>112.09</v>
      </c>
      <c r="G206" s="138">
        <v>7.3800000000000004E-2</v>
      </c>
      <c r="H206" s="137">
        <v>107.12</v>
      </c>
      <c r="I206" s="138">
        <v>7.5499999999999998E-2</v>
      </c>
    </row>
    <row r="207" spans="1:9" x14ac:dyDescent="0.35">
      <c r="A207" s="136">
        <v>42669</v>
      </c>
      <c r="B207" s="137">
        <v>105.78</v>
      </c>
      <c r="C207" s="138">
        <v>6.8000000000000005E-2</v>
      </c>
      <c r="D207" s="137">
        <v>109.45</v>
      </c>
      <c r="E207" s="138">
        <v>7.0400000000000004E-2</v>
      </c>
      <c r="F207" s="137">
        <v>111.92</v>
      </c>
      <c r="G207" s="138">
        <v>7.3999999999999996E-2</v>
      </c>
      <c r="H207" s="137">
        <v>106.66000000000001</v>
      </c>
      <c r="I207" s="138">
        <v>7.5999999999999998E-2</v>
      </c>
    </row>
    <row r="208" spans="1:9" x14ac:dyDescent="0.35">
      <c r="A208" s="136">
        <v>42670</v>
      </c>
      <c r="B208" s="137">
        <v>105.61</v>
      </c>
      <c r="C208" s="138">
        <v>6.8400000000000002E-2</v>
      </c>
      <c r="D208" s="137">
        <v>109.22</v>
      </c>
      <c r="E208" s="138">
        <v>7.0699999999999999E-2</v>
      </c>
      <c r="F208" s="137">
        <v>111.81</v>
      </c>
      <c r="G208" s="138">
        <v>7.4099999999999999E-2</v>
      </c>
      <c r="H208" s="137">
        <v>106.46000000000001</v>
      </c>
      <c r="I208" s="138">
        <v>7.6100000000000001E-2</v>
      </c>
    </row>
    <row r="209" spans="1:9" x14ac:dyDescent="0.35">
      <c r="A209" s="136">
        <v>42671</v>
      </c>
      <c r="B209" s="137">
        <v>105.42</v>
      </c>
      <c r="C209" s="138">
        <v>6.88E-2</v>
      </c>
      <c r="D209" s="137">
        <v>108.52000000000001</v>
      </c>
      <c r="E209" s="138">
        <v>7.1599999999999997E-2</v>
      </c>
      <c r="F209" s="137">
        <v>110.92</v>
      </c>
      <c r="G209" s="138">
        <v>7.51E-2</v>
      </c>
      <c r="H209" s="137">
        <v>105.44000000000001</v>
      </c>
      <c r="I209" s="138">
        <v>7.7100000000000002E-2</v>
      </c>
    </row>
    <row r="210" spans="1:9" x14ac:dyDescent="0.35">
      <c r="A210" s="133">
        <v>42674</v>
      </c>
      <c r="B210" s="134">
        <v>105.12</v>
      </c>
      <c r="C210" s="135">
        <v>6.9600000000000009E-2</v>
      </c>
      <c r="D210" s="134">
        <v>107.74000000000001</v>
      </c>
      <c r="E210" s="135">
        <v>7.2700000000000001E-2</v>
      </c>
      <c r="F210" s="134">
        <v>109.71000000000001</v>
      </c>
      <c r="G210" s="135">
        <v>7.640000000000001E-2</v>
      </c>
      <c r="H210" s="134">
        <v>104.82000000000001</v>
      </c>
      <c r="I210" s="135">
        <v>7.7700000000000005E-2</v>
      </c>
    </row>
    <row r="211" spans="1:9" x14ac:dyDescent="0.35">
      <c r="A211" s="133">
        <v>42675</v>
      </c>
      <c r="B211" s="134">
        <v>105.33</v>
      </c>
      <c r="C211" s="135">
        <v>6.9000000000000006E-2</v>
      </c>
      <c r="D211" s="134">
        <v>108.26</v>
      </c>
      <c r="E211" s="135">
        <v>7.1900000000000006E-2</v>
      </c>
      <c r="F211" s="134">
        <v>110.14</v>
      </c>
      <c r="G211" s="135">
        <v>7.5900000000000009E-2</v>
      </c>
      <c r="H211" s="134">
        <v>105.28</v>
      </c>
      <c r="I211" s="135">
        <v>7.7300000000000008E-2</v>
      </c>
    </row>
    <row r="212" spans="1:9" x14ac:dyDescent="0.35">
      <c r="A212" s="133">
        <v>42676</v>
      </c>
      <c r="B212" s="134">
        <v>105.35000000000001</v>
      </c>
      <c r="C212" s="135">
        <v>6.9000000000000006E-2</v>
      </c>
      <c r="D212" s="134">
        <v>108.25</v>
      </c>
      <c r="E212" s="135">
        <v>7.2000000000000008E-2</v>
      </c>
      <c r="F212" s="134">
        <v>109.88000000000001</v>
      </c>
      <c r="G212" s="135">
        <v>7.6200000000000004E-2</v>
      </c>
      <c r="H212" s="134">
        <v>105.03</v>
      </c>
      <c r="I212" s="135">
        <v>7.7499999999999999E-2</v>
      </c>
    </row>
    <row r="213" spans="1:9" x14ac:dyDescent="0.35">
      <c r="A213" s="133">
        <v>42677</v>
      </c>
      <c r="B213" s="134">
        <v>105.35</v>
      </c>
      <c r="C213" s="135">
        <v>6.9000000000000006E-2</v>
      </c>
      <c r="D213" s="134">
        <v>108.06</v>
      </c>
      <c r="E213" s="135">
        <v>7.22E-2</v>
      </c>
      <c r="F213" s="134">
        <v>109.78</v>
      </c>
      <c r="G213" s="135">
        <v>7.6300000000000007E-2</v>
      </c>
      <c r="H213" s="134">
        <v>104.87</v>
      </c>
      <c r="I213" s="135">
        <v>7.7700000000000005E-2</v>
      </c>
    </row>
    <row r="214" spans="1:9" x14ac:dyDescent="0.35">
      <c r="A214" s="133">
        <v>42678</v>
      </c>
      <c r="B214" s="134">
        <v>105.12</v>
      </c>
      <c r="C214" s="135">
        <v>6.9500000000000006E-2</v>
      </c>
      <c r="D214" s="134">
        <v>107.69000000000001</v>
      </c>
      <c r="E214" s="135">
        <v>7.2700000000000001E-2</v>
      </c>
      <c r="F214" s="134">
        <v>109.16</v>
      </c>
      <c r="G214" s="135">
        <v>7.6999999999999999E-2</v>
      </c>
      <c r="H214" s="134">
        <v>104.4</v>
      </c>
      <c r="I214" s="135">
        <v>7.8100000000000003E-2</v>
      </c>
    </row>
    <row r="215" spans="1:9" x14ac:dyDescent="0.35">
      <c r="A215" s="136">
        <v>42681</v>
      </c>
      <c r="B215" s="137">
        <v>105.08</v>
      </c>
      <c r="C215" s="138">
        <v>6.9600000000000009E-2</v>
      </c>
      <c r="D215" s="137">
        <v>107.74000000000001</v>
      </c>
      <c r="E215" s="138">
        <v>7.2599999999999998E-2</v>
      </c>
      <c r="F215" s="137">
        <v>109.01</v>
      </c>
      <c r="G215" s="138">
        <v>7.7100000000000002E-2</v>
      </c>
      <c r="H215" s="137">
        <v>104.14</v>
      </c>
      <c r="I215" s="138">
        <v>7.8399999999999997E-2</v>
      </c>
    </row>
    <row r="216" spans="1:9" x14ac:dyDescent="0.35">
      <c r="A216" s="136">
        <v>42682</v>
      </c>
      <c r="B216" s="137">
        <v>105.14</v>
      </c>
      <c r="C216" s="138">
        <v>6.9500000000000006E-2</v>
      </c>
      <c r="D216" s="137">
        <v>107.69000000000001</v>
      </c>
      <c r="E216" s="138">
        <v>7.2700000000000001E-2</v>
      </c>
      <c r="F216" s="137">
        <v>108.99000000000001</v>
      </c>
      <c r="G216" s="138">
        <v>7.7100000000000002E-2</v>
      </c>
      <c r="H216" s="137">
        <v>104.22</v>
      </c>
      <c r="I216" s="138">
        <v>7.8300000000000008E-2</v>
      </c>
    </row>
    <row r="217" spans="1:9" x14ac:dyDescent="0.35">
      <c r="A217" s="136">
        <v>42683</v>
      </c>
      <c r="B217" s="137">
        <v>105.29</v>
      </c>
      <c r="C217" s="138">
        <v>6.9100000000000009E-2</v>
      </c>
      <c r="D217" s="137">
        <v>108.05000000000001</v>
      </c>
      <c r="E217" s="138">
        <v>7.22E-2</v>
      </c>
      <c r="F217" s="137">
        <v>109.61</v>
      </c>
      <c r="G217" s="138">
        <v>7.6499999999999999E-2</v>
      </c>
      <c r="H217" s="137">
        <v>105.07000000000001</v>
      </c>
      <c r="I217" s="138">
        <v>7.7499999999999999E-2</v>
      </c>
    </row>
    <row r="218" spans="1:9" x14ac:dyDescent="0.35">
      <c r="A218" s="136">
        <v>42684</v>
      </c>
      <c r="B218" s="137">
        <v>104.85000000000001</v>
      </c>
      <c r="C218" s="138">
        <v>7.0199999999999999E-2</v>
      </c>
      <c r="D218" s="137">
        <v>106.73</v>
      </c>
      <c r="E218" s="138">
        <v>7.3999999999999996E-2</v>
      </c>
      <c r="F218" s="137">
        <v>107.69000000000001</v>
      </c>
      <c r="G218" s="138">
        <v>7.8600000000000003E-2</v>
      </c>
      <c r="H218" s="137">
        <v>103.18</v>
      </c>
      <c r="I218" s="138">
        <v>7.9300000000000009E-2</v>
      </c>
    </row>
    <row r="219" spans="1:9" x14ac:dyDescent="0.35">
      <c r="A219" s="136">
        <v>42685</v>
      </c>
      <c r="B219" s="137">
        <v>103.63</v>
      </c>
      <c r="C219" s="138">
        <v>7.3200000000000001E-2</v>
      </c>
      <c r="D219" s="137">
        <v>104.32000000000001</v>
      </c>
      <c r="E219" s="138">
        <v>7.7399999999999997E-2</v>
      </c>
      <c r="F219" s="137">
        <v>104.68</v>
      </c>
      <c r="G219" s="138">
        <v>8.2000000000000003E-2</v>
      </c>
      <c r="H219" s="137">
        <v>99.58</v>
      </c>
      <c r="I219" s="138">
        <v>8.3000000000000004E-2</v>
      </c>
    </row>
    <row r="220" spans="1:9" x14ac:dyDescent="0.35">
      <c r="A220" s="133">
        <v>42688</v>
      </c>
      <c r="B220" s="134">
        <v>102.65</v>
      </c>
      <c r="C220" s="135">
        <v>7.5700000000000003E-2</v>
      </c>
      <c r="D220" s="134">
        <v>103.53</v>
      </c>
      <c r="E220" s="135">
        <v>7.8600000000000003E-2</v>
      </c>
      <c r="F220" s="134">
        <v>104.62</v>
      </c>
      <c r="G220" s="135">
        <v>8.2000000000000003E-2</v>
      </c>
      <c r="H220" s="134">
        <v>98.95</v>
      </c>
      <c r="I220" s="135">
        <v>8.3699999999999997E-2</v>
      </c>
    </row>
    <row r="221" spans="1:9" x14ac:dyDescent="0.35">
      <c r="A221" s="133">
        <v>42689</v>
      </c>
      <c r="B221" s="134">
        <v>102.43</v>
      </c>
      <c r="C221" s="135">
        <v>7.6200000000000004E-2</v>
      </c>
      <c r="D221" s="134">
        <v>103.53</v>
      </c>
      <c r="E221" s="135">
        <v>7.8600000000000003E-2</v>
      </c>
      <c r="F221" s="134">
        <v>104.34</v>
      </c>
      <c r="G221" s="135">
        <v>8.2400000000000001E-2</v>
      </c>
      <c r="H221" s="134">
        <v>99.210000000000008</v>
      </c>
      <c r="I221" s="135">
        <v>8.3400000000000002E-2</v>
      </c>
    </row>
    <row r="222" spans="1:9" x14ac:dyDescent="0.35">
      <c r="A222" s="133">
        <v>42690</v>
      </c>
      <c r="B222" s="134">
        <v>103.02000000000001</v>
      </c>
      <c r="C222" s="135">
        <v>7.4700000000000003E-2</v>
      </c>
      <c r="D222" s="134">
        <v>104.32000000000001</v>
      </c>
      <c r="E222" s="135">
        <v>7.7399999999999997E-2</v>
      </c>
      <c r="F222" s="134">
        <v>105.32000000000001</v>
      </c>
      <c r="G222" s="135">
        <v>8.1200000000000008E-2</v>
      </c>
      <c r="H222" s="134">
        <v>100.23</v>
      </c>
      <c r="I222" s="135">
        <v>8.2299999999999998E-2</v>
      </c>
    </row>
    <row r="223" spans="1:9" x14ac:dyDescent="0.35">
      <c r="A223" s="133">
        <v>42691</v>
      </c>
      <c r="B223" s="134">
        <v>102.93</v>
      </c>
      <c r="C223" s="135">
        <v>7.4900000000000008E-2</v>
      </c>
      <c r="D223" s="134">
        <v>104.48</v>
      </c>
      <c r="E223" s="135">
        <v>7.7200000000000005E-2</v>
      </c>
      <c r="F223" s="134">
        <v>105.13000000000001</v>
      </c>
      <c r="G223" s="135">
        <v>8.1500000000000003E-2</v>
      </c>
      <c r="H223" s="134">
        <v>100.36</v>
      </c>
      <c r="I223" s="135">
        <v>8.2200000000000009E-2</v>
      </c>
    </row>
    <row r="224" spans="1:9" x14ac:dyDescent="0.35">
      <c r="A224" s="133">
        <v>42692</v>
      </c>
      <c r="B224" s="134">
        <v>102.45</v>
      </c>
      <c r="C224" s="135">
        <v>7.6200000000000004E-2</v>
      </c>
      <c r="D224" s="134">
        <v>104.33</v>
      </c>
      <c r="E224" s="135">
        <v>7.7399999999999997E-2</v>
      </c>
      <c r="F224" s="134">
        <v>105.12</v>
      </c>
      <c r="G224" s="135">
        <v>8.1500000000000003E-2</v>
      </c>
      <c r="H224" s="134">
        <v>100.19000000000001</v>
      </c>
      <c r="I224" s="135">
        <v>8.2400000000000001E-2</v>
      </c>
    </row>
    <row r="225" spans="1:9" x14ac:dyDescent="0.35">
      <c r="A225" s="136">
        <v>42695</v>
      </c>
      <c r="B225" s="137">
        <v>102.08</v>
      </c>
      <c r="C225" s="138">
        <v>7.7100000000000002E-2</v>
      </c>
      <c r="D225" s="137">
        <v>103.79</v>
      </c>
      <c r="E225" s="138">
        <v>7.8200000000000006E-2</v>
      </c>
      <c r="F225" s="137">
        <v>104.98</v>
      </c>
      <c r="G225" s="138">
        <v>8.1600000000000006E-2</v>
      </c>
      <c r="H225" s="137">
        <v>100.03</v>
      </c>
      <c r="I225" s="138">
        <v>8.2500000000000004E-2</v>
      </c>
    </row>
    <row r="226" spans="1:9" x14ac:dyDescent="0.35">
      <c r="A226" s="136">
        <v>42696</v>
      </c>
      <c r="B226" s="137">
        <v>101.66000000000001</v>
      </c>
      <c r="C226" s="138">
        <v>7.8200000000000006E-2</v>
      </c>
      <c r="D226" s="137">
        <v>103.62</v>
      </c>
      <c r="E226" s="138">
        <v>7.8399999999999997E-2</v>
      </c>
      <c r="F226" s="137">
        <v>104.81</v>
      </c>
      <c r="G226" s="138">
        <v>8.1799999999999998E-2</v>
      </c>
      <c r="H226" s="137">
        <v>100.06</v>
      </c>
      <c r="I226" s="138">
        <v>8.2500000000000004E-2</v>
      </c>
    </row>
    <row r="227" spans="1:9" x14ac:dyDescent="0.35">
      <c r="A227" s="136">
        <v>42697</v>
      </c>
      <c r="B227" s="137">
        <v>101.18</v>
      </c>
      <c r="C227" s="138">
        <v>7.9399999999999998E-2</v>
      </c>
      <c r="D227" s="137">
        <v>103.10000000000001</v>
      </c>
      <c r="E227" s="138">
        <v>7.9200000000000007E-2</v>
      </c>
      <c r="F227" s="137">
        <v>103.9</v>
      </c>
      <c r="G227" s="138">
        <v>8.2900000000000001E-2</v>
      </c>
      <c r="H227" s="137">
        <v>99.52000000000001</v>
      </c>
      <c r="I227" s="138">
        <v>8.3000000000000004E-2</v>
      </c>
    </row>
    <row r="228" spans="1:9" x14ac:dyDescent="0.35">
      <c r="A228" s="136">
        <v>42698</v>
      </c>
      <c r="B228" s="137">
        <v>101.06</v>
      </c>
      <c r="C228" s="138">
        <v>7.9700000000000007E-2</v>
      </c>
      <c r="D228" s="137">
        <v>102.11</v>
      </c>
      <c r="E228" s="138">
        <v>8.0600000000000005E-2</v>
      </c>
      <c r="F228" s="137">
        <v>103.8</v>
      </c>
      <c r="G228" s="138">
        <v>8.3000000000000004E-2</v>
      </c>
      <c r="H228" s="137">
        <v>99.070000000000007</v>
      </c>
      <c r="I228" s="138">
        <v>8.3500000000000005E-2</v>
      </c>
    </row>
    <row r="229" spans="1:9" x14ac:dyDescent="0.35">
      <c r="A229" s="136">
        <v>42699</v>
      </c>
      <c r="B229" s="137">
        <v>100.06</v>
      </c>
      <c r="C229" s="138">
        <v>8.2299999999999998E-2</v>
      </c>
      <c r="D229" s="137">
        <v>100.98</v>
      </c>
      <c r="E229" s="138">
        <v>8.2299999999999998E-2</v>
      </c>
      <c r="F229" s="137">
        <v>102.94000000000001</v>
      </c>
      <c r="G229" s="138">
        <v>8.4000000000000005E-2</v>
      </c>
      <c r="H229" s="137">
        <v>98.59</v>
      </c>
      <c r="I229" s="138">
        <v>8.4000000000000005E-2</v>
      </c>
    </row>
    <row r="230" spans="1:9" x14ac:dyDescent="0.35">
      <c r="A230" s="133">
        <v>42702</v>
      </c>
      <c r="B230" s="134">
        <v>100.09</v>
      </c>
      <c r="C230" s="135">
        <v>8.2299999999999998E-2</v>
      </c>
      <c r="D230" s="134">
        <v>100.62</v>
      </c>
      <c r="E230" s="135">
        <v>8.2799999999999999E-2</v>
      </c>
      <c r="F230" s="134">
        <v>103</v>
      </c>
      <c r="G230" s="135">
        <v>8.3900000000000002E-2</v>
      </c>
      <c r="H230" s="134">
        <v>98.68</v>
      </c>
      <c r="I230" s="135">
        <v>8.3900000000000002E-2</v>
      </c>
    </row>
    <row r="231" spans="1:9" x14ac:dyDescent="0.35">
      <c r="A231" s="133">
        <v>42703</v>
      </c>
      <c r="B231" s="134">
        <v>100.64</v>
      </c>
      <c r="C231" s="135">
        <v>8.0799999999999997E-2</v>
      </c>
      <c r="D231" s="134">
        <v>101.17</v>
      </c>
      <c r="E231" s="135">
        <v>8.2000000000000003E-2</v>
      </c>
      <c r="F231" s="134">
        <v>103.57000000000001</v>
      </c>
      <c r="G231" s="135">
        <v>8.3299999999999999E-2</v>
      </c>
      <c r="H231" s="134">
        <v>99.4</v>
      </c>
      <c r="I231" s="135">
        <v>8.3199999999999996E-2</v>
      </c>
    </row>
    <row r="232" spans="1:9" x14ac:dyDescent="0.35">
      <c r="A232" s="133">
        <v>42704</v>
      </c>
      <c r="B232" s="134">
        <v>100.92</v>
      </c>
      <c r="C232" s="135">
        <v>8.0100000000000005E-2</v>
      </c>
      <c r="D232" s="134">
        <v>101.35</v>
      </c>
      <c r="E232" s="135">
        <v>8.1700000000000009E-2</v>
      </c>
      <c r="F232" s="134">
        <v>104.28</v>
      </c>
      <c r="G232" s="135">
        <v>8.2400000000000001E-2</v>
      </c>
      <c r="H232" s="134">
        <v>99.910000000000011</v>
      </c>
      <c r="I232" s="135">
        <v>8.2600000000000007E-2</v>
      </c>
    </row>
    <row r="233" spans="1:9" x14ac:dyDescent="0.35">
      <c r="A233" s="133">
        <v>42705</v>
      </c>
      <c r="B233" s="134">
        <v>101.02000000000001</v>
      </c>
      <c r="C233" s="135">
        <v>7.9799999999999996E-2</v>
      </c>
      <c r="D233" s="134">
        <v>101.68</v>
      </c>
      <c r="E233" s="135">
        <v>8.1200000000000008E-2</v>
      </c>
      <c r="F233" s="134">
        <v>104.34</v>
      </c>
      <c r="G233" s="135">
        <v>8.2400000000000001E-2</v>
      </c>
      <c r="H233" s="134">
        <v>99.960000000000008</v>
      </c>
      <c r="I233" s="135">
        <v>8.2600000000000007E-2</v>
      </c>
    </row>
    <row r="234" spans="1:9" x14ac:dyDescent="0.35">
      <c r="A234" s="133">
        <v>42706</v>
      </c>
      <c r="B234" s="134">
        <v>101.45</v>
      </c>
      <c r="C234" s="135">
        <v>7.8700000000000006E-2</v>
      </c>
      <c r="D234" s="134">
        <v>102.07000000000001</v>
      </c>
      <c r="E234" s="135">
        <v>8.0700000000000008E-2</v>
      </c>
      <c r="F234" s="134">
        <v>104.82000000000001</v>
      </c>
      <c r="G234" s="135">
        <v>8.1799999999999998E-2</v>
      </c>
      <c r="H234" s="134">
        <v>100.21000000000001</v>
      </c>
      <c r="I234" s="135">
        <v>8.2299999999999998E-2</v>
      </c>
    </row>
    <row r="235" spans="1:9" x14ac:dyDescent="0.35">
      <c r="A235" s="136">
        <v>42709</v>
      </c>
      <c r="B235" s="137">
        <v>101.60000000000001</v>
      </c>
      <c r="C235" s="138">
        <v>7.8300000000000008E-2</v>
      </c>
      <c r="D235" s="137">
        <v>102.13000000000001</v>
      </c>
      <c r="E235" s="138">
        <v>8.0600000000000005E-2</v>
      </c>
      <c r="F235" s="137">
        <v>104.79</v>
      </c>
      <c r="G235" s="138">
        <v>8.1799999999999998E-2</v>
      </c>
      <c r="H235" s="137">
        <v>100.12</v>
      </c>
      <c r="I235" s="138">
        <v>8.2400000000000001E-2</v>
      </c>
    </row>
    <row r="236" spans="1:9" x14ac:dyDescent="0.35">
      <c r="A236" s="136">
        <v>42710</v>
      </c>
      <c r="B236" s="137">
        <v>101.84</v>
      </c>
      <c r="C236" s="138">
        <v>7.7700000000000005E-2</v>
      </c>
      <c r="D236" s="137">
        <v>102.23</v>
      </c>
      <c r="E236" s="138">
        <v>8.0399999999999999E-2</v>
      </c>
      <c r="F236" s="137">
        <v>104.69000000000001</v>
      </c>
      <c r="G236" s="138">
        <v>8.1900000000000001E-2</v>
      </c>
      <c r="H236" s="137">
        <v>100.21000000000001</v>
      </c>
      <c r="I236" s="138">
        <v>8.2299999999999998E-2</v>
      </c>
    </row>
    <row r="237" spans="1:9" x14ac:dyDescent="0.35">
      <c r="A237" s="136">
        <v>42711</v>
      </c>
      <c r="B237" s="137">
        <v>102.97</v>
      </c>
      <c r="C237" s="138">
        <v>7.4800000000000005E-2</v>
      </c>
      <c r="D237" s="137">
        <v>103.78</v>
      </c>
      <c r="E237" s="138">
        <v>7.8200000000000006E-2</v>
      </c>
      <c r="F237" s="137">
        <v>105.81</v>
      </c>
      <c r="G237" s="138">
        <v>8.0700000000000008E-2</v>
      </c>
      <c r="H237" s="137">
        <v>101.18</v>
      </c>
      <c r="I237" s="138">
        <v>8.1299999999999997E-2</v>
      </c>
    </row>
    <row r="238" spans="1:9" x14ac:dyDescent="0.35">
      <c r="A238" s="136">
        <v>42712</v>
      </c>
      <c r="B238" s="137">
        <v>104.09</v>
      </c>
      <c r="C238" s="138">
        <v>7.1900000000000006E-2</v>
      </c>
      <c r="D238" s="137">
        <v>105.47</v>
      </c>
      <c r="E238" s="138">
        <v>7.5700000000000003E-2</v>
      </c>
      <c r="F238" s="137">
        <v>107.47</v>
      </c>
      <c r="G238" s="138">
        <v>7.8800000000000009E-2</v>
      </c>
      <c r="H238" s="137">
        <v>102.96000000000001</v>
      </c>
      <c r="I238" s="138">
        <v>7.9500000000000001E-2</v>
      </c>
    </row>
    <row r="239" spans="1:9" x14ac:dyDescent="0.35">
      <c r="A239" s="136">
        <v>42713</v>
      </c>
      <c r="B239" s="137">
        <v>103.68</v>
      </c>
      <c r="C239" s="138">
        <v>7.3000000000000009E-2</v>
      </c>
      <c r="D239" s="137">
        <v>104.94000000000001</v>
      </c>
      <c r="E239" s="138">
        <v>7.6499999999999999E-2</v>
      </c>
      <c r="F239" s="137">
        <v>106.97</v>
      </c>
      <c r="G239" s="138">
        <v>7.9300000000000009E-2</v>
      </c>
      <c r="H239" s="137">
        <v>102.15</v>
      </c>
      <c r="I239" s="138">
        <v>8.0299999999999996E-2</v>
      </c>
    </row>
    <row r="240" spans="1:9" x14ac:dyDescent="0.35">
      <c r="A240" s="133">
        <v>42717</v>
      </c>
      <c r="B240" s="134">
        <v>102.94000000000001</v>
      </c>
      <c r="C240" s="135">
        <v>7.4800000000000005E-2</v>
      </c>
      <c r="D240" s="134">
        <v>104.27000000000001</v>
      </c>
      <c r="E240" s="135">
        <v>7.7499999999999999E-2</v>
      </c>
      <c r="F240" s="134">
        <v>106.28</v>
      </c>
      <c r="G240" s="135">
        <v>8.0100000000000005E-2</v>
      </c>
      <c r="H240" s="134">
        <v>101.60000000000001</v>
      </c>
      <c r="I240" s="135">
        <v>8.09E-2</v>
      </c>
    </row>
    <row r="241" spans="1:9" x14ac:dyDescent="0.35">
      <c r="A241" s="133">
        <v>42718</v>
      </c>
      <c r="B241" s="134">
        <v>102.7</v>
      </c>
      <c r="C241" s="135">
        <v>7.5400000000000009E-2</v>
      </c>
      <c r="D241" s="134">
        <v>103.83</v>
      </c>
      <c r="E241" s="135">
        <v>7.8100000000000003E-2</v>
      </c>
      <c r="F241" s="134">
        <v>106.07000000000001</v>
      </c>
      <c r="G241" s="135">
        <v>8.0399999999999999E-2</v>
      </c>
      <c r="H241" s="134">
        <v>101.36</v>
      </c>
      <c r="I241" s="135">
        <v>8.1100000000000005E-2</v>
      </c>
    </row>
    <row r="242" spans="1:9" x14ac:dyDescent="0.35">
      <c r="A242" s="133">
        <v>42719</v>
      </c>
      <c r="B242" s="134">
        <v>102.21000000000001</v>
      </c>
      <c r="C242" s="135">
        <v>7.6700000000000004E-2</v>
      </c>
      <c r="D242" s="134">
        <v>102.88000000000001</v>
      </c>
      <c r="E242" s="135">
        <v>7.9500000000000001E-2</v>
      </c>
      <c r="F242" s="134">
        <v>105.10000000000001</v>
      </c>
      <c r="G242" s="135">
        <v>8.1500000000000003E-2</v>
      </c>
      <c r="H242" s="134">
        <v>100.75</v>
      </c>
      <c r="I242" s="135">
        <v>8.1799999999999998E-2</v>
      </c>
    </row>
    <row r="243" spans="1:9" x14ac:dyDescent="0.35">
      <c r="A243" s="133">
        <v>42720</v>
      </c>
      <c r="B243" s="134">
        <v>101.85</v>
      </c>
      <c r="C243" s="135">
        <v>7.7600000000000002E-2</v>
      </c>
      <c r="D243" s="134">
        <v>102.14</v>
      </c>
      <c r="E243" s="135">
        <v>8.0600000000000005E-2</v>
      </c>
      <c r="F243" s="134">
        <v>104.65</v>
      </c>
      <c r="G243" s="135">
        <v>8.2000000000000003E-2</v>
      </c>
      <c r="H243" s="134">
        <v>99.83</v>
      </c>
      <c r="I243" s="135">
        <v>8.270000000000001E-2</v>
      </c>
    </row>
    <row r="244" spans="1:9" x14ac:dyDescent="0.35">
      <c r="A244" s="136">
        <v>42723</v>
      </c>
      <c r="B244" s="137">
        <v>101.89</v>
      </c>
      <c r="C244" s="138">
        <v>7.7499999999999999E-2</v>
      </c>
      <c r="D244" s="137">
        <v>102.52</v>
      </c>
      <c r="E244" s="138">
        <v>0.08</v>
      </c>
      <c r="F244" s="137">
        <v>104.65</v>
      </c>
      <c r="G244" s="138">
        <v>8.2000000000000003E-2</v>
      </c>
      <c r="H244" s="137">
        <v>99.64</v>
      </c>
      <c r="I244" s="138">
        <v>8.2900000000000001E-2</v>
      </c>
    </row>
    <row r="245" spans="1:9" x14ac:dyDescent="0.35">
      <c r="A245" s="136">
        <v>42724</v>
      </c>
      <c r="B245" s="137">
        <v>102.27</v>
      </c>
      <c r="C245" s="138">
        <v>7.6499999999999999E-2</v>
      </c>
      <c r="D245" s="137">
        <v>103.03</v>
      </c>
      <c r="E245" s="138">
        <v>7.9200000000000007E-2</v>
      </c>
      <c r="F245" s="137">
        <v>105.2</v>
      </c>
      <c r="G245" s="138">
        <v>8.1299999999999997E-2</v>
      </c>
      <c r="H245" s="137">
        <v>100.08</v>
      </c>
      <c r="I245" s="138">
        <v>8.2500000000000004E-2</v>
      </c>
    </row>
    <row r="246" spans="1:9" x14ac:dyDescent="0.35">
      <c r="A246" s="136">
        <v>42725</v>
      </c>
      <c r="B246" s="137">
        <v>102.58</v>
      </c>
      <c r="C246" s="138">
        <v>7.5700000000000003E-2</v>
      </c>
      <c r="D246" s="137">
        <v>103.27</v>
      </c>
      <c r="E246" s="138">
        <v>7.8899999999999998E-2</v>
      </c>
      <c r="F246" s="137">
        <v>105.69</v>
      </c>
      <c r="G246" s="138">
        <v>8.0799999999999997E-2</v>
      </c>
      <c r="H246" s="137">
        <v>101.25</v>
      </c>
      <c r="I246" s="138">
        <v>8.1200000000000008E-2</v>
      </c>
    </row>
    <row r="247" spans="1:9" x14ac:dyDescent="0.35">
      <c r="A247" s="136">
        <v>42726</v>
      </c>
      <c r="B247" s="137">
        <v>102.91</v>
      </c>
      <c r="C247" s="138">
        <v>7.4900000000000008E-2</v>
      </c>
      <c r="D247" s="137">
        <v>103.23</v>
      </c>
      <c r="E247" s="138">
        <v>7.9000000000000001E-2</v>
      </c>
      <c r="F247" s="137">
        <v>105.86</v>
      </c>
      <c r="G247" s="138">
        <v>8.0600000000000005E-2</v>
      </c>
      <c r="H247" s="137">
        <v>101.23</v>
      </c>
      <c r="I247" s="138">
        <v>8.1299999999999997E-2</v>
      </c>
    </row>
    <row r="248" spans="1:9" x14ac:dyDescent="0.35">
      <c r="A248" s="136">
        <v>42727</v>
      </c>
      <c r="B248" s="137">
        <v>102.73</v>
      </c>
      <c r="C248" s="138">
        <v>7.5300000000000006E-2</v>
      </c>
      <c r="D248" s="137">
        <v>102.91</v>
      </c>
      <c r="E248" s="138">
        <v>7.9399999999999998E-2</v>
      </c>
      <c r="F248" s="137">
        <v>105.31</v>
      </c>
      <c r="G248" s="138">
        <v>8.1200000000000008E-2</v>
      </c>
      <c r="H248" s="137">
        <v>100.9</v>
      </c>
      <c r="I248" s="138">
        <v>8.1600000000000006E-2</v>
      </c>
    </row>
    <row r="249" spans="1:9" x14ac:dyDescent="0.35">
      <c r="A249" s="133">
        <v>42731</v>
      </c>
      <c r="B249" s="134">
        <v>102.65</v>
      </c>
      <c r="C249" s="135">
        <v>7.5499999999999998E-2</v>
      </c>
      <c r="D249" s="134">
        <v>103.08</v>
      </c>
      <c r="E249" s="135">
        <v>7.9200000000000007E-2</v>
      </c>
      <c r="F249" s="134">
        <v>105.23</v>
      </c>
      <c r="G249" s="135">
        <v>8.1299999999999997E-2</v>
      </c>
      <c r="H249" s="134">
        <v>100.79</v>
      </c>
      <c r="I249" s="135">
        <v>8.1700000000000009E-2</v>
      </c>
    </row>
    <row r="250" spans="1:9" x14ac:dyDescent="0.35">
      <c r="A250" s="133">
        <v>42732</v>
      </c>
      <c r="B250" s="134">
        <v>102.61</v>
      </c>
      <c r="C250" s="135">
        <v>7.5600000000000001E-2</v>
      </c>
      <c r="D250" s="134">
        <v>102.75</v>
      </c>
      <c r="E250" s="135">
        <v>7.9600000000000004E-2</v>
      </c>
      <c r="F250" s="134">
        <v>105.26</v>
      </c>
      <c r="G250" s="135">
        <v>8.1299999999999997E-2</v>
      </c>
      <c r="H250" s="134">
        <v>100.72</v>
      </c>
      <c r="I250" s="135">
        <v>8.1799999999999998E-2</v>
      </c>
    </row>
    <row r="251" spans="1:9" x14ac:dyDescent="0.35">
      <c r="A251" s="133">
        <v>42733</v>
      </c>
      <c r="B251" s="134">
        <v>102.58</v>
      </c>
      <c r="C251" s="135">
        <v>7.5700000000000003E-2</v>
      </c>
      <c r="D251" s="134">
        <v>102.78</v>
      </c>
      <c r="E251" s="135">
        <v>7.9600000000000004E-2</v>
      </c>
      <c r="F251" s="134">
        <v>105.22</v>
      </c>
      <c r="G251" s="135">
        <v>8.1299999999999997E-2</v>
      </c>
      <c r="H251" s="134">
        <v>100.68</v>
      </c>
      <c r="I251" s="135">
        <v>8.1799999999999998E-2</v>
      </c>
    </row>
    <row r="252" spans="1:9" x14ac:dyDescent="0.35">
      <c r="A252" s="133">
        <v>42734</v>
      </c>
      <c r="B252" s="134">
        <v>102.61</v>
      </c>
      <c r="C252" s="135">
        <v>7.5600000000000001E-2</v>
      </c>
      <c r="D252" s="134">
        <v>102.59</v>
      </c>
      <c r="E252" s="135">
        <v>7.9899999999999999E-2</v>
      </c>
      <c r="F252" s="134">
        <v>104.88000000000001</v>
      </c>
      <c r="G252" s="135">
        <v>8.1700000000000009E-2</v>
      </c>
      <c r="H252" s="134">
        <v>100.7</v>
      </c>
      <c r="I252" s="135">
        <v>8.1799999999999998E-2</v>
      </c>
    </row>
  </sheetData>
  <mergeCells count="18">
    <mergeCell ref="F4:G4"/>
    <mergeCell ref="H4:I4"/>
    <mergeCell ref="B5:C5"/>
    <mergeCell ref="D5:E5"/>
    <mergeCell ref="F5:G5"/>
    <mergeCell ref="H5:I5"/>
    <mergeCell ref="A1:I1"/>
    <mergeCell ref="A2:A6"/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</mergeCells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44"/>
  <sheetViews>
    <sheetView workbookViewId="0">
      <pane ySplit="6" topLeftCell="A182" activePane="bottomLeft" state="frozen"/>
      <selection activeCell="C14" sqref="C14"/>
      <selection pane="bottomLeft" activeCell="C14" sqref="C14"/>
    </sheetView>
  </sheetViews>
  <sheetFormatPr defaultColWidth="0" defaultRowHeight="14.5" x14ac:dyDescent="0.35"/>
  <cols>
    <col min="1" max="1" width="14.453125" style="47" customWidth="1"/>
    <col min="2" max="9" width="10" style="47" customWidth="1"/>
    <col min="10" max="10" width="9.1796875" style="47" customWidth="1"/>
    <col min="11" max="16384" width="9.1796875" style="47" hidden="1"/>
  </cols>
  <sheetData>
    <row r="1" spans="1:9" x14ac:dyDescent="0.35">
      <c r="A1" s="480" t="s">
        <v>72</v>
      </c>
      <c r="B1" s="481"/>
      <c r="C1" s="481"/>
      <c r="D1" s="481"/>
      <c r="E1" s="481"/>
      <c r="F1" s="481"/>
      <c r="G1" s="481"/>
      <c r="H1" s="481"/>
      <c r="I1" s="481"/>
    </row>
    <row r="2" spans="1:9" x14ac:dyDescent="0.35">
      <c r="A2" s="482" t="s">
        <v>73</v>
      </c>
      <c r="B2" s="485" t="s">
        <v>74</v>
      </c>
      <c r="C2" s="485"/>
      <c r="D2" s="485" t="s">
        <v>75</v>
      </c>
      <c r="E2" s="485"/>
      <c r="F2" s="485" t="s">
        <v>76</v>
      </c>
      <c r="G2" s="485"/>
      <c r="H2" s="485" t="s">
        <v>77</v>
      </c>
      <c r="I2" s="485"/>
    </row>
    <row r="3" spans="1:9" x14ac:dyDescent="0.35">
      <c r="A3" s="483"/>
      <c r="B3" s="485" t="s">
        <v>92</v>
      </c>
      <c r="C3" s="485"/>
      <c r="D3" s="485" t="s">
        <v>93</v>
      </c>
      <c r="E3" s="485"/>
      <c r="F3" s="485" t="s">
        <v>94</v>
      </c>
      <c r="G3" s="485"/>
      <c r="H3" s="485" t="s">
        <v>91</v>
      </c>
      <c r="I3" s="485"/>
    </row>
    <row r="4" spans="1:9" x14ac:dyDescent="0.35">
      <c r="A4" s="483"/>
      <c r="B4" s="486">
        <v>7.0000000000000007E-2</v>
      </c>
      <c r="C4" s="486"/>
      <c r="D4" s="486">
        <v>7.0000000000000007E-2</v>
      </c>
      <c r="E4" s="486"/>
      <c r="F4" s="486">
        <v>7.4999999999999997E-2</v>
      </c>
      <c r="G4" s="486"/>
      <c r="H4" s="486">
        <v>8.2500000000000004E-2</v>
      </c>
      <c r="I4" s="486"/>
    </row>
    <row r="5" spans="1:9" x14ac:dyDescent="0.35">
      <c r="A5" s="483"/>
      <c r="B5" s="479">
        <v>44696</v>
      </c>
      <c r="C5" s="479"/>
      <c r="D5" s="479">
        <v>46522</v>
      </c>
      <c r="E5" s="479"/>
      <c r="F5" s="479">
        <v>48441</v>
      </c>
      <c r="G5" s="479"/>
      <c r="H5" s="479">
        <v>49810</v>
      </c>
      <c r="I5" s="479"/>
    </row>
    <row r="6" spans="1:9" ht="29" x14ac:dyDescent="0.35">
      <c r="A6" s="484"/>
      <c r="B6" s="131" t="s">
        <v>82</v>
      </c>
      <c r="C6" s="132" t="s">
        <v>83</v>
      </c>
      <c r="D6" s="131" t="s">
        <v>82</v>
      </c>
      <c r="E6" s="132" t="s">
        <v>83</v>
      </c>
      <c r="F6" s="131" t="s">
        <v>82</v>
      </c>
      <c r="G6" s="132" t="s">
        <v>83</v>
      </c>
      <c r="H6" s="131" t="s">
        <v>82</v>
      </c>
      <c r="I6" s="132" t="s">
        <v>83</v>
      </c>
    </row>
    <row r="7" spans="1:9" x14ac:dyDescent="0.35">
      <c r="A7" s="136">
        <v>42738</v>
      </c>
      <c r="B7" s="137">
        <v>97.660000000000011</v>
      </c>
      <c r="C7" s="138">
        <v>7.5400000000000009E-2</v>
      </c>
      <c r="D7" s="137">
        <v>94.53</v>
      </c>
      <c r="E7" s="138">
        <v>7.7800000000000008E-2</v>
      </c>
      <c r="F7" s="137">
        <v>97.740000000000009</v>
      </c>
      <c r="G7" s="138">
        <v>7.7600000000000002E-2</v>
      </c>
      <c r="H7" s="137">
        <v>100.87</v>
      </c>
      <c r="I7" s="138">
        <v>8.1600000000000006E-2</v>
      </c>
    </row>
    <row r="8" spans="1:9" x14ac:dyDescent="0.35">
      <c r="A8" s="136">
        <v>42739</v>
      </c>
      <c r="B8" s="137">
        <v>97.78</v>
      </c>
      <c r="C8" s="138">
        <v>7.51E-2</v>
      </c>
      <c r="D8" s="137">
        <v>94.88000000000001</v>
      </c>
      <c r="E8" s="138">
        <v>7.7300000000000008E-2</v>
      </c>
      <c r="F8" s="137">
        <v>97.8</v>
      </c>
      <c r="G8" s="138">
        <v>7.7499999999999999E-2</v>
      </c>
      <c r="H8" s="137">
        <v>101.33</v>
      </c>
      <c r="I8" s="138">
        <v>8.1200000000000008E-2</v>
      </c>
    </row>
    <row r="9" spans="1:9" x14ac:dyDescent="0.35">
      <c r="A9" s="136">
        <v>42740</v>
      </c>
      <c r="B9" s="137">
        <v>98.320000000000007</v>
      </c>
      <c r="C9" s="138">
        <v>7.3900000000000007E-2</v>
      </c>
      <c r="D9" s="137">
        <v>96.08</v>
      </c>
      <c r="E9" s="138">
        <v>7.5600000000000001E-2</v>
      </c>
      <c r="F9" s="137">
        <v>98.7</v>
      </c>
      <c r="G9" s="138">
        <v>7.6499999999999999E-2</v>
      </c>
      <c r="H9" s="137">
        <v>102.4</v>
      </c>
      <c r="I9" s="138">
        <v>8.0100000000000005E-2</v>
      </c>
    </row>
    <row r="10" spans="1:9" x14ac:dyDescent="0.35">
      <c r="A10" s="136">
        <v>42741</v>
      </c>
      <c r="B10" s="137">
        <v>98.43</v>
      </c>
      <c r="C10" s="138">
        <v>7.3599999999999999E-2</v>
      </c>
      <c r="D10" s="137">
        <v>95.990000000000009</v>
      </c>
      <c r="E10" s="138">
        <v>7.5700000000000003E-2</v>
      </c>
      <c r="F10" s="137">
        <v>98.550000000000011</v>
      </c>
      <c r="G10" s="138">
        <v>7.6600000000000001E-2</v>
      </c>
      <c r="H10" s="137">
        <v>102.15</v>
      </c>
      <c r="I10" s="138">
        <v>8.0299999999999996E-2</v>
      </c>
    </row>
    <row r="11" spans="1:9" x14ac:dyDescent="0.35">
      <c r="A11" s="133">
        <v>42744</v>
      </c>
      <c r="B11" s="134">
        <v>98.39</v>
      </c>
      <c r="C11" s="135">
        <v>7.3700000000000002E-2</v>
      </c>
      <c r="D11" s="134">
        <v>95.89</v>
      </c>
      <c r="E11" s="135">
        <v>7.5800000000000006E-2</v>
      </c>
      <c r="F11" s="134">
        <v>98.300000000000011</v>
      </c>
      <c r="G11" s="135">
        <v>7.6899999999999996E-2</v>
      </c>
      <c r="H11" s="134">
        <v>101.82000000000001</v>
      </c>
      <c r="I11" s="135">
        <v>8.0700000000000008E-2</v>
      </c>
    </row>
    <row r="12" spans="1:9" x14ac:dyDescent="0.35">
      <c r="A12" s="133">
        <v>42745</v>
      </c>
      <c r="B12" s="134">
        <v>98.73</v>
      </c>
      <c r="C12" s="135">
        <v>7.2900000000000006E-2</v>
      </c>
      <c r="D12" s="134">
        <v>95.990000000000009</v>
      </c>
      <c r="E12" s="135">
        <v>7.5700000000000003E-2</v>
      </c>
      <c r="F12" s="134">
        <v>98.38000000000001</v>
      </c>
      <c r="G12" s="135">
        <v>7.6800000000000007E-2</v>
      </c>
      <c r="H12" s="134">
        <v>101.87</v>
      </c>
      <c r="I12" s="135">
        <v>8.0600000000000005E-2</v>
      </c>
    </row>
    <row r="13" spans="1:9" x14ac:dyDescent="0.35">
      <c r="A13" s="133">
        <v>42746</v>
      </c>
      <c r="B13" s="134">
        <v>98.850000000000009</v>
      </c>
      <c r="C13" s="135">
        <v>7.2700000000000001E-2</v>
      </c>
      <c r="D13" s="134">
        <v>96.09</v>
      </c>
      <c r="E13" s="135">
        <v>7.5499999999999998E-2</v>
      </c>
      <c r="F13" s="134">
        <v>98.320000000000007</v>
      </c>
      <c r="G13" s="135">
        <v>7.6899999999999996E-2</v>
      </c>
      <c r="H13" s="134">
        <v>101.92</v>
      </c>
      <c r="I13" s="135">
        <v>8.0600000000000005E-2</v>
      </c>
    </row>
    <row r="14" spans="1:9" x14ac:dyDescent="0.35">
      <c r="A14" s="133">
        <v>42747</v>
      </c>
      <c r="B14" s="134">
        <v>98.940000000000012</v>
      </c>
      <c r="C14" s="135">
        <v>7.2400000000000006E-2</v>
      </c>
      <c r="D14" s="134">
        <v>96.15</v>
      </c>
      <c r="E14" s="135">
        <v>7.5499999999999998E-2</v>
      </c>
      <c r="F14" s="134">
        <v>98.31</v>
      </c>
      <c r="G14" s="135">
        <v>7.6899999999999996E-2</v>
      </c>
      <c r="H14" s="134">
        <v>102.02000000000001</v>
      </c>
      <c r="I14" s="135">
        <v>8.0500000000000002E-2</v>
      </c>
    </row>
    <row r="15" spans="1:9" x14ac:dyDescent="0.35">
      <c r="A15" s="133">
        <v>42748</v>
      </c>
      <c r="B15" s="134">
        <v>99.14</v>
      </c>
      <c r="C15" s="135">
        <v>7.2000000000000008E-2</v>
      </c>
      <c r="D15" s="134">
        <v>96.940000000000012</v>
      </c>
      <c r="E15" s="135">
        <v>7.4300000000000005E-2</v>
      </c>
      <c r="F15" s="134">
        <v>98.43</v>
      </c>
      <c r="G15" s="135">
        <v>7.6800000000000007E-2</v>
      </c>
      <c r="H15" s="134">
        <v>102.78</v>
      </c>
      <c r="I15" s="135">
        <v>7.9700000000000007E-2</v>
      </c>
    </row>
    <row r="16" spans="1:9" x14ac:dyDescent="0.35">
      <c r="A16" s="136">
        <v>42751</v>
      </c>
      <c r="B16" s="137">
        <v>99.100000000000009</v>
      </c>
      <c r="C16" s="138">
        <v>7.2099999999999997E-2</v>
      </c>
      <c r="D16" s="137">
        <v>96.62</v>
      </c>
      <c r="E16" s="138">
        <v>7.4800000000000005E-2</v>
      </c>
      <c r="F16" s="137">
        <v>98.320000000000007</v>
      </c>
      <c r="G16" s="138">
        <v>7.6899999999999996E-2</v>
      </c>
      <c r="H16" s="137">
        <v>102.60000000000001</v>
      </c>
      <c r="I16" s="138">
        <v>7.9899999999999999E-2</v>
      </c>
    </row>
    <row r="17" spans="1:9" x14ac:dyDescent="0.35">
      <c r="A17" s="136">
        <v>42752</v>
      </c>
      <c r="B17" s="137">
        <v>99.100000000000009</v>
      </c>
      <c r="C17" s="138">
        <v>7.2099999999999997E-2</v>
      </c>
      <c r="D17" s="137">
        <v>96.550000000000011</v>
      </c>
      <c r="E17" s="138">
        <v>7.4900000000000008E-2</v>
      </c>
      <c r="F17" s="137">
        <v>98.300000000000011</v>
      </c>
      <c r="G17" s="138">
        <v>7.6899999999999996E-2</v>
      </c>
      <c r="H17" s="137">
        <v>102.58</v>
      </c>
      <c r="I17" s="138">
        <v>7.9899999999999999E-2</v>
      </c>
    </row>
    <row r="18" spans="1:9" x14ac:dyDescent="0.35">
      <c r="A18" s="136">
        <v>42753</v>
      </c>
      <c r="B18" s="137">
        <v>99.33</v>
      </c>
      <c r="C18" s="138">
        <v>7.1599999999999997E-2</v>
      </c>
      <c r="D18" s="137">
        <v>96.570000000000007</v>
      </c>
      <c r="E18" s="138">
        <v>7.4900000000000008E-2</v>
      </c>
      <c r="F18" s="137">
        <v>97.77000000000001</v>
      </c>
      <c r="G18" s="138">
        <v>7.7499999999999999E-2</v>
      </c>
      <c r="H18" s="137">
        <v>102.66000000000001</v>
      </c>
      <c r="I18" s="138">
        <v>7.9799999999999996E-2</v>
      </c>
    </row>
    <row r="19" spans="1:9" x14ac:dyDescent="0.35">
      <c r="A19" s="136">
        <v>42754</v>
      </c>
      <c r="B19" s="137">
        <v>99.29</v>
      </c>
      <c r="C19" s="138">
        <v>7.1599999999999997E-2</v>
      </c>
      <c r="D19" s="137">
        <v>96.31</v>
      </c>
      <c r="E19" s="138">
        <v>7.5200000000000003E-2</v>
      </c>
      <c r="F19" s="137">
        <v>97.47</v>
      </c>
      <c r="G19" s="138">
        <v>7.7899999999999997E-2</v>
      </c>
      <c r="H19" s="137">
        <v>102.45</v>
      </c>
      <c r="I19" s="138">
        <v>0.08</v>
      </c>
    </row>
    <row r="20" spans="1:9" x14ac:dyDescent="0.35">
      <c r="A20" s="136">
        <v>42755</v>
      </c>
      <c r="B20" s="137">
        <v>99.28</v>
      </c>
      <c r="C20" s="138">
        <v>7.17E-2</v>
      </c>
      <c r="D20" s="137">
        <v>96.23</v>
      </c>
      <c r="E20" s="138">
        <v>7.5400000000000009E-2</v>
      </c>
      <c r="F20" s="137">
        <v>97.04</v>
      </c>
      <c r="G20" s="138">
        <v>7.8399999999999997E-2</v>
      </c>
      <c r="H20" s="137">
        <v>102.01</v>
      </c>
      <c r="I20" s="138">
        <v>8.0500000000000002E-2</v>
      </c>
    </row>
    <row r="21" spans="1:9" x14ac:dyDescent="0.35">
      <c r="A21" s="133">
        <v>42758</v>
      </c>
      <c r="B21" s="134">
        <v>99.33</v>
      </c>
      <c r="C21" s="135">
        <v>7.1599999999999997E-2</v>
      </c>
      <c r="D21" s="134">
        <v>96.320000000000007</v>
      </c>
      <c r="E21" s="135">
        <v>7.5200000000000003E-2</v>
      </c>
      <c r="F21" s="134">
        <v>97.17</v>
      </c>
      <c r="G21" s="135">
        <v>7.8200000000000006E-2</v>
      </c>
      <c r="H21" s="134">
        <v>102.11</v>
      </c>
      <c r="I21" s="135">
        <v>8.0399999999999999E-2</v>
      </c>
    </row>
    <row r="22" spans="1:9" x14ac:dyDescent="0.35">
      <c r="A22" s="133">
        <v>42759</v>
      </c>
      <c r="B22" s="134">
        <v>99.79</v>
      </c>
      <c r="C22" s="135">
        <v>7.0500000000000007E-2</v>
      </c>
      <c r="D22" s="134">
        <v>96.83</v>
      </c>
      <c r="E22" s="135">
        <v>7.4499999999999997E-2</v>
      </c>
      <c r="F22" s="134">
        <v>97.28</v>
      </c>
      <c r="G22" s="135">
        <v>7.8100000000000003E-2</v>
      </c>
      <c r="H22" s="134">
        <v>102.56</v>
      </c>
      <c r="I22" s="135">
        <v>7.9899999999999999E-2</v>
      </c>
    </row>
    <row r="23" spans="1:9" x14ac:dyDescent="0.35">
      <c r="A23" s="133">
        <v>42760</v>
      </c>
      <c r="B23" s="134">
        <v>99.690000000000012</v>
      </c>
      <c r="C23" s="135">
        <v>7.0699999999999999E-2</v>
      </c>
      <c r="D23" s="134">
        <v>96.52000000000001</v>
      </c>
      <c r="E23" s="135">
        <v>7.4900000000000008E-2</v>
      </c>
      <c r="F23" s="134">
        <v>97.18</v>
      </c>
      <c r="G23" s="135">
        <v>7.8200000000000006E-2</v>
      </c>
      <c r="H23" s="134">
        <v>102.30000000000001</v>
      </c>
      <c r="I23" s="135">
        <v>8.0200000000000007E-2</v>
      </c>
    </row>
    <row r="24" spans="1:9" x14ac:dyDescent="0.35">
      <c r="A24" s="133">
        <v>42761</v>
      </c>
      <c r="B24" s="134">
        <v>99.460000000000008</v>
      </c>
      <c r="C24" s="135">
        <v>7.1300000000000002E-2</v>
      </c>
      <c r="D24" s="134">
        <v>96.28</v>
      </c>
      <c r="E24" s="135">
        <v>7.5300000000000006E-2</v>
      </c>
      <c r="F24" s="134">
        <v>97</v>
      </c>
      <c r="G24" s="135">
        <v>7.8399999999999997E-2</v>
      </c>
      <c r="H24" s="134">
        <v>102</v>
      </c>
      <c r="I24" s="135">
        <v>8.0500000000000002E-2</v>
      </c>
    </row>
    <row r="25" spans="1:9" x14ac:dyDescent="0.35">
      <c r="A25" s="133">
        <v>42762</v>
      </c>
      <c r="B25" s="134">
        <v>99.240000000000009</v>
      </c>
      <c r="C25" s="135">
        <v>7.1800000000000003E-2</v>
      </c>
      <c r="D25" s="134">
        <v>95.93</v>
      </c>
      <c r="E25" s="135">
        <v>7.5800000000000006E-2</v>
      </c>
      <c r="F25" s="134">
        <v>96.76</v>
      </c>
      <c r="G25" s="135">
        <v>7.8700000000000006E-2</v>
      </c>
      <c r="H25" s="134">
        <v>101.4</v>
      </c>
      <c r="I25" s="135">
        <v>8.1100000000000005E-2</v>
      </c>
    </row>
    <row r="26" spans="1:9" x14ac:dyDescent="0.35">
      <c r="A26" s="136">
        <v>42765</v>
      </c>
      <c r="B26" s="137">
        <v>99.06</v>
      </c>
      <c r="C26" s="138">
        <v>7.22E-2</v>
      </c>
      <c r="D26" s="137">
        <v>95.84</v>
      </c>
      <c r="E26" s="138">
        <v>7.5900000000000009E-2</v>
      </c>
      <c r="F26" s="137">
        <v>96.27000000000001</v>
      </c>
      <c r="G26" s="138">
        <v>7.9300000000000009E-2</v>
      </c>
      <c r="H26" s="137">
        <v>101.18</v>
      </c>
      <c r="I26" s="138">
        <v>8.1299999999999997E-2</v>
      </c>
    </row>
    <row r="27" spans="1:9" x14ac:dyDescent="0.35">
      <c r="A27" s="136">
        <v>42766</v>
      </c>
      <c r="B27" s="137">
        <v>98.87</v>
      </c>
      <c r="C27" s="138">
        <v>7.2599999999999998E-2</v>
      </c>
      <c r="D27" s="137">
        <v>95.850000000000009</v>
      </c>
      <c r="E27" s="138">
        <v>7.5900000000000009E-2</v>
      </c>
      <c r="F27" s="137">
        <v>96.01</v>
      </c>
      <c r="G27" s="138">
        <v>7.9600000000000004E-2</v>
      </c>
      <c r="H27" s="137">
        <v>101.02000000000001</v>
      </c>
      <c r="I27" s="138">
        <v>8.1500000000000003E-2</v>
      </c>
    </row>
    <row r="28" spans="1:9" x14ac:dyDescent="0.35">
      <c r="A28" s="136">
        <v>42767</v>
      </c>
      <c r="B28" s="137">
        <v>98.86</v>
      </c>
      <c r="C28" s="138">
        <v>7.2700000000000001E-2</v>
      </c>
      <c r="D28" s="137">
        <v>95.820000000000007</v>
      </c>
      <c r="E28" s="138">
        <v>7.5999999999999998E-2</v>
      </c>
      <c r="F28" s="137">
        <v>95.88000000000001</v>
      </c>
      <c r="G28" s="138">
        <v>7.9700000000000007E-2</v>
      </c>
      <c r="H28" s="137">
        <v>101.02000000000001</v>
      </c>
      <c r="I28" s="138">
        <v>8.1500000000000003E-2</v>
      </c>
    </row>
    <row r="29" spans="1:9" x14ac:dyDescent="0.35">
      <c r="A29" s="136">
        <v>42768</v>
      </c>
      <c r="B29" s="137">
        <v>98.77000000000001</v>
      </c>
      <c r="C29" s="138">
        <v>7.2900000000000006E-2</v>
      </c>
      <c r="D29" s="137">
        <v>95.710000000000008</v>
      </c>
      <c r="E29" s="138">
        <v>7.6100000000000001E-2</v>
      </c>
      <c r="F29" s="137">
        <v>95.78</v>
      </c>
      <c r="G29" s="138">
        <v>7.9799999999999996E-2</v>
      </c>
      <c r="H29" s="137">
        <v>100.92</v>
      </c>
      <c r="I29" s="138">
        <v>8.1600000000000006E-2</v>
      </c>
    </row>
    <row r="30" spans="1:9" x14ac:dyDescent="0.35">
      <c r="A30" s="136">
        <v>42769</v>
      </c>
      <c r="B30" s="137">
        <v>98.79</v>
      </c>
      <c r="C30" s="138">
        <v>7.2800000000000004E-2</v>
      </c>
      <c r="D30" s="137">
        <v>95.76</v>
      </c>
      <c r="E30" s="138">
        <v>7.5999999999999998E-2</v>
      </c>
      <c r="F30" s="137">
        <v>95.77000000000001</v>
      </c>
      <c r="G30" s="138">
        <v>7.9799999999999996E-2</v>
      </c>
      <c r="H30" s="137">
        <v>100.98</v>
      </c>
      <c r="I30" s="138">
        <v>8.1500000000000003E-2</v>
      </c>
    </row>
    <row r="31" spans="1:9" x14ac:dyDescent="0.35">
      <c r="A31" s="133">
        <v>42772</v>
      </c>
      <c r="B31" s="134">
        <v>99.070000000000007</v>
      </c>
      <c r="C31" s="135">
        <v>7.22E-2</v>
      </c>
      <c r="D31" s="134">
        <v>96.08</v>
      </c>
      <c r="E31" s="135">
        <v>7.5600000000000001E-2</v>
      </c>
      <c r="F31" s="134">
        <v>96.11</v>
      </c>
      <c r="G31" s="135">
        <v>7.9500000000000001E-2</v>
      </c>
      <c r="H31" s="134">
        <v>101.24000000000001</v>
      </c>
      <c r="I31" s="135">
        <v>8.1200000000000008E-2</v>
      </c>
    </row>
    <row r="32" spans="1:9" x14ac:dyDescent="0.35">
      <c r="A32" s="133">
        <v>42773</v>
      </c>
      <c r="B32" s="134">
        <v>99.25</v>
      </c>
      <c r="C32" s="135">
        <v>7.1800000000000003E-2</v>
      </c>
      <c r="D32" s="134">
        <v>96.320000000000007</v>
      </c>
      <c r="E32" s="135">
        <v>7.5200000000000003E-2</v>
      </c>
      <c r="F32" s="134">
        <v>96.51</v>
      </c>
      <c r="G32" s="135">
        <v>7.9000000000000001E-2</v>
      </c>
      <c r="H32" s="134">
        <v>101.51</v>
      </c>
      <c r="I32" s="135">
        <v>8.1000000000000003E-2</v>
      </c>
    </row>
    <row r="33" spans="1:9" x14ac:dyDescent="0.35">
      <c r="A33" s="133">
        <v>42774</v>
      </c>
      <c r="B33" s="134">
        <v>99.190000000000012</v>
      </c>
      <c r="C33" s="135">
        <v>7.1900000000000006E-2</v>
      </c>
      <c r="D33" s="134">
        <v>96.28</v>
      </c>
      <c r="E33" s="135">
        <v>7.5300000000000006E-2</v>
      </c>
      <c r="F33" s="134">
        <v>96.52</v>
      </c>
      <c r="G33" s="135">
        <v>7.9000000000000001E-2</v>
      </c>
      <c r="H33" s="134">
        <v>101.54</v>
      </c>
      <c r="I33" s="135">
        <v>8.09E-2</v>
      </c>
    </row>
    <row r="34" spans="1:9" x14ac:dyDescent="0.35">
      <c r="A34" s="133">
        <v>42775</v>
      </c>
      <c r="B34" s="134">
        <v>99.490000000000009</v>
      </c>
      <c r="C34" s="135">
        <v>7.1199999999999999E-2</v>
      </c>
      <c r="D34" s="134">
        <v>96.81</v>
      </c>
      <c r="E34" s="135">
        <v>7.4499999999999997E-2</v>
      </c>
      <c r="F34" s="134">
        <v>97.27000000000001</v>
      </c>
      <c r="G34" s="135">
        <v>7.8100000000000003E-2</v>
      </c>
      <c r="H34" s="134">
        <v>102.55000000000001</v>
      </c>
      <c r="I34" s="135">
        <v>7.9899999999999999E-2</v>
      </c>
    </row>
    <row r="35" spans="1:9" x14ac:dyDescent="0.35">
      <c r="A35" s="133">
        <v>42776</v>
      </c>
      <c r="B35" s="134">
        <v>99.36</v>
      </c>
      <c r="C35" s="135">
        <v>7.1500000000000008E-2</v>
      </c>
      <c r="D35" s="134">
        <v>96.72</v>
      </c>
      <c r="E35" s="135">
        <v>7.4700000000000003E-2</v>
      </c>
      <c r="F35" s="134">
        <v>97.160000000000011</v>
      </c>
      <c r="G35" s="135">
        <v>7.8200000000000006E-2</v>
      </c>
      <c r="H35" s="134">
        <v>102.24000000000001</v>
      </c>
      <c r="I35" s="135">
        <v>8.0200000000000007E-2</v>
      </c>
    </row>
    <row r="36" spans="1:9" x14ac:dyDescent="0.35">
      <c r="A36" s="136">
        <v>42779</v>
      </c>
      <c r="B36" s="137">
        <v>99.440000000000012</v>
      </c>
      <c r="C36" s="138">
        <v>7.1300000000000002E-2</v>
      </c>
      <c r="D36" s="137">
        <v>96.62</v>
      </c>
      <c r="E36" s="138">
        <v>7.4800000000000005E-2</v>
      </c>
      <c r="F36" s="137">
        <v>97.18</v>
      </c>
      <c r="G36" s="138">
        <v>7.8200000000000006E-2</v>
      </c>
      <c r="H36" s="137">
        <v>102.2</v>
      </c>
      <c r="I36" s="138">
        <v>8.0299999999999996E-2</v>
      </c>
    </row>
    <row r="37" spans="1:9" x14ac:dyDescent="0.35">
      <c r="A37" s="136">
        <v>42780</v>
      </c>
      <c r="B37" s="137">
        <v>99.37</v>
      </c>
      <c r="C37" s="138">
        <v>7.1500000000000008E-2</v>
      </c>
      <c r="D37" s="137">
        <v>96.440000000000012</v>
      </c>
      <c r="E37" s="138">
        <v>7.51E-2</v>
      </c>
      <c r="F37" s="137">
        <v>96.78</v>
      </c>
      <c r="G37" s="138">
        <v>7.8700000000000006E-2</v>
      </c>
      <c r="H37" s="137">
        <v>101.63000000000001</v>
      </c>
      <c r="I37" s="138">
        <v>8.0799999999999997E-2</v>
      </c>
    </row>
    <row r="38" spans="1:9" x14ac:dyDescent="0.35">
      <c r="A38" s="136">
        <v>42782</v>
      </c>
      <c r="B38" s="137">
        <v>99.240000000000009</v>
      </c>
      <c r="C38" s="138">
        <v>7.1800000000000003E-2</v>
      </c>
      <c r="D38" s="137">
        <v>96.29</v>
      </c>
      <c r="E38" s="138">
        <v>7.5300000000000006E-2</v>
      </c>
      <c r="F38" s="137">
        <v>96.9</v>
      </c>
      <c r="G38" s="138">
        <v>7.85E-2</v>
      </c>
      <c r="H38" s="137">
        <v>101.47</v>
      </c>
      <c r="I38" s="138">
        <v>8.1000000000000003E-2</v>
      </c>
    </row>
    <row r="39" spans="1:9" x14ac:dyDescent="0.35">
      <c r="A39" s="136">
        <v>42783</v>
      </c>
      <c r="B39" s="137">
        <v>99.33</v>
      </c>
      <c r="C39" s="138">
        <v>7.1599999999999997E-2</v>
      </c>
      <c r="D39" s="137">
        <v>96.38000000000001</v>
      </c>
      <c r="E39" s="138">
        <v>7.5200000000000003E-2</v>
      </c>
      <c r="F39" s="137">
        <v>97.050000000000011</v>
      </c>
      <c r="G39" s="138">
        <v>7.8399999999999997E-2</v>
      </c>
      <c r="H39" s="137">
        <v>101.41000000000001</v>
      </c>
      <c r="I39" s="138">
        <v>8.1100000000000005E-2</v>
      </c>
    </row>
    <row r="40" spans="1:9" x14ac:dyDescent="0.35">
      <c r="A40" s="133">
        <v>42786</v>
      </c>
      <c r="B40" s="134">
        <v>99.25</v>
      </c>
      <c r="C40" s="135">
        <v>7.1800000000000003E-2</v>
      </c>
      <c r="D40" s="134">
        <v>96.35</v>
      </c>
      <c r="E40" s="135">
        <v>7.5200000000000003E-2</v>
      </c>
      <c r="F40" s="134">
        <v>96.97</v>
      </c>
      <c r="G40" s="135">
        <v>7.85E-2</v>
      </c>
      <c r="H40" s="134">
        <v>101.46000000000001</v>
      </c>
      <c r="I40" s="135">
        <v>8.1000000000000003E-2</v>
      </c>
    </row>
    <row r="41" spans="1:9" x14ac:dyDescent="0.35">
      <c r="A41" s="133">
        <v>42787</v>
      </c>
      <c r="B41" s="134">
        <v>99.070000000000007</v>
      </c>
      <c r="C41" s="135">
        <v>7.22E-2</v>
      </c>
      <c r="D41" s="134">
        <v>96.210000000000008</v>
      </c>
      <c r="E41" s="135">
        <v>7.5400000000000009E-2</v>
      </c>
      <c r="F41" s="134">
        <v>96.97</v>
      </c>
      <c r="G41" s="135">
        <v>7.85E-2</v>
      </c>
      <c r="H41" s="134">
        <v>101.36</v>
      </c>
      <c r="I41" s="135">
        <v>8.1100000000000005E-2</v>
      </c>
    </row>
    <row r="42" spans="1:9" x14ac:dyDescent="0.35">
      <c r="A42" s="133">
        <v>42788</v>
      </c>
      <c r="B42" s="134">
        <v>98.960000000000008</v>
      </c>
      <c r="C42" s="135">
        <v>7.2400000000000006E-2</v>
      </c>
      <c r="D42" s="134">
        <v>96.070000000000007</v>
      </c>
      <c r="E42" s="135">
        <v>7.5600000000000001E-2</v>
      </c>
      <c r="F42" s="134">
        <v>96.910000000000011</v>
      </c>
      <c r="G42" s="135">
        <v>7.85E-2</v>
      </c>
      <c r="H42" s="134">
        <v>101.16000000000001</v>
      </c>
      <c r="I42" s="135">
        <v>8.1299999999999997E-2</v>
      </c>
    </row>
    <row r="43" spans="1:9" x14ac:dyDescent="0.35">
      <c r="A43" s="133">
        <v>42789</v>
      </c>
      <c r="B43" s="134">
        <v>99.02000000000001</v>
      </c>
      <c r="C43" s="135">
        <v>7.2300000000000003E-2</v>
      </c>
      <c r="D43" s="134">
        <v>96.22</v>
      </c>
      <c r="E43" s="135">
        <v>7.5400000000000009E-2</v>
      </c>
      <c r="F43" s="134">
        <v>96.960000000000008</v>
      </c>
      <c r="G43" s="135">
        <v>7.85E-2</v>
      </c>
      <c r="H43" s="134">
        <v>101.46000000000001</v>
      </c>
      <c r="I43" s="135">
        <v>8.1000000000000003E-2</v>
      </c>
    </row>
    <row r="44" spans="1:9" x14ac:dyDescent="0.35">
      <c r="A44" s="133">
        <v>42790</v>
      </c>
      <c r="B44" s="134">
        <v>99.04</v>
      </c>
      <c r="C44" s="135">
        <v>7.2300000000000003E-2</v>
      </c>
      <c r="D44" s="134">
        <v>96.26</v>
      </c>
      <c r="E44" s="135">
        <v>7.5300000000000006E-2</v>
      </c>
      <c r="F44" s="134">
        <v>97.03</v>
      </c>
      <c r="G44" s="135">
        <v>7.8399999999999997E-2</v>
      </c>
      <c r="H44" s="134">
        <v>101.56</v>
      </c>
      <c r="I44" s="135">
        <v>8.09E-2</v>
      </c>
    </row>
    <row r="45" spans="1:9" x14ac:dyDescent="0.35">
      <c r="A45" s="136">
        <v>42793</v>
      </c>
      <c r="B45" s="137">
        <v>99.100000000000009</v>
      </c>
      <c r="C45" s="138">
        <v>7.2099999999999997E-2</v>
      </c>
      <c r="D45" s="137">
        <v>96.61</v>
      </c>
      <c r="E45" s="138">
        <v>7.4800000000000005E-2</v>
      </c>
      <c r="F45" s="137">
        <v>97.070000000000007</v>
      </c>
      <c r="G45" s="138">
        <v>7.8300000000000008E-2</v>
      </c>
      <c r="H45" s="137">
        <v>101.60000000000001</v>
      </c>
      <c r="I45" s="138">
        <v>8.09E-2</v>
      </c>
    </row>
    <row r="46" spans="1:9" x14ac:dyDescent="0.35">
      <c r="A46" s="136">
        <v>42794</v>
      </c>
      <c r="B46" s="137">
        <v>98.9</v>
      </c>
      <c r="C46" s="138">
        <v>7.2599999999999998E-2</v>
      </c>
      <c r="D46" s="137">
        <v>96.31</v>
      </c>
      <c r="E46" s="138">
        <v>7.5300000000000006E-2</v>
      </c>
      <c r="F46" s="137">
        <v>97</v>
      </c>
      <c r="G46" s="138">
        <v>7.8399999999999997E-2</v>
      </c>
      <c r="H46" s="137">
        <v>101.44000000000001</v>
      </c>
      <c r="I46" s="138">
        <v>8.1000000000000003E-2</v>
      </c>
    </row>
    <row r="47" spans="1:9" x14ac:dyDescent="0.35">
      <c r="A47" s="136">
        <v>42795</v>
      </c>
      <c r="B47" s="137">
        <v>98.93</v>
      </c>
      <c r="C47" s="138">
        <v>7.2500000000000009E-2</v>
      </c>
      <c r="D47" s="137">
        <v>96.320000000000007</v>
      </c>
      <c r="E47" s="138">
        <v>7.5300000000000006E-2</v>
      </c>
      <c r="F47" s="137">
        <v>97.02000000000001</v>
      </c>
      <c r="G47" s="138">
        <v>7.8399999999999997E-2</v>
      </c>
      <c r="H47" s="137">
        <v>101.65</v>
      </c>
      <c r="I47" s="138">
        <v>8.0799999999999997E-2</v>
      </c>
    </row>
    <row r="48" spans="1:9" x14ac:dyDescent="0.35">
      <c r="A48" s="136">
        <v>42796</v>
      </c>
      <c r="B48" s="137">
        <v>98.97</v>
      </c>
      <c r="C48" s="138">
        <v>7.2400000000000006E-2</v>
      </c>
      <c r="D48" s="137">
        <v>96.29</v>
      </c>
      <c r="E48" s="138">
        <v>7.5300000000000006E-2</v>
      </c>
      <c r="F48" s="137">
        <v>97.09</v>
      </c>
      <c r="G48" s="138">
        <v>7.8300000000000008E-2</v>
      </c>
      <c r="H48" s="137">
        <v>101.62</v>
      </c>
      <c r="I48" s="138">
        <v>8.09E-2</v>
      </c>
    </row>
    <row r="49" spans="1:9" x14ac:dyDescent="0.35">
      <c r="A49" s="136">
        <v>42797</v>
      </c>
      <c r="B49" s="137">
        <v>98.990000000000009</v>
      </c>
      <c r="C49" s="138">
        <v>7.2400000000000006E-2</v>
      </c>
      <c r="D49" s="137">
        <v>96.64</v>
      </c>
      <c r="E49" s="138">
        <v>7.4800000000000005E-2</v>
      </c>
      <c r="F49" s="137">
        <v>97.33</v>
      </c>
      <c r="G49" s="138">
        <v>7.8E-2</v>
      </c>
      <c r="H49" s="137">
        <v>101.91000000000001</v>
      </c>
      <c r="I49" s="138">
        <v>8.0600000000000005E-2</v>
      </c>
    </row>
    <row r="50" spans="1:9" x14ac:dyDescent="0.35">
      <c r="A50" s="133">
        <v>42800</v>
      </c>
      <c r="B50" s="134">
        <v>99.04</v>
      </c>
      <c r="C50" s="135">
        <v>7.2300000000000003E-2</v>
      </c>
      <c r="D50" s="134">
        <v>96.51</v>
      </c>
      <c r="E50" s="135">
        <v>7.4999999999999997E-2</v>
      </c>
      <c r="F50" s="134">
        <v>97.25</v>
      </c>
      <c r="G50" s="135">
        <v>7.8100000000000003E-2</v>
      </c>
      <c r="H50" s="134">
        <v>101.79</v>
      </c>
      <c r="I50" s="135">
        <v>8.0700000000000008E-2</v>
      </c>
    </row>
    <row r="51" spans="1:9" x14ac:dyDescent="0.35">
      <c r="A51" s="133">
        <v>42801</v>
      </c>
      <c r="B51" s="134">
        <v>99.100000000000009</v>
      </c>
      <c r="C51" s="135">
        <v>7.2099999999999997E-2</v>
      </c>
      <c r="D51" s="134">
        <v>96.88000000000001</v>
      </c>
      <c r="E51" s="135">
        <v>7.4499999999999997E-2</v>
      </c>
      <c r="F51" s="134">
        <v>97.47</v>
      </c>
      <c r="G51" s="135">
        <v>7.7899999999999997E-2</v>
      </c>
      <c r="H51" s="134">
        <v>102.23</v>
      </c>
      <c r="I51" s="135">
        <v>8.0200000000000007E-2</v>
      </c>
    </row>
    <row r="52" spans="1:9" x14ac:dyDescent="0.35">
      <c r="A52" s="133">
        <v>42802</v>
      </c>
      <c r="B52" s="134">
        <v>99.27000000000001</v>
      </c>
      <c r="C52" s="135">
        <v>7.17E-2</v>
      </c>
      <c r="D52" s="134">
        <v>97.34</v>
      </c>
      <c r="E52" s="135">
        <v>7.3800000000000004E-2</v>
      </c>
      <c r="F52" s="134">
        <v>97.740000000000009</v>
      </c>
      <c r="G52" s="135">
        <v>7.7600000000000002E-2</v>
      </c>
      <c r="H52" s="134">
        <v>102.81</v>
      </c>
      <c r="I52" s="135">
        <v>7.9600000000000004E-2</v>
      </c>
    </row>
    <row r="53" spans="1:9" x14ac:dyDescent="0.35">
      <c r="A53" s="133">
        <v>42803</v>
      </c>
      <c r="B53" s="134">
        <v>99.25</v>
      </c>
      <c r="C53" s="135">
        <v>7.1800000000000003E-2</v>
      </c>
      <c r="D53" s="134">
        <v>97.11</v>
      </c>
      <c r="E53" s="135">
        <v>7.4099999999999999E-2</v>
      </c>
      <c r="F53" s="134">
        <v>98.56</v>
      </c>
      <c r="G53" s="135">
        <v>7.6600000000000001E-2</v>
      </c>
      <c r="H53" s="134">
        <v>102.82000000000001</v>
      </c>
      <c r="I53" s="135">
        <v>7.9600000000000004E-2</v>
      </c>
    </row>
    <row r="54" spans="1:9" x14ac:dyDescent="0.35">
      <c r="A54" s="133">
        <v>42804</v>
      </c>
      <c r="B54" s="134">
        <v>98.73</v>
      </c>
      <c r="C54" s="135">
        <v>7.3000000000000009E-2</v>
      </c>
      <c r="D54" s="134">
        <v>96.18</v>
      </c>
      <c r="E54" s="135">
        <v>7.5499999999999998E-2</v>
      </c>
      <c r="F54" s="134">
        <v>97.72</v>
      </c>
      <c r="G54" s="135">
        <v>7.7600000000000002E-2</v>
      </c>
      <c r="H54" s="134">
        <v>101.99000000000001</v>
      </c>
      <c r="I54" s="135">
        <v>8.0500000000000002E-2</v>
      </c>
    </row>
    <row r="55" spans="1:9" x14ac:dyDescent="0.35">
      <c r="A55" s="136">
        <v>42807</v>
      </c>
      <c r="B55" s="137">
        <v>98.940000000000012</v>
      </c>
      <c r="C55" s="138">
        <v>7.2500000000000009E-2</v>
      </c>
      <c r="D55" s="137">
        <v>96.76</v>
      </c>
      <c r="E55" s="138">
        <v>7.46E-2</v>
      </c>
      <c r="F55" s="137">
        <v>97.79</v>
      </c>
      <c r="G55" s="138">
        <v>7.7499999999999999E-2</v>
      </c>
      <c r="H55" s="137">
        <v>102.48</v>
      </c>
      <c r="I55" s="138">
        <v>0.08</v>
      </c>
    </row>
    <row r="56" spans="1:9" x14ac:dyDescent="0.35">
      <c r="A56" s="136">
        <v>42808</v>
      </c>
      <c r="B56" s="137">
        <v>99.01</v>
      </c>
      <c r="C56" s="138">
        <v>7.2300000000000003E-2</v>
      </c>
      <c r="D56" s="137">
        <v>96.960000000000008</v>
      </c>
      <c r="E56" s="138">
        <v>7.4300000000000005E-2</v>
      </c>
      <c r="F56" s="137">
        <v>97.81</v>
      </c>
      <c r="G56" s="138">
        <v>7.7499999999999999E-2</v>
      </c>
      <c r="H56" s="137">
        <v>102.29</v>
      </c>
      <c r="I56" s="138">
        <v>8.0200000000000007E-2</v>
      </c>
    </row>
    <row r="57" spans="1:9" x14ac:dyDescent="0.35">
      <c r="A57" s="136">
        <v>42809</v>
      </c>
      <c r="B57" s="137">
        <v>99.490000000000009</v>
      </c>
      <c r="C57" s="138">
        <v>7.1199999999999999E-2</v>
      </c>
      <c r="D57" s="137">
        <v>97.54</v>
      </c>
      <c r="E57" s="138">
        <v>7.350000000000001E-2</v>
      </c>
      <c r="F57" s="137">
        <v>98.28</v>
      </c>
      <c r="G57" s="138">
        <v>7.6999999999999999E-2</v>
      </c>
      <c r="H57" s="137">
        <v>102.75</v>
      </c>
      <c r="I57" s="138">
        <v>7.9700000000000007E-2</v>
      </c>
    </row>
    <row r="58" spans="1:9" x14ac:dyDescent="0.35">
      <c r="A58" s="136">
        <v>42810</v>
      </c>
      <c r="B58" s="137">
        <v>100.01</v>
      </c>
      <c r="C58" s="138">
        <v>7.0000000000000007E-2</v>
      </c>
      <c r="D58" s="137">
        <v>98.53</v>
      </c>
      <c r="E58" s="138">
        <v>7.2099999999999997E-2</v>
      </c>
      <c r="F58" s="137">
        <v>99.17</v>
      </c>
      <c r="G58" s="138">
        <v>7.5999999999999998E-2</v>
      </c>
      <c r="H58" s="137">
        <v>104.02000000000001</v>
      </c>
      <c r="I58" s="138">
        <v>7.8399999999999997E-2</v>
      </c>
    </row>
    <row r="59" spans="1:9" x14ac:dyDescent="0.35">
      <c r="A59" s="136">
        <v>42811</v>
      </c>
      <c r="B59" s="137">
        <v>99.910000000000011</v>
      </c>
      <c r="C59" s="138">
        <v>7.0199999999999999E-2</v>
      </c>
      <c r="D59" s="137">
        <v>98.410000000000011</v>
      </c>
      <c r="E59" s="138">
        <v>7.2300000000000003E-2</v>
      </c>
      <c r="F59" s="137">
        <v>99.190000000000012</v>
      </c>
      <c r="G59" s="138">
        <v>7.5900000000000009E-2</v>
      </c>
      <c r="H59" s="137">
        <v>104.14</v>
      </c>
      <c r="I59" s="138">
        <v>7.8300000000000008E-2</v>
      </c>
    </row>
    <row r="60" spans="1:9" x14ac:dyDescent="0.35">
      <c r="A60" s="133">
        <v>42814</v>
      </c>
      <c r="B60" s="134">
        <v>100.02000000000001</v>
      </c>
      <c r="C60" s="135">
        <v>7.0000000000000007E-2</v>
      </c>
      <c r="D60" s="134">
        <v>98.68</v>
      </c>
      <c r="E60" s="135">
        <v>7.1900000000000006E-2</v>
      </c>
      <c r="F60" s="134">
        <v>99.320000000000007</v>
      </c>
      <c r="G60" s="135">
        <v>7.5800000000000006E-2</v>
      </c>
      <c r="H60" s="134">
        <v>104.39</v>
      </c>
      <c r="I60" s="135">
        <v>7.8100000000000003E-2</v>
      </c>
    </row>
    <row r="61" spans="1:9" x14ac:dyDescent="0.35">
      <c r="A61" s="133">
        <v>42815</v>
      </c>
      <c r="B61" s="134">
        <v>100.45</v>
      </c>
      <c r="C61" s="135">
        <v>6.9000000000000006E-2</v>
      </c>
      <c r="D61" s="134">
        <v>99.42</v>
      </c>
      <c r="E61" s="135">
        <v>7.0800000000000002E-2</v>
      </c>
      <c r="F61" s="134">
        <v>100.27000000000001</v>
      </c>
      <c r="G61" s="135">
        <v>7.4700000000000003E-2</v>
      </c>
      <c r="H61" s="134">
        <v>105.38000000000001</v>
      </c>
      <c r="I61" s="135">
        <v>7.7100000000000002E-2</v>
      </c>
    </row>
    <row r="62" spans="1:9" x14ac:dyDescent="0.35">
      <c r="A62" s="133">
        <v>42816</v>
      </c>
      <c r="B62" s="134">
        <v>100.44000000000001</v>
      </c>
      <c r="C62" s="135">
        <v>6.9000000000000006E-2</v>
      </c>
      <c r="D62" s="134">
        <v>99.28</v>
      </c>
      <c r="E62" s="135">
        <v>7.1000000000000008E-2</v>
      </c>
      <c r="F62" s="134">
        <v>100.08</v>
      </c>
      <c r="G62" s="135">
        <v>7.4900000000000008E-2</v>
      </c>
      <c r="H62" s="134">
        <v>104.89</v>
      </c>
      <c r="I62" s="135">
        <v>7.7600000000000002E-2</v>
      </c>
    </row>
    <row r="63" spans="1:9" x14ac:dyDescent="0.35">
      <c r="A63" s="133">
        <v>42817</v>
      </c>
      <c r="B63" s="134">
        <v>100.55000000000001</v>
      </c>
      <c r="C63" s="135">
        <v>6.8699999999999997E-2</v>
      </c>
      <c r="D63" s="134">
        <v>99.240000000000009</v>
      </c>
      <c r="E63" s="135">
        <v>7.1099999999999997E-2</v>
      </c>
      <c r="F63" s="134">
        <v>99.98</v>
      </c>
      <c r="G63" s="135">
        <v>7.51E-2</v>
      </c>
      <c r="H63" s="134">
        <v>104.74000000000001</v>
      </c>
      <c r="I63" s="135">
        <v>7.7700000000000005E-2</v>
      </c>
    </row>
    <row r="64" spans="1:9" x14ac:dyDescent="0.35">
      <c r="A64" s="133">
        <v>42818</v>
      </c>
      <c r="B64" s="134">
        <v>100.54</v>
      </c>
      <c r="C64" s="135">
        <v>6.88E-2</v>
      </c>
      <c r="D64" s="134">
        <v>99.31</v>
      </c>
      <c r="E64" s="135">
        <v>7.1000000000000008E-2</v>
      </c>
      <c r="F64" s="134">
        <v>99.83</v>
      </c>
      <c r="G64" s="135">
        <v>7.5200000000000003E-2</v>
      </c>
      <c r="H64" s="134">
        <v>104.9</v>
      </c>
      <c r="I64" s="135">
        <v>7.7600000000000002E-2</v>
      </c>
    </row>
    <row r="65" spans="1:9" x14ac:dyDescent="0.35">
      <c r="A65" s="136">
        <v>42821</v>
      </c>
      <c r="B65" s="137">
        <v>100.55000000000001</v>
      </c>
      <c r="C65" s="138">
        <v>6.8699999999999997E-2</v>
      </c>
      <c r="D65" s="137">
        <v>99.52000000000001</v>
      </c>
      <c r="E65" s="138">
        <v>7.0699999999999999E-2</v>
      </c>
      <c r="F65" s="137">
        <v>100.13000000000001</v>
      </c>
      <c r="G65" s="138">
        <v>7.4900000000000008E-2</v>
      </c>
      <c r="H65" s="137">
        <v>104.96000000000001</v>
      </c>
      <c r="I65" s="138">
        <v>7.7499999999999999E-2</v>
      </c>
    </row>
    <row r="66" spans="1:9" x14ac:dyDescent="0.35">
      <c r="A66" s="136">
        <v>42823</v>
      </c>
      <c r="B66" s="137">
        <v>100.56</v>
      </c>
      <c r="C66" s="138">
        <v>6.8699999999999997E-2</v>
      </c>
      <c r="D66" s="137">
        <v>99.53</v>
      </c>
      <c r="E66" s="138">
        <v>7.0699999999999999E-2</v>
      </c>
      <c r="F66" s="137">
        <v>100.27000000000001</v>
      </c>
      <c r="G66" s="138">
        <v>7.4700000000000003E-2</v>
      </c>
      <c r="H66" s="137">
        <v>105.03</v>
      </c>
      <c r="I66" s="138">
        <v>7.7499999999999999E-2</v>
      </c>
    </row>
    <row r="67" spans="1:9" x14ac:dyDescent="0.35">
      <c r="A67" s="136">
        <v>42824</v>
      </c>
      <c r="B67" s="137">
        <v>100.74000000000001</v>
      </c>
      <c r="C67" s="138">
        <v>6.83E-2</v>
      </c>
      <c r="D67" s="137">
        <v>99.960000000000008</v>
      </c>
      <c r="E67" s="138">
        <v>7.010000000000001E-2</v>
      </c>
      <c r="F67" s="137">
        <v>100.77000000000001</v>
      </c>
      <c r="G67" s="138">
        <v>7.4200000000000002E-2</v>
      </c>
      <c r="H67" s="137">
        <v>105.87</v>
      </c>
      <c r="I67" s="138">
        <v>7.6600000000000001E-2</v>
      </c>
    </row>
    <row r="68" spans="1:9" x14ac:dyDescent="0.35">
      <c r="A68" s="136">
        <v>42825</v>
      </c>
      <c r="B68" s="137">
        <v>100.92</v>
      </c>
      <c r="C68" s="138">
        <v>6.7900000000000002E-2</v>
      </c>
      <c r="D68" s="137">
        <v>99.92</v>
      </c>
      <c r="E68" s="138">
        <v>7.010000000000001E-2</v>
      </c>
      <c r="F68" s="137">
        <v>101.26</v>
      </c>
      <c r="G68" s="138">
        <v>7.3700000000000002E-2</v>
      </c>
      <c r="H68" s="137">
        <v>105.94000000000001</v>
      </c>
      <c r="I68" s="138">
        <v>7.6600000000000001E-2</v>
      </c>
    </row>
    <row r="69" spans="1:9" x14ac:dyDescent="0.35">
      <c r="A69" s="133">
        <v>42828</v>
      </c>
      <c r="B69" s="134">
        <v>100.96000000000001</v>
      </c>
      <c r="C69" s="135">
        <v>6.7799999999999999E-2</v>
      </c>
      <c r="D69" s="134">
        <v>99.940000000000012</v>
      </c>
      <c r="E69" s="135">
        <v>7.010000000000001E-2</v>
      </c>
      <c r="F69" s="134">
        <v>100.99000000000001</v>
      </c>
      <c r="G69" s="135">
        <v>7.3900000000000007E-2</v>
      </c>
      <c r="H69" s="134">
        <v>105.96000000000001</v>
      </c>
      <c r="I69" s="135">
        <v>7.6600000000000001E-2</v>
      </c>
    </row>
    <row r="70" spans="1:9" x14ac:dyDescent="0.35">
      <c r="A70" s="133">
        <v>42829</v>
      </c>
      <c r="B70" s="134">
        <v>101.11</v>
      </c>
      <c r="C70" s="135">
        <v>6.7400000000000002E-2</v>
      </c>
      <c r="D70" s="134">
        <v>99.990000000000009</v>
      </c>
      <c r="E70" s="135">
        <v>7.0000000000000007E-2</v>
      </c>
      <c r="F70" s="134">
        <v>101.07000000000001</v>
      </c>
      <c r="G70" s="135">
        <v>7.3900000000000007E-2</v>
      </c>
      <c r="H70" s="134">
        <v>106.11</v>
      </c>
      <c r="I70" s="135">
        <v>7.640000000000001E-2</v>
      </c>
    </row>
    <row r="71" spans="1:9" x14ac:dyDescent="0.35">
      <c r="A71" s="133">
        <v>42830</v>
      </c>
      <c r="B71" s="134">
        <v>101.13000000000001</v>
      </c>
      <c r="C71" s="135">
        <v>6.7400000000000002E-2</v>
      </c>
      <c r="D71" s="134">
        <v>99.88000000000001</v>
      </c>
      <c r="E71" s="135">
        <v>7.0199999999999999E-2</v>
      </c>
      <c r="F71" s="134">
        <v>101.18</v>
      </c>
      <c r="G71" s="135">
        <v>7.3700000000000002E-2</v>
      </c>
      <c r="H71" s="134">
        <v>106.25</v>
      </c>
      <c r="I71" s="135">
        <v>7.6300000000000007E-2</v>
      </c>
    </row>
    <row r="72" spans="1:9" x14ac:dyDescent="0.35">
      <c r="A72" s="133">
        <v>42831</v>
      </c>
      <c r="B72" s="134">
        <v>101.06</v>
      </c>
      <c r="C72" s="135">
        <v>6.7500000000000004E-2</v>
      </c>
      <c r="D72" s="134">
        <v>99.87</v>
      </c>
      <c r="E72" s="135">
        <v>7.0199999999999999E-2</v>
      </c>
      <c r="F72" s="134">
        <v>101.15</v>
      </c>
      <c r="G72" s="135">
        <v>7.3800000000000004E-2</v>
      </c>
      <c r="H72" s="134">
        <v>106.36</v>
      </c>
      <c r="I72" s="135">
        <v>7.6200000000000004E-2</v>
      </c>
    </row>
    <row r="73" spans="1:9" x14ac:dyDescent="0.35">
      <c r="A73" s="133">
        <v>42832</v>
      </c>
      <c r="B73" s="134">
        <v>100.54</v>
      </c>
      <c r="C73" s="135">
        <v>6.88E-2</v>
      </c>
      <c r="D73" s="134">
        <v>99.29</v>
      </c>
      <c r="E73" s="135">
        <v>7.1000000000000008E-2</v>
      </c>
      <c r="F73" s="134">
        <v>100.29</v>
      </c>
      <c r="G73" s="135">
        <v>7.4700000000000003E-2</v>
      </c>
      <c r="H73" s="134">
        <v>105.27000000000001</v>
      </c>
      <c r="I73" s="135">
        <v>7.7200000000000005E-2</v>
      </c>
    </row>
    <row r="74" spans="1:9" x14ac:dyDescent="0.35">
      <c r="A74" s="136">
        <v>42835</v>
      </c>
      <c r="B74" s="137">
        <v>100.55000000000001</v>
      </c>
      <c r="C74" s="138">
        <v>6.8699999999999997E-2</v>
      </c>
      <c r="D74" s="137">
        <v>99.240000000000009</v>
      </c>
      <c r="E74" s="138">
        <v>7.1099999999999997E-2</v>
      </c>
      <c r="F74" s="137">
        <v>100.53</v>
      </c>
      <c r="G74" s="138">
        <v>7.4400000000000008E-2</v>
      </c>
      <c r="H74" s="137">
        <v>104.98</v>
      </c>
      <c r="I74" s="138">
        <v>7.7499999999999999E-2</v>
      </c>
    </row>
    <row r="75" spans="1:9" x14ac:dyDescent="0.35">
      <c r="A75" s="136">
        <v>42836</v>
      </c>
      <c r="B75" s="137">
        <v>100.77000000000001</v>
      </c>
      <c r="C75" s="138">
        <v>6.8199999999999997E-2</v>
      </c>
      <c r="D75" s="137">
        <v>99.410000000000011</v>
      </c>
      <c r="E75" s="138">
        <v>7.0900000000000005E-2</v>
      </c>
      <c r="F75" s="137">
        <v>100.51</v>
      </c>
      <c r="G75" s="138">
        <v>7.4499999999999997E-2</v>
      </c>
      <c r="H75" s="137">
        <v>105.64</v>
      </c>
      <c r="I75" s="138">
        <v>7.6899999999999996E-2</v>
      </c>
    </row>
    <row r="76" spans="1:9" x14ac:dyDescent="0.35">
      <c r="A76" s="136">
        <v>42837</v>
      </c>
      <c r="B76" s="137">
        <v>101.12</v>
      </c>
      <c r="C76" s="138">
        <v>6.7400000000000002E-2</v>
      </c>
      <c r="D76" s="137">
        <v>99.65</v>
      </c>
      <c r="E76" s="138">
        <v>7.0500000000000007E-2</v>
      </c>
      <c r="F76" s="137">
        <v>100.71000000000001</v>
      </c>
      <c r="G76" s="138">
        <v>7.4300000000000005E-2</v>
      </c>
      <c r="H76" s="137">
        <v>105.97</v>
      </c>
      <c r="I76" s="138">
        <v>7.6499999999999999E-2</v>
      </c>
    </row>
    <row r="77" spans="1:9" x14ac:dyDescent="0.35">
      <c r="A77" s="136">
        <v>42838</v>
      </c>
      <c r="B77" s="137">
        <v>101.33</v>
      </c>
      <c r="C77" s="138">
        <v>6.7000000000000004E-2</v>
      </c>
      <c r="D77" s="137">
        <v>99.83</v>
      </c>
      <c r="E77" s="138">
        <v>7.0300000000000001E-2</v>
      </c>
      <c r="F77" s="137">
        <v>100.9</v>
      </c>
      <c r="G77" s="138">
        <v>7.4099999999999999E-2</v>
      </c>
      <c r="H77" s="137">
        <v>105.95</v>
      </c>
      <c r="I77" s="138">
        <v>7.6600000000000001E-2</v>
      </c>
    </row>
    <row r="78" spans="1:9" x14ac:dyDescent="0.35">
      <c r="A78" s="133">
        <v>42842</v>
      </c>
      <c r="B78" s="134">
        <v>101.41</v>
      </c>
      <c r="C78" s="135">
        <v>6.6799999999999998E-2</v>
      </c>
      <c r="D78" s="134">
        <v>99.92</v>
      </c>
      <c r="E78" s="135">
        <v>7.010000000000001E-2</v>
      </c>
      <c r="F78" s="134">
        <v>100.92</v>
      </c>
      <c r="G78" s="135">
        <v>7.3999999999999996E-2</v>
      </c>
      <c r="H78" s="134">
        <v>105.97</v>
      </c>
      <c r="I78" s="135">
        <v>7.6600000000000001E-2</v>
      </c>
    </row>
    <row r="79" spans="1:9" x14ac:dyDescent="0.35">
      <c r="A79" s="133">
        <v>42843</v>
      </c>
      <c r="B79" s="134">
        <v>101.36</v>
      </c>
      <c r="C79" s="135">
        <v>6.6900000000000001E-2</v>
      </c>
      <c r="D79" s="134">
        <v>99.81</v>
      </c>
      <c r="E79" s="135">
        <v>7.0300000000000001E-2</v>
      </c>
      <c r="F79" s="134">
        <v>100.83</v>
      </c>
      <c r="G79" s="135">
        <v>7.4099999999999999E-2</v>
      </c>
      <c r="H79" s="134">
        <v>105.82</v>
      </c>
      <c r="I79" s="135">
        <v>7.6700000000000004E-2</v>
      </c>
    </row>
    <row r="80" spans="1:9" x14ac:dyDescent="0.35">
      <c r="A80" s="133">
        <v>42845</v>
      </c>
      <c r="B80" s="134">
        <v>101.3</v>
      </c>
      <c r="C80" s="135">
        <v>6.7000000000000004E-2</v>
      </c>
      <c r="D80" s="134">
        <v>99.5</v>
      </c>
      <c r="E80" s="135">
        <v>7.0699999999999999E-2</v>
      </c>
      <c r="F80" s="134">
        <v>100.48</v>
      </c>
      <c r="G80" s="135">
        <v>7.4499999999999997E-2</v>
      </c>
      <c r="H80" s="134">
        <v>105.31</v>
      </c>
      <c r="I80" s="135">
        <v>7.7200000000000005E-2</v>
      </c>
    </row>
    <row r="81" spans="1:9" x14ac:dyDescent="0.35">
      <c r="A81" s="133">
        <v>42846</v>
      </c>
      <c r="B81" s="134">
        <v>101.19</v>
      </c>
      <c r="C81" s="135">
        <v>6.7299999999999999E-2</v>
      </c>
      <c r="D81" s="134">
        <v>99.42</v>
      </c>
      <c r="E81" s="135">
        <v>7.0800000000000002E-2</v>
      </c>
      <c r="F81" s="134">
        <v>100.3</v>
      </c>
      <c r="G81" s="135">
        <v>7.4700000000000003E-2</v>
      </c>
      <c r="H81" s="134">
        <v>105.05</v>
      </c>
      <c r="I81" s="135">
        <v>7.7399999999999997E-2</v>
      </c>
    </row>
    <row r="82" spans="1:9" x14ac:dyDescent="0.35">
      <c r="A82" s="136">
        <v>42850</v>
      </c>
      <c r="B82" s="137">
        <v>101.31</v>
      </c>
      <c r="C82" s="138">
        <v>6.7000000000000004E-2</v>
      </c>
      <c r="D82" s="137">
        <v>99.38</v>
      </c>
      <c r="E82" s="138">
        <v>7.0900000000000005E-2</v>
      </c>
      <c r="F82" s="137">
        <v>100.44</v>
      </c>
      <c r="G82" s="138">
        <v>7.46E-2</v>
      </c>
      <c r="H82" s="137">
        <v>105.15</v>
      </c>
      <c r="I82" s="138">
        <v>7.7300000000000008E-2</v>
      </c>
    </row>
    <row r="83" spans="1:9" x14ac:dyDescent="0.35">
      <c r="A83" s="136">
        <v>42851</v>
      </c>
      <c r="B83" s="137">
        <v>101.48</v>
      </c>
      <c r="C83" s="138">
        <v>6.6600000000000006E-2</v>
      </c>
      <c r="D83" s="137">
        <v>99.82</v>
      </c>
      <c r="E83" s="138">
        <v>7.0300000000000001E-2</v>
      </c>
      <c r="F83" s="137">
        <v>100.64</v>
      </c>
      <c r="G83" s="138">
        <v>7.4300000000000005E-2</v>
      </c>
      <c r="H83" s="137">
        <v>105.53</v>
      </c>
      <c r="I83" s="138">
        <v>7.6999999999999999E-2</v>
      </c>
    </row>
    <row r="84" spans="1:9" x14ac:dyDescent="0.35">
      <c r="A84" s="136">
        <v>42852</v>
      </c>
      <c r="B84" s="137">
        <v>101.56</v>
      </c>
      <c r="C84" s="138">
        <v>6.6400000000000001E-2</v>
      </c>
      <c r="D84" s="137">
        <v>99.89</v>
      </c>
      <c r="E84" s="138">
        <v>7.0199999999999999E-2</v>
      </c>
      <c r="F84" s="137">
        <v>100.64</v>
      </c>
      <c r="G84" s="138">
        <v>7.4300000000000005E-2</v>
      </c>
      <c r="H84" s="137">
        <v>105.58</v>
      </c>
      <c r="I84" s="138">
        <v>7.6899999999999996E-2</v>
      </c>
    </row>
    <row r="85" spans="1:9" x14ac:dyDescent="0.35">
      <c r="A85" s="136">
        <v>42853</v>
      </c>
      <c r="B85" s="137">
        <v>101.58</v>
      </c>
      <c r="C85" s="138">
        <v>6.6400000000000001E-2</v>
      </c>
      <c r="D85" s="137">
        <v>99.97</v>
      </c>
      <c r="E85" s="138">
        <v>7.010000000000001E-2</v>
      </c>
      <c r="F85" s="137">
        <v>100.7</v>
      </c>
      <c r="G85" s="138">
        <v>7.4300000000000005E-2</v>
      </c>
      <c r="H85" s="137">
        <v>105.64</v>
      </c>
      <c r="I85" s="138">
        <v>7.6899999999999996E-2</v>
      </c>
    </row>
    <row r="86" spans="1:9" x14ac:dyDescent="0.35">
      <c r="A86" s="133">
        <v>42857</v>
      </c>
      <c r="B86" s="134">
        <v>101.58</v>
      </c>
      <c r="C86" s="135">
        <v>6.6299999999999998E-2</v>
      </c>
      <c r="D86" s="134">
        <v>99.940000000000012</v>
      </c>
      <c r="E86" s="135">
        <v>7.010000000000001E-2</v>
      </c>
      <c r="F86" s="134">
        <v>100.65</v>
      </c>
      <c r="G86" s="135">
        <v>7.4300000000000005E-2</v>
      </c>
      <c r="H86" s="134">
        <v>105.48</v>
      </c>
      <c r="I86" s="135">
        <v>7.6999999999999999E-2</v>
      </c>
    </row>
    <row r="87" spans="1:9" x14ac:dyDescent="0.35">
      <c r="A87" s="133">
        <v>42858</v>
      </c>
      <c r="B87" s="134">
        <v>101.57000000000001</v>
      </c>
      <c r="C87" s="135">
        <v>6.6299999999999998E-2</v>
      </c>
      <c r="D87" s="134">
        <v>100</v>
      </c>
      <c r="E87" s="135">
        <v>7.0000000000000007E-2</v>
      </c>
      <c r="F87" s="134">
        <v>100.79</v>
      </c>
      <c r="G87" s="135">
        <v>7.4200000000000002E-2</v>
      </c>
      <c r="H87" s="134">
        <v>105.54</v>
      </c>
      <c r="I87" s="135">
        <v>7.6999999999999999E-2</v>
      </c>
    </row>
    <row r="88" spans="1:9" x14ac:dyDescent="0.35">
      <c r="A88" s="133">
        <v>42859</v>
      </c>
      <c r="B88" s="134">
        <v>101.54</v>
      </c>
      <c r="C88" s="135">
        <v>6.6400000000000001E-2</v>
      </c>
      <c r="D88" s="134">
        <v>99.9</v>
      </c>
      <c r="E88" s="135">
        <v>7.0199999999999999E-2</v>
      </c>
      <c r="F88" s="134">
        <v>100.62</v>
      </c>
      <c r="G88" s="135">
        <v>7.4300000000000005E-2</v>
      </c>
      <c r="H88" s="134">
        <v>105.41000000000001</v>
      </c>
      <c r="I88" s="135">
        <v>7.7100000000000002E-2</v>
      </c>
    </row>
    <row r="89" spans="1:9" x14ac:dyDescent="0.35">
      <c r="A89" s="133">
        <v>42860</v>
      </c>
      <c r="B89" s="134">
        <v>101.41000000000001</v>
      </c>
      <c r="C89" s="135">
        <v>6.6700000000000009E-2</v>
      </c>
      <c r="D89" s="134">
        <v>99.72</v>
      </c>
      <c r="E89" s="135">
        <v>7.0400000000000004E-2</v>
      </c>
      <c r="F89" s="134">
        <v>100.45</v>
      </c>
      <c r="G89" s="135">
        <v>7.4499999999999997E-2</v>
      </c>
      <c r="H89" s="134">
        <v>104.82000000000001</v>
      </c>
      <c r="I89" s="135">
        <v>7.7700000000000005E-2</v>
      </c>
    </row>
    <row r="90" spans="1:9" x14ac:dyDescent="0.35">
      <c r="A90" s="136">
        <v>42863</v>
      </c>
      <c r="B90" s="137">
        <v>101.34</v>
      </c>
      <c r="C90" s="138">
        <v>6.6900000000000001E-2</v>
      </c>
      <c r="D90" s="137">
        <v>99.690000000000012</v>
      </c>
      <c r="E90" s="138">
        <v>7.0500000000000007E-2</v>
      </c>
      <c r="F90" s="137">
        <v>100.14</v>
      </c>
      <c r="G90" s="138">
        <v>7.4900000000000008E-2</v>
      </c>
      <c r="H90" s="137">
        <v>104.68</v>
      </c>
      <c r="I90" s="138">
        <v>7.7800000000000008E-2</v>
      </c>
    </row>
    <row r="91" spans="1:9" x14ac:dyDescent="0.35">
      <c r="A91" s="136">
        <v>42864</v>
      </c>
      <c r="B91" s="137">
        <v>101.32000000000001</v>
      </c>
      <c r="C91" s="138">
        <v>6.6900000000000001E-2</v>
      </c>
      <c r="D91" s="137">
        <v>99.660000000000011</v>
      </c>
      <c r="E91" s="138">
        <v>7.0500000000000007E-2</v>
      </c>
      <c r="F91" s="137">
        <v>100.05000000000001</v>
      </c>
      <c r="G91" s="138">
        <v>7.4999999999999997E-2</v>
      </c>
      <c r="H91" s="137">
        <v>104.61</v>
      </c>
      <c r="I91" s="138">
        <v>7.7899999999999997E-2</v>
      </c>
    </row>
    <row r="92" spans="1:9" x14ac:dyDescent="0.35">
      <c r="A92" s="136">
        <v>42865</v>
      </c>
      <c r="B92" s="137">
        <v>101.06</v>
      </c>
      <c r="C92" s="138">
        <v>6.7500000000000004E-2</v>
      </c>
      <c r="D92" s="137">
        <v>99.29</v>
      </c>
      <c r="E92" s="138">
        <v>7.1099999999999997E-2</v>
      </c>
      <c r="F92" s="137">
        <v>99.7</v>
      </c>
      <c r="G92" s="138">
        <v>7.5400000000000009E-2</v>
      </c>
      <c r="H92" s="137">
        <v>104.17</v>
      </c>
      <c r="I92" s="138">
        <v>7.8300000000000008E-2</v>
      </c>
    </row>
    <row r="93" spans="1:9" x14ac:dyDescent="0.35">
      <c r="A93" s="136">
        <v>42867</v>
      </c>
      <c r="B93" s="137">
        <v>100.67</v>
      </c>
      <c r="C93" s="138">
        <v>6.8400000000000002E-2</v>
      </c>
      <c r="D93" s="137">
        <v>98.940000000000012</v>
      </c>
      <c r="E93" s="138">
        <v>7.1599999999999997E-2</v>
      </c>
      <c r="F93" s="137">
        <v>98.5</v>
      </c>
      <c r="G93" s="138">
        <v>7.6700000000000004E-2</v>
      </c>
      <c r="H93" s="137">
        <v>103.45</v>
      </c>
      <c r="I93" s="138">
        <v>7.9000000000000001E-2</v>
      </c>
    </row>
    <row r="94" spans="1:9" x14ac:dyDescent="0.35">
      <c r="A94" s="140">
        <v>42870</v>
      </c>
      <c r="B94" s="141"/>
      <c r="C94" s="142"/>
      <c r="D94" s="141"/>
      <c r="E94" s="142"/>
      <c r="F94" s="141"/>
      <c r="G94" s="142"/>
      <c r="H94" s="141"/>
      <c r="I94" s="142"/>
    </row>
    <row r="95" spans="1:9" x14ac:dyDescent="0.35">
      <c r="A95" s="133">
        <v>42871</v>
      </c>
      <c r="B95" s="134">
        <v>101.23</v>
      </c>
      <c r="C95" s="135">
        <v>6.7100000000000007E-2</v>
      </c>
      <c r="D95" s="134">
        <v>99.990000000000009</v>
      </c>
      <c r="E95" s="135">
        <v>7.010000000000001E-2</v>
      </c>
      <c r="F95" s="134">
        <v>99.97</v>
      </c>
      <c r="G95" s="135">
        <v>7.51E-2</v>
      </c>
      <c r="H95" s="134">
        <v>105</v>
      </c>
      <c r="I95" s="135">
        <v>7.7499999999999999E-2</v>
      </c>
    </row>
    <row r="96" spans="1:9" x14ac:dyDescent="0.35">
      <c r="A96" s="133">
        <v>42872</v>
      </c>
      <c r="B96" s="134">
        <v>101.22</v>
      </c>
      <c r="C96" s="135">
        <v>6.7100000000000007E-2</v>
      </c>
      <c r="D96" s="134">
        <v>99.97</v>
      </c>
      <c r="E96" s="135">
        <v>7.010000000000001E-2</v>
      </c>
      <c r="F96" s="134">
        <v>100.07000000000001</v>
      </c>
      <c r="G96" s="135">
        <v>7.4999999999999997E-2</v>
      </c>
      <c r="H96" s="134">
        <v>105</v>
      </c>
      <c r="I96" s="135">
        <v>7.7499999999999999E-2</v>
      </c>
    </row>
    <row r="97" spans="1:9" x14ac:dyDescent="0.35">
      <c r="A97" s="133">
        <v>42873</v>
      </c>
      <c r="B97" s="134">
        <v>101.17</v>
      </c>
      <c r="C97" s="135">
        <v>6.720000000000001E-2</v>
      </c>
      <c r="D97" s="134">
        <v>99.710000000000008</v>
      </c>
      <c r="E97" s="135">
        <v>7.0500000000000007E-2</v>
      </c>
      <c r="F97" s="134">
        <v>99.61</v>
      </c>
      <c r="G97" s="135">
        <v>7.5499999999999998E-2</v>
      </c>
      <c r="H97" s="134">
        <v>104.67</v>
      </c>
      <c r="I97" s="135">
        <v>7.7800000000000008E-2</v>
      </c>
    </row>
    <row r="98" spans="1:9" x14ac:dyDescent="0.35">
      <c r="A98" s="133">
        <v>42874</v>
      </c>
      <c r="B98" s="134">
        <v>100.99000000000001</v>
      </c>
      <c r="C98" s="135">
        <v>6.7699999999999996E-2</v>
      </c>
      <c r="D98" s="134">
        <v>99.18</v>
      </c>
      <c r="E98" s="135">
        <v>7.1199999999999999E-2</v>
      </c>
      <c r="F98" s="134">
        <v>98.990000000000009</v>
      </c>
      <c r="G98" s="135">
        <v>7.6200000000000004E-2</v>
      </c>
      <c r="H98" s="134">
        <v>103.98</v>
      </c>
      <c r="I98" s="135">
        <v>7.85E-2</v>
      </c>
    </row>
    <row r="99" spans="1:9" x14ac:dyDescent="0.35">
      <c r="A99" s="136">
        <v>42877</v>
      </c>
      <c r="B99" s="137">
        <v>101.52000000000001</v>
      </c>
      <c r="C99" s="138">
        <v>6.6400000000000001E-2</v>
      </c>
      <c r="D99" s="137">
        <v>100.53</v>
      </c>
      <c r="E99" s="138">
        <v>6.93E-2</v>
      </c>
      <c r="F99" s="137">
        <v>101.08</v>
      </c>
      <c r="G99" s="138">
        <v>7.3800000000000004E-2</v>
      </c>
      <c r="H99" s="137">
        <v>106.57000000000001</v>
      </c>
      <c r="I99" s="138">
        <v>7.5999999999999998E-2</v>
      </c>
    </row>
    <row r="100" spans="1:9" x14ac:dyDescent="0.35">
      <c r="A100" s="136">
        <v>42878</v>
      </c>
      <c r="B100" s="137">
        <v>101.45</v>
      </c>
      <c r="C100" s="138">
        <v>6.6600000000000006E-2</v>
      </c>
      <c r="D100" s="137">
        <v>100.46000000000001</v>
      </c>
      <c r="E100" s="138">
        <v>6.9400000000000003E-2</v>
      </c>
      <c r="F100" s="137">
        <v>101.12</v>
      </c>
      <c r="G100" s="138">
        <v>7.3800000000000004E-2</v>
      </c>
      <c r="H100" s="137">
        <v>106.54</v>
      </c>
      <c r="I100" s="138">
        <v>7.5999999999999998E-2</v>
      </c>
    </row>
    <row r="101" spans="1:9" x14ac:dyDescent="0.35">
      <c r="A101" s="136">
        <v>42879</v>
      </c>
      <c r="B101" s="137">
        <v>101.42</v>
      </c>
      <c r="C101" s="138">
        <v>6.6600000000000006E-2</v>
      </c>
      <c r="D101" s="137">
        <v>100.62</v>
      </c>
      <c r="E101" s="138">
        <v>6.9199999999999998E-2</v>
      </c>
      <c r="F101" s="137">
        <v>101.46000000000001</v>
      </c>
      <c r="G101" s="138">
        <v>7.3400000000000007E-2</v>
      </c>
      <c r="H101" s="137">
        <v>106.68</v>
      </c>
      <c r="I101" s="138">
        <v>7.5800000000000006E-2</v>
      </c>
    </row>
    <row r="102" spans="1:9" x14ac:dyDescent="0.35">
      <c r="A102" s="136">
        <v>42881</v>
      </c>
      <c r="B102" s="137">
        <v>101.48</v>
      </c>
      <c r="C102" s="138">
        <v>6.6500000000000004E-2</v>
      </c>
      <c r="D102" s="137">
        <v>100.61</v>
      </c>
      <c r="E102" s="138">
        <v>6.9199999999999998E-2</v>
      </c>
      <c r="F102" s="137">
        <v>101.35000000000001</v>
      </c>
      <c r="G102" s="138">
        <v>7.350000000000001E-2</v>
      </c>
      <c r="H102" s="137">
        <v>106.56</v>
      </c>
      <c r="I102" s="138">
        <v>7.5999999999999998E-2</v>
      </c>
    </row>
    <row r="103" spans="1:9" x14ac:dyDescent="0.35">
      <c r="A103" s="133">
        <v>42884</v>
      </c>
      <c r="B103" s="134">
        <v>101.49000000000001</v>
      </c>
      <c r="C103" s="135">
        <v>6.6500000000000004E-2</v>
      </c>
      <c r="D103" s="134">
        <v>100.60000000000001</v>
      </c>
      <c r="E103" s="135">
        <v>6.9199999999999998E-2</v>
      </c>
      <c r="F103" s="134">
        <v>101.43</v>
      </c>
      <c r="G103" s="135">
        <v>7.350000000000001E-2</v>
      </c>
      <c r="H103" s="134">
        <v>106.71000000000001</v>
      </c>
      <c r="I103" s="135">
        <v>7.5800000000000006E-2</v>
      </c>
    </row>
    <row r="104" spans="1:9" x14ac:dyDescent="0.35">
      <c r="A104" s="133">
        <v>42885</v>
      </c>
      <c r="B104" s="134">
        <v>101.35000000000001</v>
      </c>
      <c r="C104" s="135">
        <v>6.6799999999999998E-2</v>
      </c>
      <c r="D104" s="134">
        <v>100.48</v>
      </c>
      <c r="E104" s="135">
        <v>6.9400000000000003E-2</v>
      </c>
      <c r="F104" s="134">
        <v>101.26</v>
      </c>
      <c r="G104" s="135">
        <v>7.3599999999999999E-2</v>
      </c>
      <c r="H104" s="134">
        <v>106.53</v>
      </c>
      <c r="I104" s="135">
        <v>7.5999999999999998E-2</v>
      </c>
    </row>
    <row r="105" spans="1:9" x14ac:dyDescent="0.35">
      <c r="A105" s="133">
        <v>42886</v>
      </c>
      <c r="B105" s="134">
        <v>101.33</v>
      </c>
      <c r="C105" s="135">
        <v>6.6799999999999998E-2</v>
      </c>
      <c r="D105" s="134">
        <v>100.49000000000001</v>
      </c>
      <c r="E105" s="135">
        <v>6.9400000000000003E-2</v>
      </c>
      <c r="F105" s="134">
        <v>101.26</v>
      </c>
      <c r="G105" s="135">
        <v>7.3599999999999999E-2</v>
      </c>
      <c r="H105" s="134">
        <v>106.59</v>
      </c>
      <c r="I105" s="135">
        <v>7.5900000000000009E-2</v>
      </c>
    </row>
    <row r="106" spans="1:9" x14ac:dyDescent="0.35">
      <c r="A106" s="133">
        <v>42888</v>
      </c>
      <c r="B106" s="134">
        <v>101.37</v>
      </c>
      <c r="C106" s="135">
        <v>6.6700000000000009E-2</v>
      </c>
      <c r="D106" s="134">
        <v>100.48</v>
      </c>
      <c r="E106" s="135">
        <v>6.9400000000000003E-2</v>
      </c>
      <c r="F106" s="134">
        <v>101.25</v>
      </c>
      <c r="G106" s="135">
        <v>7.3700000000000002E-2</v>
      </c>
      <c r="H106" s="134">
        <v>106.65</v>
      </c>
      <c r="I106" s="135">
        <v>7.5900000000000009E-2</v>
      </c>
    </row>
    <row r="107" spans="1:9" x14ac:dyDescent="0.35">
      <c r="A107" s="136">
        <v>42891</v>
      </c>
      <c r="B107" s="137">
        <v>101.38000000000001</v>
      </c>
      <c r="C107" s="138">
        <v>6.6700000000000009E-2</v>
      </c>
      <c r="D107" s="137">
        <v>100.53</v>
      </c>
      <c r="E107" s="138">
        <v>6.93E-2</v>
      </c>
      <c r="F107" s="137">
        <v>101.16000000000001</v>
      </c>
      <c r="G107" s="138">
        <v>7.3800000000000004E-2</v>
      </c>
      <c r="H107" s="137">
        <v>106.62</v>
      </c>
      <c r="I107" s="138">
        <v>7.5900000000000009E-2</v>
      </c>
    </row>
    <row r="108" spans="1:9" x14ac:dyDescent="0.35">
      <c r="A108" s="136">
        <v>42892</v>
      </c>
      <c r="B108" s="137">
        <v>101.31</v>
      </c>
      <c r="C108" s="138">
        <v>6.6900000000000001E-2</v>
      </c>
      <c r="D108" s="137">
        <v>100.61</v>
      </c>
      <c r="E108" s="138">
        <v>6.9199999999999998E-2</v>
      </c>
      <c r="F108" s="137">
        <v>101.24000000000001</v>
      </c>
      <c r="G108" s="138">
        <v>7.3700000000000002E-2</v>
      </c>
      <c r="H108" s="137">
        <v>106.71000000000001</v>
      </c>
      <c r="I108" s="138">
        <v>7.5800000000000006E-2</v>
      </c>
    </row>
    <row r="109" spans="1:9" x14ac:dyDescent="0.35">
      <c r="A109" s="136">
        <v>42893</v>
      </c>
      <c r="B109" s="137">
        <v>101.37</v>
      </c>
      <c r="C109" s="138">
        <v>6.6700000000000009E-2</v>
      </c>
      <c r="D109" s="137">
        <v>100.59</v>
      </c>
      <c r="E109" s="138">
        <v>6.9199999999999998E-2</v>
      </c>
      <c r="F109" s="137">
        <v>101.15</v>
      </c>
      <c r="G109" s="138">
        <v>7.3800000000000004E-2</v>
      </c>
      <c r="H109" s="137">
        <v>106.72</v>
      </c>
      <c r="I109" s="138">
        <v>7.5800000000000006E-2</v>
      </c>
    </row>
    <row r="110" spans="1:9" x14ac:dyDescent="0.35">
      <c r="A110" s="136">
        <v>42894</v>
      </c>
      <c r="B110" s="137">
        <v>101.30000000000001</v>
      </c>
      <c r="C110" s="138">
        <v>6.6900000000000001E-2</v>
      </c>
      <c r="D110" s="137">
        <v>100.51</v>
      </c>
      <c r="E110" s="138">
        <v>6.93E-2</v>
      </c>
      <c r="F110" s="137">
        <v>101.03</v>
      </c>
      <c r="G110" s="138">
        <v>7.3900000000000007E-2</v>
      </c>
      <c r="H110" s="137">
        <v>106.65</v>
      </c>
      <c r="I110" s="138">
        <v>7.5900000000000009E-2</v>
      </c>
    </row>
    <row r="111" spans="1:9" x14ac:dyDescent="0.35">
      <c r="A111" s="136">
        <v>42895</v>
      </c>
      <c r="B111" s="137">
        <v>101.4</v>
      </c>
      <c r="C111" s="138">
        <v>6.6700000000000009E-2</v>
      </c>
      <c r="D111" s="137">
        <v>100.78</v>
      </c>
      <c r="E111" s="138">
        <v>6.8900000000000003E-2</v>
      </c>
      <c r="F111" s="137">
        <v>101.17</v>
      </c>
      <c r="G111" s="138">
        <v>7.3700000000000002E-2</v>
      </c>
      <c r="H111" s="137">
        <v>106.74000000000001</v>
      </c>
      <c r="I111" s="138">
        <v>7.5800000000000006E-2</v>
      </c>
    </row>
    <row r="112" spans="1:9" x14ac:dyDescent="0.35">
      <c r="A112" s="133">
        <v>42898</v>
      </c>
      <c r="B112" s="134">
        <v>101.46000000000001</v>
      </c>
      <c r="C112" s="135">
        <v>6.6500000000000004E-2</v>
      </c>
      <c r="D112" s="134">
        <v>100.96000000000001</v>
      </c>
      <c r="E112" s="135">
        <v>6.8699999999999997E-2</v>
      </c>
      <c r="F112" s="134">
        <v>101.26</v>
      </c>
      <c r="G112" s="135">
        <v>7.3599999999999999E-2</v>
      </c>
      <c r="H112" s="134">
        <v>106.86</v>
      </c>
      <c r="I112" s="135">
        <v>7.5700000000000003E-2</v>
      </c>
    </row>
    <row r="113" spans="1:9" x14ac:dyDescent="0.35">
      <c r="A113" s="133">
        <v>42899</v>
      </c>
      <c r="B113" s="134">
        <v>101.47</v>
      </c>
      <c r="C113" s="135">
        <v>6.6500000000000004E-2</v>
      </c>
      <c r="D113" s="134">
        <v>101</v>
      </c>
      <c r="E113" s="135">
        <v>6.8600000000000008E-2</v>
      </c>
      <c r="F113" s="134">
        <v>101.28</v>
      </c>
      <c r="G113" s="135">
        <v>7.3599999999999999E-2</v>
      </c>
      <c r="H113" s="134">
        <v>106.87</v>
      </c>
      <c r="I113" s="135">
        <v>7.5700000000000003E-2</v>
      </c>
    </row>
    <row r="114" spans="1:9" x14ac:dyDescent="0.35">
      <c r="A114" s="133">
        <v>42900</v>
      </c>
      <c r="B114" s="134">
        <v>101.5</v>
      </c>
      <c r="C114" s="135">
        <v>6.6400000000000001E-2</v>
      </c>
      <c r="D114" s="134">
        <v>101.03</v>
      </c>
      <c r="E114" s="135">
        <v>6.8600000000000008E-2</v>
      </c>
      <c r="F114" s="134">
        <v>101.33</v>
      </c>
      <c r="G114" s="135">
        <v>7.3599999999999999E-2</v>
      </c>
      <c r="H114" s="134">
        <v>106.98</v>
      </c>
      <c r="I114" s="135">
        <v>7.5499999999999998E-2</v>
      </c>
    </row>
    <row r="115" spans="1:9" x14ac:dyDescent="0.35">
      <c r="A115" s="133">
        <v>42901</v>
      </c>
      <c r="B115" s="134">
        <v>101.60000000000001</v>
      </c>
      <c r="C115" s="135">
        <v>6.6200000000000009E-2</v>
      </c>
      <c r="D115" s="134">
        <v>101.45</v>
      </c>
      <c r="E115" s="135">
        <v>6.8000000000000005E-2</v>
      </c>
      <c r="F115" s="134">
        <v>101.66000000000001</v>
      </c>
      <c r="G115" s="135">
        <v>7.3200000000000001E-2</v>
      </c>
      <c r="H115" s="134">
        <v>107.45</v>
      </c>
      <c r="I115" s="135">
        <v>7.51E-2</v>
      </c>
    </row>
    <row r="116" spans="1:9" x14ac:dyDescent="0.35">
      <c r="A116" s="133">
        <v>42902</v>
      </c>
      <c r="B116" s="134">
        <v>101.55000000000001</v>
      </c>
      <c r="C116" s="135">
        <v>6.6299999999999998E-2</v>
      </c>
      <c r="D116" s="134">
        <v>101.55000000000001</v>
      </c>
      <c r="E116" s="135">
        <v>6.7900000000000002E-2</v>
      </c>
      <c r="F116" s="134">
        <v>101.61</v>
      </c>
      <c r="G116" s="135">
        <v>7.3300000000000004E-2</v>
      </c>
      <c r="H116" s="134">
        <v>107.38000000000001</v>
      </c>
      <c r="I116" s="135">
        <v>7.5200000000000003E-2</v>
      </c>
    </row>
    <row r="117" spans="1:9" x14ac:dyDescent="0.35">
      <c r="A117" s="136">
        <v>42905</v>
      </c>
      <c r="B117" s="137">
        <v>101.60000000000001</v>
      </c>
      <c r="C117" s="138">
        <v>6.6200000000000009E-2</v>
      </c>
      <c r="D117" s="137">
        <v>101.62</v>
      </c>
      <c r="E117" s="138">
        <v>6.7799999999999999E-2</v>
      </c>
      <c r="F117" s="137">
        <v>101.55000000000001</v>
      </c>
      <c r="G117" s="138">
        <v>7.3300000000000004E-2</v>
      </c>
      <c r="H117" s="137">
        <v>107.4</v>
      </c>
      <c r="I117" s="138">
        <v>7.51E-2</v>
      </c>
    </row>
    <row r="118" spans="1:9" x14ac:dyDescent="0.35">
      <c r="A118" s="136">
        <v>42906</v>
      </c>
      <c r="B118" s="137">
        <v>101.61</v>
      </c>
      <c r="C118" s="138">
        <v>6.6100000000000006E-2</v>
      </c>
      <c r="D118" s="137">
        <v>101.93</v>
      </c>
      <c r="E118" s="138">
        <v>6.7299999999999999E-2</v>
      </c>
      <c r="F118" s="137">
        <v>101.55000000000001</v>
      </c>
      <c r="G118" s="138">
        <v>7.3300000000000004E-2</v>
      </c>
      <c r="H118" s="137">
        <v>107.48</v>
      </c>
      <c r="I118" s="138">
        <v>7.51E-2</v>
      </c>
    </row>
    <row r="119" spans="1:9" x14ac:dyDescent="0.35">
      <c r="A119" s="136">
        <v>42907</v>
      </c>
      <c r="B119" s="137">
        <v>101.43</v>
      </c>
      <c r="C119" s="138">
        <v>6.6600000000000006E-2</v>
      </c>
      <c r="D119" s="137">
        <v>101.49000000000001</v>
      </c>
      <c r="E119" s="138">
        <v>6.7900000000000002E-2</v>
      </c>
      <c r="F119" s="137">
        <v>101.37</v>
      </c>
      <c r="G119" s="138">
        <v>7.350000000000001E-2</v>
      </c>
      <c r="H119" s="137">
        <v>107.36</v>
      </c>
      <c r="I119" s="138">
        <v>7.5200000000000003E-2</v>
      </c>
    </row>
    <row r="120" spans="1:9" x14ac:dyDescent="0.35">
      <c r="A120" s="136">
        <v>42908</v>
      </c>
      <c r="B120" s="137">
        <v>101.48</v>
      </c>
      <c r="C120" s="138">
        <v>6.6400000000000001E-2</v>
      </c>
      <c r="D120" s="137">
        <v>101.42</v>
      </c>
      <c r="E120" s="138">
        <v>6.8000000000000005E-2</v>
      </c>
      <c r="F120" s="137">
        <v>101.34</v>
      </c>
      <c r="G120" s="138">
        <v>7.3599999999999999E-2</v>
      </c>
      <c r="H120" s="137">
        <v>107.28</v>
      </c>
      <c r="I120" s="138">
        <v>7.5300000000000006E-2</v>
      </c>
    </row>
    <row r="121" spans="1:9" x14ac:dyDescent="0.35">
      <c r="A121" s="133">
        <v>42919</v>
      </c>
      <c r="B121" s="134">
        <v>101.35000000000001</v>
      </c>
      <c r="C121" s="135">
        <v>6.6700000000000009E-2</v>
      </c>
      <c r="D121" s="134">
        <v>101.28</v>
      </c>
      <c r="E121" s="135">
        <v>6.8199999999999997E-2</v>
      </c>
      <c r="F121" s="134">
        <v>101.17</v>
      </c>
      <c r="G121" s="135">
        <v>7.3700000000000002E-2</v>
      </c>
      <c r="H121" s="134">
        <v>106.75</v>
      </c>
      <c r="I121" s="135">
        <v>7.5800000000000006E-2</v>
      </c>
    </row>
    <row r="122" spans="1:9" x14ac:dyDescent="0.35">
      <c r="A122" s="133">
        <v>42920</v>
      </c>
      <c r="B122" s="134">
        <v>101.09</v>
      </c>
      <c r="C122" s="135">
        <v>6.7400000000000002E-2</v>
      </c>
      <c r="D122" s="134">
        <v>101.02000000000001</v>
      </c>
      <c r="E122" s="135">
        <v>6.8600000000000008E-2</v>
      </c>
      <c r="F122" s="134">
        <v>100.36</v>
      </c>
      <c r="G122" s="135">
        <v>7.46E-2</v>
      </c>
      <c r="H122" s="134">
        <v>106.04</v>
      </c>
      <c r="I122" s="135">
        <v>7.640000000000001E-2</v>
      </c>
    </row>
    <row r="123" spans="1:9" x14ac:dyDescent="0.35">
      <c r="A123" s="133">
        <v>42921</v>
      </c>
      <c r="B123" s="134">
        <v>101.27000000000001</v>
      </c>
      <c r="C123" s="135">
        <v>6.6900000000000001E-2</v>
      </c>
      <c r="D123" s="134">
        <v>101.65</v>
      </c>
      <c r="E123" s="135">
        <v>6.7699999999999996E-2</v>
      </c>
      <c r="F123" s="134">
        <v>100.48</v>
      </c>
      <c r="G123" s="135">
        <v>7.4499999999999997E-2</v>
      </c>
      <c r="H123" s="134">
        <v>106.21000000000001</v>
      </c>
      <c r="I123" s="135">
        <v>7.6300000000000007E-2</v>
      </c>
    </row>
    <row r="124" spans="1:9" x14ac:dyDescent="0.35">
      <c r="A124" s="133">
        <v>42922</v>
      </c>
      <c r="B124" s="134">
        <v>101.27000000000001</v>
      </c>
      <c r="C124" s="135">
        <v>6.6900000000000001E-2</v>
      </c>
      <c r="D124" s="134">
        <v>101.68</v>
      </c>
      <c r="E124" s="135">
        <v>6.7699999999999996E-2</v>
      </c>
      <c r="F124" s="134">
        <v>100.47</v>
      </c>
      <c r="G124" s="135">
        <v>7.4499999999999997E-2</v>
      </c>
      <c r="H124" s="134">
        <v>106.21000000000001</v>
      </c>
      <c r="I124" s="135">
        <v>7.6300000000000007E-2</v>
      </c>
    </row>
    <row r="125" spans="1:9" x14ac:dyDescent="0.35">
      <c r="A125" s="133">
        <v>42923</v>
      </c>
      <c r="B125" s="134">
        <v>100.25</v>
      </c>
      <c r="C125" s="135">
        <v>6.9400000000000003E-2</v>
      </c>
      <c r="D125" s="134">
        <v>99.7</v>
      </c>
      <c r="E125" s="135">
        <v>7.0500000000000007E-2</v>
      </c>
      <c r="F125" s="134">
        <v>98.03</v>
      </c>
      <c r="G125" s="135">
        <v>7.7300000000000008E-2</v>
      </c>
      <c r="H125" s="134">
        <v>102.63000000000001</v>
      </c>
      <c r="I125" s="135">
        <v>7.9799999999999996E-2</v>
      </c>
    </row>
    <row r="126" spans="1:9" x14ac:dyDescent="0.35">
      <c r="A126" s="136">
        <v>42926</v>
      </c>
      <c r="B126" s="137">
        <v>99.98</v>
      </c>
      <c r="C126" s="138">
        <v>7.010000000000001E-2</v>
      </c>
      <c r="D126" s="137">
        <v>98.710000000000008</v>
      </c>
      <c r="E126" s="138">
        <v>7.1900000000000006E-2</v>
      </c>
      <c r="F126" s="137">
        <v>97.39</v>
      </c>
      <c r="G126" s="138">
        <v>7.8E-2</v>
      </c>
      <c r="H126" s="137">
        <v>102.23</v>
      </c>
      <c r="I126" s="138">
        <v>8.0200000000000007E-2</v>
      </c>
    </row>
    <row r="127" spans="1:9" x14ac:dyDescent="0.35">
      <c r="A127" s="136">
        <v>42927</v>
      </c>
      <c r="B127" s="137">
        <v>100.18</v>
      </c>
      <c r="C127" s="138">
        <v>6.9600000000000009E-2</v>
      </c>
      <c r="D127" s="137">
        <v>99.12</v>
      </c>
      <c r="E127" s="138">
        <v>7.1300000000000002E-2</v>
      </c>
      <c r="F127" s="137">
        <v>98.27000000000001</v>
      </c>
      <c r="G127" s="138">
        <v>7.6999999999999999E-2</v>
      </c>
      <c r="H127" s="137">
        <v>102.55000000000001</v>
      </c>
      <c r="I127" s="138">
        <v>7.9899999999999999E-2</v>
      </c>
    </row>
    <row r="128" spans="1:9" x14ac:dyDescent="0.35">
      <c r="A128" s="136">
        <v>42928</v>
      </c>
      <c r="B128" s="137">
        <v>100.73</v>
      </c>
      <c r="C128" s="138">
        <v>6.8199999999999997E-2</v>
      </c>
      <c r="D128" s="137">
        <v>100.01</v>
      </c>
      <c r="E128" s="138">
        <v>7.0000000000000007E-2</v>
      </c>
      <c r="F128" s="137">
        <v>99.850000000000009</v>
      </c>
      <c r="G128" s="138">
        <v>7.5200000000000003E-2</v>
      </c>
      <c r="H128" s="137">
        <v>104.26</v>
      </c>
      <c r="I128" s="138">
        <v>7.8200000000000006E-2</v>
      </c>
    </row>
    <row r="129" spans="1:9" x14ac:dyDescent="0.35">
      <c r="A129" s="136">
        <v>42929</v>
      </c>
      <c r="B129" s="137">
        <v>100.96000000000001</v>
      </c>
      <c r="C129" s="138">
        <v>6.7699999999999996E-2</v>
      </c>
      <c r="D129" s="137">
        <v>100.52000000000001</v>
      </c>
      <c r="E129" s="138">
        <v>6.93E-2</v>
      </c>
      <c r="F129" s="137">
        <v>101</v>
      </c>
      <c r="G129" s="138">
        <v>7.3900000000000007E-2</v>
      </c>
      <c r="H129" s="137">
        <v>105.58</v>
      </c>
      <c r="I129" s="138">
        <v>7.6899999999999996E-2</v>
      </c>
    </row>
    <row r="130" spans="1:9" x14ac:dyDescent="0.35">
      <c r="A130" s="136">
        <v>42930</v>
      </c>
      <c r="B130" s="137">
        <v>100.86</v>
      </c>
      <c r="C130" s="138">
        <v>6.7900000000000002E-2</v>
      </c>
      <c r="D130" s="137">
        <v>100.31</v>
      </c>
      <c r="E130" s="138">
        <v>6.9600000000000009E-2</v>
      </c>
      <c r="F130" s="137">
        <v>100.39</v>
      </c>
      <c r="G130" s="138">
        <v>7.46E-2</v>
      </c>
      <c r="H130" s="137">
        <v>105.34</v>
      </c>
      <c r="I130" s="138">
        <v>7.7100000000000002E-2</v>
      </c>
    </row>
    <row r="131" spans="1:9" x14ac:dyDescent="0.35">
      <c r="A131" s="133">
        <v>42933</v>
      </c>
      <c r="B131" s="134">
        <v>101.03</v>
      </c>
      <c r="C131" s="135">
        <v>6.7500000000000004E-2</v>
      </c>
      <c r="D131" s="134">
        <v>100.7</v>
      </c>
      <c r="E131" s="135">
        <v>6.9000000000000006E-2</v>
      </c>
      <c r="F131" s="134">
        <v>101.01</v>
      </c>
      <c r="G131" s="135">
        <v>7.3900000000000007E-2</v>
      </c>
      <c r="H131" s="134">
        <v>106.01</v>
      </c>
      <c r="I131" s="135">
        <v>7.6499999999999999E-2</v>
      </c>
    </row>
    <row r="132" spans="1:9" x14ac:dyDescent="0.35">
      <c r="A132" s="133">
        <v>42934</v>
      </c>
      <c r="B132" s="134">
        <v>101</v>
      </c>
      <c r="C132" s="135">
        <v>6.7600000000000007E-2</v>
      </c>
      <c r="D132" s="134">
        <v>100.61</v>
      </c>
      <c r="E132" s="135">
        <v>6.9199999999999998E-2</v>
      </c>
      <c r="F132" s="134">
        <v>101.03</v>
      </c>
      <c r="G132" s="135">
        <v>7.3900000000000007E-2</v>
      </c>
      <c r="H132" s="134">
        <v>106.02</v>
      </c>
      <c r="I132" s="135">
        <v>7.640000000000001E-2</v>
      </c>
    </row>
    <row r="133" spans="1:9" x14ac:dyDescent="0.35">
      <c r="A133" s="133">
        <v>42935</v>
      </c>
      <c r="B133" s="134">
        <v>101.08</v>
      </c>
      <c r="C133" s="135">
        <v>6.7400000000000002E-2</v>
      </c>
      <c r="D133" s="134">
        <v>100.73</v>
      </c>
      <c r="E133" s="135">
        <v>6.9000000000000006E-2</v>
      </c>
      <c r="F133" s="134">
        <v>101.25</v>
      </c>
      <c r="G133" s="135">
        <v>7.3700000000000002E-2</v>
      </c>
      <c r="H133" s="134">
        <v>106.3</v>
      </c>
      <c r="I133" s="135">
        <v>7.6200000000000004E-2</v>
      </c>
    </row>
    <row r="134" spans="1:9" x14ac:dyDescent="0.35">
      <c r="A134" s="133">
        <v>42936</v>
      </c>
      <c r="B134" s="134">
        <v>101.09</v>
      </c>
      <c r="C134" s="135">
        <v>6.7299999999999999E-2</v>
      </c>
      <c r="D134" s="134">
        <v>100.69</v>
      </c>
      <c r="E134" s="135">
        <v>6.9100000000000009E-2</v>
      </c>
      <c r="F134" s="134">
        <v>101.47</v>
      </c>
      <c r="G134" s="135">
        <v>7.3400000000000007E-2</v>
      </c>
      <c r="H134" s="134">
        <v>106.28</v>
      </c>
      <c r="I134" s="135">
        <v>7.6200000000000004E-2</v>
      </c>
    </row>
    <row r="135" spans="1:9" x14ac:dyDescent="0.35">
      <c r="A135" s="133">
        <v>42937</v>
      </c>
      <c r="B135" s="134">
        <v>101.11</v>
      </c>
      <c r="C135" s="135">
        <v>6.7299999999999999E-2</v>
      </c>
      <c r="D135" s="134">
        <v>100.69</v>
      </c>
      <c r="E135" s="135">
        <v>6.9100000000000009E-2</v>
      </c>
      <c r="F135" s="134">
        <v>101.74</v>
      </c>
      <c r="G135" s="135">
        <v>7.3099999999999998E-2</v>
      </c>
      <c r="H135" s="134">
        <v>106.82</v>
      </c>
      <c r="I135" s="135">
        <v>7.5700000000000003E-2</v>
      </c>
    </row>
    <row r="136" spans="1:9" x14ac:dyDescent="0.35">
      <c r="A136" s="136">
        <v>42940</v>
      </c>
      <c r="B136" s="137">
        <v>101.15</v>
      </c>
      <c r="C136" s="138">
        <v>6.720000000000001E-2</v>
      </c>
      <c r="D136" s="137">
        <v>100.61000000000001</v>
      </c>
      <c r="E136" s="138">
        <v>6.9199999999999998E-2</v>
      </c>
      <c r="F136" s="137">
        <v>102.03</v>
      </c>
      <c r="G136" s="138">
        <v>7.2800000000000004E-2</v>
      </c>
      <c r="H136" s="137">
        <v>107.2</v>
      </c>
      <c r="I136" s="138">
        <v>7.5300000000000006E-2</v>
      </c>
    </row>
    <row r="137" spans="1:9" x14ac:dyDescent="0.35">
      <c r="A137" s="136">
        <v>42941</v>
      </c>
      <c r="B137" s="137">
        <v>100.95</v>
      </c>
      <c r="C137" s="138">
        <v>6.7699999999999996E-2</v>
      </c>
      <c r="D137" s="137">
        <v>100.595</v>
      </c>
      <c r="E137" s="138">
        <v>6.9199999999999998E-2</v>
      </c>
      <c r="F137" s="137">
        <v>101.875</v>
      </c>
      <c r="G137" s="138">
        <v>7.3000000000000009E-2</v>
      </c>
      <c r="H137" s="137">
        <v>106.98500000000001</v>
      </c>
      <c r="I137" s="138">
        <v>7.5499999999999998E-2</v>
      </c>
    </row>
    <row r="138" spans="1:9" x14ac:dyDescent="0.35">
      <c r="A138" s="136">
        <v>42942</v>
      </c>
      <c r="B138" s="137">
        <v>100.98</v>
      </c>
      <c r="C138" s="138">
        <v>6.7600000000000007E-2</v>
      </c>
      <c r="D138" s="137">
        <v>100.45</v>
      </c>
      <c r="E138" s="138">
        <v>6.9400000000000003E-2</v>
      </c>
      <c r="F138" s="137">
        <v>101.47</v>
      </c>
      <c r="G138" s="138">
        <v>7.3400000000000007E-2</v>
      </c>
      <c r="H138" s="137">
        <v>106.55000000000001</v>
      </c>
      <c r="I138" s="138">
        <v>7.5900000000000009E-2</v>
      </c>
    </row>
    <row r="139" spans="1:9" x14ac:dyDescent="0.35">
      <c r="A139" s="136">
        <v>42943</v>
      </c>
      <c r="B139" s="137">
        <v>101.07000000000001</v>
      </c>
      <c r="C139" s="138">
        <v>6.7400000000000002E-2</v>
      </c>
      <c r="D139" s="137">
        <v>100.55000000000001</v>
      </c>
      <c r="E139" s="138">
        <v>6.9199999999999998E-2</v>
      </c>
      <c r="F139" s="137">
        <v>101.43</v>
      </c>
      <c r="G139" s="138">
        <v>7.350000000000001E-2</v>
      </c>
      <c r="H139" s="137">
        <v>106.45500000000001</v>
      </c>
      <c r="I139" s="138">
        <v>7.5999999999999998E-2</v>
      </c>
    </row>
    <row r="140" spans="1:9" x14ac:dyDescent="0.35">
      <c r="A140" s="136">
        <v>42944</v>
      </c>
      <c r="B140" s="137">
        <v>101.02000000000001</v>
      </c>
      <c r="C140" s="138">
        <v>6.7500000000000004E-2</v>
      </c>
      <c r="D140" s="137">
        <v>100.505</v>
      </c>
      <c r="E140" s="138">
        <v>6.93E-2</v>
      </c>
      <c r="F140" s="137">
        <v>101.29</v>
      </c>
      <c r="G140" s="138">
        <v>7.3599999999999999E-2</v>
      </c>
      <c r="H140" s="137">
        <v>106.39500000000001</v>
      </c>
      <c r="I140" s="138">
        <v>7.6100000000000001E-2</v>
      </c>
    </row>
    <row r="141" spans="1:9" x14ac:dyDescent="0.35">
      <c r="A141" s="133">
        <v>42947</v>
      </c>
      <c r="B141" s="134">
        <v>101.04</v>
      </c>
      <c r="C141" s="135">
        <v>6.7400000000000002E-2</v>
      </c>
      <c r="D141" s="134">
        <v>100.48</v>
      </c>
      <c r="E141" s="135">
        <v>6.93E-2</v>
      </c>
      <c r="F141" s="134">
        <v>101.22</v>
      </c>
      <c r="G141" s="135">
        <v>7.3700000000000002E-2</v>
      </c>
      <c r="H141" s="134">
        <v>106.31</v>
      </c>
      <c r="I141" s="135">
        <v>7.6200000000000004E-2</v>
      </c>
    </row>
    <row r="142" spans="1:9" x14ac:dyDescent="0.35">
      <c r="A142" s="133">
        <v>42948</v>
      </c>
      <c r="B142" s="134">
        <v>101.2</v>
      </c>
      <c r="C142" s="135">
        <v>6.7000000000000004E-2</v>
      </c>
      <c r="D142" s="134">
        <v>100.69000000000001</v>
      </c>
      <c r="E142" s="135">
        <v>6.9000000000000006E-2</v>
      </c>
      <c r="F142" s="134">
        <v>101.47</v>
      </c>
      <c r="G142" s="135">
        <v>7.3400000000000007E-2</v>
      </c>
      <c r="H142" s="134">
        <v>106.59</v>
      </c>
      <c r="I142" s="135">
        <v>7.5900000000000009E-2</v>
      </c>
    </row>
    <row r="143" spans="1:9" x14ac:dyDescent="0.35">
      <c r="A143" s="133">
        <v>42949</v>
      </c>
      <c r="B143" s="134">
        <v>101.21000000000001</v>
      </c>
      <c r="C143" s="135">
        <v>6.7000000000000004E-2</v>
      </c>
      <c r="D143" s="134">
        <v>100.67</v>
      </c>
      <c r="E143" s="135">
        <v>6.9100000000000009E-2</v>
      </c>
      <c r="F143" s="134">
        <v>101.44000000000001</v>
      </c>
      <c r="G143" s="135">
        <v>7.3400000000000007E-2</v>
      </c>
      <c r="H143" s="134">
        <v>106.52000000000001</v>
      </c>
      <c r="I143" s="135">
        <v>7.5999999999999998E-2</v>
      </c>
    </row>
    <row r="144" spans="1:9" x14ac:dyDescent="0.35">
      <c r="A144" s="133">
        <v>42950</v>
      </c>
      <c r="B144" s="134">
        <v>101.27000000000001</v>
      </c>
      <c r="C144" s="135">
        <v>6.6900000000000001E-2</v>
      </c>
      <c r="D144" s="134">
        <v>100.68</v>
      </c>
      <c r="E144" s="135">
        <v>6.9100000000000009E-2</v>
      </c>
      <c r="F144" s="134">
        <v>101.28</v>
      </c>
      <c r="G144" s="135">
        <v>7.3599999999999999E-2</v>
      </c>
      <c r="H144" s="134">
        <v>106.36</v>
      </c>
      <c r="I144" s="135">
        <v>7.6100000000000001E-2</v>
      </c>
    </row>
    <row r="145" spans="1:9" x14ac:dyDescent="0.35">
      <c r="A145" s="133">
        <v>42951</v>
      </c>
      <c r="B145" s="134">
        <v>101.30000000000001</v>
      </c>
      <c r="C145" s="135">
        <v>6.6799999999999998E-2</v>
      </c>
      <c r="D145" s="134">
        <v>100.81</v>
      </c>
      <c r="E145" s="135">
        <v>6.8900000000000003E-2</v>
      </c>
      <c r="F145" s="134">
        <v>101.46000000000001</v>
      </c>
      <c r="G145" s="135">
        <v>7.3400000000000007E-2</v>
      </c>
      <c r="H145" s="134">
        <v>106.46000000000001</v>
      </c>
      <c r="I145" s="135">
        <v>7.5999999999999998E-2</v>
      </c>
    </row>
    <row r="146" spans="1:9" x14ac:dyDescent="0.35">
      <c r="A146" s="136">
        <v>42954</v>
      </c>
      <c r="B146" s="137">
        <v>101.34</v>
      </c>
      <c r="C146" s="138">
        <v>6.6700000000000009E-2</v>
      </c>
      <c r="D146" s="137">
        <v>100.86</v>
      </c>
      <c r="E146" s="138">
        <v>6.88E-2</v>
      </c>
      <c r="F146" s="137">
        <v>101.53</v>
      </c>
      <c r="G146" s="138">
        <v>7.3400000000000007E-2</v>
      </c>
      <c r="H146" s="137">
        <v>106.64</v>
      </c>
      <c r="I146" s="138">
        <v>7.5800000000000006E-2</v>
      </c>
    </row>
    <row r="147" spans="1:9" x14ac:dyDescent="0.35">
      <c r="A147" s="136">
        <v>42955</v>
      </c>
      <c r="B147" s="137">
        <v>101.37</v>
      </c>
      <c r="C147" s="138">
        <v>6.6600000000000006E-2</v>
      </c>
      <c r="D147" s="137">
        <v>100.85000000000001</v>
      </c>
      <c r="E147" s="138">
        <v>6.88E-2</v>
      </c>
      <c r="F147" s="137">
        <v>101.51</v>
      </c>
      <c r="G147" s="138">
        <v>7.3400000000000007E-2</v>
      </c>
      <c r="H147" s="137">
        <v>106.56</v>
      </c>
      <c r="I147" s="138">
        <v>7.5900000000000009E-2</v>
      </c>
    </row>
    <row r="148" spans="1:9" x14ac:dyDescent="0.35">
      <c r="A148" s="136">
        <v>42956</v>
      </c>
      <c r="B148" s="137">
        <v>101.66000000000001</v>
      </c>
      <c r="C148" s="138">
        <v>6.59E-2</v>
      </c>
      <c r="D148" s="137">
        <v>101.28</v>
      </c>
      <c r="E148" s="138">
        <v>6.8199999999999997E-2</v>
      </c>
      <c r="F148" s="137">
        <v>101.88000000000001</v>
      </c>
      <c r="G148" s="138">
        <v>7.3000000000000009E-2</v>
      </c>
      <c r="H148" s="137">
        <v>106.83</v>
      </c>
      <c r="I148" s="138">
        <v>7.5700000000000003E-2</v>
      </c>
    </row>
    <row r="149" spans="1:9" x14ac:dyDescent="0.35">
      <c r="A149" s="136">
        <v>42957</v>
      </c>
      <c r="B149" s="137">
        <v>101.56</v>
      </c>
      <c r="C149" s="138">
        <v>6.6100000000000006E-2</v>
      </c>
      <c r="D149" s="137">
        <v>100.99000000000001</v>
      </c>
      <c r="E149" s="138">
        <v>6.8600000000000008E-2</v>
      </c>
      <c r="F149" s="137">
        <v>101.84</v>
      </c>
      <c r="G149" s="138">
        <v>7.3000000000000009E-2</v>
      </c>
      <c r="H149" s="137">
        <v>106.83</v>
      </c>
      <c r="I149" s="138">
        <v>7.5700000000000003E-2</v>
      </c>
    </row>
    <row r="150" spans="1:9" x14ac:dyDescent="0.35">
      <c r="A150" s="136">
        <v>42958</v>
      </c>
      <c r="B150" s="137">
        <v>101.5</v>
      </c>
      <c r="C150" s="138">
        <v>6.6299999999999998E-2</v>
      </c>
      <c r="D150" s="137">
        <v>100.72</v>
      </c>
      <c r="E150" s="138">
        <v>6.9000000000000006E-2</v>
      </c>
      <c r="F150" s="137">
        <v>101.68</v>
      </c>
      <c r="G150" s="138">
        <v>7.3200000000000001E-2</v>
      </c>
      <c r="H150" s="137">
        <v>106.59</v>
      </c>
      <c r="I150" s="138">
        <v>7.5900000000000009E-2</v>
      </c>
    </row>
    <row r="151" spans="1:9" x14ac:dyDescent="0.35">
      <c r="A151" s="133">
        <v>42961</v>
      </c>
      <c r="B151" s="134">
        <v>101.54</v>
      </c>
      <c r="C151" s="135">
        <v>6.6200000000000009E-2</v>
      </c>
      <c r="D151" s="134">
        <v>100.91000000000001</v>
      </c>
      <c r="E151" s="135">
        <v>6.8699999999999997E-2</v>
      </c>
      <c r="F151" s="134">
        <v>101.79</v>
      </c>
      <c r="G151" s="135">
        <v>7.3099999999999998E-2</v>
      </c>
      <c r="H151" s="134">
        <v>106.86</v>
      </c>
      <c r="I151" s="135">
        <v>7.5600000000000001E-2</v>
      </c>
    </row>
    <row r="152" spans="1:9" x14ac:dyDescent="0.35">
      <c r="A152" s="133">
        <v>42962</v>
      </c>
      <c r="B152" s="134">
        <v>101.59</v>
      </c>
      <c r="C152" s="135">
        <v>6.6100000000000006E-2</v>
      </c>
      <c r="D152" s="134">
        <v>100.82000000000001</v>
      </c>
      <c r="E152" s="135">
        <v>6.8900000000000003E-2</v>
      </c>
      <c r="F152" s="134">
        <v>101.87</v>
      </c>
      <c r="G152" s="135">
        <v>7.3000000000000009E-2</v>
      </c>
      <c r="H152" s="134">
        <v>107.09</v>
      </c>
      <c r="I152" s="135">
        <v>7.5400000000000009E-2</v>
      </c>
    </row>
    <row r="153" spans="1:9" x14ac:dyDescent="0.35">
      <c r="A153" s="133">
        <v>42963</v>
      </c>
      <c r="B153" s="134">
        <v>101.61</v>
      </c>
      <c r="C153" s="135">
        <v>6.6000000000000003E-2</v>
      </c>
      <c r="D153" s="134">
        <v>100.74000000000001</v>
      </c>
      <c r="E153" s="135">
        <v>6.9000000000000006E-2</v>
      </c>
      <c r="F153" s="134">
        <v>101.73</v>
      </c>
      <c r="G153" s="135">
        <v>7.3099999999999998E-2</v>
      </c>
      <c r="H153" s="134">
        <v>107</v>
      </c>
      <c r="I153" s="135">
        <v>7.5499999999999998E-2</v>
      </c>
    </row>
    <row r="154" spans="1:9" x14ac:dyDescent="0.35">
      <c r="A154" s="133">
        <v>42965</v>
      </c>
      <c r="B154" s="134">
        <v>101.75</v>
      </c>
      <c r="C154" s="135">
        <v>6.5700000000000008E-2</v>
      </c>
      <c r="D154" s="134">
        <v>100.89</v>
      </c>
      <c r="E154" s="135">
        <v>6.88E-2</v>
      </c>
      <c r="F154" s="134">
        <v>101.99000000000001</v>
      </c>
      <c r="G154" s="135">
        <v>7.2800000000000004E-2</v>
      </c>
      <c r="H154" s="134">
        <v>107.28</v>
      </c>
      <c r="I154" s="135">
        <v>7.5200000000000003E-2</v>
      </c>
    </row>
    <row r="155" spans="1:9" x14ac:dyDescent="0.35">
      <c r="A155" s="136">
        <v>42968</v>
      </c>
      <c r="B155" s="137">
        <v>101.7</v>
      </c>
      <c r="C155" s="138">
        <v>6.5799999999999997E-2</v>
      </c>
      <c r="D155" s="137">
        <v>100.89</v>
      </c>
      <c r="E155" s="138">
        <v>6.88E-2</v>
      </c>
      <c r="F155" s="137">
        <v>101.94000000000001</v>
      </c>
      <c r="G155" s="138">
        <v>7.2900000000000006E-2</v>
      </c>
      <c r="H155" s="137">
        <v>107.33</v>
      </c>
      <c r="I155" s="138">
        <v>7.5200000000000003E-2</v>
      </c>
    </row>
    <row r="156" spans="1:9" x14ac:dyDescent="0.35">
      <c r="A156" s="136">
        <v>42969</v>
      </c>
      <c r="B156" s="137">
        <v>101.92</v>
      </c>
      <c r="C156" s="138">
        <v>6.5200000000000008E-2</v>
      </c>
      <c r="D156" s="137">
        <v>100.9</v>
      </c>
      <c r="E156" s="138">
        <v>6.8699999999999997E-2</v>
      </c>
      <c r="F156" s="137">
        <v>101.89</v>
      </c>
      <c r="G156" s="138">
        <v>7.3000000000000009E-2</v>
      </c>
      <c r="H156" s="137">
        <v>107.46000000000001</v>
      </c>
      <c r="I156" s="138">
        <v>7.51E-2</v>
      </c>
    </row>
    <row r="157" spans="1:9" x14ac:dyDescent="0.35">
      <c r="A157" s="136">
        <v>42970</v>
      </c>
      <c r="B157" s="137">
        <v>102.23</v>
      </c>
      <c r="C157" s="138">
        <v>6.4500000000000002E-2</v>
      </c>
      <c r="D157" s="137">
        <v>101.46000000000001</v>
      </c>
      <c r="E157" s="138">
        <v>6.8000000000000005E-2</v>
      </c>
      <c r="F157" s="137">
        <v>102.69000000000001</v>
      </c>
      <c r="G157" s="138">
        <v>7.2099999999999997E-2</v>
      </c>
      <c r="H157" s="137">
        <v>108.42</v>
      </c>
      <c r="I157" s="138">
        <v>7.4099999999999999E-2</v>
      </c>
    </row>
    <row r="158" spans="1:9" x14ac:dyDescent="0.35">
      <c r="A158" s="136">
        <v>42971</v>
      </c>
      <c r="B158" s="137">
        <v>102.16000000000001</v>
      </c>
      <c r="C158" s="138">
        <v>6.4600000000000005E-2</v>
      </c>
      <c r="D158" s="137">
        <v>100.99000000000001</v>
      </c>
      <c r="E158" s="138">
        <v>6.8600000000000008E-2</v>
      </c>
      <c r="F158" s="137">
        <v>101.80000000000001</v>
      </c>
      <c r="G158" s="138">
        <v>7.3000000000000009E-2</v>
      </c>
      <c r="H158" s="137">
        <v>107.76</v>
      </c>
      <c r="I158" s="138">
        <v>7.4800000000000005E-2</v>
      </c>
    </row>
    <row r="159" spans="1:9" x14ac:dyDescent="0.35">
      <c r="A159" s="136">
        <v>42972</v>
      </c>
      <c r="B159" s="137">
        <v>102.48</v>
      </c>
      <c r="C159" s="138">
        <v>6.3800000000000009E-2</v>
      </c>
      <c r="D159" s="137">
        <v>101.21000000000001</v>
      </c>
      <c r="E159" s="138">
        <v>6.83E-2</v>
      </c>
      <c r="F159" s="137">
        <v>102.17</v>
      </c>
      <c r="G159" s="138">
        <v>7.2599999999999998E-2</v>
      </c>
      <c r="H159" s="137">
        <v>108.14</v>
      </c>
      <c r="I159" s="138">
        <v>7.4400000000000008E-2</v>
      </c>
    </row>
    <row r="160" spans="1:9" x14ac:dyDescent="0.35">
      <c r="A160" s="133">
        <v>42975</v>
      </c>
      <c r="B160" s="134">
        <v>102.77000000000001</v>
      </c>
      <c r="C160" s="135">
        <v>6.3100000000000003E-2</v>
      </c>
      <c r="D160" s="134">
        <v>101.92500000000001</v>
      </c>
      <c r="E160" s="135">
        <v>6.7299999999999999E-2</v>
      </c>
      <c r="F160" s="134">
        <v>102.61500000000001</v>
      </c>
      <c r="G160" s="135">
        <v>7.22E-2</v>
      </c>
      <c r="H160" s="134">
        <v>108.545</v>
      </c>
      <c r="I160" s="135">
        <v>7.3999999999999996E-2</v>
      </c>
    </row>
    <row r="161" spans="1:9" x14ac:dyDescent="0.35">
      <c r="A161" s="133">
        <v>42976</v>
      </c>
      <c r="B161" s="134">
        <v>102.69</v>
      </c>
      <c r="C161" s="135">
        <v>6.3300000000000009E-2</v>
      </c>
      <c r="D161" s="134">
        <v>101.77000000000001</v>
      </c>
      <c r="E161" s="135">
        <v>6.7500000000000004E-2</v>
      </c>
      <c r="F161" s="134">
        <v>102.41499999999999</v>
      </c>
      <c r="G161" s="135">
        <v>7.2400000000000006E-2</v>
      </c>
      <c r="H161" s="134">
        <v>108.46000000000001</v>
      </c>
      <c r="I161" s="135">
        <v>7.4099999999999999E-2</v>
      </c>
    </row>
    <row r="162" spans="1:9" x14ac:dyDescent="0.35">
      <c r="A162" s="133">
        <v>42977</v>
      </c>
      <c r="B162" s="134">
        <v>102.905</v>
      </c>
      <c r="C162" s="135">
        <v>6.2800000000000009E-2</v>
      </c>
      <c r="D162" s="134">
        <v>102.185</v>
      </c>
      <c r="E162" s="135">
        <v>6.6900000000000001E-2</v>
      </c>
      <c r="F162" s="134">
        <v>102.83500000000001</v>
      </c>
      <c r="G162" s="135">
        <v>7.1900000000000006E-2</v>
      </c>
      <c r="H162" s="134">
        <v>109.23500000000001</v>
      </c>
      <c r="I162" s="135">
        <v>7.3400000000000007E-2</v>
      </c>
    </row>
    <row r="163" spans="1:9" x14ac:dyDescent="0.35">
      <c r="A163" s="133">
        <v>42978</v>
      </c>
      <c r="B163" s="134">
        <v>103.17</v>
      </c>
      <c r="C163" s="135">
        <v>6.2100000000000002E-2</v>
      </c>
      <c r="D163" s="134">
        <v>102.35</v>
      </c>
      <c r="E163" s="135">
        <v>6.6700000000000009E-2</v>
      </c>
      <c r="F163" s="134">
        <v>103.49000000000001</v>
      </c>
      <c r="G163" s="135">
        <v>7.1199999999999999E-2</v>
      </c>
      <c r="H163" s="134">
        <v>109.73500000000001</v>
      </c>
      <c r="I163" s="135">
        <v>7.2900000000000006E-2</v>
      </c>
    </row>
    <row r="164" spans="1:9" x14ac:dyDescent="0.35">
      <c r="A164" s="136">
        <v>42982</v>
      </c>
      <c r="B164" s="137">
        <v>103.19000000000001</v>
      </c>
      <c r="C164" s="138">
        <v>6.2100000000000002E-2</v>
      </c>
      <c r="D164" s="137">
        <v>102.43</v>
      </c>
      <c r="E164" s="138">
        <v>6.6600000000000006E-2</v>
      </c>
      <c r="F164" s="137">
        <v>103.87</v>
      </c>
      <c r="G164" s="138">
        <v>7.0800000000000002E-2</v>
      </c>
      <c r="H164" s="137">
        <v>110.4</v>
      </c>
      <c r="I164" s="138">
        <v>7.2300000000000003E-2</v>
      </c>
    </row>
    <row r="165" spans="1:9" x14ac:dyDescent="0.35">
      <c r="A165" s="136">
        <v>42983</v>
      </c>
      <c r="B165" s="137">
        <v>103.17</v>
      </c>
      <c r="C165" s="138">
        <v>6.2100000000000002E-2</v>
      </c>
      <c r="D165" s="137">
        <v>102.4</v>
      </c>
      <c r="E165" s="138">
        <v>6.6600000000000006E-2</v>
      </c>
      <c r="F165" s="137">
        <v>103.91000000000001</v>
      </c>
      <c r="G165" s="138">
        <v>7.0800000000000002E-2</v>
      </c>
      <c r="H165" s="137">
        <v>110.68</v>
      </c>
      <c r="I165" s="138">
        <v>7.2000000000000008E-2</v>
      </c>
    </row>
    <row r="166" spans="1:9" x14ac:dyDescent="0.35">
      <c r="A166" s="136">
        <v>42984</v>
      </c>
      <c r="B166" s="137">
        <v>103.5</v>
      </c>
      <c r="C166" s="138">
        <v>6.13E-2</v>
      </c>
      <c r="D166" s="137">
        <v>103.34</v>
      </c>
      <c r="E166" s="138">
        <v>6.5299999999999997E-2</v>
      </c>
      <c r="F166" s="137">
        <v>104.78</v>
      </c>
      <c r="G166" s="138">
        <v>6.9800000000000001E-2</v>
      </c>
      <c r="H166" s="137">
        <v>111.45</v>
      </c>
      <c r="I166" s="138">
        <v>7.1300000000000002E-2</v>
      </c>
    </row>
    <row r="167" spans="1:9" x14ac:dyDescent="0.35">
      <c r="A167" s="136">
        <v>42985</v>
      </c>
      <c r="B167" s="137">
        <v>103.51</v>
      </c>
      <c r="C167" s="138">
        <v>6.13E-2</v>
      </c>
      <c r="D167" s="137">
        <v>103.25</v>
      </c>
      <c r="E167" s="138">
        <v>6.54E-2</v>
      </c>
      <c r="F167" s="137">
        <v>104.78</v>
      </c>
      <c r="G167" s="138">
        <v>6.9800000000000001E-2</v>
      </c>
      <c r="H167" s="137">
        <v>111.29</v>
      </c>
      <c r="I167" s="138">
        <v>7.1500000000000008E-2</v>
      </c>
    </row>
    <row r="168" spans="1:9" x14ac:dyDescent="0.35">
      <c r="A168" s="136">
        <v>42986</v>
      </c>
      <c r="B168" s="137">
        <v>104.02000000000001</v>
      </c>
      <c r="C168" s="138">
        <v>6.0000000000000005E-2</v>
      </c>
      <c r="D168" s="137">
        <v>104.07000000000001</v>
      </c>
      <c r="E168" s="138">
        <v>6.4299999999999996E-2</v>
      </c>
      <c r="F168" s="137">
        <v>105.81</v>
      </c>
      <c r="G168" s="138">
        <v>6.88E-2</v>
      </c>
      <c r="H168" s="137">
        <v>111.92</v>
      </c>
      <c r="I168" s="138">
        <v>7.0900000000000005E-2</v>
      </c>
    </row>
    <row r="169" spans="1:9" x14ac:dyDescent="0.35">
      <c r="A169" s="133">
        <v>42989</v>
      </c>
      <c r="B169" s="134">
        <v>104.45</v>
      </c>
      <c r="C169" s="135">
        <v>5.9000000000000004E-2</v>
      </c>
      <c r="D169" s="134">
        <v>104.92</v>
      </c>
      <c r="E169" s="135">
        <v>6.3200000000000006E-2</v>
      </c>
      <c r="F169" s="134">
        <v>106.72</v>
      </c>
      <c r="G169" s="135">
        <v>6.7799999999999999E-2</v>
      </c>
      <c r="H169" s="134">
        <v>112.37</v>
      </c>
      <c r="I169" s="135">
        <v>7.0500000000000007E-2</v>
      </c>
    </row>
    <row r="170" spans="1:9" x14ac:dyDescent="0.35">
      <c r="A170" s="133">
        <v>42990</v>
      </c>
      <c r="B170" s="134">
        <v>104.12</v>
      </c>
      <c r="C170" s="135">
        <v>5.9800000000000006E-2</v>
      </c>
      <c r="D170" s="134">
        <v>104.30000000000001</v>
      </c>
      <c r="E170" s="135">
        <v>6.4000000000000001E-2</v>
      </c>
      <c r="F170" s="134">
        <v>106.24000000000001</v>
      </c>
      <c r="G170" s="135">
        <v>6.83E-2</v>
      </c>
      <c r="H170" s="134">
        <v>111.60000000000001</v>
      </c>
      <c r="I170" s="135">
        <v>7.1199999999999999E-2</v>
      </c>
    </row>
    <row r="171" spans="1:9" x14ac:dyDescent="0.35">
      <c r="A171" s="133">
        <v>42991</v>
      </c>
      <c r="B171" s="134">
        <v>104.02000000000001</v>
      </c>
      <c r="C171" s="135">
        <v>6.0000000000000005E-2</v>
      </c>
      <c r="D171" s="134">
        <v>104.03</v>
      </c>
      <c r="E171" s="135">
        <v>6.4399999999999999E-2</v>
      </c>
      <c r="F171" s="134">
        <v>105.17</v>
      </c>
      <c r="G171" s="135">
        <v>6.9400000000000003E-2</v>
      </c>
      <c r="H171" s="134">
        <v>110.67</v>
      </c>
      <c r="I171" s="135">
        <v>7.2099999999999997E-2</v>
      </c>
    </row>
    <row r="172" spans="1:9" x14ac:dyDescent="0.35">
      <c r="A172" s="133">
        <v>42992</v>
      </c>
      <c r="B172" s="134">
        <v>103.85000000000001</v>
      </c>
      <c r="C172" s="135">
        <v>6.0400000000000002E-2</v>
      </c>
      <c r="D172" s="134">
        <v>103.5</v>
      </c>
      <c r="E172" s="135">
        <v>6.5100000000000005E-2</v>
      </c>
      <c r="F172" s="134">
        <v>104.52000000000001</v>
      </c>
      <c r="G172" s="135">
        <v>7.010000000000001E-2</v>
      </c>
      <c r="H172" s="134">
        <v>110.55000000000001</v>
      </c>
      <c r="I172" s="135">
        <v>7.22E-2</v>
      </c>
    </row>
    <row r="173" spans="1:9" x14ac:dyDescent="0.35">
      <c r="A173" s="133">
        <v>42993</v>
      </c>
      <c r="B173" s="134">
        <v>103.74000000000001</v>
      </c>
      <c r="C173" s="135">
        <v>6.0700000000000004E-2</v>
      </c>
      <c r="D173" s="134">
        <v>103.46000000000001</v>
      </c>
      <c r="E173" s="135">
        <v>6.5200000000000008E-2</v>
      </c>
      <c r="F173" s="134">
        <v>104.2</v>
      </c>
      <c r="G173" s="135">
        <v>7.0400000000000004E-2</v>
      </c>
      <c r="H173" s="134">
        <v>109.89</v>
      </c>
      <c r="I173" s="135">
        <v>7.2800000000000004E-2</v>
      </c>
    </row>
    <row r="174" spans="1:9" x14ac:dyDescent="0.35">
      <c r="A174" s="136">
        <v>42996</v>
      </c>
      <c r="B174" s="137">
        <v>103.93</v>
      </c>
      <c r="C174" s="138">
        <v>6.0200000000000004E-2</v>
      </c>
      <c r="D174" s="137">
        <v>103.77000000000001</v>
      </c>
      <c r="E174" s="138">
        <v>6.4700000000000008E-2</v>
      </c>
      <c r="F174" s="137">
        <v>104.57000000000001</v>
      </c>
      <c r="G174" s="138">
        <v>7.010000000000001E-2</v>
      </c>
      <c r="H174" s="137">
        <v>110.24000000000001</v>
      </c>
      <c r="I174" s="138">
        <v>7.2400000000000006E-2</v>
      </c>
    </row>
    <row r="175" spans="1:9" x14ac:dyDescent="0.35">
      <c r="A175" s="136">
        <v>42997</v>
      </c>
      <c r="B175" s="137">
        <v>103.96000000000001</v>
      </c>
      <c r="C175" s="138">
        <v>6.0100000000000001E-2</v>
      </c>
      <c r="D175" s="137">
        <v>103.89</v>
      </c>
      <c r="E175" s="138">
        <v>6.4600000000000005E-2</v>
      </c>
      <c r="F175" s="137">
        <v>104.83</v>
      </c>
      <c r="G175" s="138">
        <v>6.9800000000000001E-2</v>
      </c>
      <c r="H175" s="137">
        <v>110.18</v>
      </c>
      <c r="I175" s="138">
        <v>7.2500000000000009E-2</v>
      </c>
    </row>
    <row r="176" spans="1:9" x14ac:dyDescent="0.35">
      <c r="A176" s="136">
        <v>42998</v>
      </c>
      <c r="B176" s="137">
        <v>104.04</v>
      </c>
      <c r="C176" s="138">
        <v>5.9900000000000002E-2</v>
      </c>
      <c r="D176" s="137">
        <v>104.10000000000001</v>
      </c>
      <c r="E176" s="138">
        <v>6.4299999999999996E-2</v>
      </c>
      <c r="F176" s="137">
        <v>105.05000000000001</v>
      </c>
      <c r="G176" s="138">
        <v>6.9500000000000006E-2</v>
      </c>
      <c r="H176" s="137">
        <v>110.32000000000001</v>
      </c>
      <c r="I176" s="138">
        <v>7.2400000000000006E-2</v>
      </c>
    </row>
    <row r="177" spans="1:9" x14ac:dyDescent="0.35">
      <c r="A177" s="136">
        <v>43000</v>
      </c>
      <c r="B177" s="137">
        <v>103.89</v>
      </c>
      <c r="C177" s="138">
        <v>6.0299999999999999E-2</v>
      </c>
      <c r="D177" s="137">
        <v>103.89</v>
      </c>
      <c r="E177" s="138">
        <v>6.4600000000000005E-2</v>
      </c>
      <c r="F177" s="137">
        <v>105.13000000000001</v>
      </c>
      <c r="G177" s="138">
        <v>6.9500000000000006E-2</v>
      </c>
      <c r="H177" s="137">
        <v>110.13</v>
      </c>
      <c r="I177" s="138">
        <v>7.2500000000000009E-2</v>
      </c>
    </row>
    <row r="178" spans="1:9" x14ac:dyDescent="0.35">
      <c r="A178" s="133">
        <v>43003</v>
      </c>
      <c r="B178" s="134">
        <v>104.98</v>
      </c>
      <c r="C178" s="135">
        <v>5.7600000000000005E-2</v>
      </c>
      <c r="D178" s="134">
        <v>105.56</v>
      </c>
      <c r="E178" s="135">
        <v>6.2300000000000001E-2</v>
      </c>
      <c r="F178" s="134">
        <v>106.96000000000001</v>
      </c>
      <c r="G178" s="135">
        <v>6.7600000000000007E-2</v>
      </c>
      <c r="H178" s="134">
        <v>112.03</v>
      </c>
      <c r="I178" s="135">
        <v>7.0800000000000002E-2</v>
      </c>
    </row>
    <row r="179" spans="1:9" x14ac:dyDescent="0.35">
      <c r="A179" s="133">
        <v>43004</v>
      </c>
      <c r="B179" s="134">
        <v>104.30000000000001</v>
      </c>
      <c r="C179" s="135">
        <v>5.9300000000000005E-2</v>
      </c>
      <c r="D179" s="134">
        <v>104.75</v>
      </c>
      <c r="E179" s="135">
        <v>6.3399999999999998E-2</v>
      </c>
      <c r="F179" s="134">
        <v>105.95</v>
      </c>
      <c r="G179" s="135">
        <v>6.8600000000000008E-2</v>
      </c>
      <c r="H179" s="134">
        <v>110.84</v>
      </c>
      <c r="I179" s="135">
        <v>7.1900000000000006E-2</v>
      </c>
    </row>
    <row r="180" spans="1:9" x14ac:dyDescent="0.35">
      <c r="A180" s="133">
        <v>43005</v>
      </c>
      <c r="B180" s="134">
        <v>104.22</v>
      </c>
      <c r="C180" s="135">
        <v>5.9500000000000004E-2</v>
      </c>
      <c r="D180" s="134">
        <v>104.60000000000001</v>
      </c>
      <c r="E180" s="135">
        <v>6.3600000000000004E-2</v>
      </c>
      <c r="F180" s="134">
        <v>105.38000000000001</v>
      </c>
      <c r="G180" s="135">
        <v>6.9199999999999998E-2</v>
      </c>
      <c r="H180" s="134">
        <v>110.62</v>
      </c>
      <c r="I180" s="135">
        <v>7.2099999999999997E-2</v>
      </c>
    </row>
    <row r="181" spans="1:9" x14ac:dyDescent="0.35">
      <c r="A181" s="133">
        <v>43006</v>
      </c>
      <c r="B181" s="134">
        <v>103.06</v>
      </c>
      <c r="C181" s="135">
        <v>6.2300000000000001E-2</v>
      </c>
      <c r="D181" s="134">
        <v>102.69000000000001</v>
      </c>
      <c r="E181" s="135">
        <v>6.6200000000000009E-2</v>
      </c>
      <c r="F181" s="134">
        <v>102.39</v>
      </c>
      <c r="G181" s="135">
        <v>7.2400000000000006E-2</v>
      </c>
      <c r="H181" s="134">
        <v>107.48</v>
      </c>
      <c r="I181" s="135">
        <v>7.4999999999999997E-2</v>
      </c>
    </row>
    <row r="182" spans="1:9" x14ac:dyDescent="0.35">
      <c r="A182" s="133">
        <v>43007</v>
      </c>
      <c r="B182" s="134">
        <v>103.55000000000001</v>
      </c>
      <c r="C182" s="135">
        <v>6.1100000000000002E-2</v>
      </c>
      <c r="D182" s="134">
        <v>103.80000000000001</v>
      </c>
      <c r="E182" s="135">
        <v>6.4700000000000008E-2</v>
      </c>
      <c r="F182" s="134">
        <v>104.74000000000001</v>
      </c>
      <c r="G182" s="135">
        <v>6.9900000000000004E-2</v>
      </c>
      <c r="H182" s="134">
        <v>109.14</v>
      </c>
      <c r="I182" s="135">
        <v>7.350000000000001E-2</v>
      </c>
    </row>
    <row r="183" spans="1:9" x14ac:dyDescent="0.35">
      <c r="A183" s="136">
        <v>43010</v>
      </c>
      <c r="B183" s="137">
        <v>103.82000000000001</v>
      </c>
      <c r="C183" s="138">
        <v>6.0400000000000002E-2</v>
      </c>
      <c r="D183" s="137">
        <v>104.03</v>
      </c>
      <c r="E183" s="138">
        <v>6.4399999999999999E-2</v>
      </c>
      <c r="F183" s="137">
        <v>104.95</v>
      </c>
      <c r="G183" s="138">
        <v>6.9600000000000009E-2</v>
      </c>
      <c r="H183" s="137">
        <v>110.29</v>
      </c>
      <c r="I183" s="138">
        <v>7.2400000000000006E-2</v>
      </c>
    </row>
    <row r="184" spans="1:9" x14ac:dyDescent="0.35">
      <c r="A184" s="136">
        <v>43011</v>
      </c>
      <c r="B184" s="137">
        <v>103.25</v>
      </c>
      <c r="C184" s="138">
        <v>6.1800000000000001E-2</v>
      </c>
      <c r="D184" s="137">
        <v>103.44000000000001</v>
      </c>
      <c r="E184" s="138">
        <v>6.5200000000000008E-2</v>
      </c>
      <c r="F184" s="137">
        <v>104.21000000000001</v>
      </c>
      <c r="G184" s="138">
        <v>7.0400000000000004E-2</v>
      </c>
      <c r="H184" s="137">
        <v>109.91000000000001</v>
      </c>
      <c r="I184" s="138">
        <v>7.2700000000000001E-2</v>
      </c>
    </row>
    <row r="185" spans="1:9" x14ac:dyDescent="0.35">
      <c r="A185" s="136">
        <v>43012</v>
      </c>
      <c r="B185" s="137">
        <v>103.56</v>
      </c>
      <c r="C185" s="138">
        <v>6.1000000000000006E-2</v>
      </c>
      <c r="D185" s="137">
        <v>103.99000000000001</v>
      </c>
      <c r="E185" s="138">
        <v>6.4399999999999999E-2</v>
      </c>
      <c r="F185" s="137">
        <v>104.18</v>
      </c>
      <c r="G185" s="138">
        <v>7.0500000000000007E-2</v>
      </c>
      <c r="H185" s="137">
        <v>110.11</v>
      </c>
      <c r="I185" s="138">
        <v>7.2599999999999998E-2</v>
      </c>
    </row>
    <row r="186" spans="1:9" x14ac:dyDescent="0.35">
      <c r="A186" s="136">
        <v>43013</v>
      </c>
      <c r="B186" s="137">
        <v>103.5</v>
      </c>
      <c r="C186" s="138">
        <v>6.1200000000000004E-2</v>
      </c>
      <c r="D186" s="137">
        <v>103.86</v>
      </c>
      <c r="E186" s="138">
        <v>6.4600000000000005E-2</v>
      </c>
      <c r="F186" s="137">
        <v>104.07000000000001</v>
      </c>
      <c r="G186" s="138">
        <v>7.0599999999999996E-2</v>
      </c>
      <c r="H186" s="137">
        <v>110.05000000000001</v>
      </c>
      <c r="I186" s="138">
        <v>7.2599999999999998E-2</v>
      </c>
    </row>
    <row r="187" spans="1:9" x14ac:dyDescent="0.35">
      <c r="A187" s="136">
        <v>43014</v>
      </c>
      <c r="B187" s="137">
        <v>103.5</v>
      </c>
      <c r="C187" s="138">
        <v>6.1200000000000004E-2</v>
      </c>
      <c r="D187" s="137">
        <v>103.72</v>
      </c>
      <c r="E187" s="138">
        <v>6.4799999999999996E-2</v>
      </c>
      <c r="F187" s="137">
        <v>103.9</v>
      </c>
      <c r="G187" s="138">
        <v>7.0800000000000002E-2</v>
      </c>
      <c r="H187" s="137">
        <v>109.79</v>
      </c>
      <c r="I187" s="138">
        <v>7.2800000000000004E-2</v>
      </c>
    </row>
    <row r="188" spans="1:9" x14ac:dyDescent="0.35">
      <c r="A188" s="133">
        <v>43017</v>
      </c>
      <c r="B188" s="134">
        <v>103.23</v>
      </c>
      <c r="C188" s="135">
        <v>6.1800000000000001E-2</v>
      </c>
      <c r="D188" s="134">
        <v>103.24000000000001</v>
      </c>
      <c r="E188" s="135">
        <v>6.54E-2</v>
      </c>
      <c r="F188" s="134">
        <v>103.2</v>
      </c>
      <c r="G188" s="135">
        <v>7.1500000000000008E-2</v>
      </c>
      <c r="H188" s="134">
        <v>109.15</v>
      </c>
      <c r="I188" s="135">
        <v>7.3400000000000007E-2</v>
      </c>
    </row>
    <row r="189" spans="1:9" x14ac:dyDescent="0.35">
      <c r="A189" s="133">
        <v>43018</v>
      </c>
      <c r="B189" s="134">
        <v>103.23</v>
      </c>
      <c r="C189" s="135">
        <v>6.1800000000000001E-2</v>
      </c>
      <c r="D189" s="134">
        <v>103.24000000000001</v>
      </c>
      <c r="E189" s="135">
        <v>6.54E-2</v>
      </c>
      <c r="F189" s="134">
        <v>103.2</v>
      </c>
      <c r="G189" s="135">
        <v>7.1500000000000008E-2</v>
      </c>
      <c r="H189" s="134">
        <v>109.15</v>
      </c>
      <c r="I189" s="135">
        <v>7.3400000000000007E-2</v>
      </c>
    </row>
    <row r="190" spans="1:9" x14ac:dyDescent="0.35">
      <c r="A190" s="133">
        <v>43019</v>
      </c>
      <c r="B190" s="134">
        <v>103.08</v>
      </c>
      <c r="C190" s="135">
        <v>6.2200000000000005E-2</v>
      </c>
      <c r="D190" s="134">
        <v>103.16000000000001</v>
      </c>
      <c r="E190" s="135">
        <v>6.5500000000000003E-2</v>
      </c>
      <c r="F190" s="134">
        <v>103.05000000000001</v>
      </c>
      <c r="G190" s="135">
        <v>7.17E-2</v>
      </c>
      <c r="H190" s="134">
        <v>109.03</v>
      </c>
      <c r="I190" s="135">
        <v>7.3599999999999999E-2</v>
      </c>
    </row>
    <row r="191" spans="1:9" x14ac:dyDescent="0.35">
      <c r="A191" s="133">
        <v>43020</v>
      </c>
      <c r="B191" s="134">
        <v>103.02000000000001</v>
      </c>
      <c r="C191" s="135">
        <v>6.2400000000000004E-2</v>
      </c>
      <c r="D191" s="134">
        <v>103.02000000000001</v>
      </c>
      <c r="E191" s="135">
        <v>6.5700000000000008E-2</v>
      </c>
      <c r="F191" s="134">
        <v>103.09</v>
      </c>
      <c r="G191" s="135">
        <v>7.1599999999999997E-2</v>
      </c>
      <c r="H191" s="134">
        <v>109.12</v>
      </c>
      <c r="I191" s="135">
        <v>7.350000000000001E-2</v>
      </c>
    </row>
    <row r="192" spans="1:9" x14ac:dyDescent="0.35">
      <c r="A192" s="133">
        <v>43021</v>
      </c>
      <c r="B192" s="134">
        <v>103.12</v>
      </c>
      <c r="C192" s="135">
        <v>6.2100000000000002E-2</v>
      </c>
      <c r="D192" s="134">
        <v>103.19000000000001</v>
      </c>
      <c r="E192" s="135">
        <v>6.5500000000000003E-2</v>
      </c>
      <c r="F192" s="134">
        <v>103.7</v>
      </c>
      <c r="G192" s="135">
        <v>7.1000000000000008E-2</v>
      </c>
      <c r="H192" s="134">
        <v>109.43</v>
      </c>
      <c r="I192" s="135">
        <v>7.3200000000000001E-2</v>
      </c>
    </row>
    <row r="193" spans="1:9" x14ac:dyDescent="0.35">
      <c r="A193" s="136">
        <v>43024</v>
      </c>
      <c r="B193" s="137">
        <v>103.28</v>
      </c>
      <c r="C193" s="138">
        <v>6.1700000000000005E-2</v>
      </c>
      <c r="D193" s="137">
        <v>103.35000000000001</v>
      </c>
      <c r="E193" s="138">
        <v>6.5299999999999997E-2</v>
      </c>
      <c r="F193" s="137">
        <v>103.87</v>
      </c>
      <c r="G193" s="138">
        <v>7.0800000000000002E-2</v>
      </c>
      <c r="H193" s="137">
        <v>109.73</v>
      </c>
      <c r="I193" s="138">
        <v>7.2900000000000006E-2</v>
      </c>
    </row>
    <row r="194" spans="1:9" x14ac:dyDescent="0.35">
      <c r="A194" s="136">
        <v>43025</v>
      </c>
      <c r="B194" s="137">
        <v>103.16000000000001</v>
      </c>
      <c r="C194" s="138">
        <v>6.2E-2</v>
      </c>
      <c r="D194" s="137">
        <v>103.13000000000001</v>
      </c>
      <c r="E194" s="138">
        <v>6.5600000000000006E-2</v>
      </c>
      <c r="F194" s="137">
        <v>103.91000000000001</v>
      </c>
      <c r="G194" s="138">
        <v>7.0699999999999999E-2</v>
      </c>
      <c r="H194" s="137">
        <v>109.60000000000001</v>
      </c>
      <c r="I194" s="138">
        <v>7.3000000000000009E-2</v>
      </c>
    </row>
    <row r="195" spans="1:9" x14ac:dyDescent="0.35">
      <c r="A195" s="136">
        <v>43026</v>
      </c>
      <c r="B195" s="137">
        <v>103.02000000000001</v>
      </c>
      <c r="C195" s="138">
        <v>6.2300000000000001E-2</v>
      </c>
      <c r="D195" s="137">
        <v>102.65</v>
      </c>
      <c r="E195" s="138">
        <v>6.6299999999999998E-2</v>
      </c>
      <c r="F195" s="137">
        <v>103.4</v>
      </c>
      <c r="G195" s="138">
        <v>7.1300000000000002E-2</v>
      </c>
      <c r="H195" s="137">
        <v>109</v>
      </c>
      <c r="I195" s="138">
        <v>7.3599999999999999E-2</v>
      </c>
    </row>
    <row r="196" spans="1:9" x14ac:dyDescent="0.35">
      <c r="A196" s="136">
        <v>43027</v>
      </c>
      <c r="B196" s="137">
        <v>103.10000000000001</v>
      </c>
      <c r="C196" s="138">
        <v>6.2100000000000002E-2</v>
      </c>
      <c r="D196" s="137">
        <v>102.7</v>
      </c>
      <c r="E196" s="138">
        <v>6.6200000000000009E-2</v>
      </c>
      <c r="F196" s="137">
        <v>103.56</v>
      </c>
      <c r="G196" s="138">
        <v>7.1099999999999997E-2</v>
      </c>
      <c r="H196" s="137">
        <v>108.83</v>
      </c>
      <c r="I196" s="138">
        <v>7.3700000000000002E-2</v>
      </c>
    </row>
    <row r="197" spans="1:9" x14ac:dyDescent="0.35">
      <c r="A197" s="136">
        <v>43028</v>
      </c>
      <c r="B197" s="137">
        <v>103.12</v>
      </c>
      <c r="C197" s="138">
        <v>6.2100000000000002E-2</v>
      </c>
      <c r="D197" s="137">
        <v>102.82000000000001</v>
      </c>
      <c r="E197" s="138">
        <v>6.6000000000000003E-2</v>
      </c>
      <c r="F197" s="137">
        <v>103.58</v>
      </c>
      <c r="G197" s="138">
        <v>7.1099999999999997E-2</v>
      </c>
      <c r="H197" s="137">
        <v>109.31</v>
      </c>
      <c r="I197" s="138">
        <v>7.3300000000000004E-2</v>
      </c>
    </row>
    <row r="198" spans="1:9" x14ac:dyDescent="0.35">
      <c r="A198" s="133">
        <v>43031</v>
      </c>
      <c r="B198" s="134">
        <v>102.78</v>
      </c>
      <c r="C198" s="135">
        <v>6.2899999999999998E-2</v>
      </c>
      <c r="D198" s="134">
        <v>102.27000000000001</v>
      </c>
      <c r="E198" s="135">
        <v>6.6799999999999998E-2</v>
      </c>
      <c r="F198" s="134">
        <v>102.77000000000001</v>
      </c>
      <c r="G198" s="135">
        <v>7.2000000000000008E-2</v>
      </c>
      <c r="H198" s="134">
        <v>108.52000000000001</v>
      </c>
      <c r="I198" s="135">
        <v>7.3999999999999996E-2</v>
      </c>
    </row>
    <row r="199" spans="1:9" x14ac:dyDescent="0.35">
      <c r="A199" s="133">
        <v>43032</v>
      </c>
      <c r="B199" s="134">
        <v>102.72</v>
      </c>
      <c r="C199" s="135">
        <v>6.3100000000000003E-2</v>
      </c>
      <c r="D199" s="134">
        <v>102.11</v>
      </c>
      <c r="E199" s="135">
        <v>6.7000000000000004E-2</v>
      </c>
      <c r="F199" s="134">
        <v>102.35000000000001</v>
      </c>
      <c r="G199" s="135">
        <v>7.2400000000000006E-2</v>
      </c>
      <c r="H199" s="134">
        <v>107.82000000000001</v>
      </c>
      <c r="I199" s="135">
        <v>7.4700000000000003E-2</v>
      </c>
    </row>
    <row r="200" spans="1:9" x14ac:dyDescent="0.35">
      <c r="A200" s="133">
        <v>43033</v>
      </c>
      <c r="B200" s="134">
        <v>102.42</v>
      </c>
      <c r="C200" s="135">
        <v>6.3800000000000009E-2</v>
      </c>
      <c r="D200" s="134">
        <v>101.48</v>
      </c>
      <c r="E200" s="135">
        <v>6.7900000000000002E-2</v>
      </c>
      <c r="F200" s="134">
        <v>101.46000000000001</v>
      </c>
      <c r="G200" s="135">
        <v>7.3400000000000007E-2</v>
      </c>
      <c r="H200" s="134">
        <v>107.4</v>
      </c>
      <c r="I200" s="135">
        <v>7.51E-2</v>
      </c>
    </row>
    <row r="201" spans="1:9" x14ac:dyDescent="0.35">
      <c r="A201" s="133">
        <v>43034</v>
      </c>
      <c r="B201" s="134">
        <v>102.31</v>
      </c>
      <c r="C201" s="135">
        <v>6.4100000000000004E-2</v>
      </c>
      <c r="D201" s="134">
        <v>101.08</v>
      </c>
      <c r="E201" s="135">
        <v>6.8500000000000005E-2</v>
      </c>
      <c r="F201" s="134">
        <v>101.06</v>
      </c>
      <c r="G201" s="135">
        <v>7.3800000000000004E-2</v>
      </c>
      <c r="H201" s="134">
        <v>107.15</v>
      </c>
      <c r="I201" s="135">
        <v>7.5300000000000006E-2</v>
      </c>
    </row>
    <row r="202" spans="1:9" x14ac:dyDescent="0.35">
      <c r="A202" s="133">
        <v>43035</v>
      </c>
      <c r="B202" s="134">
        <v>102.18</v>
      </c>
      <c r="C202" s="135">
        <v>6.4399999999999999E-2</v>
      </c>
      <c r="D202" s="134">
        <v>101.33</v>
      </c>
      <c r="E202" s="135">
        <v>6.8100000000000008E-2</v>
      </c>
      <c r="F202" s="134">
        <v>101.18</v>
      </c>
      <c r="G202" s="135">
        <v>7.3700000000000002E-2</v>
      </c>
      <c r="H202" s="134">
        <v>107.29</v>
      </c>
      <c r="I202" s="135">
        <v>7.5200000000000003E-2</v>
      </c>
    </row>
    <row r="203" spans="1:9" x14ac:dyDescent="0.35">
      <c r="A203" s="136">
        <v>43038</v>
      </c>
      <c r="B203" s="137">
        <v>102.25</v>
      </c>
      <c r="C203" s="138">
        <v>6.4200000000000007E-2</v>
      </c>
      <c r="D203" s="137">
        <v>101.48</v>
      </c>
      <c r="E203" s="138">
        <v>6.7900000000000002E-2</v>
      </c>
      <c r="F203" s="137">
        <v>101.38000000000001</v>
      </c>
      <c r="G203" s="138">
        <v>7.350000000000001E-2</v>
      </c>
      <c r="H203" s="137">
        <v>107.43</v>
      </c>
      <c r="I203" s="138">
        <v>7.51E-2</v>
      </c>
    </row>
    <row r="204" spans="1:9" x14ac:dyDescent="0.35">
      <c r="A204" s="136">
        <v>43039</v>
      </c>
      <c r="B204" s="137">
        <v>102.25</v>
      </c>
      <c r="C204" s="138">
        <v>6.4200000000000007E-2</v>
      </c>
      <c r="D204" s="137">
        <v>101.36</v>
      </c>
      <c r="E204" s="138">
        <v>6.8100000000000008E-2</v>
      </c>
      <c r="F204" s="137">
        <v>101.31</v>
      </c>
      <c r="G204" s="138">
        <v>7.3599999999999999E-2</v>
      </c>
      <c r="H204" s="137">
        <v>107.4</v>
      </c>
      <c r="I204" s="138">
        <v>7.51E-2</v>
      </c>
    </row>
    <row r="205" spans="1:9" x14ac:dyDescent="0.35">
      <c r="A205" s="136">
        <v>43040</v>
      </c>
      <c r="B205" s="137">
        <v>102.36</v>
      </c>
      <c r="C205" s="138">
        <v>6.4000000000000001E-2</v>
      </c>
      <c r="D205" s="137">
        <v>101.92</v>
      </c>
      <c r="E205" s="138">
        <v>6.7299999999999999E-2</v>
      </c>
      <c r="F205" s="137">
        <v>102.11</v>
      </c>
      <c r="G205" s="138">
        <v>7.2700000000000001E-2</v>
      </c>
      <c r="H205" s="137">
        <v>108.18</v>
      </c>
      <c r="I205" s="138">
        <v>7.4300000000000005E-2</v>
      </c>
    </row>
    <row r="206" spans="1:9" x14ac:dyDescent="0.35">
      <c r="A206" s="136">
        <v>43041</v>
      </c>
      <c r="B206" s="137">
        <v>102.61</v>
      </c>
      <c r="C206" s="138">
        <v>6.3300000000000009E-2</v>
      </c>
      <c r="D206" s="137">
        <v>102.05000000000001</v>
      </c>
      <c r="E206" s="138">
        <v>6.7100000000000007E-2</v>
      </c>
      <c r="F206" s="137">
        <v>102.4</v>
      </c>
      <c r="G206" s="138">
        <v>7.2400000000000006E-2</v>
      </c>
      <c r="H206" s="137">
        <v>108.36</v>
      </c>
      <c r="I206" s="138">
        <v>7.4200000000000002E-2</v>
      </c>
    </row>
    <row r="207" spans="1:9" x14ac:dyDescent="0.35">
      <c r="A207" s="136">
        <v>43042</v>
      </c>
      <c r="B207" s="137">
        <v>102.91000000000001</v>
      </c>
      <c r="C207" s="138">
        <v>6.2600000000000003E-2</v>
      </c>
      <c r="D207" s="137">
        <v>102.74000000000001</v>
      </c>
      <c r="E207" s="138">
        <v>6.6100000000000006E-2</v>
      </c>
      <c r="F207" s="137">
        <v>103.65</v>
      </c>
      <c r="G207" s="138">
        <v>7.1000000000000008E-2</v>
      </c>
      <c r="H207" s="137">
        <v>109.63000000000001</v>
      </c>
      <c r="I207" s="138">
        <v>7.3000000000000009E-2</v>
      </c>
    </row>
    <row r="208" spans="1:9" x14ac:dyDescent="0.35">
      <c r="A208" s="133">
        <v>43045</v>
      </c>
      <c r="B208" s="134">
        <v>102.83</v>
      </c>
      <c r="C208" s="135">
        <v>6.2800000000000009E-2</v>
      </c>
      <c r="D208" s="134">
        <v>102.61</v>
      </c>
      <c r="E208" s="135">
        <v>6.6299999999999998E-2</v>
      </c>
      <c r="F208" s="134">
        <v>103.79</v>
      </c>
      <c r="G208" s="135">
        <v>7.0900000000000005E-2</v>
      </c>
      <c r="H208" s="134">
        <v>109.76</v>
      </c>
      <c r="I208" s="135">
        <v>7.2900000000000006E-2</v>
      </c>
    </row>
    <row r="209" spans="1:9" x14ac:dyDescent="0.35">
      <c r="A209" s="133">
        <v>43046</v>
      </c>
      <c r="B209" s="134">
        <v>102.82000000000001</v>
      </c>
      <c r="C209" s="135">
        <v>6.2800000000000009E-2</v>
      </c>
      <c r="D209" s="134">
        <v>102.59</v>
      </c>
      <c r="E209" s="135">
        <v>6.6299999999999998E-2</v>
      </c>
      <c r="F209" s="134">
        <v>103.81</v>
      </c>
      <c r="G209" s="135">
        <v>7.0800000000000002E-2</v>
      </c>
      <c r="H209" s="134">
        <v>109.75</v>
      </c>
      <c r="I209" s="135">
        <v>7.2900000000000006E-2</v>
      </c>
    </row>
    <row r="210" spans="1:9" x14ac:dyDescent="0.35">
      <c r="A210" s="133">
        <v>43047</v>
      </c>
      <c r="B210" s="134">
        <v>102.84</v>
      </c>
      <c r="C210" s="135">
        <v>6.2700000000000006E-2</v>
      </c>
      <c r="D210" s="134">
        <v>102.7</v>
      </c>
      <c r="E210" s="135">
        <v>6.6200000000000009E-2</v>
      </c>
      <c r="F210" s="134">
        <v>103.87</v>
      </c>
      <c r="G210" s="135">
        <v>7.0800000000000002E-2</v>
      </c>
      <c r="H210" s="134">
        <v>109.83</v>
      </c>
      <c r="I210" s="135">
        <v>7.2800000000000004E-2</v>
      </c>
    </row>
    <row r="211" spans="1:9" x14ac:dyDescent="0.35">
      <c r="A211" s="133">
        <v>43048</v>
      </c>
      <c r="B211" s="134">
        <v>102.91000000000001</v>
      </c>
      <c r="C211" s="135">
        <v>6.25E-2</v>
      </c>
      <c r="D211" s="134">
        <v>102.66000000000001</v>
      </c>
      <c r="E211" s="135">
        <v>6.6200000000000009E-2</v>
      </c>
      <c r="F211" s="134">
        <v>103.85000000000001</v>
      </c>
      <c r="G211" s="135">
        <v>7.0800000000000002E-2</v>
      </c>
      <c r="H211" s="134">
        <v>109.78</v>
      </c>
      <c r="I211" s="135">
        <v>7.2800000000000004E-2</v>
      </c>
    </row>
    <row r="212" spans="1:9" x14ac:dyDescent="0.35">
      <c r="A212" s="133">
        <v>43049</v>
      </c>
      <c r="B212" s="134">
        <v>102.93</v>
      </c>
      <c r="C212" s="135">
        <v>6.25E-2</v>
      </c>
      <c r="D212" s="134">
        <v>102.72</v>
      </c>
      <c r="E212" s="135">
        <v>6.6100000000000006E-2</v>
      </c>
      <c r="F212" s="134">
        <v>103.78</v>
      </c>
      <c r="G212" s="135">
        <v>7.0900000000000005E-2</v>
      </c>
      <c r="H212" s="134">
        <v>109.84</v>
      </c>
      <c r="I212" s="135">
        <v>7.2800000000000004E-2</v>
      </c>
    </row>
    <row r="213" spans="1:9" x14ac:dyDescent="0.35">
      <c r="A213" s="136">
        <v>43052</v>
      </c>
      <c r="B213" s="137">
        <v>102.7</v>
      </c>
      <c r="C213" s="138">
        <v>6.3100000000000003E-2</v>
      </c>
      <c r="D213" s="137">
        <v>102.33</v>
      </c>
      <c r="E213" s="138">
        <v>6.6700000000000009E-2</v>
      </c>
      <c r="F213" s="137">
        <v>103.44000000000001</v>
      </c>
      <c r="G213" s="138">
        <v>7.1199999999999999E-2</v>
      </c>
      <c r="H213" s="137">
        <v>109.18</v>
      </c>
      <c r="I213" s="138">
        <v>7.3400000000000007E-2</v>
      </c>
    </row>
    <row r="214" spans="1:9" x14ac:dyDescent="0.35">
      <c r="A214" s="136">
        <v>43053</v>
      </c>
      <c r="B214" s="137">
        <v>102.69000000000001</v>
      </c>
      <c r="C214" s="138">
        <v>6.3100000000000003E-2</v>
      </c>
      <c r="D214" s="137">
        <v>102.27000000000001</v>
      </c>
      <c r="E214" s="138">
        <v>6.6799999999999998E-2</v>
      </c>
      <c r="F214" s="137">
        <v>103.30000000000001</v>
      </c>
      <c r="G214" s="138">
        <v>7.1400000000000005E-2</v>
      </c>
      <c r="H214" s="137">
        <v>109.42</v>
      </c>
      <c r="I214" s="138">
        <v>7.3200000000000001E-2</v>
      </c>
    </row>
    <row r="215" spans="1:9" x14ac:dyDescent="0.35">
      <c r="A215" s="136">
        <v>43054</v>
      </c>
      <c r="B215" s="137">
        <v>102.88000000000001</v>
      </c>
      <c r="C215" s="138">
        <v>6.2600000000000003E-2</v>
      </c>
      <c r="D215" s="137">
        <v>102.6</v>
      </c>
      <c r="E215" s="138">
        <v>6.6299999999999998E-2</v>
      </c>
      <c r="F215" s="137">
        <v>103.51</v>
      </c>
      <c r="G215" s="138">
        <v>7.1199999999999999E-2</v>
      </c>
      <c r="H215" s="137">
        <v>109.56</v>
      </c>
      <c r="I215" s="138">
        <v>7.3000000000000009E-2</v>
      </c>
    </row>
    <row r="216" spans="1:9" x14ac:dyDescent="0.35">
      <c r="A216" s="136">
        <v>43055</v>
      </c>
      <c r="B216" s="137">
        <v>102.91000000000001</v>
      </c>
      <c r="C216" s="138">
        <v>6.25E-2</v>
      </c>
      <c r="D216" s="137">
        <v>102.48</v>
      </c>
      <c r="E216" s="138">
        <v>6.6500000000000004E-2</v>
      </c>
      <c r="F216" s="137">
        <v>103.44000000000001</v>
      </c>
      <c r="G216" s="138">
        <v>7.1199999999999999E-2</v>
      </c>
      <c r="H216" s="137">
        <v>109.4</v>
      </c>
      <c r="I216" s="138">
        <v>7.3200000000000001E-2</v>
      </c>
    </row>
    <row r="217" spans="1:9" x14ac:dyDescent="0.35">
      <c r="A217" s="136">
        <v>43056</v>
      </c>
      <c r="B217" s="137">
        <v>103.09</v>
      </c>
      <c r="C217" s="138">
        <v>6.2100000000000002E-2</v>
      </c>
      <c r="D217" s="137">
        <v>102.76</v>
      </c>
      <c r="E217" s="138">
        <v>6.6100000000000006E-2</v>
      </c>
      <c r="F217" s="137">
        <v>103.65</v>
      </c>
      <c r="G217" s="138">
        <v>7.1000000000000008E-2</v>
      </c>
      <c r="H217" s="137">
        <v>109.86</v>
      </c>
      <c r="I217" s="138">
        <v>7.2800000000000004E-2</v>
      </c>
    </row>
    <row r="218" spans="1:9" x14ac:dyDescent="0.35">
      <c r="A218" s="133">
        <v>43059</v>
      </c>
      <c r="B218" s="134">
        <v>103.16000000000001</v>
      </c>
      <c r="C218" s="135">
        <v>6.1900000000000004E-2</v>
      </c>
      <c r="D218" s="134">
        <v>102.86</v>
      </c>
      <c r="E218" s="135">
        <v>6.59E-2</v>
      </c>
      <c r="F218" s="134">
        <v>103.80000000000001</v>
      </c>
      <c r="G218" s="135">
        <v>7.0800000000000002E-2</v>
      </c>
      <c r="H218" s="134">
        <v>109.78</v>
      </c>
      <c r="I218" s="135">
        <v>7.2800000000000004E-2</v>
      </c>
    </row>
    <row r="219" spans="1:9" x14ac:dyDescent="0.35">
      <c r="A219" s="133">
        <v>43060</v>
      </c>
      <c r="B219" s="134">
        <v>103.21000000000001</v>
      </c>
      <c r="C219" s="135">
        <v>6.1700000000000005E-2</v>
      </c>
      <c r="D219" s="134">
        <v>102.89</v>
      </c>
      <c r="E219" s="135">
        <v>6.59E-2</v>
      </c>
      <c r="F219" s="134">
        <v>103.96000000000001</v>
      </c>
      <c r="G219" s="135">
        <v>7.0699999999999999E-2</v>
      </c>
      <c r="H219" s="134">
        <v>109.74000000000001</v>
      </c>
      <c r="I219" s="135">
        <v>7.2900000000000006E-2</v>
      </c>
    </row>
    <row r="220" spans="1:9" x14ac:dyDescent="0.35">
      <c r="A220" s="133">
        <v>43061</v>
      </c>
      <c r="B220" s="134">
        <v>103.24000000000001</v>
      </c>
      <c r="C220" s="135">
        <v>6.1600000000000002E-2</v>
      </c>
      <c r="D220" s="134">
        <v>103</v>
      </c>
      <c r="E220" s="135">
        <v>6.5700000000000008E-2</v>
      </c>
      <c r="F220" s="134">
        <v>104.03</v>
      </c>
      <c r="G220" s="135">
        <v>7.0599999999999996E-2</v>
      </c>
      <c r="H220" s="134">
        <v>109.82000000000001</v>
      </c>
      <c r="I220" s="135">
        <v>7.2800000000000004E-2</v>
      </c>
    </row>
    <row r="221" spans="1:9" x14ac:dyDescent="0.35">
      <c r="A221" s="133">
        <v>43062</v>
      </c>
      <c r="B221" s="134">
        <v>103.42</v>
      </c>
      <c r="C221" s="135">
        <v>6.1200000000000004E-2</v>
      </c>
      <c r="D221" s="134">
        <v>103.13000000000001</v>
      </c>
      <c r="E221" s="135">
        <v>6.5600000000000006E-2</v>
      </c>
      <c r="F221" s="134">
        <v>104.06</v>
      </c>
      <c r="G221" s="135">
        <v>7.0599999999999996E-2</v>
      </c>
      <c r="H221" s="134">
        <v>109.96000000000001</v>
      </c>
      <c r="I221" s="135">
        <v>7.2700000000000001E-2</v>
      </c>
    </row>
    <row r="222" spans="1:9" x14ac:dyDescent="0.35">
      <c r="A222" s="133">
        <v>43063</v>
      </c>
      <c r="B222" s="134">
        <v>103.57000000000001</v>
      </c>
      <c r="C222" s="135">
        <v>6.08E-2</v>
      </c>
      <c r="D222" s="134">
        <v>103.37</v>
      </c>
      <c r="E222" s="135">
        <v>6.5200000000000008E-2</v>
      </c>
      <c r="F222" s="134">
        <v>104.17</v>
      </c>
      <c r="G222" s="135">
        <v>7.0400000000000004E-2</v>
      </c>
      <c r="H222" s="134">
        <v>109.98</v>
      </c>
      <c r="I222" s="135">
        <v>7.2599999999999998E-2</v>
      </c>
    </row>
    <row r="223" spans="1:9" x14ac:dyDescent="0.35">
      <c r="A223" s="136">
        <v>43066</v>
      </c>
      <c r="B223" s="137">
        <v>103.59</v>
      </c>
      <c r="C223" s="138">
        <v>6.0700000000000004E-2</v>
      </c>
      <c r="D223" s="137">
        <v>103.24000000000001</v>
      </c>
      <c r="E223" s="138">
        <v>6.54E-2</v>
      </c>
      <c r="F223" s="137">
        <v>104.08</v>
      </c>
      <c r="G223" s="138">
        <v>7.0500000000000007E-2</v>
      </c>
      <c r="H223" s="137">
        <v>109.93</v>
      </c>
      <c r="I223" s="138">
        <v>7.2700000000000001E-2</v>
      </c>
    </row>
    <row r="224" spans="1:9" x14ac:dyDescent="0.35">
      <c r="A224" s="136">
        <v>43067</v>
      </c>
      <c r="B224" s="137">
        <v>103.46000000000001</v>
      </c>
      <c r="C224" s="138">
        <v>6.1100000000000002E-2</v>
      </c>
      <c r="D224" s="137">
        <v>102.87</v>
      </c>
      <c r="E224" s="138">
        <v>6.59E-2</v>
      </c>
      <c r="F224" s="137">
        <v>103.78</v>
      </c>
      <c r="G224" s="138">
        <v>7.0900000000000005E-2</v>
      </c>
      <c r="H224" s="137">
        <v>109.57000000000001</v>
      </c>
      <c r="I224" s="138">
        <v>7.3000000000000009E-2</v>
      </c>
    </row>
    <row r="225" spans="1:9" x14ac:dyDescent="0.35">
      <c r="A225" s="136">
        <v>43068</v>
      </c>
      <c r="B225" s="137">
        <v>103.81</v>
      </c>
      <c r="C225" s="138">
        <v>6.0200000000000004E-2</v>
      </c>
      <c r="D225" s="137">
        <v>103.55000000000001</v>
      </c>
      <c r="E225" s="138">
        <v>6.5000000000000002E-2</v>
      </c>
      <c r="F225" s="137">
        <v>104.47</v>
      </c>
      <c r="G225" s="138">
        <v>7.010000000000001E-2</v>
      </c>
      <c r="H225" s="137">
        <v>110.31</v>
      </c>
      <c r="I225" s="138">
        <v>7.2300000000000003E-2</v>
      </c>
    </row>
    <row r="226" spans="1:9" x14ac:dyDescent="0.35">
      <c r="A226" s="136">
        <v>43069</v>
      </c>
      <c r="B226" s="137">
        <v>103.84</v>
      </c>
      <c r="C226" s="138">
        <v>6.0100000000000001E-2</v>
      </c>
      <c r="D226" s="137">
        <v>103.62</v>
      </c>
      <c r="E226" s="138">
        <v>6.4899999999999999E-2</v>
      </c>
      <c r="F226" s="137">
        <v>104.45</v>
      </c>
      <c r="G226" s="138">
        <v>7.010000000000001E-2</v>
      </c>
      <c r="H226" s="137">
        <v>110.36</v>
      </c>
      <c r="I226" s="138">
        <v>7.2300000000000003E-2</v>
      </c>
    </row>
    <row r="227" spans="1:9" x14ac:dyDescent="0.35">
      <c r="A227" s="133">
        <v>43073</v>
      </c>
      <c r="B227" s="134">
        <v>103.95</v>
      </c>
      <c r="C227" s="135">
        <v>5.9800000000000006E-2</v>
      </c>
      <c r="D227" s="134">
        <v>103.53</v>
      </c>
      <c r="E227" s="135">
        <v>6.5000000000000002E-2</v>
      </c>
      <c r="F227" s="134">
        <v>104.26</v>
      </c>
      <c r="G227" s="135">
        <v>7.0300000000000001E-2</v>
      </c>
      <c r="H227" s="134">
        <v>110.32000000000001</v>
      </c>
      <c r="I227" s="135">
        <v>7.2300000000000003E-2</v>
      </c>
    </row>
    <row r="228" spans="1:9" x14ac:dyDescent="0.35">
      <c r="A228" s="133">
        <v>43074</v>
      </c>
      <c r="B228" s="134">
        <v>103.8</v>
      </c>
      <c r="C228" s="135">
        <v>6.0200000000000004E-2</v>
      </c>
      <c r="D228" s="134">
        <v>103.49000000000001</v>
      </c>
      <c r="E228" s="135">
        <v>6.5000000000000002E-2</v>
      </c>
      <c r="F228" s="134">
        <v>104.16000000000001</v>
      </c>
      <c r="G228" s="135">
        <v>7.0400000000000004E-2</v>
      </c>
      <c r="H228" s="134">
        <v>110.2</v>
      </c>
      <c r="I228" s="135">
        <v>7.2400000000000006E-2</v>
      </c>
    </row>
    <row r="229" spans="1:9" x14ac:dyDescent="0.35">
      <c r="A229" s="133">
        <v>43075</v>
      </c>
      <c r="B229" s="134">
        <v>103.83</v>
      </c>
      <c r="C229" s="135">
        <v>6.0100000000000001E-2</v>
      </c>
      <c r="D229" s="134">
        <v>103.55</v>
      </c>
      <c r="E229" s="135">
        <v>6.5000000000000002E-2</v>
      </c>
      <c r="F229" s="134">
        <v>104.23</v>
      </c>
      <c r="G229" s="135">
        <v>7.0400000000000004E-2</v>
      </c>
      <c r="H229" s="134">
        <v>110.26</v>
      </c>
      <c r="I229" s="135">
        <v>7.2400000000000006E-2</v>
      </c>
    </row>
    <row r="230" spans="1:9" x14ac:dyDescent="0.35">
      <c r="A230" s="133">
        <v>43076</v>
      </c>
      <c r="B230" s="134">
        <v>103.80000000000001</v>
      </c>
      <c r="C230" s="135">
        <v>6.0100000000000001E-2</v>
      </c>
      <c r="D230" s="134">
        <v>103.41000000000001</v>
      </c>
      <c r="E230" s="135">
        <v>6.5100000000000005E-2</v>
      </c>
      <c r="F230" s="134">
        <v>104.10000000000001</v>
      </c>
      <c r="G230" s="135">
        <v>7.0500000000000007E-2</v>
      </c>
      <c r="H230" s="134">
        <v>110.15</v>
      </c>
      <c r="I230" s="135">
        <v>7.2500000000000009E-2</v>
      </c>
    </row>
    <row r="231" spans="1:9" x14ac:dyDescent="0.35">
      <c r="A231" s="133">
        <v>43077</v>
      </c>
      <c r="B231" s="134">
        <v>103.76</v>
      </c>
      <c r="C231" s="135">
        <v>6.0200000000000004E-2</v>
      </c>
      <c r="D231" s="134">
        <v>103.24000000000001</v>
      </c>
      <c r="E231" s="135">
        <v>6.54E-2</v>
      </c>
      <c r="F231" s="134">
        <v>104.02000000000001</v>
      </c>
      <c r="G231" s="135">
        <v>7.0599999999999996E-2</v>
      </c>
      <c r="H231" s="134">
        <v>110.08</v>
      </c>
      <c r="I231" s="135">
        <v>7.2500000000000009E-2</v>
      </c>
    </row>
    <row r="232" spans="1:9" x14ac:dyDescent="0.35">
      <c r="A232" s="136">
        <v>43080</v>
      </c>
      <c r="B232" s="137">
        <v>103.77000000000001</v>
      </c>
      <c r="C232" s="138">
        <v>6.0200000000000004E-2</v>
      </c>
      <c r="D232" s="137">
        <v>103.31</v>
      </c>
      <c r="E232" s="138">
        <v>6.5299999999999997E-2</v>
      </c>
      <c r="F232" s="137">
        <v>103.98</v>
      </c>
      <c r="G232" s="138">
        <v>7.0599999999999996E-2</v>
      </c>
      <c r="H232" s="137">
        <v>110.01</v>
      </c>
      <c r="I232" s="138">
        <v>7.2599999999999998E-2</v>
      </c>
    </row>
    <row r="233" spans="1:9" x14ac:dyDescent="0.35">
      <c r="A233" s="136">
        <v>43081</v>
      </c>
      <c r="B233" s="137">
        <v>103.83</v>
      </c>
      <c r="C233" s="138">
        <v>6.0000000000000005E-2</v>
      </c>
      <c r="D233" s="137">
        <v>103.58</v>
      </c>
      <c r="E233" s="138">
        <v>6.4899999999999999E-2</v>
      </c>
      <c r="F233" s="137">
        <v>104.2</v>
      </c>
      <c r="G233" s="138">
        <v>7.0400000000000004E-2</v>
      </c>
      <c r="H233" s="137">
        <v>110.30000000000001</v>
      </c>
      <c r="I233" s="138">
        <v>7.2300000000000003E-2</v>
      </c>
    </row>
    <row r="234" spans="1:9" x14ac:dyDescent="0.35">
      <c r="A234" s="136">
        <v>43082</v>
      </c>
      <c r="B234" s="137">
        <v>103.73</v>
      </c>
      <c r="C234" s="138">
        <v>6.0299999999999999E-2</v>
      </c>
      <c r="D234" s="137">
        <v>103.47</v>
      </c>
      <c r="E234" s="138">
        <v>6.5100000000000005E-2</v>
      </c>
      <c r="F234" s="137">
        <v>104.02000000000001</v>
      </c>
      <c r="G234" s="138">
        <v>7.0599999999999996E-2</v>
      </c>
      <c r="H234" s="137">
        <v>110.06</v>
      </c>
      <c r="I234" s="138">
        <v>7.2599999999999998E-2</v>
      </c>
    </row>
    <row r="235" spans="1:9" x14ac:dyDescent="0.35">
      <c r="A235" s="136">
        <v>43083</v>
      </c>
      <c r="B235" s="137">
        <v>103.80000000000001</v>
      </c>
      <c r="C235" s="138">
        <v>6.0100000000000001E-2</v>
      </c>
      <c r="D235" s="137">
        <v>103.59</v>
      </c>
      <c r="E235" s="138">
        <v>6.4899999999999999E-2</v>
      </c>
      <c r="F235" s="137">
        <v>104.05</v>
      </c>
      <c r="G235" s="138">
        <v>7.0599999999999996E-2</v>
      </c>
      <c r="H235" s="137">
        <v>110.17</v>
      </c>
      <c r="I235" s="138">
        <v>7.2500000000000009E-2</v>
      </c>
    </row>
    <row r="236" spans="1:9" x14ac:dyDescent="0.35">
      <c r="A236" s="136">
        <v>43084</v>
      </c>
      <c r="B236" s="137">
        <v>103.82000000000001</v>
      </c>
      <c r="C236" s="138">
        <v>6.0000000000000005E-2</v>
      </c>
      <c r="D236" s="137">
        <v>103.71000000000001</v>
      </c>
      <c r="E236" s="138">
        <v>6.4700000000000008E-2</v>
      </c>
      <c r="F236" s="137">
        <v>104.21000000000001</v>
      </c>
      <c r="G236" s="138">
        <v>7.0400000000000004E-2</v>
      </c>
      <c r="H236" s="137">
        <v>110.16000000000001</v>
      </c>
      <c r="I236" s="138">
        <v>7.2500000000000009E-2</v>
      </c>
    </row>
    <row r="237" spans="1:9" x14ac:dyDescent="0.35">
      <c r="A237" s="133">
        <v>43087</v>
      </c>
      <c r="B237" s="134">
        <v>103.80000000000001</v>
      </c>
      <c r="C237" s="135">
        <v>6.0100000000000001E-2</v>
      </c>
      <c r="D237" s="134">
        <v>103.63000000000001</v>
      </c>
      <c r="E237" s="135">
        <v>6.4799999999999996E-2</v>
      </c>
      <c r="F237" s="134">
        <v>104.17</v>
      </c>
      <c r="G237" s="135">
        <v>7.0400000000000004E-2</v>
      </c>
      <c r="H237" s="134">
        <v>110.21000000000001</v>
      </c>
      <c r="I237" s="135">
        <v>7.2400000000000006E-2</v>
      </c>
    </row>
    <row r="238" spans="1:9" x14ac:dyDescent="0.35">
      <c r="A238" s="133">
        <v>43088</v>
      </c>
      <c r="B238" s="134">
        <v>103.78</v>
      </c>
      <c r="C238" s="135">
        <v>6.0100000000000001E-2</v>
      </c>
      <c r="D238" s="134">
        <v>103.69000000000001</v>
      </c>
      <c r="E238" s="135">
        <v>6.4700000000000008E-2</v>
      </c>
      <c r="F238" s="134">
        <v>104.22</v>
      </c>
      <c r="G238" s="135">
        <v>7.0400000000000004E-2</v>
      </c>
      <c r="H238" s="134">
        <v>110.23</v>
      </c>
      <c r="I238" s="135">
        <v>7.2400000000000006E-2</v>
      </c>
    </row>
    <row r="239" spans="1:9" x14ac:dyDescent="0.35">
      <c r="A239" s="133">
        <v>43089</v>
      </c>
      <c r="B239" s="134">
        <v>103.79</v>
      </c>
      <c r="C239" s="135">
        <v>6.0100000000000001E-2</v>
      </c>
      <c r="D239" s="134">
        <v>103.88000000000001</v>
      </c>
      <c r="E239" s="135">
        <v>6.4500000000000002E-2</v>
      </c>
      <c r="F239" s="134">
        <v>104.36</v>
      </c>
      <c r="G239" s="135">
        <v>7.0199999999999999E-2</v>
      </c>
      <c r="H239" s="134">
        <v>110.33</v>
      </c>
      <c r="I239" s="135">
        <v>7.2300000000000003E-2</v>
      </c>
    </row>
    <row r="240" spans="1:9" x14ac:dyDescent="0.35">
      <c r="A240" s="133">
        <v>43090</v>
      </c>
      <c r="B240" s="134">
        <v>104.13000000000001</v>
      </c>
      <c r="C240" s="135">
        <v>5.9200000000000003E-2</v>
      </c>
      <c r="D240" s="134">
        <v>104.49000000000001</v>
      </c>
      <c r="E240" s="135">
        <v>6.3600000000000004E-2</v>
      </c>
      <c r="F240" s="134">
        <v>105.03</v>
      </c>
      <c r="G240" s="135">
        <v>6.9500000000000006E-2</v>
      </c>
      <c r="H240" s="134">
        <v>111.07000000000001</v>
      </c>
      <c r="I240" s="135">
        <v>7.1599999999999997E-2</v>
      </c>
    </row>
    <row r="241" spans="1:9" x14ac:dyDescent="0.35">
      <c r="A241" s="133">
        <v>43091</v>
      </c>
      <c r="B241" s="134">
        <v>104.06</v>
      </c>
      <c r="C241" s="135">
        <v>5.9400000000000001E-2</v>
      </c>
      <c r="D241" s="134">
        <v>104.60000000000001</v>
      </c>
      <c r="E241" s="135">
        <v>6.3500000000000001E-2</v>
      </c>
      <c r="F241" s="134">
        <v>105.08</v>
      </c>
      <c r="G241" s="135">
        <v>6.9500000000000006E-2</v>
      </c>
      <c r="H241" s="134">
        <v>111.10000000000001</v>
      </c>
      <c r="I241" s="135">
        <v>7.1599999999999997E-2</v>
      </c>
    </row>
    <row r="242" spans="1:9" x14ac:dyDescent="0.35">
      <c r="A242" s="136">
        <v>43096</v>
      </c>
      <c r="B242" s="137">
        <v>103.99000000000001</v>
      </c>
      <c r="C242" s="138">
        <v>5.9500000000000004E-2</v>
      </c>
      <c r="D242" s="137">
        <v>104.72</v>
      </c>
      <c r="E242" s="138">
        <v>6.3300000000000009E-2</v>
      </c>
      <c r="F242" s="137">
        <v>105.2</v>
      </c>
      <c r="G242" s="138">
        <v>6.93E-2</v>
      </c>
      <c r="H242" s="137">
        <v>111.22</v>
      </c>
      <c r="I242" s="138">
        <v>7.1500000000000008E-2</v>
      </c>
    </row>
    <row r="243" spans="1:9" x14ac:dyDescent="0.35">
      <c r="A243" s="136">
        <v>43097</v>
      </c>
      <c r="B243" s="137">
        <v>104.10000000000001</v>
      </c>
      <c r="C243" s="138">
        <v>5.9300000000000005E-2</v>
      </c>
      <c r="D243" s="137">
        <v>104.87</v>
      </c>
      <c r="E243" s="138">
        <v>6.3100000000000003E-2</v>
      </c>
      <c r="F243" s="137">
        <v>105.30000000000001</v>
      </c>
      <c r="G243" s="138">
        <v>6.9199999999999998E-2</v>
      </c>
      <c r="H243" s="137">
        <v>111.39</v>
      </c>
      <c r="I243" s="138">
        <v>7.1300000000000002E-2</v>
      </c>
    </row>
    <row r="244" spans="1:9" x14ac:dyDescent="0.35">
      <c r="A244" s="136">
        <v>43098</v>
      </c>
      <c r="B244" s="137">
        <v>104.14</v>
      </c>
      <c r="C244" s="138">
        <v>5.91E-2</v>
      </c>
      <c r="D244" s="137">
        <v>105.03</v>
      </c>
      <c r="E244" s="138">
        <v>6.2899999999999998E-2</v>
      </c>
      <c r="F244" s="137">
        <v>105.54</v>
      </c>
      <c r="G244" s="138">
        <v>6.9000000000000006E-2</v>
      </c>
      <c r="H244" s="137">
        <v>111.73</v>
      </c>
      <c r="I244" s="138">
        <v>7.1000000000000008E-2</v>
      </c>
    </row>
  </sheetData>
  <mergeCells count="18">
    <mergeCell ref="F4:G4"/>
    <mergeCell ref="H4:I4"/>
    <mergeCell ref="B5:C5"/>
    <mergeCell ref="D5:E5"/>
    <mergeCell ref="F5:G5"/>
    <mergeCell ref="H5:I5"/>
    <mergeCell ref="A1:I1"/>
    <mergeCell ref="A2:A6"/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</mergeCells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43"/>
  <sheetViews>
    <sheetView workbookViewId="0">
      <pane ySplit="6" topLeftCell="A232" activePane="bottomLeft" state="frozen"/>
      <selection activeCell="C14" sqref="C14"/>
      <selection pane="bottomLeft" activeCell="I7" sqref="I7"/>
    </sheetView>
  </sheetViews>
  <sheetFormatPr defaultColWidth="0" defaultRowHeight="14.5" x14ac:dyDescent="0.35"/>
  <cols>
    <col min="1" max="1" width="14.453125" style="47" customWidth="1"/>
    <col min="2" max="9" width="10" style="47" customWidth="1"/>
    <col min="10" max="10" width="9.1796875" style="47" customWidth="1"/>
    <col min="11" max="16384" width="9.1796875" style="47" hidden="1"/>
  </cols>
  <sheetData>
    <row r="1" spans="1:9" x14ac:dyDescent="0.35">
      <c r="A1" s="480" t="s">
        <v>72</v>
      </c>
      <c r="B1" s="481"/>
      <c r="C1" s="481"/>
      <c r="D1" s="481"/>
      <c r="E1" s="481"/>
      <c r="F1" s="481"/>
      <c r="G1" s="481"/>
      <c r="H1" s="481"/>
      <c r="I1" s="481"/>
    </row>
    <row r="2" spans="1:9" x14ac:dyDescent="0.35">
      <c r="A2" s="482" t="s">
        <v>73</v>
      </c>
      <c r="B2" s="485" t="s">
        <v>74</v>
      </c>
      <c r="C2" s="485"/>
      <c r="D2" s="485" t="s">
        <v>75</v>
      </c>
      <c r="E2" s="485"/>
      <c r="F2" s="485" t="s">
        <v>76</v>
      </c>
      <c r="G2" s="485"/>
      <c r="H2" s="485" t="s">
        <v>77</v>
      </c>
      <c r="I2" s="485"/>
    </row>
    <row r="3" spans="1:9" x14ac:dyDescent="0.35">
      <c r="A3" s="483"/>
      <c r="B3" s="485" t="s">
        <v>79</v>
      </c>
      <c r="C3" s="485"/>
      <c r="D3" s="485" t="s">
        <v>80</v>
      </c>
      <c r="E3" s="485"/>
      <c r="F3" s="485" t="s">
        <v>81</v>
      </c>
      <c r="G3" s="485"/>
      <c r="H3" s="485" t="s">
        <v>101</v>
      </c>
      <c r="I3" s="485"/>
    </row>
    <row r="4" spans="1:9" x14ac:dyDescent="0.35">
      <c r="A4" s="483"/>
      <c r="B4" s="486">
        <v>5.6250000000000001E-2</v>
      </c>
      <c r="C4" s="486"/>
      <c r="D4" s="486">
        <v>6.1249999999999999E-2</v>
      </c>
      <c r="E4" s="486"/>
      <c r="F4" s="486">
        <v>6.6250000000000003E-2</v>
      </c>
      <c r="G4" s="486"/>
      <c r="H4" s="486">
        <v>7.4999999999999997E-2</v>
      </c>
      <c r="I4" s="486"/>
    </row>
    <row r="5" spans="1:9" x14ac:dyDescent="0.35">
      <c r="A5" s="483"/>
      <c r="B5" s="479">
        <v>45061</v>
      </c>
      <c r="C5" s="479"/>
      <c r="D5" s="479">
        <v>46888</v>
      </c>
      <c r="E5" s="479"/>
      <c r="F5" s="479">
        <v>48714</v>
      </c>
      <c r="G5" s="479"/>
      <c r="H5" s="479">
        <v>50540</v>
      </c>
      <c r="I5" s="479"/>
    </row>
    <row r="6" spans="1:9" ht="29" x14ac:dyDescent="0.35">
      <c r="A6" s="484"/>
      <c r="B6" s="131" t="s">
        <v>82</v>
      </c>
      <c r="C6" s="132" t="s">
        <v>83</v>
      </c>
      <c r="D6" s="131" t="s">
        <v>82</v>
      </c>
      <c r="E6" s="132" t="s">
        <v>83</v>
      </c>
      <c r="F6" s="131" t="s">
        <v>82</v>
      </c>
      <c r="G6" s="132" t="s">
        <v>83</v>
      </c>
      <c r="H6" s="131" t="s">
        <v>82</v>
      </c>
      <c r="I6" s="132" t="s">
        <v>83</v>
      </c>
    </row>
    <row r="7" spans="1:9" x14ac:dyDescent="0.35">
      <c r="A7" s="136">
        <v>43102</v>
      </c>
      <c r="B7" s="153">
        <v>98.67</v>
      </c>
      <c r="C7" s="138">
        <v>5.9200000000000003E-2</v>
      </c>
      <c r="D7" s="153">
        <v>98.02000000000001</v>
      </c>
      <c r="E7" s="138">
        <v>6.3899999999999998E-2</v>
      </c>
      <c r="F7" s="153">
        <v>98.06</v>
      </c>
      <c r="G7" s="138">
        <v>6.83E-2</v>
      </c>
      <c r="H7" s="153">
        <v>105</v>
      </c>
      <c r="I7" s="138">
        <v>7.0400000000000004E-2</v>
      </c>
    </row>
    <row r="8" spans="1:9" x14ac:dyDescent="0.35">
      <c r="A8" s="136">
        <v>43103</v>
      </c>
      <c r="B8" s="153">
        <v>98.83</v>
      </c>
      <c r="C8" s="138">
        <v>5.8900000000000001E-2</v>
      </c>
      <c r="D8" s="153">
        <v>98.89</v>
      </c>
      <c r="E8" s="138">
        <v>6.2800000000000009E-2</v>
      </c>
      <c r="F8" s="153">
        <v>98.77000000000001</v>
      </c>
      <c r="G8" s="138">
        <v>6.7600000000000007E-2</v>
      </c>
      <c r="H8" s="153">
        <v>105.23</v>
      </c>
      <c r="I8" s="138">
        <v>7.0199999999999999E-2</v>
      </c>
    </row>
    <row r="9" spans="1:9" x14ac:dyDescent="0.35">
      <c r="A9" s="136">
        <v>43104</v>
      </c>
      <c r="B9" s="153">
        <v>100.04</v>
      </c>
      <c r="C9" s="138">
        <v>5.62E-2</v>
      </c>
      <c r="D9" s="153">
        <v>100.35000000000001</v>
      </c>
      <c r="E9" s="138">
        <v>6.08E-2</v>
      </c>
      <c r="F9" s="153">
        <v>100.28</v>
      </c>
      <c r="G9" s="138">
        <v>6.6000000000000003E-2</v>
      </c>
      <c r="H9" s="153">
        <v>106.10000000000001</v>
      </c>
      <c r="I9" s="138">
        <v>6.9400000000000003E-2</v>
      </c>
    </row>
    <row r="10" spans="1:9" x14ac:dyDescent="0.35">
      <c r="A10" s="136">
        <v>43105</v>
      </c>
      <c r="B10" s="153">
        <v>100.42</v>
      </c>
      <c r="C10" s="138">
        <v>5.5400000000000005E-2</v>
      </c>
      <c r="D10" s="153">
        <v>100.52000000000001</v>
      </c>
      <c r="E10" s="138">
        <v>6.0600000000000001E-2</v>
      </c>
      <c r="F10" s="153">
        <v>100.58</v>
      </c>
      <c r="G10" s="138">
        <v>6.5700000000000008E-2</v>
      </c>
      <c r="H10" s="153">
        <v>107.09</v>
      </c>
      <c r="I10" s="138">
        <v>6.8500000000000005E-2</v>
      </c>
    </row>
    <row r="11" spans="1:9" x14ac:dyDescent="0.35">
      <c r="A11" s="133">
        <v>43108</v>
      </c>
      <c r="B11" s="154">
        <v>100.59</v>
      </c>
      <c r="C11" s="135">
        <v>5.5E-2</v>
      </c>
      <c r="D11" s="154">
        <v>100.61</v>
      </c>
      <c r="E11" s="135">
        <v>6.0500000000000005E-2</v>
      </c>
      <c r="F11" s="154">
        <v>100.71000000000001</v>
      </c>
      <c r="G11" s="135">
        <v>6.5500000000000003E-2</v>
      </c>
      <c r="H11" s="154">
        <v>107.26</v>
      </c>
      <c r="I11" s="135">
        <v>6.8400000000000002E-2</v>
      </c>
    </row>
    <row r="12" spans="1:9" x14ac:dyDescent="0.35">
      <c r="A12" s="133">
        <v>43109</v>
      </c>
      <c r="B12" s="154">
        <v>100.43</v>
      </c>
      <c r="C12" s="135">
        <v>5.5300000000000002E-2</v>
      </c>
      <c r="D12" s="154">
        <v>100.67</v>
      </c>
      <c r="E12" s="135">
        <v>6.0400000000000002E-2</v>
      </c>
      <c r="F12" s="154">
        <v>100.76</v>
      </c>
      <c r="G12" s="135">
        <v>6.5500000000000003E-2</v>
      </c>
      <c r="H12" s="154">
        <v>107.66000000000001</v>
      </c>
      <c r="I12" s="135">
        <v>6.8000000000000005E-2</v>
      </c>
    </row>
    <row r="13" spans="1:9" x14ac:dyDescent="0.35">
      <c r="A13" s="133">
        <v>43110</v>
      </c>
      <c r="B13" s="154">
        <v>99.9</v>
      </c>
      <c r="C13" s="135">
        <v>5.6500000000000002E-2</v>
      </c>
      <c r="D13" s="154">
        <v>99.83</v>
      </c>
      <c r="E13" s="135">
        <v>6.1500000000000006E-2</v>
      </c>
      <c r="F13" s="154">
        <v>99.95</v>
      </c>
      <c r="G13" s="135">
        <v>6.6299999999999998E-2</v>
      </c>
      <c r="H13" s="154">
        <v>106.37</v>
      </c>
      <c r="I13" s="135">
        <v>6.9199999999999998E-2</v>
      </c>
    </row>
    <row r="14" spans="1:9" x14ac:dyDescent="0.35">
      <c r="A14" s="133">
        <v>43111</v>
      </c>
      <c r="B14" s="154">
        <v>100</v>
      </c>
      <c r="C14" s="135">
        <v>5.6300000000000003E-2</v>
      </c>
      <c r="D14" s="154">
        <v>100.08</v>
      </c>
      <c r="E14" s="135">
        <v>6.1200000000000004E-2</v>
      </c>
      <c r="F14" s="154">
        <v>100.14</v>
      </c>
      <c r="G14" s="135">
        <v>6.6100000000000006E-2</v>
      </c>
      <c r="H14" s="154">
        <v>106.10000000000001</v>
      </c>
      <c r="I14" s="135">
        <v>6.9400000000000003E-2</v>
      </c>
    </row>
    <row r="15" spans="1:9" x14ac:dyDescent="0.35">
      <c r="A15" s="133">
        <v>43112</v>
      </c>
      <c r="B15" s="154">
        <v>100.4</v>
      </c>
      <c r="C15" s="135">
        <v>5.5400000000000005E-2</v>
      </c>
      <c r="D15" s="154">
        <v>100.75</v>
      </c>
      <c r="E15" s="135">
        <v>6.0299999999999999E-2</v>
      </c>
      <c r="F15" s="154">
        <v>100.61</v>
      </c>
      <c r="G15" s="135">
        <v>6.5700000000000008E-2</v>
      </c>
      <c r="H15" s="154">
        <v>106.81</v>
      </c>
      <c r="I15" s="135">
        <v>6.88E-2</v>
      </c>
    </row>
    <row r="16" spans="1:9" x14ac:dyDescent="0.35">
      <c r="A16" s="136">
        <v>43115</v>
      </c>
      <c r="B16" s="153">
        <v>100.37</v>
      </c>
      <c r="C16" s="138">
        <v>5.5500000000000001E-2</v>
      </c>
      <c r="D16" s="153">
        <v>100.54</v>
      </c>
      <c r="E16" s="138">
        <v>6.0600000000000001E-2</v>
      </c>
      <c r="F16" s="153">
        <v>100.52000000000001</v>
      </c>
      <c r="G16" s="138">
        <v>6.5700000000000008E-2</v>
      </c>
      <c r="H16" s="153">
        <v>106.59</v>
      </c>
      <c r="I16" s="138">
        <v>6.9000000000000006E-2</v>
      </c>
    </row>
    <row r="17" spans="1:9" x14ac:dyDescent="0.35">
      <c r="A17" s="136">
        <v>43116</v>
      </c>
      <c r="B17" s="153">
        <v>100.38</v>
      </c>
      <c r="C17" s="138">
        <v>5.5400000000000005E-2</v>
      </c>
      <c r="D17" s="153">
        <v>100.55000000000001</v>
      </c>
      <c r="E17" s="138">
        <v>6.0600000000000001E-2</v>
      </c>
      <c r="F17" s="153">
        <v>100.39</v>
      </c>
      <c r="G17" s="138">
        <v>6.59E-2</v>
      </c>
      <c r="H17" s="153">
        <v>106.66000000000001</v>
      </c>
      <c r="I17" s="138">
        <v>6.8900000000000003E-2</v>
      </c>
    </row>
    <row r="18" spans="1:9" x14ac:dyDescent="0.35">
      <c r="A18" s="136">
        <v>43117</v>
      </c>
      <c r="B18" s="153">
        <v>100.44000000000001</v>
      </c>
      <c r="C18" s="138">
        <v>5.5300000000000002E-2</v>
      </c>
      <c r="D18" s="153">
        <v>100.55000000000001</v>
      </c>
      <c r="E18" s="138">
        <v>6.0600000000000001E-2</v>
      </c>
      <c r="F18" s="153">
        <v>100.67</v>
      </c>
      <c r="G18" s="138">
        <v>6.5600000000000006E-2</v>
      </c>
      <c r="H18" s="153">
        <v>107</v>
      </c>
      <c r="I18" s="138">
        <v>6.8600000000000008E-2</v>
      </c>
    </row>
    <row r="19" spans="1:9" x14ac:dyDescent="0.35">
      <c r="A19" s="136">
        <v>43118</v>
      </c>
      <c r="B19" s="153">
        <v>100.36</v>
      </c>
      <c r="C19" s="138">
        <v>5.5500000000000001E-2</v>
      </c>
      <c r="D19" s="153">
        <v>100.4</v>
      </c>
      <c r="E19" s="138">
        <v>6.08E-2</v>
      </c>
      <c r="F19" s="153">
        <v>100.49000000000001</v>
      </c>
      <c r="G19" s="138">
        <v>6.5799999999999997E-2</v>
      </c>
      <c r="H19" s="153">
        <v>106.7</v>
      </c>
      <c r="I19" s="138">
        <v>6.8900000000000003E-2</v>
      </c>
    </row>
    <row r="20" spans="1:9" x14ac:dyDescent="0.35">
      <c r="A20" s="136">
        <v>43119</v>
      </c>
      <c r="B20" s="153">
        <v>100.33</v>
      </c>
      <c r="C20" s="138">
        <v>5.5600000000000004E-2</v>
      </c>
      <c r="D20" s="153">
        <v>100.29</v>
      </c>
      <c r="E20" s="138">
        <v>6.0900000000000003E-2</v>
      </c>
      <c r="F20" s="153">
        <v>100.36</v>
      </c>
      <c r="G20" s="138">
        <v>6.59E-2</v>
      </c>
      <c r="H20" s="153">
        <v>106.55000000000001</v>
      </c>
      <c r="I20" s="138">
        <v>6.9000000000000006E-2</v>
      </c>
    </row>
    <row r="21" spans="1:9" x14ac:dyDescent="0.35">
      <c r="A21" s="133">
        <v>43122</v>
      </c>
      <c r="B21" s="154">
        <v>100.38</v>
      </c>
      <c r="C21" s="135">
        <v>5.5400000000000005E-2</v>
      </c>
      <c r="D21" s="154">
        <v>100.23</v>
      </c>
      <c r="E21" s="135">
        <v>6.1000000000000006E-2</v>
      </c>
      <c r="F21" s="154">
        <v>100.37</v>
      </c>
      <c r="G21" s="135">
        <v>6.59E-2</v>
      </c>
      <c r="H21" s="154">
        <v>106.58</v>
      </c>
      <c r="I21" s="135">
        <v>6.9000000000000006E-2</v>
      </c>
    </row>
    <row r="22" spans="1:9" x14ac:dyDescent="0.35">
      <c r="A22" s="133">
        <v>43123</v>
      </c>
      <c r="B22" s="154">
        <v>100.09</v>
      </c>
      <c r="C22" s="135">
        <v>5.6100000000000004E-2</v>
      </c>
      <c r="D22" s="154">
        <v>100.06</v>
      </c>
      <c r="E22" s="135">
        <v>6.1200000000000004E-2</v>
      </c>
      <c r="F22" s="154">
        <v>100.02000000000001</v>
      </c>
      <c r="G22" s="135">
        <v>6.6299999999999998E-2</v>
      </c>
      <c r="H22" s="154">
        <v>106</v>
      </c>
      <c r="I22" s="135">
        <v>6.9500000000000006E-2</v>
      </c>
    </row>
    <row r="23" spans="1:9" x14ac:dyDescent="0.35">
      <c r="A23" s="133">
        <v>43124</v>
      </c>
      <c r="B23" s="154">
        <v>100.07000000000001</v>
      </c>
      <c r="C23" s="135">
        <v>5.6100000000000004E-2</v>
      </c>
      <c r="D23" s="154">
        <v>99.960000000000008</v>
      </c>
      <c r="E23" s="135">
        <v>6.13E-2</v>
      </c>
      <c r="F23" s="154">
        <v>100.01</v>
      </c>
      <c r="G23" s="135">
        <v>6.6299999999999998E-2</v>
      </c>
      <c r="H23" s="154">
        <v>105.99000000000001</v>
      </c>
      <c r="I23" s="135">
        <v>6.9500000000000006E-2</v>
      </c>
    </row>
    <row r="24" spans="1:9" x14ac:dyDescent="0.35">
      <c r="A24" s="133">
        <v>43125</v>
      </c>
      <c r="B24" s="154">
        <v>100.06</v>
      </c>
      <c r="C24" s="135">
        <v>5.6100000000000004E-2</v>
      </c>
      <c r="D24" s="154">
        <v>100.05000000000001</v>
      </c>
      <c r="E24" s="135">
        <v>6.1200000000000004E-2</v>
      </c>
      <c r="F24" s="154">
        <v>100.09</v>
      </c>
      <c r="G24" s="135">
        <v>6.6200000000000009E-2</v>
      </c>
      <c r="H24" s="154">
        <v>106</v>
      </c>
      <c r="I24" s="135">
        <v>6.9500000000000006E-2</v>
      </c>
    </row>
    <row r="25" spans="1:9" x14ac:dyDescent="0.35">
      <c r="A25" s="133">
        <v>43126</v>
      </c>
      <c r="B25" s="154">
        <v>99.98</v>
      </c>
      <c r="C25" s="135">
        <v>5.6300000000000003E-2</v>
      </c>
      <c r="D25" s="154">
        <v>99.89</v>
      </c>
      <c r="E25" s="135">
        <v>6.1400000000000003E-2</v>
      </c>
      <c r="F25" s="154">
        <v>99.89</v>
      </c>
      <c r="G25" s="135">
        <v>6.6400000000000001E-2</v>
      </c>
      <c r="H25" s="154">
        <v>105.72</v>
      </c>
      <c r="I25" s="135">
        <v>6.9699999999999998E-2</v>
      </c>
    </row>
    <row r="26" spans="1:9" x14ac:dyDescent="0.35">
      <c r="A26" s="136">
        <v>43129</v>
      </c>
      <c r="B26" s="153">
        <v>99.53</v>
      </c>
      <c r="C26" s="138">
        <v>5.7300000000000004E-2</v>
      </c>
      <c r="D26" s="153">
        <v>99.42</v>
      </c>
      <c r="E26" s="138">
        <v>6.2100000000000002E-2</v>
      </c>
      <c r="F26" s="153">
        <v>99.43</v>
      </c>
      <c r="G26" s="138">
        <v>6.6900000000000001E-2</v>
      </c>
      <c r="H26" s="153">
        <v>105.23</v>
      </c>
      <c r="I26" s="138">
        <v>7.0199999999999999E-2</v>
      </c>
    </row>
    <row r="27" spans="1:9" x14ac:dyDescent="0.35">
      <c r="A27" s="136">
        <v>43130</v>
      </c>
      <c r="B27" s="153">
        <v>98.88000000000001</v>
      </c>
      <c r="C27" s="138">
        <v>5.8800000000000005E-2</v>
      </c>
      <c r="D27" s="153">
        <v>97.990000000000009</v>
      </c>
      <c r="E27" s="138">
        <v>6.4000000000000001E-2</v>
      </c>
      <c r="F27" s="153">
        <v>97.92</v>
      </c>
      <c r="G27" s="138">
        <v>6.8500000000000005E-2</v>
      </c>
      <c r="H27" s="153">
        <v>103.72</v>
      </c>
      <c r="I27" s="138">
        <v>7.1500000000000008E-2</v>
      </c>
    </row>
    <row r="28" spans="1:9" x14ac:dyDescent="0.35">
      <c r="A28" s="136">
        <v>43131</v>
      </c>
      <c r="B28" s="153">
        <v>99.600000000000009</v>
      </c>
      <c r="C28" s="138">
        <v>5.7200000000000001E-2</v>
      </c>
      <c r="D28" s="153">
        <v>99.01</v>
      </c>
      <c r="E28" s="138">
        <v>6.2600000000000003E-2</v>
      </c>
      <c r="F28" s="153">
        <v>99.22</v>
      </c>
      <c r="G28" s="138">
        <v>6.7100000000000007E-2</v>
      </c>
      <c r="H28" s="153">
        <v>104.73</v>
      </c>
      <c r="I28" s="138">
        <v>7.0599999999999996E-2</v>
      </c>
    </row>
    <row r="29" spans="1:9" x14ac:dyDescent="0.35">
      <c r="A29" s="136">
        <v>43132</v>
      </c>
      <c r="B29" s="153">
        <v>99.59</v>
      </c>
      <c r="C29" s="138">
        <v>5.7200000000000001E-2</v>
      </c>
      <c r="D29" s="153">
        <v>99.490000000000009</v>
      </c>
      <c r="E29" s="138">
        <v>6.2E-2</v>
      </c>
      <c r="F29" s="153">
        <v>99.7</v>
      </c>
      <c r="G29" s="138">
        <v>6.6600000000000006E-2</v>
      </c>
      <c r="H29" s="153">
        <v>106.17</v>
      </c>
      <c r="I29" s="138">
        <v>6.93E-2</v>
      </c>
    </row>
    <row r="30" spans="1:9" x14ac:dyDescent="0.35">
      <c r="A30" s="136">
        <v>43133</v>
      </c>
      <c r="B30" s="153">
        <v>99.48</v>
      </c>
      <c r="C30" s="138">
        <v>5.74E-2</v>
      </c>
      <c r="D30" s="153">
        <v>98.95</v>
      </c>
      <c r="E30" s="138">
        <v>6.2700000000000006E-2</v>
      </c>
      <c r="F30" s="153">
        <v>99.01</v>
      </c>
      <c r="G30" s="138">
        <v>6.7299999999999999E-2</v>
      </c>
      <c r="H30" s="153">
        <v>105.11</v>
      </c>
      <c r="I30" s="138">
        <v>7.0300000000000001E-2</v>
      </c>
    </row>
    <row r="31" spans="1:9" x14ac:dyDescent="0.35">
      <c r="A31" s="133">
        <v>43136</v>
      </c>
      <c r="B31" s="154">
        <v>99.15</v>
      </c>
      <c r="C31" s="135">
        <v>5.8200000000000002E-2</v>
      </c>
      <c r="D31" s="154">
        <v>98.38000000000001</v>
      </c>
      <c r="E31" s="135">
        <v>6.3500000000000001E-2</v>
      </c>
      <c r="F31" s="154">
        <v>98.690000000000012</v>
      </c>
      <c r="G31" s="135">
        <v>6.7699999999999996E-2</v>
      </c>
      <c r="H31" s="154">
        <v>104.55000000000001</v>
      </c>
      <c r="I31" s="135">
        <v>7.0800000000000002E-2</v>
      </c>
    </row>
    <row r="32" spans="1:9" x14ac:dyDescent="0.35">
      <c r="A32" s="133">
        <v>43137</v>
      </c>
      <c r="B32" s="154">
        <v>99.01</v>
      </c>
      <c r="C32" s="135">
        <v>5.8500000000000003E-2</v>
      </c>
      <c r="D32" s="154">
        <v>98.190000000000012</v>
      </c>
      <c r="E32" s="135">
        <v>6.3700000000000007E-2</v>
      </c>
      <c r="F32" s="154">
        <v>97.800000000000011</v>
      </c>
      <c r="G32" s="135">
        <v>6.8600000000000008E-2</v>
      </c>
      <c r="H32" s="154">
        <v>104.44000000000001</v>
      </c>
      <c r="I32" s="135">
        <v>7.0900000000000005E-2</v>
      </c>
    </row>
    <row r="33" spans="1:9" x14ac:dyDescent="0.35">
      <c r="A33" s="133">
        <v>43138</v>
      </c>
      <c r="B33" s="154">
        <v>99.36</v>
      </c>
      <c r="C33" s="135">
        <v>5.7700000000000001E-2</v>
      </c>
      <c r="D33" s="154">
        <v>98.47</v>
      </c>
      <c r="E33" s="135">
        <v>6.3300000000000009E-2</v>
      </c>
      <c r="F33" s="154">
        <v>98.77000000000001</v>
      </c>
      <c r="G33" s="135">
        <v>6.7600000000000007E-2</v>
      </c>
      <c r="H33" s="154">
        <v>105.01</v>
      </c>
      <c r="I33" s="135">
        <v>7.0400000000000004E-2</v>
      </c>
    </row>
    <row r="34" spans="1:9" x14ac:dyDescent="0.35">
      <c r="A34" s="133">
        <v>43139</v>
      </c>
      <c r="B34" s="154">
        <v>99.27000000000001</v>
      </c>
      <c r="C34" s="135">
        <v>5.79E-2</v>
      </c>
      <c r="D34" s="154">
        <v>98.29</v>
      </c>
      <c r="E34" s="135">
        <v>6.3600000000000004E-2</v>
      </c>
      <c r="F34" s="154">
        <v>98.42</v>
      </c>
      <c r="G34" s="135">
        <v>6.8000000000000005E-2</v>
      </c>
      <c r="H34" s="154">
        <v>104.68</v>
      </c>
      <c r="I34" s="135">
        <v>7.0699999999999999E-2</v>
      </c>
    </row>
    <row r="35" spans="1:9" x14ac:dyDescent="0.35">
      <c r="A35" s="133">
        <v>43140</v>
      </c>
      <c r="B35" s="154">
        <v>99.28</v>
      </c>
      <c r="C35" s="135">
        <v>5.79E-2</v>
      </c>
      <c r="D35" s="154">
        <v>98.490000000000009</v>
      </c>
      <c r="E35" s="135">
        <v>6.3300000000000009E-2</v>
      </c>
      <c r="F35" s="154">
        <v>98.42</v>
      </c>
      <c r="G35" s="135">
        <v>6.8000000000000005E-2</v>
      </c>
      <c r="H35" s="154">
        <v>104.58</v>
      </c>
      <c r="I35" s="135">
        <v>7.0699999999999999E-2</v>
      </c>
    </row>
    <row r="36" spans="1:9" x14ac:dyDescent="0.35">
      <c r="A36" s="136">
        <v>43143</v>
      </c>
      <c r="B36" s="153">
        <v>99.36</v>
      </c>
      <c r="C36" s="138">
        <v>5.7700000000000001E-2</v>
      </c>
      <c r="D36" s="153">
        <v>98.550000000000011</v>
      </c>
      <c r="E36" s="138">
        <v>6.3200000000000006E-2</v>
      </c>
      <c r="F36" s="153">
        <v>98.48</v>
      </c>
      <c r="G36" s="138">
        <v>6.7900000000000002E-2</v>
      </c>
      <c r="H36" s="153">
        <v>104.59</v>
      </c>
      <c r="I36" s="138">
        <v>7.0699999999999999E-2</v>
      </c>
    </row>
    <row r="37" spans="1:9" x14ac:dyDescent="0.35">
      <c r="A37" s="136">
        <v>43144</v>
      </c>
      <c r="B37" s="153">
        <v>99.4</v>
      </c>
      <c r="C37" s="138">
        <v>5.7600000000000005E-2</v>
      </c>
      <c r="D37" s="153">
        <v>98.27000000000001</v>
      </c>
      <c r="E37" s="138">
        <v>6.3600000000000004E-2</v>
      </c>
      <c r="F37" s="153">
        <v>98.22</v>
      </c>
      <c r="G37" s="138">
        <v>6.8199999999999997E-2</v>
      </c>
      <c r="H37" s="153">
        <v>104.12</v>
      </c>
      <c r="I37" s="138">
        <v>7.1199999999999999E-2</v>
      </c>
    </row>
    <row r="38" spans="1:9" x14ac:dyDescent="0.35">
      <c r="A38" s="136">
        <v>43145</v>
      </c>
      <c r="B38" s="153">
        <v>99.42</v>
      </c>
      <c r="C38" s="138">
        <v>5.7600000000000005E-2</v>
      </c>
      <c r="D38" s="153">
        <v>97.98</v>
      </c>
      <c r="E38" s="138">
        <v>6.4000000000000001E-2</v>
      </c>
      <c r="F38" s="153">
        <v>98.03</v>
      </c>
      <c r="G38" s="138">
        <v>6.8400000000000002E-2</v>
      </c>
      <c r="H38" s="153">
        <v>103.86</v>
      </c>
      <c r="I38" s="138">
        <v>7.1400000000000005E-2</v>
      </c>
    </row>
    <row r="39" spans="1:9" x14ac:dyDescent="0.35">
      <c r="A39" s="136">
        <v>43146</v>
      </c>
      <c r="B39" s="153">
        <v>99.64</v>
      </c>
      <c r="C39" s="138">
        <v>5.7100000000000005E-2</v>
      </c>
      <c r="D39" s="153">
        <v>98.13000000000001</v>
      </c>
      <c r="E39" s="138">
        <v>6.3800000000000009E-2</v>
      </c>
      <c r="F39" s="153">
        <v>98.13000000000001</v>
      </c>
      <c r="G39" s="138">
        <v>6.83E-2</v>
      </c>
      <c r="H39" s="153">
        <v>103.9</v>
      </c>
      <c r="I39" s="138">
        <v>7.1400000000000005E-2</v>
      </c>
    </row>
    <row r="40" spans="1:9" x14ac:dyDescent="0.35">
      <c r="A40" s="133">
        <v>43150</v>
      </c>
      <c r="B40" s="154">
        <v>99.43</v>
      </c>
      <c r="C40" s="135">
        <v>5.7600000000000005E-2</v>
      </c>
      <c r="D40" s="154">
        <v>97.77000000000001</v>
      </c>
      <c r="E40" s="135">
        <v>6.4299999999999996E-2</v>
      </c>
      <c r="F40" s="154">
        <v>97.440000000000012</v>
      </c>
      <c r="G40" s="135">
        <v>6.9000000000000006E-2</v>
      </c>
      <c r="H40" s="154">
        <v>103.25</v>
      </c>
      <c r="I40" s="135">
        <v>7.2000000000000008E-2</v>
      </c>
    </row>
    <row r="41" spans="1:9" x14ac:dyDescent="0.35">
      <c r="A41" s="133">
        <v>43151</v>
      </c>
      <c r="B41" s="154">
        <v>99.410000000000011</v>
      </c>
      <c r="C41" s="135">
        <v>5.7600000000000005E-2</v>
      </c>
      <c r="D41" s="154">
        <v>97.92</v>
      </c>
      <c r="E41" s="135">
        <v>6.4100000000000004E-2</v>
      </c>
      <c r="F41" s="154">
        <v>97.61</v>
      </c>
      <c r="G41" s="135">
        <v>6.88E-2</v>
      </c>
      <c r="H41" s="154">
        <v>103.23</v>
      </c>
      <c r="I41" s="135">
        <v>7.2000000000000008E-2</v>
      </c>
    </row>
    <row r="42" spans="1:9" x14ac:dyDescent="0.35">
      <c r="A42" s="133">
        <v>43152</v>
      </c>
      <c r="B42" s="154">
        <v>99.47</v>
      </c>
      <c r="C42" s="135">
        <v>5.7500000000000002E-2</v>
      </c>
      <c r="D42" s="154">
        <v>98.34</v>
      </c>
      <c r="E42" s="135">
        <v>6.3500000000000001E-2</v>
      </c>
      <c r="F42" s="154">
        <v>97.940000000000012</v>
      </c>
      <c r="G42" s="135">
        <v>6.8500000000000005E-2</v>
      </c>
      <c r="H42" s="154">
        <v>103.67</v>
      </c>
      <c r="I42" s="135">
        <v>7.1599999999999997E-2</v>
      </c>
    </row>
    <row r="43" spans="1:9" x14ac:dyDescent="0.35">
      <c r="A43" s="133">
        <v>43153</v>
      </c>
      <c r="B43" s="154">
        <v>98.910000000000011</v>
      </c>
      <c r="C43" s="135">
        <v>5.8700000000000002E-2</v>
      </c>
      <c r="D43" s="154">
        <v>96.52000000000001</v>
      </c>
      <c r="E43" s="135">
        <v>6.6000000000000003E-2</v>
      </c>
      <c r="F43" s="154">
        <v>96.09</v>
      </c>
      <c r="G43" s="135">
        <v>7.0500000000000007E-2</v>
      </c>
      <c r="H43" s="154">
        <v>101.94000000000001</v>
      </c>
      <c r="I43" s="135">
        <v>7.3200000000000001E-2</v>
      </c>
    </row>
    <row r="44" spans="1:9" x14ac:dyDescent="0.35">
      <c r="A44" s="133">
        <v>43154</v>
      </c>
      <c r="B44" s="154">
        <v>98.84</v>
      </c>
      <c r="C44" s="135">
        <v>5.8900000000000001E-2</v>
      </c>
      <c r="D44" s="154">
        <v>96.72</v>
      </c>
      <c r="E44" s="135">
        <v>6.5700000000000008E-2</v>
      </c>
      <c r="F44" s="154">
        <v>96.34</v>
      </c>
      <c r="G44" s="135">
        <v>7.0199999999999999E-2</v>
      </c>
      <c r="H44" s="154">
        <v>102.09</v>
      </c>
      <c r="I44" s="135">
        <v>7.3000000000000009E-2</v>
      </c>
    </row>
    <row r="45" spans="1:9" x14ac:dyDescent="0.35">
      <c r="A45" s="136">
        <v>43157</v>
      </c>
      <c r="B45" s="153">
        <v>99.18</v>
      </c>
      <c r="C45" s="138">
        <v>5.8100000000000006E-2</v>
      </c>
      <c r="D45" s="153">
        <v>97.435000000000002</v>
      </c>
      <c r="E45" s="138">
        <v>6.4799999999999996E-2</v>
      </c>
      <c r="F45" s="153">
        <v>97.03</v>
      </c>
      <c r="G45" s="138">
        <v>6.9500000000000006E-2</v>
      </c>
      <c r="H45" s="153">
        <v>102.545</v>
      </c>
      <c r="I45" s="138">
        <v>7.2599999999999998E-2</v>
      </c>
    </row>
    <row r="46" spans="1:9" x14ac:dyDescent="0.35">
      <c r="A46" s="136">
        <v>43158</v>
      </c>
      <c r="B46" s="153">
        <v>99.04</v>
      </c>
      <c r="C46" s="138">
        <v>5.8400000000000001E-2</v>
      </c>
      <c r="D46" s="153">
        <v>97.715000000000003</v>
      </c>
      <c r="E46" s="138">
        <v>6.4399999999999999E-2</v>
      </c>
      <c r="F46" s="153">
        <v>96.905000000000001</v>
      </c>
      <c r="G46" s="138">
        <v>6.9600000000000009E-2</v>
      </c>
      <c r="H46" s="153">
        <v>102.51500000000001</v>
      </c>
      <c r="I46" s="138">
        <v>7.2599999999999998E-2</v>
      </c>
    </row>
    <row r="47" spans="1:9" x14ac:dyDescent="0.35">
      <c r="A47" s="136">
        <v>43159</v>
      </c>
      <c r="B47" s="153">
        <v>98.5</v>
      </c>
      <c r="C47" s="138">
        <v>5.9700000000000003E-2</v>
      </c>
      <c r="D47" s="153">
        <v>97.06</v>
      </c>
      <c r="E47" s="138">
        <v>6.5299999999999997E-2</v>
      </c>
      <c r="F47" s="153">
        <v>96.235000000000014</v>
      </c>
      <c r="G47" s="138">
        <v>7.0400000000000004E-2</v>
      </c>
      <c r="H47" s="153">
        <v>101.715</v>
      </c>
      <c r="I47" s="138">
        <v>7.3400000000000007E-2</v>
      </c>
    </row>
    <row r="48" spans="1:9" x14ac:dyDescent="0.35">
      <c r="A48" s="136">
        <v>43160</v>
      </c>
      <c r="B48" s="153">
        <v>98.19</v>
      </c>
      <c r="C48" s="138">
        <v>6.0400000000000002E-2</v>
      </c>
      <c r="D48" s="153">
        <v>96.435000000000002</v>
      </c>
      <c r="E48" s="138">
        <v>6.6100000000000006E-2</v>
      </c>
      <c r="F48" s="153">
        <v>95.91</v>
      </c>
      <c r="G48" s="138">
        <v>7.0699999999999999E-2</v>
      </c>
      <c r="H48" s="153">
        <v>101.18</v>
      </c>
      <c r="I48" s="138">
        <v>7.3900000000000007E-2</v>
      </c>
    </row>
    <row r="49" spans="1:9" x14ac:dyDescent="0.35">
      <c r="A49" s="136">
        <v>43161</v>
      </c>
      <c r="B49" s="153">
        <v>98.375</v>
      </c>
      <c r="C49" s="138">
        <v>6.0000000000000005E-2</v>
      </c>
      <c r="D49" s="153">
        <v>96.64</v>
      </c>
      <c r="E49" s="138">
        <v>6.59E-2</v>
      </c>
      <c r="F49" s="153">
        <v>96.465000000000003</v>
      </c>
      <c r="G49" s="138">
        <v>7.010000000000001E-2</v>
      </c>
      <c r="H49" s="153">
        <v>101.845</v>
      </c>
      <c r="I49" s="138">
        <v>7.3300000000000004E-2</v>
      </c>
    </row>
    <row r="50" spans="1:9" x14ac:dyDescent="0.35">
      <c r="A50" s="133">
        <v>43164</v>
      </c>
      <c r="B50" s="154">
        <v>98.56</v>
      </c>
      <c r="C50" s="135">
        <v>5.9500000000000004E-2</v>
      </c>
      <c r="D50" s="154">
        <v>97.12</v>
      </c>
      <c r="E50" s="135">
        <v>6.5200000000000008E-2</v>
      </c>
      <c r="F50" s="154">
        <v>97</v>
      </c>
      <c r="G50" s="135">
        <v>6.9500000000000006E-2</v>
      </c>
      <c r="H50" s="154">
        <v>102.35000000000001</v>
      </c>
      <c r="I50" s="135">
        <v>7.2800000000000004E-2</v>
      </c>
    </row>
    <row r="51" spans="1:9" x14ac:dyDescent="0.35">
      <c r="A51" s="133">
        <v>43165</v>
      </c>
      <c r="B51" s="154">
        <v>98.25</v>
      </c>
      <c r="C51" s="135">
        <v>6.0299999999999999E-2</v>
      </c>
      <c r="D51" s="154">
        <v>96.300000000000011</v>
      </c>
      <c r="E51" s="135">
        <v>6.6299999999999998E-2</v>
      </c>
      <c r="F51" s="154">
        <v>96.7</v>
      </c>
      <c r="G51" s="135">
        <v>6.9800000000000001E-2</v>
      </c>
      <c r="H51" s="154">
        <v>102</v>
      </c>
      <c r="I51" s="135">
        <v>7.3099999999999998E-2</v>
      </c>
    </row>
    <row r="52" spans="1:9" x14ac:dyDescent="0.35">
      <c r="A52" s="133">
        <v>43166</v>
      </c>
      <c r="B52" s="154">
        <v>97.690000000000012</v>
      </c>
      <c r="C52" s="135">
        <v>6.1500000000000006E-2</v>
      </c>
      <c r="D52" s="154">
        <v>96.01</v>
      </c>
      <c r="E52" s="135">
        <v>6.6700000000000009E-2</v>
      </c>
      <c r="F52" s="154">
        <v>96.15</v>
      </c>
      <c r="G52" s="135">
        <v>7.0500000000000007E-2</v>
      </c>
      <c r="H52" s="154">
        <v>101.71000000000001</v>
      </c>
      <c r="I52" s="135">
        <v>7.3400000000000007E-2</v>
      </c>
    </row>
    <row r="53" spans="1:9" x14ac:dyDescent="0.35">
      <c r="A53" s="133">
        <v>43167</v>
      </c>
      <c r="B53" s="154">
        <v>97.59</v>
      </c>
      <c r="C53" s="135">
        <v>6.1800000000000001E-2</v>
      </c>
      <c r="D53" s="154">
        <v>96.2</v>
      </c>
      <c r="E53" s="135">
        <v>6.6500000000000004E-2</v>
      </c>
      <c r="F53" s="154">
        <v>96.06</v>
      </c>
      <c r="G53" s="135">
        <v>7.0599999999999996E-2</v>
      </c>
      <c r="H53" s="154">
        <v>101.59</v>
      </c>
      <c r="I53" s="135">
        <v>7.350000000000001E-2</v>
      </c>
    </row>
    <row r="54" spans="1:9" x14ac:dyDescent="0.35">
      <c r="A54" s="133">
        <v>43168</v>
      </c>
      <c r="B54" s="154">
        <v>97.25</v>
      </c>
      <c r="C54" s="135">
        <v>6.2600000000000003E-2</v>
      </c>
      <c r="D54" s="154">
        <v>95.350000000000009</v>
      </c>
      <c r="E54" s="135">
        <v>6.7699999999999996E-2</v>
      </c>
      <c r="F54" s="154">
        <v>95.460000000000008</v>
      </c>
      <c r="G54" s="135">
        <v>7.1199999999999999E-2</v>
      </c>
      <c r="H54" s="154">
        <v>100.81</v>
      </c>
      <c r="I54" s="135">
        <v>7.4300000000000005E-2</v>
      </c>
    </row>
    <row r="55" spans="1:9" x14ac:dyDescent="0.35">
      <c r="A55" s="136">
        <v>43171</v>
      </c>
      <c r="B55" s="153">
        <v>97.38000000000001</v>
      </c>
      <c r="C55" s="138">
        <v>6.2300000000000001E-2</v>
      </c>
      <c r="D55" s="153">
        <v>95.190000000000012</v>
      </c>
      <c r="E55" s="138">
        <v>6.7900000000000002E-2</v>
      </c>
      <c r="F55" s="153">
        <v>95.52000000000001</v>
      </c>
      <c r="G55" s="138">
        <v>7.1199999999999999E-2</v>
      </c>
      <c r="H55" s="153">
        <v>101.09</v>
      </c>
      <c r="I55" s="138">
        <v>7.3999999999999996E-2</v>
      </c>
    </row>
    <row r="56" spans="1:9" x14ac:dyDescent="0.35">
      <c r="A56" s="136">
        <v>43172</v>
      </c>
      <c r="B56" s="153">
        <v>97.58</v>
      </c>
      <c r="C56" s="138">
        <v>6.1800000000000001E-2</v>
      </c>
      <c r="D56" s="153">
        <v>95.550000000000011</v>
      </c>
      <c r="E56" s="138">
        <v>6.7400000000000002E-2</v>
      </c>
      <c r="F56" s="153">
        <v>95.690000000000012</v>
      </c>
      <c r="G56" s="138">
        <v>7.1000000000000008E-2</v>
      </c>
      <c r="H56" s="153">
        <v>101.52000000000001</v>
      </c>
      <c r="I56" s="138">
        <v>7.3599999999999999E-2</v>
      </c>
    </row>
    <row r="57" spans="1:9" x14ac:dyDescent="0.35">
      <c r="A57" s="136">
        <v>43173</v>
      </c>
      <c r="B57" s="153">
        <v>97.8</v>
      </c>
      <c r="C57" s="138">
        <v>6.13E-2</v>
      </c>
      <c r="D57" s="153">
        <v>96.23</v>
      </c>
      <c r="E57" s="138">
        <v>6.6400000000000001E-2</v>
      </c>
      <c r="F57" s="153">
        <v>96.550000000000011</v>
      </c>
      <c r="G57" s="138">
        <v>7.0000000000000007E-2</v>
      </c>
      <c r="H57" s="153">
        <v>102.29</v>
      </c>
      <c r="I57" s="138">
        <v>7.2900000000000006E-2</v>
      </c>
    </row>
    <row r="58" spans="1:9" x14ac:dyDescent="0.35">
      <c r="A58" s="136">
        <v>43174</v>
      </c>
      <c r="B58" s="153">
        <v>98.03</v>
      </c>
      <c r="C58" s="138">
        <v>6.08E-2</v>
      </c>
      <c r="D58" s="153">
        <v>96.410000000000011</v>
      </c>
      <c r="E58" s="138">
        <v>6.6200000000000009E-2</v>
      </c>
      <c r="F58" s="153">
        <v>96.97</v>
      </c>
      <c r="G58" s="138">
        <v>6.9600000000000009E-2</v>
      </c>
      <c r="H58" s="153">
        <v>102.51</v>
      </c>
      <c r="I58" s="138">
        <v>7.2599999999999998E-2</v>
      </c>
    </row>
    <row r="59" spans="1:9" x14ac:dyDescent="0.35">
      <c r="A59" s="136">
        <v>43175</v>
      </c>
      <c r="B59" s="153">
        <v>97.660000000000011</v>
      </c>
      <c r="C59" s="138">
        <v>6.1600000000000002E-2</v>
      </c>
      <c r="D59" s="153">
        <v>95.53</v>
      </c>
      <c r="E59" s="138">
        <v>6.7400000000000002E-2</v>
      </c>
      <c r="F59" s="153">
        <v>96.65</v>
      </c>
      <c r="G59" s="138">
        <v>6.9900000000000004E-2</v>
      </c>
      <c r="H59" s="153">
        <v>101.96000000000001</v>
      </c>
      <c r="I59" s="138">
        <v>7.3200000000000001E-2</v>
      </c>
    </row>
    <row r="60" spans="1:9" x14ac:dyDescent="0.35">
      <c r="A60" s="133">
        <v>43178</v>
      </c>
      <c r="B60" s="154">
        <v>98.09</v>
      </c>
      <c r="C60" s="135">
        <v>6.0700000000000004E-2</v>
      </c>
      <c r="D60" s="154">
        <v>95.600000000000009</v>
      </c>
      <c r="E60" s="135">
        <v>6.7299999999999999E-2</v>
      </c>
      <c r="F60" s="154">
        <v>96.73</v>
      </c>
      <c r="G60" s="135">
        <v>6.9800000000000001E-2</v>
      </c>
      <c r="H60" s="154">
        <v>101.97</v>
      </c>
      <c r="I60" s="135">
        <v>7.3200000000000001E-2</v>
      </c>
    </row>
    <row r="61" spans="1:9" x14ac:dyDescent="0.35">
      <c r="A61" s="133">
        <v>43179</v>
      </c>
      <c r="B61" s="154">
        <v>98.54</v>
      </c>
      <c r="C61" s="135">
        <v>5.96E-2</v>
      </c>
      <c r="D61" s="154">
        <v>95.88000000000001</v>
      </c>
      <c r="E61" s="135">
        <v>6.6900000000000001E-2</v>
      </c>
      <c r="F61" s="154">
        <v>97.190000000000012</v>
      </c>
      <c r="G61" s="135">
        <v>6.93E-2</v>
      </c>
      <c r="H61" s="154">
        <v>102.01</v>
      </c>
      <c r="I61" s="135">
        <v>7.3099999999999998E-2</v>
      </c>
    </row>
    <row r="62" spans="1:9" x14ac:dyDescent="0.35">
      <c r="A62" s="133">
        <v>43180</v>
      </c>
      <c r="B62" s="154">
        <v>98.600000000000009</v>
      </c>
      <c r="C62" s="135">
        <v>5.9500000000000004E-2</v>
      </c>
      <c r="D62" s="154">
        <v>95.79</v>
      </c>
      <c r="E62" s="135">
        <v>6.7100000000000007E-2</v>
      </c>
      <c r="F62" s="154">
        <v>97.09</v>
      </c>
      <c r="G62" s="135">
        <v>6.9400000000000003E-2</v>
      </c>
      <c r="H62" s="154">
        <v>102</v>
      </c>
      <c r="I62" s="135">
        <v>7.3099999999999998E-2</v>
      </c>
    </row>
    <row r="63" spans="1:9" x14ac:dyDescent="0.35">
      <c r="A63" s="133">
        <v>43181</v>
      </c>
      <c r="B63" s="154">
        <v>98.660000000000011</v>
      </c>
      <c r="C63" s="135">
        <v>5.9300000000000005E-2</v>
      </c>
      <c r="D63" s="154">
        <v>95.800000000000011</v>
      </c>
      <c r="E63" s="135">
        <v>6.7100000000000007E-2</v>
      </c>
      <c r="F63" s="154">
        <v>97.03</v>
      </c>
      <c r="G63" s="135">
        <v>6.9500000000000006E-2</v>
      </c>
      <c r="H63" s="154">
        <v>101.96000000000001</v>
      </c>
      <c r="I63" s="135">
        <v>7.3200000000000001E-2</v>
      </c>
    </row>
    <row r="64" spans="1:9" x14ac:dyDescent="0.35">
      <c r="A64" s="133">
        <v>43182</v>
      </c>
      <c r="B64" s="154">
        <v>98.410000000000011</v>
      </c>
      <c r="C64" s="135">
        <v>5.9900000000000002E-2</v>
      </c>
      <c r="D64" s="154">
        <v>94.78</v>
      </c>
      <c r="E64" s="135">
        <v>6.8500000000000005E-2</v>
      </c>
      <c r="F64" s="154">
        <v>96.460000000000008</v>
      </c>
      <c r="G64" s="135">
        <v>7.010000000000001E-2</v>
      </c>
      <c r="H64" s="154">
        <v>100.88000000000001</v>
      </c>
      <c r="I64" s="135">
        <v>7.4200000000000002E-2</v>
      </c>
    </row>
    <row r="65" spans="1:9" x14ac:dyDescent="0.35">
      <c r="A65" s="136">
        <v>43185</v>
      </c>
      <c r="B65" s="153">
        <v>98.28</v>
      </c>
      <c r="C65" s="138">
        <v>6.0200000000000004E-2</v>
      </c>
      <c r="D65" s="153">
        <v>94.460000000000008</v>
      </c>
      <c r="E65" s="138">
        <v>6.9000000000000006E-2</v>
      </c>
      <c r="F65" s="153">
        <v>96</v>
      </c>
      <c r="G65" s="138">
        <v>7.0599999999999996E-2</v>
      </c>
      <c r="H65" s="153">
        <v>100.64</v>
      </c>
      <c r="I65" s="138">
        <v>7.4400000000000008E-2</v>
      </c>
    </row>
    <row r="66" spans="1:9" x14ac:dyDescent="0.35">
      <c r="A66" s="136">
        <v>43186</v>
      </c>
      <c r="B66" s="153">
        <v>98.37</v>
      </c>
      <c r="C66" s="138">
        <v>6.0000000000000005E-2</v>
      </c>
      <c r="D66" s="153">
        <v>95.100000000000009</v>
      </c>
      <c r="E66" s="138">
        <v>6.8100000000000008E-2</v>
      </c>
      <c r="F66" s="153">
        <v>96.550000000000011</v>
      </c>
      <c r="G66" s="138">
        <v>7.0000000000000007E-2</v>
      </c>
      <c r="H66" s="153">
        <v>101.04</v>
      </c>
      <c r="I66" s="138">
        <v>7.3999999999999996E-2</v>
      </c>
    </row>
    <row r="67" spans="1:9" x14ac:dyDescent="0.35">
      <c r="A67" s="136">
        <v>43187</v>
      </c>
      <c r="B67" s="153">
        <v>98.570000000000007</v>
      </c>
      <c r="C67" s="138">
        <v>5.96E-2</v>
      </c>
      <c r="D67" s="153">
        <v>95.34</v>
      </c>
      <c r="E67" s="138">
        <v>6.7699999999999996E-2</v>
      </c>
      <c r="F67" s="153">
        <v>97.17</v>
      </c>
      <c r="G67" s="138">
        <v>6.93E-2</v>
      </c>
      <c r="H67" s="153">
        <v>101.04</v>
      </c>
      <c r="I67" s="138">
        <v>7.3999999999999996E-2</v>
      </c>
    </row>
    <row r="68" spans="1:9" x14ac:dyDescent="0.35">
      <c r="A68" s="136">
        <v>43188</v>
      </c>
      <c r="B68" s="153">
        <v>98.75</v>
      </c>
      <c r="C68" s="138">
        <v>5.91E-2</v>
      </c>
      <c r="D68" s="153">
        <v>96.12</v>
      </c>
      <c r="E68" s="138">
        <v>6.6600000000000006E-2</v>
      </c>
      <c r="F68" s="153">
        <v>97.79</v>
      </c>
      <c r="G68" s="138">
        <v>6.8699999999999997E-2</v>
      </c>
      <c r="H68" s="153">
        <v>101.83</v>
      </c>
      <c r="I68" s="138">
        <v>7.3300000000000004E-2</v>
      </c>
    </row>
    <row r="69" spans="1:9" x14ac:dyDescent="0.35">
      <c r="A69" s="133">
        <v>43192</v>
      </c>
      <c r="B69" s="154">
        <v>98.77000000000001</v>
      </c>
      <c r="C69" s="135">
        <v>5.91E-2</v>
      </c>
      <c r="D69" s="154">
        <v>96.53</v>
      </c>
      <c r="E69" s="135">
        <v>6.6000000000000003E-2</v>
      </c>
      <c r="F69" s="154">
        <v>98.34</v>
      </c>
      <c r="G69" s="135">
        <v>6.8100000000000008E-2</v>
      </c>
      <c r="H69" s="154">
        <v>102.4</v>
      </c>
      <c r="I69" s="135">
        <v>7.2700000000000001E-2</v>
      </c>
    </row>
    <row r="70" spans="1:9" x14ac:dyDescent="0.35">
      <c r="A70" s="133">
        <v>43193</v>
      </c>
      <c r="B70" s="154">
        <v>98.76</v>
      </c>
      <c r="C70" s="135">
        <v>5.91E-2</v>
      </c>
      <c r="D70" s="154">
        <v>96.65</v>
      </c>
      <c r="E70" s="135">
        <v>6.59E-2</v>
      </c>
      <c r="F70" s="154">
        <v>98.160000000000011</v>
      </c>
      <c r="G70" s="135">
        <v>6.83E-2</v>
      </c>
      <c r="H70" s="154">
        <v>102.31</v>
      </c>
      <c r="I70" s="135">
        <v>7.2800000000000004E-2</v>
      </c>
    </row>
    <row r="71" spans="1:9" x14ac:dyDescent="0.35">
      <c r="A71" s="133">
        <v>43194</v>
      </c>
      <c r="B71" s="154">
        <v>98.78</v>
      </c>
      <c r="C71" s="135">
        <v>5.91E-2</v>
      </c>
      <c r="D71" s="154">
        <v>96.690000000000012</v>
      </c>
      <c r="E71" s="135">
        <v>6.5799999999999997E-2</v>
      </c>
      <c r="F71" s="154">
        <v>98.36</v>
      </c>
      <c r="G71" s="135">
        <v>6.8000000000000005E-2</v>
      </c>
      <c r="H71" s="154">
        <v>102.5</v>
      </c>
      <c r="I71" s="135">
        <v>7.2700000000000001E-2</v>
      </c>
    </row>
    <row r="72" spans="1:9" x14ac:dyDescent="0.35">
      <c r="A72" s="133">
        <v>43195</v>
      </c>
      <c r="B72" s="154">
        <v>98.800000000000011</v>
      </c>
      <c r="C72" s="135">
        <v>5.9000000000000004E-2</v>
      </c>
      <c r="D72" s="154">
        <v>96.75</v>
      </c>
      <c r="E72" s="135">
        <v>6.5700000000000008E-2</v>
      </c>
      <c r="F72" s="154">
        <v>98.190000000000012</v>
      </c>
      <c r="G72" s="135">
        <v>6.8199999999999997E-2</v>
      </c>
      <c r="H72" s="154">
        <v>102.97</v>
      </c>
      <c r="I72" s="135">
        <v>7.22E-2</v>
      </c>
    </row>
    <row r="73" spans="1:9" x14ac:dyDescent="0.35">
      <c r="A73" s="133">
        <v>43196</v>
      </c>
      <c r="B73" s="154">
        <v>98.63000000000001</v>
      </c>
      <c r="C73" s="135">
        <v>5.9400000000000001E-2</v>
      </c>
      <c r="D73" s="154">
        <v>96.61</v>
      </c>
      <c r="E73" s="135">
        <v>6.59E-2</v>
      </c>
      <c r="F73" s="154">
        <v>98.11</v>
      </c>
      <c r="G73" s="135">
        <v>6.83E-2</v>
      </c>
      <c r="H73" s="154">
        <v>102.89</v>
      </c>
      <c r="I73" s="135">
        <v>7.2300000000000003E-2</v>
      </c>
    </row>
    <row r="74" spans="1:9" x14ac:dyDescent="0.35">
      <c r="A74" s="136">
        <v>43199</v>
      </c>
      <c r="B74" s="153">
        <v>98.67</v>
      </c>
      <c r="C74" s="138">
        <v>5.9300000000000005E-2</v>
      </c>
      <c r="D74" s="153">
        <v>96.58</v>
      </c>
      <c r="E74" s="138">
        <v>6.6000000000000003E-2</v>
      </c>
      <c r="F74" s="153">
        <v>97.97</v>
      </c>
      <c r="G74" s="138">
        <v>6.8500000000000005E-2</v>
      </c>
      <c r="H74" s="153">
        <v>102.80000000000001</v>
      </c>
      <c r="I74" s="138">
        <v>7.2400000000000006E-2</v>
      </c>
    </row>
    <row r="75" spans="1:9" x14ac:dyDescent="0.35">
      <c r="A75" s="136">
        <v>43200</v>
      </c>
      <c r="B75" s="153">
        <v>98.62</v>
      </c>
      <c r="C75" s="138">
        <v>5.9500000000000004E-2</v>
      </c>
      <c r="D75" s="153">
        <v>96.61</v>
      </c>
      <c r="E75" s="138">
        <v>6.59E-2</v>
      </c>
      <c r="F75" s="153">
        <v>98.100000000000009</v>
      </c>
      <c r="G75" s="138">
        <v>6.83E-2</v>
      </c>
      <c r="H75" s="153">
        <v>102.7</v>
      </c>
      <c r="I75" s="138">
        <v>7.2500000000000009E-2</v>
      </c>
    </row>
    <row r="76" spans="1:9" x14ac:dyDescent="0.35">
      <c r="A76" s="136">
        <v>43201</v>
      </c>
      <c r="B76" s="153">
        <v>98.67</v>
      </c>
      <c r="C76" s="138">
        <v>5.9400000000000001E-2</v>
      </c>
      <c r="D76" s="153">
        <v>97.01</v>
      </c>
      <c r="E76" s="138">
        <v>6.54E-2</v>
      </c>
      <c r="F76" s="153">
        <v>98.3</v>
      </c>
      <c r="G76" s="138">
        <v>6.8100000000000008E-2</v>
      </c>
      <c r="H76" s="153">
        <v>103.03</v>
      </c>
      <c r="I76" s="138">
        <v>7.22E-2</v>
      </c>
    </row>
    <row r="77" spans="1:9" x14ac:dyDescent="0.35">
      <c r="A77" s="136">
        <v>43202</v>
      </c>
      <c r="B77" s="153">
        <v>98.64</v>
      </c>
      <c r="C77" s="138">
        <v>5.9400000000000001E-2</v>
      </c>
      <c r="D77" s="153">
        <v>97</v>
      </c>
      <c r="E77" s="138">
        <v>6.54E-2</v>
      </c>
      <c r="F77" s="153">
        <v>98.23</v>
      </c>
      <c r="G77" s="138">
        <v>6.8199999999999997E-2</v>
      </c>
      <c r="H77" s="153">
        <v>103.03</v>
      </c>
      <c r="I77" s="138">
        <v>7.22E-2</v>
      </c>
    </row>
    <row r="78" spans="1:9" x14ac:dyDescent="0.35">
      <c r="A78" s="136">
        <v>43203</v>
      </c>
      <c r="B78" s="153">
        <v>98.600000000000009</v>
      </c>
      <c r="C78" s="138">
        <v>5.9500000000000004E-2</v>
      </c>
      <c r="D78" s="153">
        <v>97.160000000000011</v>
      </c>
      <c r="E78" s="138">
        <v>6.5200000000000008E-2</v>
      </c>
      <c r="F78" s="153">
        <v>98.11</v>
      </c>
      <c r="G78" s="138">
        <v>6.83E-2</v>
      </c>
      <c r="H78" s="153">
        <v>103.02000000000001</v>
      </c>
      <c r="I78" s="138">
        <v>7.22E-2</v>
      </c>
    </row>
    <row r="79" spans="1:9" x14ac:dyDescent="0.35">
      <c r="A79" s="133">
        <v>43206</v>
      </c>
      <c r="B79" s="154">
        <v>98.53</v>
      </c>
      <c r="C79" s="135">
        <v>5.9700000000000003E-2</v>
      </c>
      <c r="D79" s="154">
        <v>96.850000000000009</v>
      </c>
      <c r="E79" s="135">
        <v>6.5600000000000006E-2</v>
      </c>
      <c r="F79" s="154">
        <v>97.9</v>
      </c>
      <c r="G79" s="135">
        <v>6.8500000000000005E-2</v>
      </c>
      <c r="H79" s="154">
        <v>102.87</v>
      </c>
      <c r="I79" s="135">
        <v>7.2300000000000003E-2</v>
      </c>
    </row>
    <row r="80" spans="1:9" x14ac:dyDescent="0.35">
      <c r="A80" s="133">
        <v>43207</v>
      </c>
      <c r="B80" s="154">
        <v>98.39</v>
      </c>
      <c r="C80" s="135">
        <v>6.0000000000000005E-2</v>
      </c>
      <c r="D80" s="154">
        <v>96.59</v>
      </c>
      <c r="E80" s="135">
        <v>6.6000000000000003E-2</v>
      </c>
      <c r="F80" s="154">
        <v>97.68</v>
      </c>
      <c r="G80" s="135">
        <v>6.88E-2</v>
      </c>
      <c r="H80" s="154">
        <v>102.59</v>
      </c>
      <c r="I80" s="135">
        <v>7.2599999999999998E-2</v>
      </c>
    </row>
    <row r="81" spans="1:9" x14ac:dyDescent="0.35">
      <c r="A81" s="133">
        <v>43208</v>
      </c>
      <c r="B81" s="154">
        <v>98.350000000000009</v>
      </c>
      <c r="C81" s="135">
        <v>6.0100000000000001E-2</v>
      </c>
      <c r="D81" s="154">
        <v>96.55</v>
      </c>
      <c r="E81" s="135">
        <v>6.6000000000000003E-2</v>
      </c>
      <c r="F81" s="154">
        <v>97.54</v>
      </c>
      <c r="G81" s="135">
        <v>6.8900000000000003E-2</v>
      </c>
      <c r="H81" s="154">
        <v>102.32000000000001</v>
      </c>
      <c r="I81" s="135">
        <v>7.2800000000000004E-2</v>
      </c>
    </row>
    <row r="82" spans="1:9" x14ac:dyDescent="0.35">
      <c r="A82" s="133">
        <v>43209</v>
      </c>
      <c r="B82" s="154">
        <v>98.17</v>
      </c>
      <c r="C82" s="135">
        <v>6.0500000000000005E-2</v>
      </c>
      <c r="D82" s="154">
        <v>96</v>
      </c>
      <c r="E82" s="135">
        <v>6.6799999999999998E-2</v>
      </c>
      <c r="F82" s="154">
        <v>97.17</v>
      </c>
      <c r="G82" s="135">
        <v>6.93E-2</v>
      </c>
      <c r="H82" s="154">
        <v>101.85000000000001</v>
      </c>
      <c r="I82" s="135">
        <v>7.3300000000000004E-2</v>
      </c>
    </row>
    <row r="83" spans="1:9" x14ac:dyDescent="0.35">
      <c r="A83" s="133">
        <v>43210</v>
      </c>
      <c r="B83" s="154">
        <v>97.88000000000001</v>
      </c>
      <c r="C83" s="135">
        <v>6.1200000000000004E-2</v>
      </c>
      <c r="D83" s="154">
        <v>95.59</v>
      </c>
      <c r="E83" s="135">
        <v>6.7400000000000002E-2</v>
      </c>
      <c r="F83" s="154">
        <v>96.59</v>
      </c>
      <c r="G83" s="135">
        <v>7.0000000000000007E-2</v>
      </c>
      <c r="H83" s="154">
        <v>101.43</v>
      </c>
      <c r="I83" s="135">
        <v>7.3700000000000002E-2</v>
      </c>
    </row>
    <row r="84" spans="1:9" x14ac:dyDescent="0.35">
      <c r="A84" s="136">
        <v>43213</v>
      </c>
      <c r="B84" s="153">
        <v>97.48</v>
      </c>
      <c r="C84" s="138">
        <v>6.2200000000000005E-2</v>
      </c>
      <c r="D84" s="153">
        <v>94.97</v>
      </c>
      <c r="E84" s="138">
        <v>6.83E-2</v>
      </c>
      <c r="F84" s="153">
        <v>95.800000000000011</v>
      </c>
      <c r="G84" s="138">
        <v>7.0900000000000005E-2</v>
      </c>
      <c r="H84" s="153">
        <v>101.02000000000001</v>
      </c>
      <c r="I84" s="138">
        <v>7.4099999999999999E-2</v>
      </c>
    </row>
    <row r="85" spans="1:9" x14ac:dyDescent="0.35">
      <c r="A85" s="136">
        <v>43214</v>
      </c>
      <c r="B85" s="153">
        <v>97.160000000000011</v>
      </c>
      <c r="C85" s="138">
        <v>6.2899999999999998E-2</v>
      </c>
      <c r="D85" s="153">
        <v>94.5</v>
      </c>
      <c r="E85" s="138">
        <v>6.9000000000000006E-2</v>
      </c>
      <c r="F85" s="153">
        <v>95.070000000000007</v>
      </c>
      <c r="G85" s="138">
        <v>7.17E-2</v>
      </c>
      <c r="H85" s="153">
        <v>100.58</v>
      </c>
      <c r="I85" s="138">
        <v>7.4499999999999997E-2</v>
      </c>
    </row>
    <row r="86" spans="1:9" x14ac:dyDescent="0.35">
      <c r="A86" s="136">
        <v>43215</v>
      </c>
      <c r="B86" s="153">
        <v>96.92</v>
      </c>
      <c r="C86" s="138">
        <v>6.3500000000000001E-2</v>
      </c>
      <c r="D86" s="153">
        <v>94.2</v>
      </c>
      <c r="E86" s="138">
        <v>6.9400000000000003E-2</v>
      </c>
      <c r="F86" s="153">
        <v>95.03</v>
      </c>
      <c r="G86" s="138">
        <v>7.17E-2</v>
      </c>
      <c r="H86" s="153">
        <v>100.38000000000001</v>
      </c>
      <c r="I86" s="138">
        <v>7.4700000000000003E-2</v>
      </c>
    </row>
    <row r="87" spans="1:9" x14ac:dyDescent="0.35">
      <c r="A87" s="136">
        <v>43216</v>
      </c>
      <c r="B87" s="153">
        <v>95.47</v>
      </c>
      <c r="C87" s="138">
        <v>6.7000000000000004E-2</v>
      </c>
      <c r="D87" s="153">
        <v>92.62</v>
      </c>
      <c r="E87" s="138">
        <v>7.17E-2</v>
      </c>
      <c r="F87" s="153">
        <v>93.800000000000011</v>
      </c>
      <c r="G87" s="138">
        <v>7.3200000000000001E-2</v>
      </c>
      <c r="H87" s="153">
        <v>98.850000000000009</v>
      </c>
      <c r="I87" s="138">
        <v>7.6200000000000004E-2</v>
      </c>
    </row>
    <row r="88" spans="1:9" x14ac:dyDescent="0.35">
      <c r="A88" s="136">
        <v>43217</v>
      </c>
      <c r="B88" s="153">
        <v>96.050000000000011</v>
      </c>
      <c r="C88" s="138">
        <v>6.5600000000000006E-2</v>
      </c>
      <c r="D88" s="153">
        <v>93.95</v>
      </c>
      <c r="E88" s="138">
        <v>6.9800000000000001E-2</v>
      </c>
      <c r="F88" s="153">
        <v>94.910000000000011</v>
      </c>
      <c r="G88" s="138">
        <v>7.1900000000000006E-2</v>
      </c>
      <c r="H88" s="153">
        <v>99.800000000000011</v>
      </c>
      <c r="I88" s="138">
        <v>7.5200000000000003E-2</v>
      </c>
    </row>
    <row r="89" spans="1:9" x14ac:dyDescent="0.35">
      <c r="A89" s="133">
        <v>43220</v>
      </c>
      <c r="B89" s="154">
        <v>96.73</v>
      </c>
      <c r="C89" s="135">
        <v>6.4000000000000001E-2</v>
      </c>
      <c r="D89" s="154">
        <v>94.77000000000001</v>
      </c>
      <c r="E89" s="135">
        <v>6.8600000000000008E-2</v>
      </c>
      <c r="F89" s="154">
        <v>95.28</v>
      </c>
      <c r="G89" s="135">
        <v>7.1500000000000008E-2</v>
      </c>
      <c r="H89" s="154">
        <v>100.60000000000001</v>
      </c>
      <c r="I89" s="135">
        <v>7.4499999999999997E-2</v>
      </c>
    </row>
    <row r="90" spans="1:9" x14ac:dyDescent="0.35">
      <c r="A90" s="133">
        <v>43222</v>
      </c>
      <c r="B90" s="154">
        <v>96.31</v>
      </c>
      <c r="C90" s="135">
        <v>6.5000000000000002E-2</v>
      </c>
      <c r="D90" s="154">
        <v>94.27000000000001</v>
      </c>
      <c r="E90" s="135">
        <v>6.93E-2</v>
      </c>
      <c r="F90" s="154">
        <v>94.53</v>
      </c>
      <c r="G90" s="135">
        <v>7.2300000000000003E-2</v>
      </c>
      <c r="H90" s="154">
        <v>100.07000000000001</v>
      </c>
      <c r="I90" s="135">
        <v>7.4999999999999997E-2</v>
      </c>
    </row>
    <row r="91" spans="1:9" x14ac:dyDescent="0.35">
      <c r="A91" s="133">
        <v>43223</v>
      </c>
      <c r="B91" s="154">
        <v>96.22</v>
      </c>
      <c r="C91" s="135">
        <v>6.5200000000000008E-2</v>
      </c>
      <c r="D91" s="154">
        <v>94.050000000000011</v>
      </c>
      <c r="E91" s="135">
        <v>6.9600000000000009E-2</v>
      </c>
      <c r="F91" s="154">
        <v>94.23</v>
      </c>
      <c r="G91" s="135">
        <v>7.2700000000000001E-2</v>
      </c>
      <c r="H91" s="154">
        <v>99.88000000000001</v>
      </c>
      <c r="I91" s="135">
        <v>7.5200000000000003E-2</v>
      </c>
    </row>
    <row r="92" spans="1:9" x14ac:dyDescent="0.35">
      <c r="A92" s="133">
        <v>43224</v>
      </c>
      <c r="B92" s="154">
        <v>96.2</v>
      </c>
      <c r="C92" s="135">
        <v>6.5299999999999997E-2</v>
      </c>
      <c r="D92" s="154">
        <v>94.28</v>
      </c>
      <c r="E92" s="135">
        <v>6.93E-2</v>
      </c>
      <c r="F92" s="154">
        <v>94.26</v>
      </c>
      <c r="G92" s="135">
        <v>7.2599999999999998E-2</v>
      </c>
      <c r="H92" s="154">
        <v>100</v>
      </c>
      <c r="I92" s="135">
        <v>7.4999999999999997E-2</v>
      </c>
    </row>
    <row r="93" spans="1:9" x14ac:dyDescent="0.35">
      <c r="A93" s="136">
        <v>43227</v>
      </c>
      <c r="B93" s="153">
        <v>96.210000000000008</v>
      </c>
      <c r="C93" s="138">
        <v>6.5299999999999997E-2</v>
      </c>
      <c r="D93" s="153">
        <v>93.850000000000009</v>
      </c>
      <c r="E93" s="138">
        <v>6.9900000000000004E-2</v>
      </c>
      <c r="F93" s="153">
        <v>93.58</v>
      </c>
      <c r="G93" s="138">
        <v>7.3400000000000007E-2</v>
      </c>
      <c r="H93" s="153">
        <v>99.68</v>
      </c>
      <c r="I93" s="138">
        <v>7.5400000000000009E-2</v>
      </c>
    </row>
    <row r="94" spans="1:9" x14ac:dyDescent="0.35">
      <c r="A94" s="136">
        <v>43228</v>
      </c>
      <c r="B94" s="153">
        <v>95.45</v>
      </c>
      <c r="C94" s="138">
        <v>6.7100000000000007E-2</v>
      </c>
      <c r="D94" s="153">
        <v>92.37</v>
      </c>
      <c r="E94" s="138">
        <v>7.2099999999999997E-2</v>
      </c>
      <c r="F94" s="153">
        <v>92.51</v>
      </c>
      <c r="G94" s="138">
        <v>7.4700000000000003E-2</v>
      </c>
      <c r="H94" s="153">
        <v>97.76</v>
      </c>
      <c r="I94" s="138">
        <v>7.7300000000000008E-2</v>
      </c>
    </row>
    <row r="95" spans="1:9" x14ac:dyDescent="0.35">
      <c r="A95" s="136">
        <v>43229</v>
      </c>
      <c r="B95" s="153">
        <v>94.65</v>
      </c>
      <c r="C95" s="138">
        <v>6.9100000000000009E-2</v>
      </c>
      <c r="D95" s="153">
        <v>91.910000000000011</v>
      </c>
      <c r="E95" s="138">
        <v>7.2800000000000004E-2</v>
      </c>
      <c r="F95" s="153">
        <v>91.39</v>
      </c>
      <c r="G95" s="138">
        <v>7.5999999999999998E-2</v>
      </c>
      <c r="H95" s="153">
        <v>96.52000000000001</v>
      </c>
      <c r="I95" s="138">
        <v>7.85E-2</v>
      </c>
    </row>
    <row r="96" spans="1:9" x14ac:dyDescent="0.35">
      <c r="A96" s="136">
        <v>43231</v>
      </c>
      <c r="B96" s="153">
        <v>94.960000000000008</v>
      </c>
      <c r="C96" s="138">
        <v>6.8400000000000002E-2</v>
      </c>
      <c r="D96" s="153">
        <v>92.52000000000001</v>
      </c>
      <c r="E96" s="138">
        <v>7.1900000000000006E-2</v>
      </c>
      <c r="F96" s="153">
        <v>91.67</v>
      </c>
      <c r="G96" s="138">
        <v>7.5700000000000003E-2</v>
      </c>
      <c r="H96" s="153">
        <v>96.86</v>
      </c>
      <c r="I96" s="138">
        <v>7.8200000000000006E-2</v>
      </c>
    </row>
    <row r="97" spans="1:9" x14ac:dyDescent="0.35">
      <c r="A97" s="133">
        <v>43234</v>
      </c>
      <c r="B97" s="154">
        <v>95.05</v>
      </c>
      <c r="C97" s="135">
        <v>6.8199999999999997E-2</v>
      </c>
      <c r="D97" s="154">
        <v>93.460000000000008</v>
      </c>
      <c r="E97" s="135">
        <v>7.0500000000000007E-2</v>
      </c>
      <c r="F97" s="154">
        <v>92.2</v>
      </c>
      <c r="G97" s="135">
        <v>7.51E-2</v>
      </c>
      <c r="H97" s="154">
        <v>98.42</v>
      </c>
      <c r="I97" s="135">
        <v>7.6600000000000001E-2</v>
      </c>
    </row>
    <row r="98" spans="1:9" x14ac:dyDescent="0.35">
      <c r="A98" s="133">
        <v>43235</v>
      </c>
      <c r="B98" s="154">
        <v>95.26</v>
      </c>
      <c r="C98" s="135">
        <v>6.7600000000000007E-2</v>
      </c>
      <c r="D98" s="154">
        <v>93.48</v>
      </c>
      <c r="E98" s="135">
        <v>7.0500000000000007E-2</v>
      </c>
      <c r="F98" s="154">
        <v>92.2</v>
      </c>
      <c r="G98" s="135">
        <v>7.51E-2</v>
      </c>
      <c r="H98" s="154">
        <v>98.570000000000007</v>
      </c>
      <c r="I98" s="135">
        <v>7.6499999999999999E-2</v>
      </c>
    </row>
    <row r="99" spans="1:9" x14ac:dyDescent="0.35">
      <c r="A99" s="133">
        <v>43236</v>
      </c>
      <c r="B99" s="154">
        <v>94.910000000000011</v>
      </c>
      <c r="C99" s="135">
        <v>6.8500000000000005E-2</v>
      </c>
      <c r="D99" s="154">
        <v>92.710000000000008</v>
      </c>
      <c r="E99" s="135">
        <v>7.1599999999999997E-2</v>
      </c>
      <c r="F99" s="154">
        <v>91.36</v>
      </c>
      <c r="G99" s="135">
        <v>7.6100000000000001E-2</v>
      </c>
      <c r="H99" s="154">
        <v>98.06</v>
      </c>
      <c r="I99" s="135">
        <v>7.6999999999999999E-2</v>
      </c>
    </row>
    <row r="100" spans="1:9" x14ac:dyDescent="0.35">
      <c r="A100" s="133">
        <v>43237</v>
      </c>
      <c r="B100" s="154">
        <v>94.92</v>
      </c>
      <c r="C100" s="135">
        <v>6.8500000000000005E-2</v>
      </c>
      <c r="D100" s="154">
        <v>92.490000000000009</v>
      </c>
      <c r="E100" s="135">
        <v>7.2000000000000008E-2</v>
      </c>
      <c r="F100" s="154">
        <v>90.84</v>
      </c>
      <c r="G100" s="135">
        <v>7.6700000000000004E-2</v>
      </c>
      <c r="H100" s="154">
        <v>97.460000000000008</v>
      </c>
      <c r="I100" s="135">
        <v>7.7600000000000002E-2</v>
      </c>
    </row>
    <row r="101" spans="1:9" x14ac:dyDescent="0.35">
      <c r="A101" s="133">
        <v>43238</v>
      </c>
      <c r="B101" s="154">
        <v>94.75</v>
      </c>
      <c r="C101" s="135">
        <v>6.8900000000000003E-2</v>
      </c>
      <c r="D101" s="154">
        <v>92.050000000000011</v>
      </c>
      <c r="E101" s="135">
        <v>7.2599999999999998E-2</v>
      </c>
      <c r="F101" s="154">
        <v>90.39</v>
      </c>
      <c r="G101" s="135">
        <v>7.7200000000000005E-2</v>
      </c>
      <c r="H101" s="154">
        <v>97.29</v>
      </c>
      <c r="I101" s="135">
        <v>7.7700000000000005E-2</v>
      </c>
    </row>
    <row r="102" spans="1:9" x14ac:dyDescent="0.35">
      <c r="A102" s="136">
        <v>43241</v>
      </c>
      <c r="B102" s="153">
        <v>94.2</v>
      </c>
      <c r="C102" s="138">
        <v>7.0300000000000001E-2</v>
      </c>
      <c r="D102" s="153">
        <v>91.29</v>
      </c>
      <c r="E102" s="138">
        <v>7.3800000000000004E-2</v>
      </c>
      <c r="F102" s="153">
        <v>89.62</v>
      </c>
      <c r="G102" s="138">
        <v>7.8200000000000006E-2</v>
      </c>
      <c r="H102" s="153">
        <v>95.97</v>
      </c>
      <c r="I102" s="138">
        <v>7.9100000000000004E-2</v>
      </c>
    </row>
    <row r="103" spans="1:9" x14ac:dyDescent="0.35">
      <c r="A103" s="136">
        <v>43242</v>
      </c>
      <c r="B103" s="153">
        <v>94.15</v>
      </c>
      <c r="C103" s="138">
        <v>7.0400000000000004E-2</v>
      </c>
      <c r="D103" s="153">
        <v>90.78</v>
      </c>
      <c r="E103" s="138">
        <v>7.46E-2</v>
      </c>
      <c r="F103" s="153">
        <v>88.960000000000008</v>
      </c>
      <c r="G103" s="138">
        <v>7.9000000000000001E-2</v>
      </c>
      <c r="H103" s="153">
        <v>94.820000000000007</v>
      </c>
      <c r="I103" s="138">
        <v>8.0299999999999996E-2</v>
      </c>
    </row>
    <row r="104" spans="1:9" x14ac:dyDescent="0.35">
      <c r="A104" s="136">
        <v>43243</v>
      </c>
      <c r="B104" s="153">
        <v>94.18</v>
      </c>
      <c r="C104" s="138">
        <v>7.0400000000000004E-2</v>
      </c>
      <c r="D104" s="153">
        <v>90.06</v>
      </c>
      <c r="E104" s="138">
        <v>7.5700000000000003E-2</v>
      </c>
      <c r="F104" s="153">
        <v>88.37</v>
      </c>
      <c r="G104" s="138">
        <v>7.9700000000000007E-2</v>
      </c>
      <c r="H104" s="153">
        <v>94.89</v>
      </c>
      <c r="I104" s="138">
        <v>8.0200000000000007E-2</v>
      </c>
    </row>
    <row r="105" spans="1:9" x14ac:dyDescent="0.35">
      <c r="A105" s="136">
        <v>43244</v>
      </c>
      <c r="B105" s="153">
        <v>94.14</v>
      </c>
      <c r="C105" s="138">
        <v>7.0500000000000007E-2</v>
      </c>
      <c r="D105" s="153">
        <v>89.92</v>
      </c>
      <c r="E105" s="138">
        <v>7.5900000000000009E-2</v>
      </c>
      <c r="F105" s="153">
        <v>87.88000000000001</v>
      </c>
      <c r="G105" s="138">
        <v>8.0399999999999999E-2</v>
      </c>
      <c r="H105" s="153">
        <v>94.88000000000001</v>
      </c>
      <c r="I105" s="138">
        <v>8.0200000000000007E-2</v>
      </c>
    </row>
    <row r="106" spans="1:9" x14ac:dyDescent="0.35">
      <c r="A106" s="136">
        <v>43245</v>
      </c>
      <c r="B106" s="153">
        <v>94.320000000000007</v>
      </c>
      <c r="C106" s="138">
        <v>7.0000000000000007E-2</v>
      </c>
      <c r="D106" s="153">
        <v>90.88000000000001</v>
      </c>
      <c r="E106" s="138">
        <v>7.4400000000000008E-2</v>
      </c>
      <c r="F106" s="153">
        <v>88.5</v>
      </c>
      <c r="G106" s="138">
        <v>7.9600000000000004E-2</v>
      </c>
      <c r="H106" s="153">
        <v>95.77000000000001</v>
      </c>
      <c r="I106" s="138">
        <v>7.9300000000000009E-2</v>
      </c>
    </row>
    <row r="107" spans="1:9" x14ac:dyDescent="0.35">
      <c r="A107" s="133">
        <v>43248</v>
      </c>
      <c r="B107" s="154">
        <v>95.36</v>
      </c>
      <c r="C107" s="135">
        <v>6.7500000000000004E-2</v>
      </c>
      <c r="D107" s="154">
        <v>93.29</v>
      </c>
      <c r="E107" s="135">
        <v>7.0800000000000002E-2</v>
      </c>
      <c r="F107" s="154">
        <v>91.92</v>
      </c>
      <c r="G107" s="135">
        <v>7.5400000000000009E-2</v>
      </c>
      <c r="H107" s="154">
        <v>98.18</v>
      </c>
      <c r="I107" s="135">
        <v>7.6800000000000007E-2</v>
      </c>
    </row>
    <row r="108" spans="1:9" x14ac:dyDescent="0.35">
      <c r="A108" s="133">
        <v>43250</v>
      </c>
      <c r="B108" s="154">
        <v>95.08</v>
      </c>
      <c r="C108" s="135">
        <v>6.8199999999999997E-2</v>
      </c>
      <c r="D108" s="154">
        <v>92.08</v>
      </c>
      <c r="E108" s="135">
        <v>7.2599999999999998E-2</v>
      </c>
      <c r="F108" s="154">
        <v>91.070000000000007</v>
      </c>
      <c r="G108" s="135">
        <v>7.640000000000001E-2</v>
      </c>
      <c r="H108" s="154">
        <v>97.38000000000001</v>
      </c>
      <c r="I108" s="135">
        <v>7.7600000000000002E-2</v>
      </c>
    </row>
    <row r="109" spans="1:9" x14ac:dyDescent="0.35">
      <c r="A109" s="133">
        <v>43251</v>
      </c>
      <c r="B109" s="154">
        <v>95.410000000000011</v>
      </c>
      <c r="C109" s="135">
        <v>6.7299999999999999E-2</v>
      </c>
      <c r="D109" s="154">
        <v>93.820000000000007</v>
      </c>
      <c r="E109" s="135">
        <v>7.0000000000000007E-2</v>
      </c>
      <c r="F109" s="154">
        <v>92.320000000000007</v>
      </c>
      <c r="G109" s="135">
        <v>7.4900000000000008E-2</v>
      </c>
      <c r="H109" s="154">
        <v>98.58</v>
      </c>
      <c r="I109" s="135">
        <v>7.640000000000001E-2</v>
      </c>
    </row>
    <row r="110" spans="1:9" x14ac:dyDescent="0.35">
      <c r="A110" s="136">
        <v>43255</v>
      </c>
      <c r="B110" s="153">
        <v>95.18</v>
      </c>
      <c r="C110" s="138">
        <v>6.7900000000000002E-2</v>
      </c>
      <c r="D110" s="153">
        <v>93.97</v>
      </c>
      <c r="E110" s="138">
        <v>6.9800000000000001E-2</v>
      </c>
      <c r="F110" s="153">
        <v>93</v>
      </c>
      <c r="G110" s="138">
        <v>7.4099999999999999E-2</v>
      </c>
      <c r="H110" s="153">
        <v>99.48</v>
      </c>
      <c r="I110" s="138">
        <v>7.5600000000000001E-2</v>
      </c>
    </row>
    <row r="111" spans="1:9" x14ac:dyDescent="0.35">
      <c r="A111" s="136">
        <v>43256</v>
      </c>
      <c r="B111" s="153">
        <v>95.160000000000011</v>
      </c>
      <c r="C111" s="138">
        <v>6.8000000000000005E-2</v>
      </c>
      <c r="D111" s="153">
        <v>93.850000000000009</v>
      </c>
      <c r="E111" s="138">
        <v>7.0000000000000007E-2</v>
      </c>
      <c r="F111" s="153">
        <v>92.740000000000009</v>
      </c>
      <c r="G111" s="138">
        <v>7.4400000000000008E-2</v>
      </c>
      <c r="H111" s="153">
        <v>99.43</v>
      </c>
      <c r="I111" s="138">
        <v>7.5600000000000001E-2</v>
      </c>
    </row>
    <row r="112" spans="1:9" x14ac:dyDescent="0.35">
      <c r="A112" s="136">
        <v>43257</v>
      </c>
      <c r="B112" s="153">
        <v>95.14</v>
      </c>
      <c r="C112" s="138">
        <v>6.8000000000000005E-2</v>
      </c>
      <c r="D112" s="153">
        <v>93.09</v>
      </c>
      <c r="E112" s="138">
        <v>7.1099999999999997E-2</v>
      </c>
      <c r="F112" s="153">
        <v>92.08</v>
      </c>
      <c r="G112" s="138">
        <v>7.5200000000000003E-2</v>
      </c>
      <c r="H112" s="153">
        <v>99.01</v>
      </c>
      <c r="I112" s="138">
        <v>7.5999999999999998E-2</v>
      </c>
    </row>
    <row r="113" spans="1:9" x14ac:dyDescent="0.35">
      <c r="A113" s="136">
        <v>43258</v>
      </c>
      <c r="B113" s="153">
        <v>94.76</v>
      </c>
      <c r="C113" s="138">
        <v>6.9000000000000006E-2</v>
      </c>
      <c r="D113" s="153">
        <v>92.31</v>
      </c>
      <c r="E113" s="138">
        <v>7.2300000000000003E-2</v>
      </c>
      <c r="F113" s="153">
        <v>91.2</v>
      </c>
      <c r="G113" s="138">
        <v>7.6300000000000007E-2</v>
      </c>
      <c r="H113" s="153">
        <v>98.47</v>
      </c>
      <c r="I113" s="138">
        <v>7.6600000000000001E-2</v>
      </c>
    </row>
    <row r="114" spans="1:9" x14ac:dyDescent="0.35">
      <c r="A114" s="136">
        <v>43259</v>
      </c>
      <c r="B114" s="153">
        <v>94.490000000000009</v>
      </c>
      <c r="C114" s="138">
        <v>6.88E-2</v>
      </c>
      <c r="D114" s="153">
        <v>92.160000000000011</v>
      </c>
      <c r="E114" s="138">
        <v>7.22E-2</v>
      </c>
      <c r="F114" s="153">
        <v>91.04</v>
      </c>
      <c r="G114" s="138">
        <v>7.6300000000000007E-2</v>
      </c>
      <c r="H114" s="153">
        <v>98.29</v>
      </c>
      <c r="I114" s="138">
        <v>7.6700000000000004E-2</v>
      </c>
    </row>
    <row r="115" spans="1:9" x14ac:dyDescent="0.35">
      <c r="A115" s="133">
        <v>43272</v>
      </c>
      <c r="B115" s="154">
        <v>93.92</v>
      </c>
      <c r="C115" s="135">
        <v>7.1199999999999999E-2</v>
      </c>
      <c r="D115" s="154">
        <v>90.88000000000001</v>
      </c>
      <c r="E115" s="135">
        <v>7.4499999999999997E-2</v>
      </c>
      <c r="F115" s="154">
        <v>89.56</v>
      </c>
      <c r="G115" s="135">
        <v>7.8300000000000008E-2</v>
      </c>
      <c r="H115" s="154">
        <v>95.86</v>
      </c>
      <c r="I115" s="135">
        <v>7.9200000000000007E-2</v>
      </c>
    </row>
    <row r="116" spans="1:9" x14ac:dyDescent="0.35">
      <c r="A116" s="133">
        <v>43273</v>
      </c>
      <c r="B116" s="154">
        <v>93.9</v>
      </c>
      <c r="C116" s="135">
        <v>7.1300000000000002E-2</v>
      </c>
      <c r="D116" s="154">
        <v>90.89</v>
      </c>
      <c r="E116" s="135">
        <v>7.4499999999999997E-2</v>
      </c>
      <c r="F116" s="154">
        <v>88.92</v>
      </c>
      <c r="G116" s="135">
        <v>7.9100000000000004E-2</v>
      </c>
      <c r="H116" s="154">
        <v>95.87</v>
      </c>
      <c r="I116" s="135">
        <v>7.9200000000000007E-2</v>
      </c>
    </row>
    <row r="117" spans="1:9" x14ac:dyDescent="0.35">
      <c r="A117" s="136">
        <v>43276</v>
      </c>
      <c r="B117" s="153">
        <v>93.36</v>
      </c>
      <c r="C117" s="138">
        <v>7.2700000000000001E-2</v>
      </c>
      <c r="D117" s="153">
        <v>90.31</v>
      </c>
      <c r="E117" s="138">
        <v>7.5400000000000009E-2</v>
      </c>
      <c r="F117" s="153">
        <v>88.320000000000007</v>
      </c>
      <c r="G117" s="138">
        <v>7.9799999999999996E-2</v>
      </c>
      <c r="H117" s="153">
        <v>95.31</v>
      </c>
      <c r="I117" s="138">
        <v>7.9799999999999996E-2</v>
      </c>
    </row>
    <row r="118" spans="1:9" x14ac:dyDescent="0.35">
      <c r="A118" s="136">
        <v>43277</v>
      </c>
      <c r="B118" s="153">
        <v>93.240000000000009</v>
      </c>
      <c r="C118" s="138">
        <v>7.3000000000000009E-2</v>
      </c>
      <c r="D118" s="153">
        <v>89.940000000000012</v>
      </c>
      <c r="E118" s="138">
        <v>7.5900000000000009E-2</v>
      </c>
      <c r="F118" s="153">
        <v>87.79</v>
      </c>
      <c r="G118" s="138">
        <v>8.0500000000000002E-2</v>
      </c>
      <c r="H118" s="153">
        <v>94.490000000000009</v>
      </c>
      <c r="I118" s="138">
        <v>8.0600000000000005E-2</v>
      </c>
    </row>
    <row r="119" spans="1:9" x14ac:dyDescent="0.35">
      <c r="A119" s="136">
        <v>43279</v>
      </c>
      <c r="B119" s="153">
        <v>92.2</v>
      </c>
      <c r="C119" s="138">
        <v>7.5700000000000003E-2</v>
      </c>
      <c r="D119" s="153">
        <v>88.48</v>
      </c>
      <c r="E119" s="138">
        <v>7.8200000000000006E-2</v>
      </c>
      <c r="F119" s="153">
        <v>87.15</v>
      </c>
      <c r="G119" s="138">
        <v>8.1299999999999997E-2</v>
      </c>
      <c r="H119" s="153">
        <v>93.2</v>
      </c>
      <c r="I119" s="138">
        <v>8.2000000000000003E-2</v>
      </c>
    </row>
    <row r="120" spans="1:9" x14ac:dyDescent="0.35">
      <c r="A120" s="136">
        <v>43280</v>
      </c>
      <c r="B120" s="153">
        <v>92.210000000000008</v>
      </c>
      <c r="C120" s="138">
        <v>7.5700000000000003E-2</v>
      </c>
      <c r="D120" s="153">
        <v>88.12</v>
      </c>
      <c r="E120" s="138">
        <v>7.8800000000000009E-2</v>
      </c>
      <c r="F120" s="153">
        <v>85.910000000000011</v>
      </c>
      <c r="G120" s="138">
        <v>8.2900000000000001E-2</v>
      </c>
      <c r="H120" s="153">
        <v>92.61</v>
      </c>
      <c r="I120" s="138">
        <v>8.270000000000001E-2</v>
      </c>
    </row>
    <row r="121" spans="1:9" x14ac:dyDescent="0.35">
      <c r="A121" s="133">
        <v>43283</v>
      </c>
      <c r="B121" s="154">
        <v>92.67</v>
      </c>
      <c r="C121" s="135">
        <v>7.4499999999999997E-2</v>
      </c>
      <c r="D121" s="154">
        <v>89.04</v>
      </c>
      <c r="E121" s="135">
        <v>7.7399999999999997E-2</v>
      </c>
      <c r="F121" s="154">
        <v>87.37</v>
      </c>
      <c r="G121" s="135">
        <v>8.1100000000000005E-2</v>
      </c>
      <c r="H121" s="154">
        <v>94.03</v>
      </c>
      <c r="I121" s="135">
        <v>8.1100000000000005E-2</v>
      </c>
    </row>
    <row r="122" spans="1:9" x14ac:dyDescent="0.35">
      <c r="A122" s="133">
        <v>43284</v>
      </c>
      <c r="B122" s="154">
        <v>92.08</v>
      </c>
      <c r="C122" s="135">
        <v>7.6100000000000001E-2</v>
      </c>
      <c r="D122" s="154">
        <v>88.76</v>
      </c>
      <c r="E122" s="135">
        <v>7.7800000000000008E-2</v>
      </c>
      <c r="F122" s="154">
        <v>86.190000000000012</v>
      </c>
      <c r="G122" s="135">
        <v>8.2600000000000007E-2</v>
      </c>
      <c r="H122" s="154">
        <v>93.38000000000001</v>
      </c>
      <c r="I122" s="135">
        <v>8.1799999999999998E-2</v>
      </c>
    </row>
    <row r="123" spans="1:9" x14ac:dyDescent="0.35">
      <c r="A123" s="133">
        <v>43285</v>
      </c>
      <c r="B123" s="154">
        <v>92.14</v>
      </c>
      <c r="C123" s="135">
        <v>7.5900000000000009E-2</v>
      </c>
      <c r="D123" s="154">
        <v>89.01</v>
      </c>
      <c r="E123" s="135">
        <v>7.7399999999999997E-2</v>
      </c>
      <c r="F123" s="154">
        <v>87.34</v>
      </c>
      <c r="G123" s="135">
        <v>8.1100000000000005E-2</v>
      </c>
      <c r="H123" s="154">
        <v>93.93</v>
      </c>
      <c r="I123" s="135">
        <v>8.1200000000000008E-2</v>
      </c>
    </row>
    <row r="124" spans="1:9" x14ac:dyDescent="0.35">
      <c r="A124" s="133">
        <v>43286</v>
      </c>
      <c r="B124" s="154">
        <v>92.15</v>
      </c>
      <c r="C124" s="135">
        <v>7.5900000000000009E-2</v>
      </c>
      <c r="D124" s="154">
        <v>89.210000000000008</v>
      </c>
      <c r="E124" s="135">
        <v>7.7100000000000002E-2</v>
      </c>
      <c r="F124" s="154">
        <v>86.83</v>
      </c>
      <c r="G124" s="135">
        <v>8.1799999999999998E-2</v>
      </c>
      <c r="H124" s="154">
        <v>93.800000000000011</v>
      </c>
      <c r="I124" s="135">
        <v>8.14E-2</v>
      </c>
    </row>
    <row r="125" spans="1:9" x14ac:dyDescent="0.35">
      <c r="A125" s="133">
        <v>43287</v>
      </c>
      <c r="B125" s="154">
        <v>92.550000000000011</v>
      </c>
      <c r="C125" s="135">
        <v>7.4900000000000008E-2</v>
      </c>
      <c r="D125" s="154">
        <v>90.07</v>
      </c>
      <c r="E125" s="135">
        <v>7.5800000000000006E-2</v>
      </c>
      <c r="F125" s="154">
        <v>87.86</v>
      </c>
      <c r="G125" s="135">
        <v>8.0399999999999999E-2</v>
      </c>
      <c r="H125" s="154">
        <v>94.47</v>
      </c>
      <c r="I125" s="135">
        <v>8.0700000000000008E-2</v>
      </c>
    </row>
    <row r="126" spans="1:9" x14ac:dyDescent="0.35">
      <c r="A126" s="136">
        <v>43290</v>
      </c>
      <c r="B126" s="153">
        <v>93.240000000000009</v>
      </c>
      <c r="C126" s="138">
        <v>7.3099999999999998E-2</v>
      </c>
      <c r="D126" s="153">
        <v>91.23</v>
      </c>
      <c r="E126" s="138">
        <v>7.3999999999999996E-2</v>
      </c>
      <c r="F126" s="153">
        <v>88.67</v>
      </c>
      <c r="G126" s="138">
        <v>7.9399999999999998E-2</v>
      </c>
      <c r="H126" s="153">
        <v>95.27000000000001</v>
      </c>
      <c r="I126" s="138">
        <v>7.9799999999999996E-2</v>
      </c>
    </row>
    <row r="127" spans="1:9" x14ac:dyDescent="0.35">
      <c r="A127" s="136">
        <v>43291</v>
      </c>
      <c r="B127" s="153">
        <v>93.350000000000009</v>
      </c>
      <c r="C127" s="138">
        <v>7.2800000000000004E-2</v>
      </c>
      <c r="D127" s="153">
        <v>91.89</v>
      </c>
      <c r="E127" s="138">
        <v>7.3000000000000009E-2</v>
      </c>
      <c r="F127" s="153">
        <v>90.320000000000007</v>
      </c>
      <c r="G127" s="138">
        <v>7.7399999999999997E-2</v>
      </c>
      <c r="H127" s="153">
        <v>96.14</v>
      </c>
      <c r="I127" s="138">
        <v>7.8899999999999998E-2</v>
      </c>
    </row>
    <row r="128" spans="1:9" x14ac:dyDescent="0.35">
      <c r="A128" s="136">
        <v>43292</v>
      </c>
      <c r="B128" s="153">
        <v>93.13000000000001</v>
      </c>
      <c r="C128" s="138">
        <v>7.3400000000000007E-2</v>
      </c>
      <c r="D128" s="153">
        <v>91.320000000000007</v>
      </c>
      <c r="E128" s="138">
        <v>7.3800000000000004E-2</v>
      </c>
      <c r="F128" s="153">
        <v>89.910000000000011</v>
      </c>
      <c r="G128" s="138">
        <v>7.7899999999999997E-2</v>
      </c>
      <c r="H128" s="153">
        <v>95.63000000000001</v>
      </c>
      <c r="I128" s="138">
        <v>7.9399999999999998E-2</v>
      </c>
    </row>
    <row r="129" spans="1:9" x14ac:dyDescent="0.35">
      <c r="A129" s="136">
        <v>43293</v>
      </c>
      <c r="B129" s="153">
        <v>92.7</v>
      </c>
      <c r="C129" s="138">
        <v>7.4499999999999997E-2</v>
      </c>
      <c r="D129" s="153">
        <v>89.88000000000001</v>
      </c>
      <c r="E129" s="138">
        <v>7.6100000000000001E-2</v>
      </c>
      <c r="F129" s="153">
        <v>88.940000000000012</v>
      </c>
      <c r="G129" s="138">
        <v>7.9100000000000004E-2</v>
      </c>
      <c r="H129" s="153">
        <v>94.61</v>
      </c>
      <c r="I129" s="138">
        <v>8.0500000000000002E-2</v>
      </c>
    </row>
    <row r="130" spans="1:9" x14ac:dyDescent="0.35">
      <c r="A130" s="136">
        <v>43294</v>
      </c>
      <c r="B130" s="153">
        <v>93</v>
      </c>
      <c r="C130" s="138">
        <v>7.3700000000000002E-2</v>
      </c>
      <c r="D130" s="153">
        <v>91.02000000000001</v>
      </c>
      <c r="E130" s="138">
        <v>7.4300000000000005E-2</v>
      </c>
      <c r="F130" s="153">
        <v>89.62</v>
      </c>
      <c r="G130" s="138">
        <v>7.8200000000000006E-2</v>
      </c>
      <c r="H130" s="153">
        <v>95.29</v>
      </c>
      <c r="I130" s="138">
        <v>7.9799999999999996E-2</v>
      </c>
    </row>
    <row r="131" spans="1:9" x14ac:dyDescent="0.35">
      <c r="A131" s="133">
        <v>43297</v>
      </c>
      <c r="B131" s="154">
        <v>92.81</v>
      </c>
      <c r="C131" s="135">
        <v>7.4300000000000005E-2</v>
      </c>
      <c r="D131" s="154">
        <v>90.81</v>
      </c>
      <c r="E131" s="135">
        <v>7.46E-2</v>
      </c>
      <c r="F131" s="154">
        <v>89.6</v>
      </c>
      <c r="G131" s="135">
        <v>7.8300000000000008E-2</v>
      </c>
      <c r="H131" s="154">
        <v>95.41</v>
      </c>
      <c r="I131" s="135">
        <v>7.9700000000000007E-2</v>
      </c>
    </row>
    <row r="132" spans="1:9" x14ac:dyDescent="0.35">
      <c r="A132" s="133">
        <v>43298</v>
      </c>
      <c r="B132" s="154">
        <v>92.59</v>
      </c>
      <c r="C132" s="135">
        <v>7.4900000000000008E-2</v>
      </c>
      <c r="D132" s="154">
        <v>90.34</v>
      </c>
      <c r="E132" s="135">
        <v>7.5400000000000009E-2</v>
      </c>
      <c r="F132" s="154">
        <v>89.75</v>
      </c>
      <c r="G132" s="135">
        <v>7.8100000000000003E-2</v>
      </c>
      <c r="H132" s="154">
        <v>95.21</v>
      </c>
      <c r="I132" s="135">
        <v>7.9899999999999999E-2</v>
      </c>
    </row>
    <row r="133" spans="1:9" x14ac:dyDescent="0.35">
      <c r="A133" s="133">
        <v>43299</v>
      </c>
      <c r="B133" s="154">
        <v>92.42</v>
      </c>
      <c r="C133" s="135">
        <v>7.5300000000000006E-2</v>
      </c>
      <c r="D133" s="154">
        <v>90.11</v>
      </c>
      <c r="E133" s="135">
        <v>7.5700000000000003E-2</v>
      </c>
      <c r="F133" s="154">
        <v>89.83</v>
      </c>
      <c r="G133" s="135">
        <v>7.8E-2</v>
      </c>
      <c r="H133" s="154">
        <v>94.77000000000001</v>
      </c>
      <c r="I133" s="135">
        <v>8.0299999999999996E-2</v>
      </c>
    </row>
    <row r="134" spans="1:9" x14ac:dyDescent="0.35">
      <c r="A134" s="133">
        <v>43300</v>
      </c>
      <c r="B134" s="154">
        <v>92.01</v>
      </c>
      <c r="C134" s="135">
        <v>7.640000000000001E-2</v>
      </c>
      <c r="D134" s="154">
        <v>88.97</v>
      </c>
      <c r="E134" s="135">
        <v>7.7499999999999999E-2</v>
      </c>
      <c r="F134" s="154">
        <v>88.81</v>
      </c>
      <c r="G134" s="135">
        <v>7.9200000000000007E-2</v>
      </c>
      <c r="H134" s="154">
        <v>94.070000000000007</v>
      </c>
      <c r="I134" s="135">
        <v>8.1100000000000005E-2</v>
      </c>
    </row>
    <row r="135" spans="1:9" x14ac:dyDescent="0.35">
      <c r="A135" s="133">
        <v>43301</v>
      </c>
      <c r="B135" s="154">
        <v>91.53</v>
      </c>
      <c r="C135" s="135">
        <v>7.7700000000000005E-2</v>
      </c>
      <c r="D135" s="154">
        <v>88.26</v>
      </c>
      <c r="E135" s="135">
        <v>7.8700000000000006E-2</v>
      </c>
      <c r="F135" s="154">
        <v>87.550000000000011</v>
      </c>
      <c r="G135" s="135">
        <v>8.0799999999999997E-2</v>
      </c>
      <c r="H135" s="154">
        <v>92.990000000000009</v>
      </c>
      <c r="I135" s="135">
        <v>8.2299999999999998E-2</v>
      </c>
    </row>
    <row r="136" spans="1:9" x14ac:dyDescent="0.35">
      <c r="A136" s="136">
        <v>43304</v>
      </c>
      <c r="B136" s="153">
        <v>91.65</v>
      </c>
      <c r="C136" s="138">
        <v>7.7399999999999997E-2</v>
      </c>
      <c r="D136" s="153">
        <v>88.54</v>
      </c>
      <c r="E136" s="138">
        <v>7.8200000000000006E-2</v>
      </c>
      <c r="F136" s="153">
        <v>87.59</v>
      </c>
      <c r="G136" s="138">
        <v>8.0799999999999997E-2</v>
      </c>
      <c r="H136" s="153">
        <v>93.53</v>
      </c>
      <c r="I136" s="138">
        <v>8.1700000000000009E-2</v>
      </c>
    </row>
    <row r="137" spans="1:9" x14ac:dyDescent="0.35">
      <c r="A137" s="136">
        <v>43305</v>
      </c>
      <c r="B137" s="153">
        <v>91.660000000000011</v>
      </c>
      <c r="C137" s="138">
        <v>7.7399999999999997E-2</v>
      </c>
      <c r="D137" s="153">
        <v>88.59</v>
      </c>
      <c r="E137" s="138">
        <v>7.8200000000000006E-2</v>
      </c>
      <c r="F137" s="153">
        <v>87.570000000000007</v>
      </c>
      <c r="G137" s="138">
        <v>8.0799999999999997E-2</v>
      </c>
      <c r="H137" s="153">
        <v>93.050000000000011</v>
      </c>
      <c r="I137" s="138">
        <v>8.2200000000000009E-2</v>
      </c>
    </row>
    <row r="138" spans="1:9" x14ac:dyDescent="0.35">
      <c r="A138" s="136">
        <v>43306</v>
      </c>
      <c r="B138" s="153">
        <v>92.14</v>
      </c>
      <c r="C138" s="138">
        <v>7.6100000000000001E-2</v>
      </c>
      <c r="D138" s="153">
        <v>89.33</v>
      </c>
      <c r="E138" s="138">
        <v>7.6999999999999999E-2</v>
      </c>
      <c r="F138" s="153">
        <v>87.9</v>
      </c>
      <c r="G138" s="138">
        <v>8.0399999999999999E-2</v>
      </c>
      <c r="H138" s="153">
        <v>93.75</v>
      </c>
      <c r="I138" s="138">
        <v>8.14E-2</v>
      </c>
    </row>
    <row r="139" spans="1:9" x14ac:dyDescent="0.35">
      <c r="A139" s="136">
        <v>43307</v>
      </c>
      <c r="B139" s="153">
        <v>92.25</v>
      </c>
      <c r="C139" s="138">
        <v>7.5800000000000006E-2</v>
      </c>
      <c r="D139" s="153">
        <v>89.48</v>
      </c>
      <c r="E139" s="138">
        <v>7.6700000000000004E-2</v>
      </c>
      <c r="F139" s="153">
        <v>87.93</v>
      </c>
      <c r="G139" s="138">
        <v>8.0399999999999999E-2</v>
      </c>
      <c r="H139" s="153">
        <v>93.79</v>
      </c>
      <c r="I139" s="138">
        <v>8.14E-2</v>
      </c>
    </row>
    <row r="140" spans="1:9" x14ac:dyDescent="0.35">
      <c r="A140" s="136">
        <v>43308</v>
      </c>
      <c r="B140" s="153">
        <v>92.050000000000011</v>
      </c>
      <c r="C140" s="138">
        <v>7.640000000000001E-2</v>
      </c>
      <c r="D140" s="153">
        <v>89.050000000000011</v>
      </c>
      <c r="E140" s="138">
        <v>7.7399999999999997E-2</v>
      </c>
      <c r="F140" s="153">
        <v>87.56</v>
      </c>
      <c r="G140" s="138">
        <v>8.0799999999999997E-2</v>
      </c>
      <c r="H140" s="153">
        <v>93.490000000000009</v>
      </c>
      <c r="I140" s="138">
        <v>8.1700000000000009E-2</v>
      </c>
    </row>
    <row r="141" spans="1:9" x14ac:dyDescent="0.35">
      <c r="A141" s="133">
        <v>43311</v>
      </c>
      <c r="B141" s="154">
        <v>92.28</v>
      </c>
      <c r="C141" s="135">
        <v>7.5800000000000006E-2</v>
      </c>
      <c r="D141" s="154">
        <v>89.52000000000001</v>
      </c>
      <c r="E141" s="135">
        <v>7.6700000000000004E-2</v>
      </c>
      <c r="F141" s="154">
        <v>87.490000000000009</v>
      </c>
      <c r="G141" s="135">
        <v>8.09E-2</v>
      </c>
      <c r="H141" s="154">
        <v>93.89</v>
      </c>
      <c r="I141" s="135">
        <v>8.1299999999999997E-2</v>
      </c>
    </row>
    <row r="142" spans="1:9" x14ac:dyDescent="0.35">
      <c r="A142" s="133">
        <v>43312</v>
      </c>
      <c r="B142" s="154">
        <v>92.22</v>
      </c>
      <c r="C142" s="135">
        <v>7.5999999999999998E-2</v>
      </c>
      <c r="D142" s="154">
        <v>89.320000000000007</v>
      </c>
      <c r="E142" s="135">
        <v>7.6999999999999999E-2</v>
      </c>
      <c r="F142" s="154">
        <v>87.03</v>
      </c>
      <c r="G142" s="135">
        <v>8.1500000000000003E-2</v>
      </c>
      <c r="H142" s="154">
        <v>93.9</v>
      </c>
      <c r="I142" s="135">
        <v>8.1299999999999997E-2</v>
      </c>
    </row>
    <row r="143" spans="1:9" x14ac:dyDescent="0.35">
      <c r="A143" s="133">
        <v>43313</v>
      </c>
      <c r="B143" s="154">
        <v>92.2</v>
      </c>
      <c r="C143" s="135">
        <v>7.5999999999999998E-2</v>
      </c>
      <c r="D143" s="154">
        <v>89.14</v>
      </c>
      <c r="E143" s="135">
        <v>7.7300000000000008E-2</v>
      </c>
      <c r="F143" s="154">
        <v>87.42</v>
      </c>
      <c r="G143" s="135">
        <v>8.1000000000000003E-2</v>
      </c>
      <c r="H143" s="154">
        <v>93.77000000000001</v>
      </c>
      <c r="I143" s="135">
        <v>8.14E-2</v>
      </c>
    </row>
    <row r="144" spans="1:9" x14ac:dyDescent="0.35">
      <c r="A144" s="133">
        <v>43314</v>
      </c>
      <c r="B144" s="154">
        <v>92.240000000000009</v>
      </c>
      <c r="C144" s="135">
        <v>7.5900000000000009E-2</v>
      </c>
      <c r="D144" s="154">
        <v>89.4</v>
      </c>
      <c r="E144" s="135">
        <v>7.6899999999999996E-2</v>
      </c>
      <c r="F144" s="154">
        <v>87.98</v>
      </c>
      <c r="G144" s="135">
        <v>8.0299999999999996E-2</v>
      </c>
      <c r="H144" s="154">
        <v>94.160000000000011</v>
      </c>
      <c r="I144" s="135">
        <v>8.1000000000000003E-2</v>
      </c>
    </row>
    <row r="145" spans="1:9" x14ac:dyDescent="0.35">
      <c r="A145" s="133">
        <v>43315</v>
      </c>
      <c r="B145" s="154">
        <v>91.89</v>
      </c>
      <c r="C145" s="135">
        <v>7.6899999999999996E-2</v>
      </c>
      <c r="D145" s="154">
        <v>88.63000000000001</v>
      </c>
      <c r="E145" s="135">
        <v>7.8100000000000003E-2</v>
      </c>
      <c r="F145" s="154">
        <v>87.070000000000007</v>
      </c>
      <c r="G145" s="135">
        <v>8.1500000000000003E-2</v>
      </c>
      <c r="H145" s="154">
        <v>93.5</v>
      </c>
      <c r="I145" s="135">
        <v>8.1700000000000009E-2</v>
      </c>
    </row>
    <row r="146" spans="1:9" x14ac:dyDescent="0.35">
      <c r="A146" s="136">
        <v>43318</v>
      </c>
      <c r="B146" s="153">
        <v>92.070000000000007</v>
      </c>
      <c r="C146" s="138">
        <v>7.640000000000001E-2</v>
      </c>
      <c r="D146" s="153">
        <v>89.08</v>
      </c>
      <c r="E146" s="138">
        <v>7.7399999999999997E-2</v>
      </c>
      <c r="F146" s="153">
        <v>87.22</v>
      </c>
      <c r="G146" s="138">
        <v>8.1299999999999997E-2</v>
      </c>
      <c r="H146" s="153">
        <v>93.68</v>
      </c>
      <c r="I146" s="138">
        <v>8.1500000000000003E-2</v>
      </c>
    </row>
    <row r="147" spans="1:9" x14ac:dyDescent="0.35">
      <c r="A147" s="136">
        <v>43319</v>
      </c>
      <c r="B147" s="153">
        <v>92.13000000000001</v>
      </c>
      <c r="C147" s="138">
        <v>7.6300000000000007E-2</v>
      </c>
      <c r="D147" s="153">
        <v>88.95</v>
      </c>
      <c r="E147" s="138">
        <v>7.7600000000000002E-2</v>
      </c>
      <c r="F147" s="153">
        <v>87.4</v>
      </c>
      <c r="G147" s="138">
        <v>8.1100000000000005E-2</v>
      </c>
      <c r="H147" s="153">
        <v>93.7</v>
      </c>
      <c r="I147" s="138">
        <v>8.1500000000000003E-2</v>
      </c>
    </row>
    <row r="148" spans="1:9" x14ac:dyDescent="0.35">
      <c r="A148" s="136">
        <v>43320</v>
      </c>
      <c r="B148" s="153">
        <v>92.26</v>
      </c>
      <c r="C148" s="138">
        <v>7.5900000000000009E-2</v>
      </c>
      <c r="D148" s="153">
        <v>89.300000000000011</v>
      </c>
      <c r="E148" s="138">
        <v>7.7100000000000002E-2</v>
      </c>
      <c r="F148" s="153">
        <v>87.6</v>
      </c>
      <c r="G148" s="138">
        <v>8.0799999999999997E-2</v>
      </c>
      <c r="H148" s="153">
        <v>93.990000000000009</v>
      </c>
      <c r="I148" s="138">
        <v>8.1200000000000008E-2</v>
      </c>
    </row>
    <row r="149" spans="1:9" x14ac:dyDescent="0.35">
      <c r="A149" s="136">
        <v>43321</v>
      </c>
      <c r="B149" s="153">
        <v>92.800000000000011</v>
      </c>
      <c r="C149" s="138">
        <v>7.4499999999999997E-2</v>
      </c>
      <c r="D149" s="153">
        <v>90.36</v>
      </c>
      <c r="E149" s="138">
        <v>7.5400000000000009E-2</v>
      </c>
      <c r="F149" s="153">
        <v>88.850000000000009</v>
      </c>
      <c r="G149" s="138">
        <v>7.9200000000000007E-2</v>
      </c>
      <c r="H149" s="153">
        <v>94.820000000000007</v>
      </c>
      <c r="I149" s="138">
        <v>8.0299999999999996E-2</v>
      </c>
    </row>
    <row r="150" spans="1:9" x14ac:dyDescent="0.35">
      <c r="A150" s="136">
        <v>43322</v>
      </c>
      <c r="B150" s="153">
        <v>92.64</v>
      </c>
      <c r="C150" s="138">
        <v>7.4900000000000008E-2</v>
      </c>
      <c r="D150" s="153">
        <v>89.910000000000011</v>
      </c>
      <c r="E150" s="138">
        <v>7.6100000000000001E-2</v>
      </c>
      <c r="F150" s="153">
        <v>88.48</v>
      </c>
      <c r="G150" s="138">
        <v>7.9700000000000007E-2</v>
      </c>
      <c r="H150" s="153">
        <v>94.61</v>
      </c>
      <c r="I150" s="138">
        <v>8.0500000000000002E-2</v>
      </c>
    </row>
    <row r="151" spans="1:9" x14ac:dyDescent="0.35">
      <c r="A151" s="133">
        <v>43325</v>
      </c>
      <c r="B151" s="154">
        <v>91.910000000000011</v>
      </c>
      <c r="C151" s="135">
        <v>7.6899999999999996E-2</v>
      </c>
      <c r="D151" s="154">
        <v>88.26</v>
      </c>
      <c r="E151" s="135">
        <v>7.8700000000000006E-2</v>
      </c>
      <c r="F151" s="154">
        <v>86.76</v>
      </c>
      <c r="G151" s="135">
        <v>8.1900000000000001E-2</v>
      </c>
      <c r="H151" s="154">
        <v>93.39</v>
      </c>
      <c r="I151" s="135">
        <v>8.1799999999999998E-2</v>
      </c>
    </row>
    <row r="152" spans="1:9" x14ac:dyDescent="0.35">
      <c r="A152" s="133">
        <v>43326</v>
      </c>
      <c r="B152" s="154">
        <v>91.550000000000011</v>
      </c>
      <c r="C152" s="135">
        <v>7.7899999999999997E-2</v>
      </c>
      <c r="D152" s="154">
        <v>87.43</v>
      </c>
      <c r="E152" s="135">
        <v>8.0100000000000005E-2</v>
      </c>
      <c r="F152" s="154">
        <v>85.25</v>
      </c>
      <c r="G152" s="135">
        <v>8.3900000000000002E-2</v>
      </c>
      <c r="H152" s="154">
        <v>91.34</v>
      </c>
      <c r="I152" s="135">
        <v>8.4100000000000008E-2</v>
      </c>
    </row>
    <row r="153" spans="1:9" x14ac:dyDescent="0.35">
      <c r="A153" s="133">
        <v>43327</v>
      </c>
      <c r="B153" s="154">
        <v>91.56</v>
      </c>
      <c r="C153" s="135">
        <v>7.7899999999999997E-2</v>
      </c>
      <c r="D153" s="154">
        <v>87.68</v>
      </c>
      <c r="E153" s="135">
        <v>7.9700000000000007E-2</v>
      </c>
      <c r="F153" s="154">
        <v>85.54</v>
      </c>
      <c r="G153" s="135">
        <v>8.3500000000000005E-2</v>
      </c>
      <c r="H153" s="154">
        <v>91.49</v>
      </c>
      <c r="I153" s="135">
        <v>8.3900000000000002E-2</v>
      </c>
    </row>
    <row r="154" spans="1:9" x14ac:dyDescent="0.35">
      <c r="A154" s="133">
        <v>43328</v>
      </c>
      <c r="B154" s="154">
        <v>91.600000000000009</v>
      </c>
      <c r="C154" s="135">
        <v>7.7800000000000008E-2</v>
      </c>
      <c r="D154" s="154">
        <v>87.77000000000001</v>
      </c>
      <c r="E154" s="135">
        <v>7.9600000000000004E-2</v>
      </c>
      <c r="F154" s="154">
        <v>85.6</v>
      </c>
      <c r="G154" s="135">
        <v>8.3400000000000002E-2</v>
      </c>
      <c r="H154" s="154">
        <v>91.53</v>
      </c>
      <c r="I154" s="135">
        <v>8.3900000000000002E-2</v>
      </c>
    </row>
    <row r="155" spans="1:9" x14ac:dyDescent="0.35">
      <c r="A155" s="136">
        <v>43332</v>
      </c>
      <c r="B155" s="153">
        <v>92.08</v>
      </c>
      <c r="C155" s="138">
        <v>7.6499999999999999E-2</v>
      </c>
      <c r="D155" s="153">
        <v>88.39</v>
      </c>
      <c r="E155" s="138">
        <v>7.8600000000000003E-2</v>
      </c>
      <c r="F155" s="153">
        <v>86.58</v>
      </c>
      <c r="G155" s="138">
        <v>8.2100000000000006E-2</v>
      </c>
      <c r="H155" s="153">
        <v>91.73</v>
      </c>
      <c r="I155" s="138">
        <v>8.3699999999999997E-2</v>
      </c>
    </row>
    <row r="156" spans="1:9" x14ac:dyDescent="0.35">
      <c r="A156" s="136">
        <v>43333</v>
      </c>
      <c r="B156" s="153">
        <v>92.08</v>
      </c>
      <c r="C156" s="138">
        <v>7.6499999999999999E-2</v>
      </c>
      <c r="D156" s="153">
        <v>88.7</v>
      </c>
      <c r="E156" s="138">
        <v>7.8100000000000003E-2</v>
      </c>
      <c r="F156" s="153">
        <v>86.86</v>
      </c>
      <c r="G156" s="138">
        <v>8.1799999999999998E-2</v>
      </c>
      <c r="H156" s="153">
        <v>92</v>
      </c>
      <c r="I156" s="138">
        <v>8.3400000000000002E-2</v>
      </c>
    </row>
    <row r="157" spans="1:9" x14ac:dyDescent="0.35">
      <c r="A157" s="136">
        <v>43335</v>
      </c>
      <c r="B157" s="153">
        <v>91.89</v>
      </c>
      <c r="C157" s="138">
        <v>7.7100000000000002E-2</v>
      </c>
      <c r="D157" s="153">
        <v>88.600000000000009</v>
      </c>
      <c r="E157" s="138">
        <v>7.8200000000000006E-2</v>
      </c>
      <c r="F157" s="153">
        <v>86.820000000000007</v>
      </c>
      <c r="G157" s="138">
        <v>8.1799999999999998E-2</v>
      </c>
      <c r="H157" s="153">
        <v>91.940000000000012</v>
      </c>
      <c r="I157" s="138">
        <v>8.3400000000000002E-2</v>
      </c>
    </row>
    <row r="158" spans="1:9" x14ac:dyDescent="0.35">
      <c r="A158" s="136">
        <v>43336</v>
      </c>
      <c r="B158" s="153">
        <v>91.59</v>
      </c>
      <c r="C158" s="138">
        <v>7.7899999999999997E-2</v>
      </c>
      <c r="D158" s="153">
        <v>88.13000000000001</v>
      </c>
      <c r="E158" s="138">
        <v>7.9000000000000001E-2</v>
      </c>
      <c r="F158" s="153">
        <v>87.28</v>
      </c>
      <c r="G158" s="138">
        <v>8.1200000000000008E-2</v>
      </c>
      <c r="H158" s="153">
        <v>91.73</v>
      </c>
      <c r="I158" s="138">
        <v>8.3699999999999997E-2</v>
      </c>
    </row>
    <row r="159" spans="1:9" x14ac:dyDescent="0.35">
      <c r="A159" s="133">
        <v>43339</v>
      </c>
      <c r="B159" s="154">
        <v>91.84</v>
      </c>
      <c r="C159" s="135">
        <v>7.7300000000000008E-2</v>
      </c>
      <c r="D159" s="154">
        <v>88.320000000000007</v>
      </c>
      <c r="E159" s="135">
        <v>7.8700000000000006E-2</v>
      </c>
      <c r="F159" s="154">
        <v>88.2</v>
      </c>
      <c r="G159" s="135">
        <v>8.0100000000000005E-2</v>
      </c>
      <c r="H159" s="154">
        <v>92.01</v>
      </c>
      <c r="I159" s="135">
        <v>8.3400000000000002E-2</v>
      </c>
    </row>
    <row r="160" spans="1:9" x14ac:dyDescent="0.35">
      <c r="A160" s="133">
        <v>43340</v>
      </c>
      <c r="B160" s="154">
        <v>91.61</v>
      </c>
      <c r="C160" s="135">
        <v>7.7899999999999997E-2</v>
      </c>
      <c r="D160" s="154">
        <v>87.88</v>
      </c>
      <c r="E160" s="135">
        <v>7.9399999999999998E-2</v>
      </c>
      <c r="F160" s="154">
        <v>87.710000000000008</v>
      </c>
      <c r="G160" s="135">
        <v>8.0700000000000008E-2</v>
      </c>
      <c r="H160" s="154">
        <v>91.79</v>
      </c>
      <c r="I160" s="135">
        <v>8.3600000000000008E-2</v>
      </c>
    </row>
    <row r="161" spans="1:9" x14ac:dyDescent="0.35">
      <c r="A161" s="133">
        <v>43341</v>
      </c>
      <c r="B161" s="154">
        <v>92</v>
      </c>
      <c r="C161" s="135">
        <v>7.6800000000000007E-2</v>
      </c>
      <c r="D161" s="154">
        <v>88.03</v>
      </c>
      <c r="E161" s="135">
        <v>7.9200000000000007E-2</v>
      </c>
      <c r="F161" s="154">
        <v>88</v>
      </c>
      <c r="G161" s="135">
        <v>8.0299999999999996E-2</v>
      </c>
      <c r="H161" s="154">
        <v>91.690000000000012</v>
      </c>
      <c r="I161" s="135">
        <v>8.3699999999999997E-2</v>
      </c>
    </row>
    <row r="162" spans="1:9" x14ac:dyDescent="0.35">
      <c r="A162" s="133">
        <v>43342</v>
      </c>
      <c r="B162" s="154">
        <v>91.98</v>
      </c>
      <c r="C162" s="135">
        <v>7.6899999999999996E-2</v>
      </c>
      <c r="D162" s="154">
        <v>88.02000000000001</v>
      </c>
      <c r="E162" s="135">
        <v>7.9200000000000007E-2</v>
      </c>
      <c r="F162" s="154">
        <v>87.87</v>
      </c>
      <c r="G162" s="135">
        <v>8.0500000000000002E-2</v>
      </c>
      <c r="H162" s="154">
        <v>91.79</v>
      </c>
      <c r="I162" s="135">
        <v>8.3600000000000008E-2</v>
      </c>
    </row>
    <row r="163" spans="1:9" x14ac:dyDescent="0.35">
      <c r="A163" s="133">
        <v>43343</v>
      </c>
      <c r="B163" s="154">
        <v>91.23</v>
      </c>
      <c r="C163" s="135">
        <v>7.9000000000000001E-2</v>
      </c>
      <c r="D163" s="154">
        <v>86.93</v>
      </c>
      <c r="E163" s="135">
        <v>8.1000000000000003E-2</v>
      </c>
      <c r="F163" s="154">
        <v>86.350000000000009</v>
      </c>
      <c r="G163" s="135">
        <v>8.2500000000000004E-2</v>
      </c>
      <c r="H163" s="154">
        <v>90.28</v>
      </c>
      <c r="I163" s="135">
        <v>8.5300000000000001E-2</v>
      </c>
    </row>
    <row r="164" spans="1:9" x14ac:dyDescent="0.35">
      <c r="A164" s="136">
        <v>43346</v>
      </c>
      <c r="B164" s="153">
        <v>90.72</v>
      </c>
      <c r="C164" s="138">
        <v>8.0399999999999999E-2</v>
      </c>
      <c r="D164" s="153">
        <v>86.350000000000009</v>
      </c>
      <c r="E164" s="138">
        <v>8.2000000000000003E-2</v>
      </c>
      <c r="F164" s="153">
        <v>85.78</v>
      </c>
      <c r="G164" s="138">
        <v>8.3199999999999996E-2</v>
      </c>
      <c r="H164" s="153">
        <v>89.210000000000008</v>
      </c>
      <c r="I164" s="138">
        <v>8.6500000000000007E-2</v>
      </c>
    </row>
    <row r="165" spans="1:9" x14ac:dyDescent="0.35">
      <c r="A165" s="136">
        <v>43347</v>
      </c>
      <c r="B165" s="153">
        <v>90.300000000000011</v>
      </c>
      <c r="C165" s="138">
        <v>8.1600000000000006E-2</v>
      </c>
      <c r="D165" s="153">
        <v>85.800000000000011</v>
      </c>
      <c r="E165" s="138">
        <v>8.2900000000000001E-2</v>
      </c>
      <c r="F165" s="153">
        <v>84.83</v>
      </c>
      <c r="G165" s="138">
        <v>8.4500000000000006E-2</v>
      </c>
      <c r="H165" s="153">
        <v>87.73</v>
      </c>
      <c r="I165" s="138">
        <v>8.8300000000000003E-2</v>
      </c>
    </row>
    <row r="166" spans="1:9" x14ac:dyDescent="0.35">
      <c r="A166" s="136">
        <v>43348</v>
      </c>
      <c r="B166" s="153">
        <v>90.100000000000009</v>
      </c>
      <c r="C166" s="138">
        <v>8.2100000000000006E-2</v>
      </c>
      <c r="D166" s="153">
        <v>85.13000000000001</v>
      </c>
      <c r="E166" s="138">
        <v>8.4000000000000005E-2</v>
      </c>
      <c r="F166" s="153">
        <v>84.190000000000012</v>
      </c>
      <c r="G166" s="138">
        <v>8.5400000000000004E-2</v>
      </c>
      <c r="H166" s="153">
        <v>86.83</v>
      </c>
      <c r="I166" s="138">
        <v>8.9400000000000007E-2</v>
      </c>
    </row>
    <row r="167" spans="1:9" x14ac:dyDescent="0.35">
      <c r="A167" s="136">
        <v>43349</v>
      </c>
      <c r="B167" s="153">
        <v>89.4</v>
      </c>
      <c r="C167" s="138">
        <v>8.4100000000000008E-2</v>
      </c>
      <c r="D167" s="153">
        <v>84.42</v>
      </c>
      <c r="E167" s="138">
        <v>8.5199999999999998E-2</v>
      </c>
      <c r="F167" s="153">
        <v>83.65</v>
      </c>
      <c r="G167" s="138">
        <v>8.6099999999999996E-2</v>
      </c>
      <c r="H167" s="153">
        <v>86.63000000000001</v>
      </c>
      <c r="I167" s="138">
        <v>8.9599999999999999E-2</v>
      </c>
    </row>
    <row r="168" spans="1:9" x14ac:dyDescent="0.35">
      <c r="A168" s="136">
        <v>43350</v>
      </c>
      <c r="B168" s="153">
        <v>89.61</v>
      </c>
      <c r="C168" s="138">
        <v>8.3500000000000005E-2</v>
      </c>
      <c r="D168" s="153">
        <v>84.62</v>
      </c>
      <c r="E168" s="138">
        <v>8.4900000000000003E-2</v>
      </c>
      <c r="F168" s="153">
        <v>83.64</v>
      </c>
      <c r="G168" s="138">
        <v>8.6099999999999996E-2</v>
      </c>
      <c r="H168" s="153">
        <v>86.850000000000009</v>
      </c>
      <c r="I168" s="138">
        <v>8.9300000000000004E-2</v>
      </c>
    </row>
    <row r="169" spans="1:9" x14ac:dyDescent="0.35">
      <c r="A169" s="133">
        <v>43353</v>
      </c>
      <c r="B169" s="154">
        <v>89.86</v>
      </c>
      <c r="C169" s="135">
        <v>8.2900000000000001E-2</v>
      </c>
      <c r="D169" s="154">
        <v>84.95</v>
      </c>
      <c r="E169" s="135">
        <v>8.43E-2</v>
      </c>
      <c r="F169" s="154">
        <v>83.47</v>
      </c>
      <c r="G169" s="135">
        <v>8.6400000000000005E-2</v>
      </c>
      <c r="H169" s="154">
        <v>86.95</v>
      </c>
      <c r="I169" s="135">
        <v>8.9200000000000002E-2</v>
      </c>
    </row>
    <row r="170" spans="1:9" x14ac:dyDescent="0.35">
      <c r="A170" s="133">
        <v>43355</v>
      </c>
      <c r="B170" s="154">
        <v>89.240000000000009</v>
      </c>
      <c r="C170" s="135">
        <v>8.4600000000000009E-2</v>
      </c>
      <c r="D170" s="154">
        <v>83.76</v>
      </c>
      <c r="E170" s="135">
        <v>8.6400000000000005E-2</v>
      </c>
      <c r="F170" s="154">
        <v>82.73</v>
      </c>
      <c r="G170" s="135">
        <v>8.7400000000000005E-2</v>
      </c>
      <c r="H170" s="154">
        <v>85.36</v>
      </c>
      <c r="I170" s="135">
        <v>9.1200000000000003E-2</v>
      </c>
    </row>
    <row r="171" spans="1:9" x14ac:dyDescent="0.35">
      <c r="A171" s="133">
        <v>43356</v>
      </c>
      <c r="B171" s="154">
        <v>89.58</v>
      </c>
      <c r="C171" s="135">
        <v>8.3699999999999997E-2</v>
      </c>
      <c r="D171" s="154">
        <v>84.7</v>
      </c>
      <c r="E171" s="135">
        <v>8.48E-2</v>
      </c>
      <c r="F171" s="154">
        <v>82.78</v>
      </c>
      <c r="G171" s="135">
        <v>8.7300000000000003E-2</v>
      </c>
      <c r="H171" s="154">
        <v>85.75</v>
      </c>
      <c r="I171" s="135">
        <v>9.0700000000000003E-2</v>
      </c>
    </row>
    <row r="172" spans="1:9" x14ac:dyDescent="0.35">
      <c r="A172" s="133">
        <v>43357</v>
      </c>
      <c r="B172" s="154">
        <v>89.800000000000011</v>
      </c>
      <c r="C172" s="135">
        <v>8.3100000000000007E-2</v>
      </c>
      <c r="D172" s="154">
        <v>85</v>
      </c>
      <c r="E172" s="135">
        <v>8.43E-2</v>
      </c>
      <c r="F172" s="154">
        <v>83.29</v>
      </c>
      <c r="G172" s="135">
        <v>8.6599999999999996E-2</v>
      </c>
      <c r="H172" s="154">
        <v>86.350000000000009</v>
      </c>
      <c r="I172" s="135">
        <v>8.9900000000000008E-2</v>
      </c>
    </row>
    <row r="173" spans="1:9" x14ac:dyDescent="0.35">
      <c r="A173" s="136">
        <v>43360</v>
      </c>
      <c r="B173" s="153">
        <v>90.04</v>
      </c>
      <c r="C173" s="138">
        <v>8.2500000000000004E-2</v>
      </c>
      <c r="D173" s="153">
        <v>85.18</v>
      </c>
      <c r="E173" s="138">
        <v>8.4000000000000005E-2</v>
      </c>
      <c r="F173" s="153">
        <v>83.690000000000012</v>
      </c>
      <c r="G173" s="138">
        <v>8.6099999999999996E-2</v>
      </c>
      <c r="H173" s="153">
        <v>86.820000000000007</v>
      </c>
      <c r="I173" s="138">
        <v>8.9400000000000007E-2</v>
      </c>
    </row>
    <row r="174" spans="1:9" x14ac:dyDescent="0.35">
      <c r="A174" s="136">
        <v>43361</v>
      </c>
      <c r="B174" s="153">
        <v>89.75</v>
      </c>
      <c r="C174" s="138">
        <v>8.3299999999999999E-2</v>
      </c>
      <c r="D174" s="153">
        <v>84.97</v>
      </c>
      <c r="E174" s="138">
        <v>8.43E-2</v>
      </c>
      <c r="F174" s="153">
        <v>83.17</v>
      </c>
      <c r="G174" s="138">
        <v>8.6800000000000002E-2</v>
      </c>
      <c r="H174" s="153">
        <v>86.5</v>
      </c>
      <c r="I174" s="138">
        <v>8.9800000000000005E-2</v>
      </c>
    </row>
    <row r="175" spans="1:9" x14ac:dyDescent="0.35">
      <c r="A175" s="136">
        <v>43362</v>
      </c>
      <c r="B175" s="153">
        <v>90.58</v>
      </c>
      <c r="C175" s="138">
        <v>8.1000000000000003E-2</v>
      </c>
      <c r="D175" s="153">
        <v>86.48</v>
      </c>
      <c r="E175" s="138">
        <v>8.1799999999999998E-2</v>
      </c>
      <c r="F175" s="153">
        <v>84.690000000000012</v>
      </c>
      <c r="G175" s="138">
        <v>8.4699999999999998E-2</v>
      </c>
      <c r="H175" s="153">
        <v>88.210000000000008</v>
      </c>
      <c r="I175" s="138">
        <v>8.77E-2</v>
      </c>
    </row>
    <row r="176" spans="1:9" x14ac:dyDescent="0.35">
      <c r="A176" s="136">
        <v>43363</v>
      </c>
      <c r="B176" s="153">
        <v>91.03</v>
      </c>
      <c r="C176" s="138">
        <v>7.9700000000000007E-2</v>
      </c>
      <c r="D176" s="153">
        <v>86.81</v>
      </c>
      <c r="E176" s="138">
        <v>8.1299999999999997E-2</v>
      </c>
      <c r="F176" s="153">
        <v>84.710000000000008</v>
      </c>
      <c r="G176" s="138">
        <v>8.4699999999999998E-2</v>
      </c>
      <c r="H176" s="153">
        <v>88.27000000000001</v>
      </c>
      <c r="I176" s="138">
        <v>8.7599999999999997E-2</v>
      </c>
    </row>
    <row r="177" spans="1:9" x14ac:dyDescent="0.35">
      <c r="A177" s="136">
        <v>43364</v>
      </c>
      <c r="B177" s="153">
        <v>90.56</v>
      </c>
      <c r="C177" s="138">
        <v>8.1100000000000005E-2</v>
      </c>
      <c r="D177" s="153">
        <v>86.63000000000001</v>
      </c>
      <c r="E177" s="138">
        <v>8.1600000000000006E-2</v>
      </c>
      <c r="F177" s="153">
        <v>84.87</v>
      </c>
      <c r="G177" s="138">
        <v>8.4500000000000006E-2</v>
      </c>
      <c r="H177" s="153">
        <v>88.77000000000001</v>
      </c>
      <c r="I177" s="138">
        <v>8.7099999999999997E-2</v>
      </c>
    </row>
    <row r="178" spans="1:9" x14ac:dyDescent="0.35">
      <c r="A178" s="133">
        <v>43367</v>
      </c>
      <c r="B178" s="154">
        <v>90.63000000000001</v>
      </c>
      <c r="C178" s="135">
        <v>8.09E-2</v>
      </c>
      <c r="D178" s="154">
        <v>86.7</v>
      </c>
      <c r="E178" s="135">
        <v>8.1500000000000003E-2</v>
      </c>
      <c r="F178" s="154">
        <v>85.45</v>
      </c>
      <c r="G178" s="135">
        <v>8.3699999999999997E-2</v>
      </c>
      <c r="H178" s="154">
        <v>89.660000000000011</v>
      </c>
      <c r="I178" s="135">
        <v>8.6000000000000007E-2</v>
      </c>
    </row>
    <row r="179" spans="1:9" x14ac:dyDescent="0.35">
      <c r="A179" s="133">
        <v>43368</v>
      </c>
      <c r="B179" s="154">
        <v>90.4</v>
      </c>
      <c r="C179" s="135">
        <v>8.1600000000000006E-2</v>
      </c>
      <c r="D179" s="154">
        <v>86.43</v>
      </c>
      <c r="E179" s="135">
        <v>8.1900000000000001E-2</v>
      </c>
      <c r="F179" s="154">
        <v>85.410000000000011</v>
      </c>
      <c r="G179" s="135">
        <v>8.3799999999999999E-2</v>
      </c>
      <c r="H179" s="154">
        <v>89.300000000000011</v>
      </c>
      <c r="I179" s="135">
        <v>8.6400000000000005E-2</v>
      </c>
    </row>
    <row r="180" spans="1:9" x14ac:dyDescent="0.35">
      <c r="A180" s="133">
        <v>43369</v>
      </c>
      <c r="B180" s="154">
        <v>90.24</v>
      </c>
      <c r="C180" s="135">
        <v>8.2000000000000003E-2</v>
      </c>
      <c r="D180" s="154">
        <v>86.23</v>
      </c>
      <c r="E180" s="135">
        <v>8.2299999999999998E-2</v>
      </c>
      <c r="F180" s="154">
        <v>85.37</v>
      </c>
      <c r="G180" s="135">
        <v>8.3799999999999999E-2</v>
      </c>
      <c r="H180" s="154">
        <v>89.14</v>
      </c>
      <c r="I180" s="135">
        <v>8.6599999999999996E-2</v>
      </c>
    </row>
    <row r="181" spans="1:9" x14ac:dyDescent="0.35">
      <c r="A181" s="133">
        <v>43370</v>
      </c>
      <c r="B181" s="154">
        <v>90.42</v>
      </c>
      <c r="C181" s="135">
        <v>8.1500000000000003E-2</v>
      </c>
      <c r="D181" s="154">
        <v>86.33</v>
      </c>
      <c r="E181" s="135">
        <v>8.2100000000000006E-2</v>
      </c>
      <c r="F181" s="154">
        <v>85.460000000000008</v>
      </c>
      <c r="G181" s="135">
        <v>8.3699999999999997E-2</v>
      </c>
      <c r="H181" s="154">
        <v>89.350000000000009</v>
      </c>
      <c r="I181" s="135">
        <v>8.6400000000000005E-2</v>
      </c>
    </row>
    <row r="182" spans="1:9" x14ac:dyDescent="0.35">
      <c r="A182" s="133">
        <v>43371</v>
      </c>
      <c r="B182" s="154">
        <v>90.72</v>
      </c>
      <c r="C182" s="135">
        <v>8.0700000000000008E-2</v>
      </c>
      <c r="D182" s="154">
        <v>86.73</v>
      </c>
      <c r="E182" s="135">
        <v>8.14E-2</v>
      </c>
      <c r="F182" s="154">
        <v>85.63000000000001</v>
      </c>
      <c r="G182" s="135">
        <v>8.3500000000000005E-2</v>
      </c>
      <c r="H182" s="154">
        <v>89.850000000000009</v>
      </c>
      <c r="I182" s="135">
        <v>8.5800000000000001E-2</v>
      </c>
    </row>
    <row r="183" spans="1:9" x14ac:dyDescent="0.35">
      <c r="A183" s="136">
        <v>43374</v>
      </c>
      <c r="B183" s="153">
        <v>91.68</v>
      </c>
      <c r="C183" s="138">
        <v>7.8100000000000003E-2</v>
      </c>
      <c r="D183" s="153">
        <v>88.64</v>
      </c>
      <c r="E183" s="138">
        <v>7.8300000000000008E-2</v>
      </c>
      <c r="F183" s="153">
        <v>86.61</v>
      </c>
      <c r="G183" s="138">
        <v>8.2200000000000009E-2</v>
      </c>
      <c r="H183" s="153">
        <v>91.08</v>
      </c>
      <c r="I183" s="138">
        <v>8.4400000000000003E-2</v>
      </c>
    </row>
    <row r="184" spans="1:9" x14ac:dyDescent="0.35">
      <c r="A184" s="136">
        <v>43375</v>
      </c>
      <c r="B184" s="153">
        <v>91.47</v>
      </c>
      <c r="C184" s="138">
        <v>7.8700000000000006E-2</v>
      </c>
      <c r="D184" s="153">
        <v>87.36</v>
      </c>
      <c r="E184" s="138">
        <v>8.0399999999999999E-2</v>
      </c>
      <c r="F184" s="153">
        <v>86.58</v>
      </c>
      <c r="G184" s="138">
        <v>8.2200000000000009E-2</v>
      </c>
      <c r="H184" s="153">
        <v>90.01</v>
      </c>
      <c r="I184" s="138">
        <v>8.5600000000000009E-2</v>
      </c>
    </row>
    <row r="185" spans="1:9" x14ac:dyDescent="0.35">
      <c r="A185" s="136">
        <v>43376</v>
      </c>
      <c r="B185" s="153">
        <v>90.61</v>
      </c>
      <c r="C185" s="138">
        <v>8.1100000000000005E-2</v>
      </c>
      <c r="D185" s="153">
        <v>86.050000000000011</v>
      </c>
      <c r="E185" s="138">
        <v>8.2600000000000007E-2</v>
      </c>
      <c r="F185" s="153">
        <v>85.5</v>
      </c>
      <c r="G185" s="138">
        <v>8.3699999999999997E-2</v>
      </c>
      <c r="H185" s="153">
        <v>88.51</v>
      </c>
      <c r="I185" s="138">
        <v>8.7400000000000005E-2</v>
      </c>
    </row>
    <row r="186" spans="1:9" x14ac:dyDescent="0.35">
      <c r="A186" s="136">
        <v>43377</v>
      </c>
      <c r="B186" s="153">
        <v>90.08</v>
      </c>
      <c r="C186" s="138">
        <v>8.2600000000000007E-2</v>
      </c>
      <c r="D186" s="153">
        <v>84.9</v>
      </c>
      <c r="E186" s="138">
        <v>8.4500000000000006E-2</v>
      </c>
      <c r="F186" s="153">
        <v>83.89</v>
      </c>
      <c r="G186" s="138">
        <v>8.5800000000000001E-2</v>
      </c>
      <c r="H186" s="153">
        <v>87.65</v>
      </c>
      <c r="I186" s="138">
        <v>8.8400000000000006E-2</v>
      </c>
    </row>
    <row r="187" spans="1:9" x14ac:dyDescent="0.35">
      <c r="A187" s="136">
        <v>43378</v>
      </c>
      <c r="B187" s="153">
        <v>90.36</v>
      </c>
      <c r="C187" s="138">
        <v>8.1799999999999998E-2</v>
      </c>
      <c r="D187" s="153">
        <v>85.63000000000001</v>
      </c>
      <c r="E187" s="138">
        <v>8.3299999999999999E-2</v>
      </c>
      <c r="F187" s="153">
        <v>84.25</v>
      </c>
      <c r="G187" s="138">
        <v>8.5300000000000001E-2</v>
      </c>
      <c r="H187" s="153">
        <v>87.79</v>
      </c>
      <c r="I187" s="138">
        <v>8.8200000000000001E-2</v>
      </c>
    </row>
    <row r="188" spans="1:9" x14ac:dyDescent="0.35">
      <c r="A188" s="133">
        <v>43381</v>
      </c>
      <c r="B188" s="154">
        <v>90.33</v>
      </c>
      <c r="C188" s="135">
        <v>8.1900000000000001E-2</v>
      </c>
      <c r="D188" s="154">
        <v>85.440000000000012</v>
      </c>
      <c r="E188" s="135">
        <v>8.3600000000000008E-2</v>
      </c>
      <c r="F188" s="154">
        <v>83.77000000000001</v>
      </c>
      <c r="G188" s="135">
        <v>8.6000000000000007E-2</v>
      </c>
      <c r="H188" s="154">
        <v>87.65</v>
      </c>
      <c r="I188" s="135">
        <v>8.8400000000000006E-2</v>
      </c>
    </row>
    <row r="189" spans="1:9" x14ac:dyDescent="0.35">
      <c r="A189" s="133">
        <v>43382</v>
      </c>
      <c r="B189" s="154">
        <v>90.01</v>
      </c>
      <c r="C189" s="135">
        <v>8.2900000000000001E-2</v>
      </c>
      <c r="D189" s="154">
        <v>84.59</v>
      </c>
      <c r="E189" s="135">
        <v>8.5100000000000009E-2</v>
      </c>
      <c r="F189" s="154">
        <v>83.29</v>
      </c>
      <c r="G189" s="135">
        <v>8.6699999999999999E-2</v>
      </c>
      <c r="H189" s="154">
        <v>87.2</v>
      </c>
      <c r="I189" s="135">
        <v>8.8900000000000007E-2</v>
      </c>
    </row>
    <row r="190" spans="1:9" x14ac:dyDescent="0.35">
      <c r="A190" s="133">
        <v>43383</v>
      </c>
      <c r="B190" s="154">
        <v>89.960000000000008</v>
      </c>
      <c r="C190" s="135">
        <v>8.3000000000000004E-2</v>
      </c>
      <c r="D190" s="154">
        <v>84.4</v>
      </c>
      <c r="E190" s="135">
        <v>8.5400000000000004E-2</v>
      </c>
      <c r="F190" s="154">
        <v>82.72</v>
      </c>
      <c r="G190" s="135">
        <v>8.7500000000000008E-2</v>
      </c>
      <c r="H190" s="154">
        <v>86.740000000000009</v>
      </c>
      <c r="I190" s="135">
        <v>8.9499999999999996E-2</v>
      </c>
    </row>
    <row r="191" spans="1:9" x14ac:dyDescent="0.35">
      <c r="A191" s="133">
        <v>43384</v>
      </c>
      <c r="B191" s="154">
        <v>89.93</v>
      </c>
      <c r="C191" s="135">
        <v>8.3100000000000007E-2</v>
      </c>
      <c r="D191" s="154">
        <v>84.39</v>
      </c>
      <c r="E191" s="135">
        <v>8.5500000000000007E-2</v>
      </c>
      <c r="F191" s="154">
        <v>82.570000000000007</v>
      </c>
      <c r="G191" s="135">
        <v>8.77E-2</v>
      </c>
      <c r="H191" s="154">
        <v>86.47</v>
      </c>
      <c r="I191" s="135">
        <v>8.9800000000000005E-2</v>
      </c>
    </row>
    <row r="192" spans="1:9" x14ac:dyDescent="0.35">
      <c r="A192" s="133">
        <v>43385</v>
      </c>
      <c r="B192" s="154">
        <v>89.77</v>
      </c>
      <c r="C192" s="135">
        <v>8.3600000000000008E-2</v>
      </c>
      <c r="D192" s="154">
        <v>84.100000000000009</v>
      </c>
      <c r="E192" s="135">
        <v>8.6000000000000007E-2</v>
      </c>
      <c r="F192" s="154">
        <v>82.100000000000009</v>
      </c>
      <c r="G192" s="135">
        <v>8.8300000000000003E-2</v>
      </c>
      <c r="H192" s="154">
        <v>86.25</v>
      </c>
      <c r="I192" s="135">
        <v>9.01E-2</v>
      </c>
    </row>
    <row r="193" spans="1:9" x14ac:dyDescent="0.35">
      <c r="A193" s="136">
        <v>43388</v>
      </c>
      <c r="B193" s="153">
        <v>89.39</v>
      </c>
      <c r="C193" s="138">
        <v>8.4699999999999998E-2</v>
      </c>
      <c r="D193" s="153">
        <v>83.350000000000009</v>
      </c>
      <c r="E193" s="138">
        <v>8.7300000000000003E-2</v>
      </c>
      <c r="F193" s="153">
        <v>81.37</v>
      </c>
      <c r="G193" s="138">
        <v>8.9400000000000007E-2</v>
      </c>
      <c r="H193" s="153">
        <v>85.03</v>
      </c>
      <c r="I193" s="138">
        <v>9.1600000000000001E-2</v>
      </c>
    </row>
    <row r="194" spans="1:9" x14ac:dyDescent="0.35">
      <c r="A194" s="136">
        <v>43389</v>
      </c>
      <c r="B194" s="153">
        <v>89.33</v>
      </c>
      <c r="C194" s="138">
        <v>8.4900000000000003E-2</v>
      </c>
      <c r="D194" s="153">
        <v>82.800000000000011</v>
      </c>
      <c r="E194" s="138">
        <v>8.8300000000000003E-2</v>
      </c>
      <c r="F194" s="153">
        <v>80.62</v>
      </c>
      <c r="G194" s="138">
        <v>9.0499999999999997E-2</v>
      </c>
      <c r="H194" s="153">
        <v>84.75</v>
      </c>
      <c r="I194" s="138">
        <v>9.1999999999999998E-2</v>
      </c>
    </row>
    <row r="195" spans="1:9" x14ac:dyDescent="0.35">
      <c r="A195" s="136">
        <v>43390</v>
      </c>
      <c r="B195" s="153">
        <v>89.77</v>
      </c>
      <c r="C195" s="138">
        <v>8.3699999999999997E-2</v>
      </c>
      <c r="D195" s="153">
        <v>84.14</v>
      </c>
      <c r="E195" s="138">
        <v>8.5900000000000004E-2</v>
      </c>
      <c r="F195" s="153">
        <v>82.25</v>
      </c>
      <c r="G195" s="138">
        <v>8.8099999999999998E-2</v>
      </c>
      <c r="H195" s="153">
        <v>86.240000000000009</v>
      </c>
      <c r="I195" s="138">
        <v>9.01E-2</v>
      </c>
    </row>
    <row r="196" spans="1:9" x14ac:dyDescent="0.35">
      <c r="A196" s="136">
        <v>43391</v>
      </c>
      <c r="B196" s="153">
        <v>89.77000000000001</v>
      </c>
      <c r="C196" s="138">
        <v>8.3699999999999997E-2</v>
      </c>
      <c r="D196" s="153">
        <v>84.4</v>
      </c>
      <c r="E196" s="138">
        <v>8.5500000000000007E-2</v>
      </c>
      <c r="F196" s="153">
        <v>82.490000000000009</v>
      </c>
      <c r="G196" s="138">
        <v>8.7800000000000003E-2</v>
      </c>
      <c r="H196" s="153">
        <v>86.56</v>
      </c>
      <c r="I196" s="138">
        <v>8.9700000000000002E-2</v>
      </c>
    </row>
    <row r="197" spans="1:9" x14ac:dyDescent="0.35">
      <c r="A197" s="136">
        <v>43392</v>
      </c>
      <c r="B197" s="153">
        <v>89.410000000000011</v>
      </c>
      <c r="C197" s="138">
        <v>8.4699999999999998E-2</v>
      </c>
      <c r="D197" s="153">
        <v>83.86</v>
      </c>
      <c r="E197" s="138">
        <v>8.6400000000000005E-2</v>
      </c>
      <c r="F197" s="153">
        <v>82.160000000000011</v>
      </c>
      <c r="G197" s="138">
        <v>8.8300000000000003E-2</v>
      </c>
      <c r="H197" s="153">
        <v>86.25</v>
      </c>
      <c r="I197" s="138">
        <v>9.01E-2</v>
      </c>
    </row>
    <row r="198" spans="1:9" x14ac:dyDescent="0.35">
      <c r="A198" s="133">
        <v>43395</v>
      </c>
      <c r="B198" s="154">
        <v>89.43</v>
      </c>
      <c r="C198" s="135">
        <v>8.4699999999999998E-2</v>
      </c>
      <c r="D198" s="154">
        <v>83.83</v>
      </c>
      <c r="E198" s="135">
        <v>8.6500000000000007E-2</v>
      </c>
      <c r="F198" s="154">
        <v>82.29</v>
      </c>
      <c r="G198" s="135">
        <v>8.8099999999999998E-2</v>
      </c>
      <c r="H198" s="154">
        <v>86.39</v>
      </c>
      <c r="I198" s="135">
        <v>8.9900000000000008E-2</v>
      </c>
    </row>
    <row r="199" spans="1:9" x14ac:dyDescent="0.35">
      <c r="A199" s="133">
        <v>43396</v>
      </c>
      <c r="B199" s="154">
        <v>89.88000000000001</v>
      </c>
      <c r="C199" s="135">
        <v>8.3400000000000002E-2</v>
      </c>
      <c r="D199" s="154">
        <v>83.89</v>
      </c>
      <c r="E199" s="135">
        <v>8.6400000000000005E-2</v>
      </c>
      <c r="F199" s="154">
        <v>82.02000000000001</v>
      </c>
      <c r="G199" s="135">
        <v>8.8500000000000009E-2</v>
      </c>
      <c r="H199" s="154">
        <v>86.17</v>
      </c>
      <c r="I199" s="135">
        <v>9.0200000000000002E-2</v>
      </c>
    </row>
    <row r="200" spans="1:9" x14ac:dyDescent="0.35">
      <c r="A200" s="133">
        <v>43397</v>
      </c>
      <c r="B200" s="154">
        <v>89.75</v>
      </c>
      <c r="C200" s="135">
        <v>8.3799999999999999E-2</v>
      </c>
      <c r="D200" s="154">
        <v>84.29</v>
      </c>
      <c r="E200" s="135">
        <v>8.5699999999999998E-2</v>
      </c>
      <c r="F200" s="154">
        <v>82.41</v>
      </c>
      <c r="G200" s="135">
        <v>8.7900000000000006E-2</v>
      </c>
      <c r="H200" s="154">
        <v>86.43</v>
      </c>
      <c r="I200" s="135">
        <v>8.9900000000000008E-2</v>
      </c>
    </row>
    <row r="201" spans="1:9" x14ac:dyDescent="0.35">
      <c r="A201" s="133">
        <v>43398</v>
      </c>
      <c r="B201" s="154">
        <v>89.68</v>
      </c>
      <c r="C201" s="135">
        <v>8.4000000000000005E-2</v>
      </c>
      <c r="D201" s="154">
        <v>83.9</v>
      </c>
      <c r="E201" s="135">
        <v>8.6400000000000005E-2</v>
      </c>
      <c r="F201" s="154">
        <v>82.39</v>
      </c>
      <c r="G201" s="135">
        <v>8.8000000000000009E-2</v>
      </c>
      <c r="H201" s="154">
        <v>86.26</v>
      </c>
      <c r="I201" s="135">
        <v>9.01E-2</v>
      </c>
    </row>
    <row r="202" spans="1:9" x14ac:dyDescent="0.35">
      <c r="A202" s="133">
        <v>43399</v>
      </c>
      <c r="B202" s="154">
        <v>89.78</v>
      </c>
      <c r="C202" s="135">
        <v>8.3799999999999999E-2</v>
      </c>
      <c r="D202" s="154">
        <v>84.11</v>
      </c>
      <c r="E202" s="135">
        <v>8.6000000000000007E-2</v>
      </c>
      <c r="F202" s="154">
        <v>82.36</v>
      </c>
      <c r="G202" s="135">
        <v>8.8000000000000009E-2</v>
      </c>
      <c r="H202" s="154">
        <v>86.23</v>
      </c>
      <c r="I202" s="135">
        <v>9.01E-2</v>
      </c>
    </row>
    <row r="203" spans="1:9" x14ac:dyDescent="0.35">
      <c r="A203" s="136">
        <v>43402</v>
      </c>
      <c r="B203" s="153">
        <v>89.68</v>
      </c>
      <c r="C203" s="138">
        <v>8.4100000000000008E-2</v>
      </c>
      <c r="D203" s="153">
        <v>83.93</v>
      </c>
      <c r="E203" s="138">
        <v>8.6400000000000005E-2</v>
      </c>
      <c r="F203" s="153">
        <v>82.13000000000001</v>
      </c>
      <c r="G203" s="138">
        <v>8.8400000000000006E-2</v>
      </c>
      <c r="H203" s="153">
        <v>85.86</v>
      </c>
      <c r="I203" s="138">
        <v>9.06E-2</v>
      </c>
    </row>
    <row r="204" spans="1:9" x14ac:dyDescent="0.35">
      <c r="A204" s="136">
        <v>43403</v>
      </c>
      <c r="B204" s="153">
        <v>89.63000000000001</v>
      </c>
      <c r="C204" s="138">
        <v>8.43E-2</v>
      </c>
      <c r="D204" s="153">
        <v>84.11</v>
      </c>
      <c r="E204" s="138">
        <v>8.6000000000000007E-2</v>
      </c>
      <c r="F204" s="153">
        <v>82.33</v>
      </c>
      <c r="G204" s="138">
        <v>8.8099999999999998E-2</v>
      </c>
      <c r="H204" s="153">
        <v>86.09</v>
      </c>
      <c r="I204" s="138">
        <v>9.0300000000000005E-2</v>
      </c>
    </row>
    <row r="205" spans="1:9" x14ac:dyDescent="0.35">
      <c r="A205" s="136">
        <v>43404</v>
      </c>
      <c r="B205" s="153">
        <v>89.81</v>
      </c>
      <c r="C205" s="138">
        <v>8.3799999999999999E-2</v>
      </c>
      <c r="D205" s="153">
        <v>84.38000000000001</v>
      </c>
      <c r="E205" s="138">
        <v>8.5600000000000009E-2</v>
      </c>
      <c r="F205" s="153">
        <v>82.48</v>
      </c>
      <c r="G205" s="138">
        <v>8.7900000000000006E-2</v>
      </c>
      <c r="H205" s="153">
        <v>86.54</v>
      </c>
      <c r="I205" s="138">
        <v>8.9800000000000005E-2</v>
      </c>
    </row>
    <row r="206" spans="1:9" x14ac:dyDescent="0.35">
      <c r="A206" s="136">
        <v>43405</v>
      </c>
      <c r="B206" s="153">
        <v>90.23</v>
      </c>
      <c r="C206" s="138">
        <v>8.2600000000000007E-2</v>
      </c>
      <c r="D206" s="153">
        <v>84.710000000000008</v>
      </c>
      <c r="E206" s="138">
        <v>8.5000000000000006E-2</v>
      </c>
      <c r="F206" s="153">
        <v>82.64</v>
      </c>
      <c r="G206" s="138">
        <v>8.7599999999999997E-2</v>
      </c>
      <c r="H206" s="153">
        <v>86.74</v>
      </c>
      <c r="I206" s="138">
        <v>8.9499999999999996E-2</v>
      </c>
    </row>
    <row r="207" spans="1:9" x14ac:dyDescent="0.35">
      <c r="A207" s="136">
        <v>43406</v>
      </c>
      <c r="B207" s="153">
        <v>90.72</v>
      </c>
      <c r="C207" s="138">
        <v>8.1200000000000008E-2</v>
      </c>
      <c r="D207" s="153">
        <v>85.84</v>
      </c>
      <c r="E207" s="138">
        <v>8.3100000000000007E-2</v>
      </c>
      <c r="F207" s="153">
        <v>84.320000000000007</v>
      </c>
      <c r="G207" s="138">
        <v>8.5300000000000001E-2</v>
      </c>
      <c r="H207" s="153">
        <v>88.300000000000011</v>
      </c>
      <c r="I207" s="138">
        <v>8.77E-2</v>
      </c>
    </row>
    <row r="208" spans="1:9" x14ac:dyDescent="0.35">
      <c r="A208" s="133">
        <v>43409</v>
      </c>
      <c r="B208" s="154">
        <v>90.78</v>
      </c>
      <c r="C208" s="135">
        <v>8.1100000000000005E-2</v>
      </c>
      <c r="D208" s="154">
        <v>85.62</v>
      </c>
      <c r="E208" s="135">
        <v>8.3500000000000005E-2</v>
      </c>
      <c r="F208" s="154">
        <v>83.77000000000001</v>
      </c>
      <c r="G208" s="135">
        <v>8.6099999999999996E-2</v>
      </c>
      <c r="H208" s="154">
        <v>88.320000000000007</v>
      </c>
      <c r="I208" s="135">
        <v>8.7599999999999997E-2</v>
      </c>
    </row>
    <row r="209" spans="1:9" x14ac:dyDescent="0.35">
      <c r="A209" s="133">
        <v>43410</v>
      </c>
      <c r="B209" s="154">
        <v>90.93</v>
      </c>
      <c r="C209" s="135">
        <v>8.0600000000000005E-2</v>
      </c>
      <c r="D209" s="154">
        <v>85.98</v>
      </c>
      <c r="E209" s="135">
        <v>8.2900000000000001E-2</v>
      </c>
      <c r="F209" s="154">
        <v>84.1</v>
      </c>
      <c r="G209" s="135">
        <v>8.5600000000000009E-2</v>
      </c>
      <c r="H209" s="154">
        <v>88.7</v>
      </c>
      <c r="I209" s="135">
        <v>8.72E-2</v>
      </c>
    </row>
    <row r="210" spans="1:9" x14ac:dyDescent="0.35">
      <c r="A210" s="133">
        <v>43411</v>
      </c>
      <c r="B210" s="154">
        <v>91.210000000000008</v>
      </c>
      <c r="C210" s="135">
        <v>7.9899999999999999E-2</v>
      </c>
      <c r="D210" s="154">
        <v>86.59</v>
      </c>
      <c r="E210" s="135">
        <v>8.1900000000000001E-2</v>
      </c>
      <c r="F210" s="154">
        <v>84.79</v>
      </c>
      <c r="G210" s="135">
        <v>8.4699999999999998E-2</v>
      </c>
      <c r="H210" s="154">
        <v>89.33</v>
      </c>
      <c r="I210" s="135">
        <v>8.6500000000000007E-2</v>
      </c>
    </row>
    <row r="211" spans="1:9" x14ac:dyDescent="0.35">
      <c r="A211" s="133">
        <v>43412</v>
      </c>
      <c r="B211" s="154">
        <v>91.43</v>
      </c>
      <c r="C211" s="135">
        <v>7.9200000000000007E-2</v>
      </c>
      <c r="D211" s="154">
        <v>87.300000000000011</v>
      </c>
      <c r="E211" s="135">
        <v>8.0700000000000008E-2</v>
      </c>
      <c r="F211" s="154">
        <v>85.68</v>
      </c>
      <c r="G211" s="135">
        <v>8.3500000000000005E-2</v>
      </c>
      <c r="H211" s="154">
        <v>90.63000000000001</v>
      </c>
      <c r="I211" s="135">
        <v>8.5000000000000006E-2</v>
      </c>
    </row>
    <row r="212" spans="1:9" x14ac:dyDescent="0.35">
      <c r="A212" s="133">
        <v>43413</v>
      </c>
      <c r="B212" s="154">
        <v>91.38</v>
      </c>
      <c r="C212" s="135">
        <v>7.9399999999999998E-2</v>
      </c>
      <c r="D212" s="154">
        <v>87.490000000000009</v>
      </c>
      <c r="E212" s="135">
        <v>8.0399999999999999E-2</v>
      </c>
      <c r="F212" s="154">
        <v>85.87</v>
      </c>
      <c r="G212" s="135">
        <v>8.3199999999999996E-2</v>
      </c>
      <c r="H212" s="154">
        <v>91.06</v>
      </c>
      <c r="I212" s="135">
        <v>8.4500000000000006E-2</v>
      </c>
    </row>
    <row r="213" spans="1:9" x14ac:dyDescent="0.35">
      <c r="A213" s="136">
        <v>43416</v>
      </c>
      <c r="B213" s="153">
        <v>91.34</v>
      </c>
      <c r="C213" s="138">
        <v>7.9600000000000004E-2</v>
      </c>
      <c r="D213" s="153">
        <v>87.15</v>
      </c>
      <c r="E213" s="138">
        <v>8.09E-2</v>
      </c>
      <c r="F213" s="153">
        <v>85.350000000000009</v>
      </c>
      <c r="G213" s="138">
        <v>8.4000000000000005E-2</v>
      </c>
      <c r="H213" s="153">
        <v>90.33</v>
      </c>
      <c r="I213" s="138">
        <v>8.5300000000000001E-2</v>
      </c>
    </row>
    <row r="214" spans="1:9" x14ac:dyDescent="0.35">
      <c r="A214" s="136">
        <v>43417</v>
      </c>
      <c r="B214" s="153">
        <v>90.820000000000007</v>
      </c>
      <c r="C214" s="138">
        <v>8.1000000000000003E-2</v>
      </c>
      <c r="D214" s="153">
        <v>86.13000000000001</v>
      </c>
      <c r="E214" s="138">
        <v>8.270000000000001E-2</v>
      </c>
      <c r="F214" s="153">
        <v>84.93</v>
      </c>
      <c r="G214" s="138">
        <v>8.4500000000000006E-2</v>
      </c>
      <c r="H214" s="153">
        <v>89.18</v>
      </c>
      <c r="I214" s="138">
        <v>8.6599999999999996E-2</v>
      </c>
    </row>
    <row r="215" spans="1:9" x14ac:dyDescent="0.35">
      <c r="A215" s="136">
        <v>43418</v>
      </c>
      <c r="B215" s="153">
        <v>91.21</v>
      </c>
      <c r="C215" s="138">
        <v>7.9899999999999999E-2</v>
      </c>
      <c r="D215" s="153">
        <v>87.29</v>
      </c>
      <c r="E215" s="138">
        <v>8.0700000000000008E-2</v>
      </c>
      <c r="F215" s="153">
        <v>85.490000000000009</v>
      </c>
      <c r="G215" s="138">
        <v>8.3799999999999999E-2</v>
      </c>
      <c r="H215" s="153">
        <v>90.38000000000001</v>
      </c>
      <c r="I215" s="138">
        <v>8.5300000000000001E-2</v>
      </c>
    </row>
    <row r="216" spans="1:9" x14ac:dyDescent="0.35">
      <c r="A216" s="136">
        <v>43419</v>
      </c>
      <c r="B216" s="153">
        <v>91.160000000000011</v>
      </c>
      <c r="C216" s="138">
        <v>8.0100000000000005E-2</v>
      </c>
      <c r="D216" s="153">
        <v>87.09</v>
      </c>
      <c r="E216" s="138">
        <v>8.1000000000000003E-2</v>
      </c>
      <c r="F216" s="153">
        <v>85.600000000000009</v>
      </c>
      <c r="G216" s="138">
        <v>8.3600000000000008E-2</v>
      </c>
      <c r="H216" s="153">
        <v>90.550000000000011</v>
      </c>
      <c r="I216" s="138">
        <v>8.5100000000000009E-2</v>
      </c>
    </row>
    <row r="217" spans="1:9" x14ac:dyDescent="0.35">
      <c r="A217" s="136">
        <v>43420</v>
      </c>
      <c r="B217" s="153">
        <v>91.410000000000011</v>
      </c>
      <c r="C217" s="138">
        <v>7.9399999999999998E-2</v>
      </c>
      <c r="D217" s="153">
        <v>87.65</v>
      </c>
      <c r="E217" s="138">
        <v>8.0100000000000005E-2</v>
      </c>
      <c r="F217" s="153">
        <v>86.27000000000001</v>
      </c>
      <c r="G217" s="138">
        <v>8.270000000000001E-2</v>
      </c>
      <c r="H217" s="153">
        <v>91.31</v>
      </c>
      <c r="I217" s="138">
        <v>8.4199999999999997E-2</v>
      </c>
    </row>
    <row r="218" spans="1:9" x14ac:dyDescent="0.35">
      <c r="A218" s="133">
        <v>43423</v>
      </c>
      <c r="B218" s="154">
        <v>91.4</v>
      </c>
      <c r="C218" s="135">
        <v>7.9500000000000001E-2</v>
      </c>
      <c r="D218" s="154">
        <v>87.63000000000001</v>
      </c>
      <c r="E218" s="135">
        <v>8.0199999999999994E-2</v>
      </c>
      <c r="F218" s="154">
        <v>86.09</v>
      </c>
      <c r="G218" s="135">
        <v>8.3000000000000004E-2</v>
      </c>
      <c r="H218" s="154">
        <v>91.37</v>
      </c>
      <c r="I218" s="135">
        <v>8.4100000000000008E-2</v>
      </c>
    </row>
    <row r="219" spans="1:9" x14ac:dyDescent="0.35">
      <c r="A219" s="133">
        <v>43425</v>
      </c>
      <c r="B219" s="154">
        <v>91.37</v>
      </c>
      <c r="C219" s="135">
        <v>7.9600000000000004E-2</v>
      </c>
      <c r="D219" s="154">
        <v>87.7</v>
      </c>
      <c r="E219" s="135">
        <v>8.0100000000000005E-2</v>
      </c>
      <c r="F219" s="154">
        <v>86.05</v>
      </c>
      <c r="G219" s="135">
        <v>8.3000000000000004E-2</v>
      </c>
      <c r="H219" s="154">
        <v>91.2</v>
      </c>
      <c r="I219" s="135">
        <v>8.43E-2</v>
      </c>
    </row>
    <row r="220" spans="1:9" x14ac:dyDescent="0.35">
      <c r="A220" s="133">
        <v>43426</v>
      </c>
      <c r="B220" s="154">
        <v>91.43</v>
      </c>
      <c r="C220" s="135">
        <v>7.9399999999999998E-2</v>
      </c>
      <c r="D220" s="154">
        <v>88.18</v>
      </c>
      <c r="E220" s="135">
        <v>7.9300000000000009E-2</v>
      </c>
      <c r="F220" s="154">
        <v>86.15</v>
      </c>
      <c r="G220" s="135">
        <v>8.2900000000000001E-2</v>
      </c>
      <c r="H220" s="154">
        <v>91.38000000000001</v>
      </c>
      <c r="I220" s="135">
        <v>8.4100000000000008E-2</v>
      </c>
    </row>
    <row r="221" spans="1:9" x14ac:dyDescent="0.35">
      <c r="A221" s="136">
        <v>43430</v>
      </c>
      <c r="B221" s="153">
        <v>91.5</v>
      </c>
      <c r="C221" s="138">
        <v>7.9300000000000009E-2</v>
      </c>
      <c r="D221" s="153">
        <v>88.45</v>
      </c>
      <c r="E221" s="138">
        <v>7.8800000000000009E-2</v>
      </c>
      <c r="F221" s="153">
        <v>86.910000000000011</v>
      </c>
      <c r="G221" s="138">
        <v>8.1900000000000001E-2</v>
      </c>
      <c r="H221" s="153">
        <v>92.06</v>
      </c>
      <c r="I221" s="138">
        <v>8.3400000000000002E-2</v>
      </c>
    </row>
    <row r="222" spans="1:9" x14ac:dyDescent="0.35">
      <c r="A222" s="136">
        <v>43431</v>
      </c>
      <c r="B222" s="153">
        <v>91.95</v>
      </c>
      <c r="C222" s="138">
        <v>7.8E-2</v>
      </c>
      <c r="D222" s="153">
        <v>88.68</v>
      </c>
      <c r="E222" s="138">
        <v>7.85E-2</v>
      </c>
      <c r="F222" s="153">
        <v>87.78</v>
      </c>
      <c r="G222" s="138">
        <v>8.0799999999999997E-2</v>
      </c>
      <c r="H222" s="153">
        <v>92.800000000000011</v>
      </c>
      <c r="I222" s="138">
        <v>8.2500000000000004E-2</v>
      </c>
    </row>
    <row r="223" spans="1:9" x14ac:dyDescent="0.35">
      <c r="A223" s="136">
        <v>43432</v>
      </c>
      <c r="B223" s="153">
        <v>91.73</v>
      </c>
      <c r="C223" s="138">
        <v>7.8600000000000003E-2</v>
      </c>
      <c r="D223" s="153">
        <v>88.59</v>
      </c>
      <c r="E223" s="138">
        <v>7.8600000000000003E-2</v>
      </c>
      <c r="F223" s="153">
        <v>87.07</v>
      </c>
      <c r="G223" s="138">
        <v>8.1700000000000009E-2</v>
      </c>
      <c r="H223" s="153">
        <v>92.53</v>
      </c>
      <c r="I223" s="138">
        <v>8.2799999999999999E-2</v>
      </c>
    </row>
    <row r="224" spans="1:9" x14ac:dyDescent="0.35">
      <c r="A224" s="136">
        <v>43433</v>
      </c>
      <c r="B224" s="153">
        <v>91.89</v>
      </c>
      <c r="C224" s="138">
        <v>7.8200000000000006E-2</v>
      </c>
      <c r="D224" s="153">
        <v>88.62</v>
      </c>
      <c r="E224" s="138">
        <v>7.8600000000000003E-2</v>
      </c>
      <c r="F224" s="153">
        <v>87.61</v>
      </c>
      <c r="G224" s="138">
        <v>8.1000000000000003E-2</v>
      </c>
      <c r="H224" s="153">
        <v>93.17</v>
      </c>
      <c r="I224" s="138">
        <v>8.2100000000000006E-2</v>
      </c>
    </row>
    <row r="225" spans="1:9" x14ac:dyDescent="0.35">
      <c r="A225" s="136">
        <v>43434</v>
      </c>
      <c r="B225" s="153">
        <v>91.960000000000008</v>
      </c>
      <c r="C225" s="138">
        <v>7.8E-2</v>
      </c>
      <c r="D225" s="153">
        <v>88.78</v>
      </c>
      <c r="E225" s="138">
        <v>7.8300000000000008E-2</v>
      </c>
      <c r="F225" s="153">
        <v>88</v>
      </c>
      <c r="G225" s="138">
        <v>8.0500000000000002E-2</v>
      </c>
      <c r="H225" s="153">
        <v>93.72</v>
      </c>
      <c r="I225" s="138">
        <v>8.1500000000000003E-2</v>
      </c>
    </row>
    <row r="226" spans="1:9" x14ac:dyDescent="0.35">
      <c r="A226" s="133">
        <v>43437</v>
      </c>
      <c r="B226" s="154">
        <v>92.01</v>
      </c>
      <c r="C226" s="135">
        <v>7.7899999999999997E-2</v>
      </c>
      <c r="D226" s="154">
        <v>89</v>
      </c>
      <c r="E226" s="135">
        <v>7.8E-2</v>
      </c>
      <c r="F226" s="154">
        <v>88.14</v>
      </c>
      <c r="G226" s="135">
        <v>8.0299999999999996E-2</v>
      </c>
      <c r="H226" s="154">
        <v>94.01</v>
      </c>
      <c r="I226" s="135">
        <v>8.1200000000000008E-2</v>
      </c>
    </row>
    <row r="227" spans="1:9" x14ac:dyDescent="0.35">
      <c r="A227" s="133">
        <v>43438</v>
      </c>
      <c r="B227" s="154">
        <v>92.11</v>
      </c>
      <c r="C227" s="135">
        <v>7.7600000000000002E-2</v>
      </c>
      <c r="D227" s="154">
        <v>89.02000000000001</v>
      </c>
      <c r="E227" s="135">
        <v>7.7899999999999997E-2</v>
      </c>
      <c r="F227" s="154">
        <v>88.070000000000007</v>
      </c>
      <c r="G227" s="135">
        <v>8.0399999999999999E-2</v>
      </c>
      <c r="H227" s="154">
        <v>94.01</v>
      </c>
      <c r="I227" s="135">
        <v>8.1200000000000008E-2</v>
      </c>
    </row>
    <row r="228" spans="1:9" x14ac:dyDescent="0.35">
      <c r="A228" s="133">
        <v>43439</v>
      </c>
      <c r="B228" s="154">
        <v>92.12</v>
      </c>
      <c r="C228" s="135">
        <v>7.7600000000000002E-2</v>
      </c>
      <c r="D228" s="154">
        <v>88.6</v>
      </c>
      <c r="E228" s="135">
        <v>7.8600000000000003E-2</v>
      </c>
      <c r="F228" s="154">
        <v>87.690000000000012</v>
      </c>
      <c r="G228" s="135">
        <v>8.09E-2</v>
      </c>
      <c r="H228" s="154">
        <v>93.34</v>
      </c>
      <c r="I228" s="135">
        <v>8.1900000000000001E-2</v>
      </c>
    </row>
    <row r="229" spans="1:9" x14ac:dyDescent="0.35">
      <c r="A229" s="133">
        <v>43440</v>
      </c>
      <c r="B229" s="154">
        <v>91.68</v>
      </c>
      <c r="C229" s="135">
        <v>7.8899999999999998E-2</v>
      </c>
      <c r="D229" s="154">
        <v>87.97</v>
      </c>
      <c r="E229" s="135">
        <v>7.9700000000000007E-2</v>
      </c>
      <c r="F229" s="154">
        <v>87.01</v>
      </c>
      <c r="G229" s="135">
        <v>8.1799999999999998E-2</v>
      </c>
      <c r="H229" s="154">
        <v>92.22</v>
      </c>
      <c r="I229" s="135">
        <v>8.3199999999999996E-2</v>
      </c>
    </row>
    <row r="230" spans="1:9" x14ac:dyDescent="0.35">
      <c r="A230" s="133">
        <v>43441</v>
      </c>
      <c r="B230" s="154">
        <v>91.48</v>
      </c>
      <c r="C230" s="135">
        <v>7.9500000000000001E-2</v>
      </c>
      <c r="D230" s="154">
        <v>87.72</v>
      </c>
      <c r="E230" s="135">
        <v>8.0100000000000005E-2</v>
      </c>
      <c r="F230" s="154">
        <v>87.12</v>
      </c>
      <c r="G230" s="135">
        <v>8.1600000000000006E-2</v>
      </c>
      <c r="H230" s="154">
        <v>92.63000000000001</v>
      </c>
      <c r="I230" s="135">
        <v>8.270000000000001E-2</v>
      </c>
    </row>
    <row r="231" spans="1:9" x14ac:dyDescent="0.35">
      <c r="A231" s="136">
        <v>43444</v>
      </c>
      <c r="B231" s="153">
        <v>91.11</v>
      </c>
      <c r="C231" s="138">
        <v>8.0600000000000005E-2</v>
      </c>
      <c r="D231" s="153">
        <v>87.29</v>
      </c>
      <c r="E231" s="138">
        <v>8.0799999999999997E-2</v>
      </c>
      <c r="F231" s="153">
        <v>86.67</v>
      </c>
      <c r="G231" s="138">
        <v>8.2200000000000009E-2</v>
      </c>
      <c r="H231" s="153">
        <v>91.84</v>
      </c>
      <c r="I231" s="138">
        <v>8.3600000000000008E-2</v>
      </c>
    </row>
    <row r="232" spans="1:9" x14ac:dyDescent="0.35">
      <c r="A232" s="136">
        <v>43445</v>
      </c>
      <c r="B232" s="153">
        <v>90.88000000000001</v>
      </c>
      <c r="C232" s="138">
        <v>8.1200000000000008E-2</v>
      </c>
      <c r="D232" s="153">
        <v>86.050000000000011</v>
      </c>
      <c r="E232" s="138">
        <v>8.2900000000000001E-2</v>
      </c>
      <c r="F232" s="153">
        <v>85.300000000000011</v>
      </c>
      <c r="G232" s="138">
        <v>8.4100000000000008E-2</v>
      </c>
      <c r="H232" s="153">
        <v>90.13000000000001</v>
      </c>
      <c r="I232" s="138">
        <v>8.5500000000000007E-2</v>
      </c>
    </row>
    <row r="233" spans="1:9" x14ac:dyDescent="0.35">
      <c r="A233" s="136">
        <v>43446</v>
      </c>
      <c r="B233" s="153">
        <v>91.09</v>
      </c>
      <c r="C233" s="138">
        <v>8.0600000000000005E-2</v>
      </c>
      <c r="D233" s="153">
        <v>86.84</v>
      </c>
      <c r="E233" s="138">
        <v>8.1600000000000006E-2</v>
      </c>
      <c r="F233" s="153">
        <v>85.92</v>
      </c>
      <c r="G233" s="138">
        <v>8.3199999999999996E-2</v>
      </c>
      <c r="H233" s="153">
        <v>90.960000000000008</v>
      </c>
      <c r="I233" s="138">
        <v>8.4600000000000009E-2</v>
      </c>
    </row>
    <row r="234" spans="1:9" x14ac:dyDescent="0.35">
      <c r="A234" s="136">
        <v>43447</v>
      </c>
      <c r="B234" s="153">
        <v>91.38000000000001</v>
      </c>
      <c r="C234" s="138">
        <v>7.9799999999999996E-2</v>
      </c>
      <c r="D234" s="153">
        <v>87.47</v>
      </c>
      <c r="E234" s="138">
        <v>8.0500000000000002E-2</v>
      </c>
      <c r="F234" s="153">
        <v>86.63000000000001</v>
      </c>
      <c r="G234" s="138">
        <v>8.2299999999999998E-2</v>
      </c>
      <c r="H234" s="153">
        <v>91.51</v>
      </c>
      <c r="I234" s="138">
        <v>8.4000000000000005E-2</v>
      </c>
    </row>
    <row r="235" spans="1:9" x14ac:dyDescent="0.35">
      <c r="A235" s="136">
        <v>43448</v>
      </c>
      <c r="B235" s="153">
        <v>91.210000000000008</v>
      </c>
      <c r="C235" s="138">
        <v>8.0299999999999996E-2</v>
      </c>
      <c r="D235" s="153">
        <v>87.59</v>
      </c>
      <c r="E235" s="138">
        <v>8.0299999999999996E-2</v>
      </c>
      <c r="F235" s="153">
        <v>86.710000000000008</v>
      </c>
      <c r="G235" s="138">
        <v>8.2200000000000009E-2</v>
      </c>
      <c r="H235" s="153">
        <v>91.51</v>
      </c>
      <c r="I235" s="138">
        <v>8.4000000000000005E-2</v>
      </c>
    </row>
    <row r="236" spans="1:9" x14ac:dyDescent="0.35">
      <c r="A236" s="133">
        <v>43451</v>
      </c>
      <c r="B236" s="154">
        <v>91.14</v>
      </c>
      <c r="C236" s="135">
        <v>8.0600000000000005E-2</v>
      </c>
      <c r="D236" s="154">
        <v>86.98</v>
      </c>
      <c r="E236" s="135">
        <v>8.14E-2</v>
      </c>
      <c r="F236" s="154">
        <v>86.22</v>
      </c>
      <c r="G236" s="135">
        <v>8.2799999999999999E-2</v>
      </c>
      <c r="H236" s="154">
        <v>90.940000000000012</v>
      </c>
      <c r="I236" s="135">
        <v>8.4600000000000009E-2</v>
      </c>
    </row>
    <row r="237" spans="1:9" x14ac:dyDescent="0.35">
      <c r="A237" s="133">
        <v>43452</v>
      </c>
      <c r="B237" s="154">
        <v>91.25</v>
      </c>
      <c r="C237" s="135">
        <v>8.0299999999999996E-2</v>
      </c>
      <c r="D237" s="154">
        <v>87.210000000000008</v>
      </c>
      <c r="E237" s="135">
        <v>8.1000000000000003E-2</v>
      </c>
      <c r="F237" s="154">
        <v>86.13000000000001</v>
      </c>
      <c r="G237" s="135">
        <v>8.3000000000000004E-2</v>
      </c>
      <c r="H237" s="154">
        <v>91.06</v>
      </c>
      <c r="I237" s="135">
        <v>8.4500000000000006E-2</v>
      </c>
    </row>
    <row r="238" spans="1:9" x14ac:dyDescent="0.35">
      <c r="A238" s="133">
        <v>43453</v>
      </c>
      <c r="B238" s="154">
        <v>91.740000000000009</v>
      </c>
      <c r="C238" s="135">
        <v>7.8899999999999998E-2</v>
      </c>
      <c r="D238" s="154">
        <v>88.25</v>
      </c>
      <c r="E238" s="135">
        <v>7.9200000000000007E-2</v>
      </c>
      <c r="F238" s="154">
        <v>87.04</v>
      </c>
      <c r="G238" s="135">
        <v>8.1799999999999998E-2</v>
      </c>
      <c r="H238" s="154">
        <v>91.990000000000009</v>
      </c>
      <c r="I238" s="135">
        <v>8.3400000000000002E-2</v>
      </c>
    </row>
    <row r="239" spans="1:9" x14ac:dyDescent="0.35">
      <c r="A239" s="133">
        <v>43455</v>
      </c>
      <c r="B239" s="154">
        <v>91.25</v>
      </c>
      <c r="C239" s="135">
        <v>7.8200000000000006E-2</v>
      </c>
      <c r="D239" s="154">
        <v>87.210000000000008</v>
      </c>
      <c r="E239" s="135">
        <v>7.9200000000000007E-2</v>
      </c>
      <c r="F239" s="154">
        <v>86.13000000000001</v>
      </c>
      <c r="G239" s="135">
        <v>8.1600000000000006E-2</v>
      </c>
      <c r="H239" s="154">
        <v>91.06</v>
      </c>
      <c r="I239" s="135">
        <v>8.3400000000000002E-2</v>
      </c>
    </row>
    <row r="240" spans="1:9" x14ac:dyDescent="0.35">
      <c r="A240" s="136">
        <v>43460</v>
      </c>
      <c r="B240" s="153">
        <v>92.43</v>
      </c>
      <c r="C240" s="138">
        <v>7.6999999999999999E-2</v>
      </c>
      <c r="D240" s="153">
        <v>88.03</v>
      </c>
      <c r="E240" s="138">
        <v>7.9600000000000004E-2</v>
      </c>
      <c r="F240" s="153">
        <v>87.08</v>
      </c>
      <c r="G240" s="138">
        <v>8.1700000000000009E-2</v>
      </c>
      <c r="H240" s="153">
        <v>91.84</v>
      </c>
      <c r="I240" s="138">
        <v>8.3600000000000008E-2</v>
      </c>
    </row>
    <row r="241" spans="1:9" x14ac:dyDescent="0.35">
      <c r="A241" s="136">
        <v>43461</v>
      </c>
      <c r="B241" s="153">
        <v>92.34</v>
      </c>
      <c r="C241" s="138">
        <v>7.7200000000000005E-2</v>
      </c>
      <c r="D241" s="153">
        <v>88.14</v>
      </c>
      <c r="E241" s="138">
        <v>7.9500000000000001E-2</v>
      </c>
      <c r="F241" s="153">
        <v>87.240000000000009</v>
      </c>
      <c r="G241" s="138">
        <v>8.1500000000000003E-2</v>
      </c>
      <c r="H241" s="153">
        <v>92.03</v>
      </c>
      <c r="I241" s="138">
        <v>8.3400000000000002E-2</v>
      </c>
    </row>
    <row r="242" spans="1:9" x14ac:dyDescent="0.35">
      <c r="A242" s="136">
        <v>43462</v>
      </c>
      <c r="B242" s="153">
        <v>92.27000000000001</v>
      </c>
      <c r="C242" s="138">
        <v>7.7399999999999997E-2</v>
      </c>
      <c r="D242" s="153">
        <v>88.29</v>
      </c>
      <c r="E242" s="138">
        <v>7.9200000000000007E-2</v>
      </c>
      <c r="F242" s="153">
        <v>87.160000000000011</v>
      </c>
      <c r="G242" s="138">
        <v>8.1600000000000006E-2</v>
      </c>
      <c r="H242" s="153">
        <v>92.050000000000011</v>
      </c>
      <c r="I242" s="138">
        <v>8.3400000000000002E-2</v>
      </c>
    </row>
    <row r="243" spans="1:9" x14ac:dyDescent="0.35">
      <c r="A243" s="136">
        <v>43465</v>
      </c>
      <c r="B243" s="153">
        <v>92.240000000000009</v>
      </c>
      <c r="C243" s="138">
        <v>7.7600000000000002E-2</v>
      </c>
      <c r="D243" s="153">
        <v>87.98</v>
      </c>
      <c r="E243" s="138">
        <v>7.9700000000000007E-2</v>
      </c>
      <c r="F243" s="153">
        <v>87.09</v>
      </c>
      <c r="G243" s="138">
        <v>8.1700000000000009E-2</v>
      </c>
      <c r="H243" s="153">
        <v>91.88000000000001</v>
      </c>
      <c r="I243" s="138">
        <v>8.3600000000000008E-2</v>
      </c>
    </row>
  </sheetData>
  <mergeCells count="18">
    <mergeCell ref="A1:I1"/>
    <mergeCell ref="D4:E4"/>
    <mergeCell ref="F4:G4"/>
    <mergeCell ref="H4:I4"/>
    <mergeCell ref="B5:C5"/>
    <mergeCell ref="D5:E5"/>
    <mergeCell ref="F5:G5"/>
    <mergeCell ref="H5:I5"/>
    <mergeCell ref="A2:A6"/>
    <mergeCell ref="B2:C2"/>
    <mergeCell ref="D2:E2"/>
    <mergeCell ref="F2:G2"/>
    <mergeCell ref="H2:I2"/>
    <mergeCell ref="B3:C3"/>
    <mergeCell ref="D3:E3"/>
    <mergeCell ref="F3:G3"/>
    <mergeCell ref="H3:I3"/>
    <mergeCell ref="B4:C4"/>
  </mergeCells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89AF2-9F34-40E9-A888-66986D170ABC}">
  <dimension ref="A2:J251"/>
  <sheetViews>
    <sheetView workbookViewId="0">
      <pane ySplit="6" topLeftCell="A235" activePane="bottomLeft" state="frozen"/>
      <selection activeCell="K1" sqref="K1:XFD1048576"/>
      <selection pane="bottomLeft" activeCell="I10" sqref="I10:I251"/>
    </sheetView>
  </sheetViews>
  <sheetFormatPr defaultColWidth="0" defaultRowHeight="14.5" x14ac:dyDescent="0.35"/>
  <cols>
    <col min="1" max="1" width="14.453125" style="47" customWidth="1"/>
    <col min="2" max="9" width="10" style="47" customWidth="1"/>
    <col min="10" max="10" width="9.1796875" style="47" customWidth="1"/>
    <col min="11" max="16384" width="9.1796875" style="47" hidden="1"/>
  </cols>
  <sheetData>
    <row r="2" spans="1:9" x14ac:dyDescent="0.35">
      <c r="A2" s="482" t="s">
        <v>73</v>
      </c>
      <c r="B2" s="485" t="s">
        <v>74</v>
      </c>
      <c r="C2" s="485"/>
      <c r="D2" s="485" t="s">
        <v>75</v>
      </c>
      <c r="E2" s="485"/>
      <c r="F2" s="485" t="s">
        <v>76</v>
      </c>
      <c r="G2" s="485"/>
      <c r="H2" s="485" t="s">
        <v>77</v>
      </c>
      <c r="I2" s="485"/>
    </row>
    <row r="3" spans="1:9" x14ac:dyDescent="0.35">
      <c r="A3" s="483"/>
      <c r="B3" s="485" t="s">
        <v>105</v>
      </c>
      <c r="C3" s="485"/>
      <c r="D3" s="485" t="s">
        <v>106</v>
      </c>
      <c r="E3" s="485"/>
      <c r="F3" s="485" t="s">
        <v>87</v>
      </c>
      <c r="G3" s="485"/>
      <c r="H3" s="485" t="s">
        <v>107</v>
      </c>
      <c r="I3" s="485"/>
    </row>
    <row r="4" spans="1:9" x14ac:dyDescent="0.35">
      <c r="A4" s="483"/>
      <c r="B4" s="486">
        <v>8.1250000000000003E-2</v>
      </c>
      <c r="C4" s="486"/>
      <c r="D4" s="486">
        <v>8.2500000000000004E-2</v>
      </c>
      <c r="E4" s="486"/>
      <c r="F4" s="486">
        <v>8.3750000000000005E-2</v>
      </c>
      <c r="G4" s="486"/>
      <c r="H4" s="486">
        <v>8.3750000000000005E-2</v>
      </c>
      <c r="I4" s="486"/>
    </row>
    <row r="5" spans="1:9" x14ac:dyDescent="0.35">
      <c r="A5" s="483"/>
      <c r="B5" s="479">
        <v>45427</v>
      </c>
      <c r="C5" s="479"/>
      <c r="D5" s="479">
        <v>47253</v>
      </c>
      <c r="E5" s="479"/>
      <c r="F5" s="479">
        <v>12493</v>
      </c>
      <c r="G5" s="479"/>
      <c r="H5" s="479">
        <v>50875</v>
      </c>
      <c r="I5" s="479"/>
    </row>
    <row r="6" spans="1:9" ht="29" x14ac:dyDescent="0.35">
      <c r="A6" s="484"/>
      <c r="B6" s="131" t="s">
        <v>82</v>
      </c>
      <c r="C6" s="132" t="s">
        <v>83</v>
      </c>
      <c r="D6" s="131" t="s">
        <v>82</v>
      </c>
      <c r="E6" s="132" t="s">
        <v>83</v>
      </c>
      <c r="F6" s="131" t="s">
        <v>82</v>
      </c>
      <c r="G6" s="132" t="s">
        <v>83</v>
      </c>
      <c r="H6" s="131" t="s">
        <v>82</v>
      </c>
      <c r="I6" s="132" t="s">
        <v>83</v>
      </c>
    </row>
    <row r="7" spans="1:9" x14ac:dyDescent="0.35">
      <c r="A7" s="136">
        <v>43467</v>
      </c>
      <c r="B7" s="153">
        <v>101.15</v>
      </c>
      <c r="C7" s="138">
        <v>7.8600000000000003E-2</v>
      </c>
      <c r="D7" s="153">
        <v>102.13000000000001</v>
      </c>
      <c r="E7" s="138">
        <v>7.9500000000000001E-2</v>
      </c>
      <c r="F7" s="153">
        <v>100.93</v>
      </c>
      <c r="G7" s="138">
        <v>8.270000000000001E-2</v>
      </c>
      <c r="H7" s="153"/>
      <c r="I7" s="138"/>
    </row>
    <row r="8" spans="1:9" x14ac:dyDescent="0.35">
      <c r="A8" s="136">
        <v>43468</v>
      </c>
      <c r="B8" s="153">
        <v>100.75</v>
      </c>
      <c r="C8" s="138">
        <v>7.9500000000000001E-2</v>
      </c>
      <c r="D8" s="153">
        <v>101.38000000000001</v>
      </c>
      <c r="E8" s="138">
        <v>8.0500000000000002E-2</v>
      </c>
      <c r="F8" s="153">
        <v>100.31</v>
      </c>
      <c r="G8" s="138">
        <v>8.3400000000000002E-2</v>
      </c>
      <c r="H8" s="153"/>
      <c r="I8" s="138"/>
    </row>
    <row r="9" spans="1:9" x14ac:dyDescent="0.35">
      <c r="A9" s="136">
        <v>43469</v>
      </c>
      <c r="B9" s="153">
        <v>100.92</v>
      </c>
      <c r="C9" s="138">
        <v>7.9100000000000004E-2</v>
      </c>
      <c r="D9" s="153">
        <v>101.9</v>
      </c>
      <c r="E9" s="138">
        <v>7.9799999999999996E-2</v>
      </c>
      <c r="F9" s="153">
        <v>100.43</v>
      </c>
      <c r="G9" s="138">
        <v>8.3299999999999999E-2</v>
      </c>
      <c r="H9" s="153"/>
      <c r="I9" s="138"/>
    </row>
    <row r="10" spans="1:9" x14ac:dyDescent="0.35">
      <c r="A10" s="133">
        <v>43472</v>
      </c>
      <c r="B10" s="154">
        <v>101.58</v>
      </c>
      <c r="C10" s="135">
        <v>7.7600000000000002E-2</v>
      </c>
      <c r="D10" s="154">
        <v>102.82000000000001</v>
      </c>
      <c r="E10" s="135">
        <v>7.85E-2</v>
      </c>
      <c r="F10" s="154">
        <v>101.38000000000001</v>
      </c>
      <c r="G10" s="135">
        <v>8.2200000000000009E-2</v>
      </c>
      <c r="H10" s="154">
        <v>100.45</v>
      </c>
      <c r="I10" s="135">
        <v>8.3299999999999999E-2</v>
      </c>
    </row>
    <row r="11" spans="1:9" x14ac:dyDescent="0.35">
      <c r="A11" s="133">
        <v>43473</v>
      </c>
      <c r="B11" s="154">
        <v>101.68</v>
      </c>
      <c r="C11" s="135">
        <v>7.7399999999999997E-2</v>
      </c>
      <c r="D11" s="154">
        <v>103.14</v>
      </c>
      <c r="E11" s="135">
        <v>7.8E-2</v>
      </c>
      <c r="F11" s="154">
        <v>102.03</v>
      </c>
      <c r="G11" s="135">
        <v>8.14E-2</v>
      </c>
      <c r="H11" s="154">
        <v>101.30000000000001</v>
      </c>
      <c r="I11" s="135">
        <v>8.2400000000000001E-2</v>
      </c>
    </row>
    <row r="12" spans="1:9" x14ac:dyDescent="0.35">
      <c r="A12" s="133">
        <v>43474</v>
      </c>
      <c r="B12" s="154">
        <v>101.33</v>
      </c>
      <c r="C12" s="135">
        <v>7.8200000000000006E-2</v>
      </c>
      <c r="D12" s="154">
        <v>102.52000000000001</v>
      </c>
      <c r="E12" s="135">
        <v>7.8899999999999998E-2</v>
      </c>
      <c r="F12" s="154">
        <v>101.25</v>
      </c>
      <c r="G12" s="135">
        <v>8.2299999999999998E-2</v>
      </c>
      <c r="H12" s="154">
        <v>100.63000000000001</v>
      </c>
      <c r="I12" s="135">
        <v>8.3100000000000007E-2</v>
      </c>
    </row>
    <row r="13" spans="1:9" x14ac:dyDescent="0.35">
      <c r="A13" s="133">
        <v>43475</v>
      </c>
      <c r="B13" s="154">
        <v>101.38000000000001</v>
      </c>
      <c r="C13" s="135">
        <v>7.8100000000000003E-2</v>
      </c>
      <c r="D13" s="154">
        <v>102.45</v>
      </c>
      <c r="E13" s="135">
        <v>7.9000000000000001E-2</v>
      </c>
      <c r="F13" s="154">
        <v>100.93</v>
      </c>
      <c r="G13" s="135">
        <v>8.270000000000001E-2</v>
      </c>
      <c r="H13" s="154">
        <v>100.61</v>
      </c>
      <c r="I13" s="135">
        <v>8.3199999999999996E-2</v>
      </c>
    </row>
    <row r="14" spans="1:9" x14ac:dyDescent="0.35">
      <c r="A14" s="133">
        <v>43476</v>
      </c>
      <c r="B14" s="154">
        <v>101.11</v>
      </c>
      <c r="C14" s="135">
        <v>7.8700000000000006E-2</v>
      </c>
      <c r="D14" s="154">
        <v>102.09</v>
      </c>
      <c r="E14" s="135">
        <v>7.9500000000000001E-2</v>
      </c>
      <c r="F14" s="154">
        <v>100.45</v>
      </c>
      <c r="G14" s="135">
        <v>8.3199999999999996E-2</v>
      </c>
      <c r="H14" s="154">
        <v>100.15</v>
      </c>
      <c r="I14" s="135">
        <v>8.3600000000000008E-2</v>
      </c>
    </row>
    <row r="15" spans="1:9" x14ac:dyDescent="0.35">
      <c r="A15" s="136">
        <v>43479</v>
      </c>
      <c r="B15" s="153">
        <v>101.14</v>
      </c>
      <c r="C15" s="138">
        <v>7.8600000000000003E-2</v>
      </c>
      <c r="D15" s="153">
        <v>102.16000000000001</v>
      </c>
      <c r="E15" s="138">
        <v>7.9399999999999998E-2</v>
      </c>
      <c r="F15" s="153">
        <v>100.52000000000001</v>
      </c>
      <c r="G15" s="138">
        <v>8.3199999999999996E-2</v>
      </c>
      <c r="H15" s="153">
        <v>100.16000000000001</v>
      </c>
      <c r="I15" s="138">
        <v>8.3600000000000008E-2</v>
      </c>
    </row>
    <row r="16" spans="1:9" x14ac:dyDescent="0.35">
      <c r="A16" s="136">
        <v>43480</v>
      </c>
      <c r="B16" s="153">
        <v>100.84</v>
      </c>
      <c r="C16" s="138">
        <v>7.9300000000000009E-2</v>
      </c>
      <c r="D16" s="153">
        <v>101.74000000000001</v>
      </c>
      <c r="E16" s="138">
        <v>0.08</v>
      </c>
      <c r="F16" s="153">
        <v>100.01</v>
      </c>
      <c r="G16" s="138">
        <v>8.3799999999999999E-2</v>
      </c>
      <c r="H16" s="153">
        <v>99.53</v>
      </c>
      <c r="I16" s="138">
        <v>8.43E-2</v>
      </c>
    </row>
    <row r="17" spans="1:9" x14ac:dyDescent="0.35">
      <c r="A17" s="136">
        <v>43481</v>
      </c>
      <c r="B17" s="153">
        <v>100.7</v>
      </c>
      <c r="C17" s="138">
        <v>7.9600000000000004E-2</v>
      </c>
      <c r="D17" s="153">
        <v>101.37</v>
      </c>
      <c r="E17" s="138">
        <v>8.0500000000000002E-2</v>
      </c>
      <c r="F17" s="153">
        <v>99.26</v>
      </c>
      <c r="G17" s="138">
        <v>8.4699999999999998E-2</v>
      </c>
      <c r="H17" s="153">
        <v>99.04</v>
      </c>
      <c r="I17" s="138">
        <v>8.48E-2</v>
      </c>
    </row>
    <row r="18" spans="1:9" x14ac:dyDescent="0.35">
      <c r="A18" s="136">
        <v>43482</v>
      </c>
      <c r="B18" s="153">
        <v>100.72</v>
      </c>
      <c r="C18" s="138">
        <v>7.9600000000000004E-2</v>
      </c>
      <c r="D18" s="153">
        <v>101.42</v>
      </c>
      <c r="E18" s="138">
        <v>8.0500000000000002E-2</v>
      </c>
      <c r="F18" s="153">
        <v>99.210000000000008</v>
      </c>
      <c r="G18" s="138">
        <v>8.4699999999999998E-2</v>
      </c>
      <c r="H18" s="153">
        <v>98.800000000000011</v>
      </c>
      <c r="I18" s="138">
        <v>8.5000000000000006E-2</v>
      </c>
    </row>
    <row r="19" spans="1:9" x14ac:dyDescent="0.35">
      <c r="A19" s="136">
        <v>43483</v>
      </c>
      <c r="B19" s="153">
        <v>100.68</v>
      </c>
      <c r="C19" s="138">
        <v>7.9700000000000007E-2</v>
      </c>
      <c r="D19" s="153">
        <v>100.97</v>
      </c>
      <c r="E19" s="138">
        <v>8.1100000000000005E-2</v>
      </c>
      <c r="F19" s="153">
        <v>98.86</v>
      </c>
      <c r="G19" s="138">
        <v>8.5100000000000009E-2</v>
      </c>
      <c r="H19" s="153">
        <v>98.37</v>
      </c>
      <c r="I19" s="138">
        <v>8.5500000000000007E-2</v>
      </c>
    </row>
    <row r="20" spans="1:9" x14ac:dyDescent="0.35">
      <c r="A20" s="133">
        <v>43486</v>
      </c>
      <c r="B20" s="154">
        <v>100.69000000000001</v>
      </c>
      <c r="C20" s="135">
        <v>7.9600000000000004E-2</v>
      </c>
      <c r="D20" s="154">
        <v>101.34</v>
      </c>
      <c r="E20" s="135">
        <v>8.0600000000000005E-2</v>
      </c>
      <c r="F20" s="154">
        <v>98.7</v>
      </c>
      <c r="G20" s="135">
        <v>8.5300000000000001E-2</v>
      </c>
      <c r="H20" s="154">
        <v>98.5</v>
      </c>
      <c r="I20" s="135">
        <v>8.5300000000000001E-2</v>
      </c>
    </row>
    <row r="21" spans="1:9" x14ac:dyDescent="0.35">
      <c r="A21" s="133">
        <v>43487</v>
      </c>
      <c r="B21" s="154">
        <v>100.7</v>
      </c>
      <c r="C21" s="135">
        <v>7.9600000000000004E-2</v>
      </c>
      <c r="D21" s="154">
        <v>101.13000000000001</v>
      </c>
      <c r="E21" s="135">
        <v>8.09E-2</v>
      </c>
      <c r="F21" s="154">
        <v>98.76</v>
      </c>
      <c r="G21" s="135">
        <v>8.5300000000000001E-2</v>
      </c>
      <c r="H21" s="154">
        <v>98.52000000000001</v>
      </c>
      <c r="I21" s="135">
        <v>8.5300000000000001E-2</v>
      </c>
    </row>
    <row r="22" spans="1:9" x14ac:dyDescent="0.35">
      <c r="A22" s="133">
        <v>43488</v>
      </c>
      <c r="B22" s="154">
        <v>100.78</v>
      </c>
      <c r="C22" s="135">
        <v>7.9399999999999998E-2</v>
      </c>
      <c r="D22" s="154">
        <v>101.55000000000001</v>
      </c>
      <c r="E22" s="135">
        <v>8.0299999999999996E-2</v>
      </c>
      <c r="F22" s="154">
        <v>99.11</v>
      </c>
      <c r="G22" s="135">
        <v>8.48E-2</v>
      </c>
      <c r="H22" s="154">
        <v>98.850000000000009</v>
      </c>
      <c r="I22" s="135">
        <v>8.5000000000000006E-2</v>
      </c>
    </row>
    <row r="23" spans="1:9" x14ac:dyDescent="0.35">
      <c r="A23" s="133">
        <v>43489</v>
      </c>
      <c r="B23" s="154">
        <v>100.73</v>
      </c>
      <c r="C23" s="135">
        <v>7.9500000000000001E-2</v>
      </c>
      <c r="D23" s="154">
        <v>101.26</v>
      </c>
      <c r="E23" s="135">
        <v>8.0700000000000008E-2</v>
      </c>
      <c r="F23" s="154">
        <v>98.960000000000008</v>
      </c>
      <c r="G23" s="135">
        <v>8.5000000000000006E-2</v>
      </c>
      <c r="H23" s="154">
        <v>98.7</v>
      </c>
      <c r="I23" s="135">
        <v>8.5100000000000009E-2</v>
      </c>
    </row>
    <row r="24" spans="1:9" x14ac:dyDescent="0.35">
      <c r="A24" s="133">
        <v>43490</v>
      </c>
      <c r="B24" s="154">
        <v>100.64</v>
      </c>
      <c r="C24" s="135">
        <v>7.9799999999999996E-2</v>
      </c>
      <c r="D24" s="154">
        <v>101.10000000000001</v>
      </c>
      <c r="E24" s="135">
        <v>8.09E-2</v>
      </c>
      <c r="F24" s="154">
        <v>98.910000000000011</v>
      </c>
      <c r="G24" s="135">
        <v>8.5100000000000009E-2</v>
      </c>
      <c r="H24" s="154">
        <v>98.62</v>
      </c>
      <c r="I24" s="135">
        <v>8.5199999999999998E-2</v>
      </c>
    </row>
    <row r="25" spans="1:9" x14ac:dyDescent="0.35">
      <c r="A25" s="136">
        <v>43493</v>
      </c>
      <c r="B25" s="153">
        <v>100.74000000000001</v>
      </c>
      <c r="C25" s="138">
        <v>7.9500000000000001E-2</v>
      </c>
      <c r="D25" s="153">
        <v>101.24000000000001</v>
      </c>
      <c r="E25" s="138">
        <v>8.0700000000000008E-2</v>
      </c>
      <c r="F25" s="153">
        <v>99.08</v>
      </c>
      <c r="G25" s="138">
        <v>8.4900000000000003E-2</v>
      </c>
      <c r="H25" s="153">
        <v>99.13000000000001</v>
      </c>
      <c r="I25" s="138">
        <v>8.4699999999999998E-2</v>
      </c>
    </row>
    <row r="26" spans="1:9" x14ac:dyDescent="0.35">
      <c r="A26" s="136">
        <v>43494</v>
      </c>
      <c r="B26" s="153">
        <v>100.56</v>
      </c>
      <c r="C26" s="138">
        <v>7.9899999999999999E-2</v>
      </c>
      <c r="D26" s="153">
        <v>100.85000000000001</v>
      </c>
      <c r="E26" s="138">
        <v>8.1299999999999997E-2</v>
      </c>
      <c r="F26" s="153">
        <v>98.95</v>
      </c>
      <c r="G26" s="138">
        <v>8.5000000000000006E-2</v>
      </c>
      <c r="H26" s="153">
        <v>98.710000000000008</v>
      </c>
      <c r="I26" s="138">
        <v>8.5100000000000009E-2</v>
      </c>
    </row>
    <row r="27" spans="1:9" x14ac:dyDescent="0.35">
      <c r="A27" s="136">
        <v>43495</v>
      </c>
      <c r="B27" s="153">
        <v>100.60000000000001</v>
      </c>
      <c r="C27" s="138">
        <v>7.9799999999999996E-2</v>
      </c>
      <c r="D27" s="153">
        <v>100.7</v>
      </c>
      <c r="E27" s="138">
        <v>8.1500000000000003E-2</v>
      </c>
      <c r="F27" s="153">
        <v>98.93</v>
      </c>
      <c r="G27" s="138">
        <v>8.5100000000000009E-2</v>
      </c>
      <c r="H27" s="153">
        <v>98.25</v>
      </c>
      <c r="I27" s="138">
        <v>8.5600000000000009E-2</v>
      </c>
    </row>
    <row r="28" spans="1:9" x14ac:dyDescent="0.35">
      <c r="A28" s="136">
        <v>43496</v>
      </c>
      <c r="B28" s="153">
        <v>101.10000000000001</v>
      </c>
      <c r="C28" s="138">
        <v>7.8700000000000006E-2</v>
      </c>
      <c r="D28" s="153">
        <v>101.35000000000001</v>
      </c>
      <c r="E28" s="138">
        <v>8.0600000000000005E-2</v>
      </c>
      <c r="F28" s="153">
        <v>100.03</v>
      </c>
      <c r="G28" s="138">
        <v>8.3699999999999997E-2</v>
      </c>
      <c r="H28" s="153">
        <v>98.95</v>
      </c>
      <c r="I28" s="138">
        <v>8.4900000000000003E-2</v>
      </c>
    </row>
    <row r="29" spans="1:9" x14ac:dyDescent="0.35">
      <c r="A29" s="136">
        <v>43497</v>
      </c>
      <c r="B29" s="153">
        <v>101.47</v>
      </c>
      <c r="C29" s="138">
        <v>7.7800000000000008E-2</v>
      </c>
      <c r="D29" s="153">
        <v>102.35000000000001</v>
      </c>
      <c r="E29" s="138">
        <v>7.9100000000000004E-2</v>
      </c>
      <c r="F29" s="153">
        <v>101.06</v>
      </c>
      <c r="G29" s="138">
        <v>8.2500000000000004E-2</v>
      </c>
      <c r="H29" s="153">
        <v>100.63000000000001</v>
      </c>
      <c r="I29" s="138">
        <v>8.3100000000000007E-2</v>
      </c>
    </row>
    <row r="30" spans="1:9" x14ac:dyDescent="0.35">
      <c r="A30" s="133">
        <v>43500</v>
      </c>
      <c r="B30" s="154">
        <v>101.57000000000001</v>
      </c>
      <c r="C30" s="135">
        <v>7.7600000000000002E-2</v>
      </c>
      <c r="D30" s="154">
        <v>102.64</v>
      </c>
      <c r="E30" s="135">
        <v>7.8700000000000006E-2</v>
      </c>
      <c r="F30" s="154">
        <v>101.92</v>
      </c>
      <c r="G30" s="135">
        <v>8.1600000000000006E-2</v>
      </c>
      <c r="H30" s="154">
        <v>101.08</v>
      </c>
      <c r="I30" s="135">
        <v>8.270000000000001E-2</v>
      </c>
    </row>
    <row r="31" spans="1:9" x14ac:dyDescent="0.35">
      <c r="A31" s="133">
        <v>43502</v>
      </c>
      <c r="B31" s="154">
        <v>101.92</v>
      </c>
      <c r="C31" s="135">
        <v>7.6800000000000007E-2</v>
      </c>
      <c r="D31" s="154">
        <v>103.08</v>
      </c>
      <c r="E31" s="135">
        <v>7.8100000000000003E-2</v>
      </c>
      <c r="F31" s="154">
        <v>102.80000000000001</v>
      </c>
      <c r="G31" s="135">
        <v>8.0500000000000002E-2</v>
      </c>
      <c r="H31" s="154">
        <v>101.76</v>
      </c>
      <c r="I31" s="135">
        <v>8.2000000000000003E-2</v>
      </c>
    </row>
    <row r="32" spans="1:9" x14ac:dyDescent="0.35">
      <c r="A32" s="133">
        <v>43503</v>
      </c>
      <c r="B32" s="154">
        <v>101.96000000000001</v>
      </c>
      <c r="C32" s="135">
        <v>7.6700000000000004E-2</v>
      </c>
      <c r="D32" s="154">
        <v>103.35000000000001</v>
      </c>
      <c r="E32" s="135">
        <v>7.7700000000000005E-2</v>
      </c>
      <c r="F32" s="154">
        <v>103.21000000000001</v>
      </c>
      <c r="G32" s="135">
        <v>8.0100000000000005E-2</v>
      </c>
      <c r="H32" s="154">
        <v>102.30000000000001</v>
      </c>
      <c r="I32" s="135">
        <v>8.14E-2</v>
      </c>
    </row>
    <row r="33" spans="1:9" x14ac:dyDescent="0.35">
      <c r="A33" s="133">
        <v>43504</v>
      </c>
      <c r="B33" s="154">
        <v>101.74000000000001</v>
      </c>
      <c r="C33" s="135">
        <v>7.7200000000000005E-2</v>
      </c>
      <c r="D33" s="154">
        <v>102.67</v>
      </c>
      <c r="E33" s="135">
        <v>7.8700000000000006E-2</v>
      </c>
      <c r="F33" s="154">
        <v>102.75</v>
      </c>
      <c r="G33" s="135">
        <v>8.0600000000000005E-2</v>
      </c>
      <c r="H33" s="154">
        <v>101.87</v>
      </c>
      <c r="I33" s="135">
        <v>8.1900000000000001E-2</v>
      </c>
    </row>
    <row r="34" spans="1:9" x14ac:dyDescent="0.35">
      <c r="A34" s="136">
        <v>43507</v>
      </c>
      <c r="B34" s="153">
        <v>101.58</v>
      </c>
      <c r="C34" s="138">
        <v>7.7499999999999999E-2</v>
      </c>
      <c r="D34" s="153">
        <v>102.43</v>
      </c>
      <c r="E34" s="138">
        <v>7.9000000000000001E-2</v>
      </c>
      <c r="F34" s="153">
        <v>102.4</v>
      </c>
      <c r="G34" s="138">
        <v>8.1000000000000003E-2</v>
      </c>
      <c r="H34" s="153">
        <v>101.48</v>
      </c>
      <c r="I34" s="138">
        <v>8.2299999999999998E-2</v>
      </c>
    </row>
    <row r="35" spans="1:9" x14ac:dyDescent="0.35">
      <c r="A35" s="136">
        <v>43508</v>
      </c>
      <c r="B35" s="153">
        <v>101.42</v>
      </c>
      <c r="C35" s="138">
        <v>7.7899999999999997E-2</v>
      </c>
      <c r="D35" s="153">
        <v>102.04</v>
      </c>
      <c r="E35" s="138">
        <v>7.9600000000000004E-2</v>
      </c>
      <c r="F35" s="153">
        <v>101.51</v>
      </c>
      <c r="G35" s="138">
        <v>8.2000000000000003E-2</v>
      </c>
      <c r="H35" s="153">
        <v>100.69000000000001</v>
      </c>
      <c r="I35" s="138">
        <v>8.3100000000000007E-2</v>
      </c>
    </row>
    <row r="36" spans="1:9" x14ac:dyDescent="0.35">
      <c r="A36" s="136">
        <v>43509</v>
      </c>
      <c r="B36" s="153">
        <v>101.79</v>
      </c>
      <c r="C36" s="138">
        <v>7.6999999999999999E-2</v>
      </c>
      <c r="D36" s="153">
        <v>102.76</v>
      </c>
      <c r="E36" s="138">
        <v>7.8600000000000003E-2</v>
      </c>
      <c r="F36" s="153">
        <v>102.04</v>
      </c>
      <c r="G36" s="138">
        <v>8.14E-2</v>
      </c>
      <c r="H36" s="153">
        <v>101.21000000000001</v>
      </c>
      <c r="I36" s="138">
        <v>8.2500000000000004E-2</v>
      </c>
    </row>
    <row r="37" spans="1:9" x14ac:dyDescent="0.35">
      <c r="A37" s="136">
        <v>43510</v>
      </c>
      <c r="B37" s="153">
        <v>101.48</v>
      </c>
      <c r="C37" s="138">
        <v>7.7800000000000008E-2</v>
      </c>
      <c r="D37" s="153">
        <v>102.21000000000001</v>
      </c>
      <c r="E37" s="138">
        <v>7.9300000000000009E-2</v>
      </c>
      <c r="F37" s="153">
        <v>101.47</v>
      </c>
      <c r="G37" s="138">
        <v>8.2100000000000006E-2</v>
      </c>
      <c r="H37" s="153">
        <v>100.5</v>
      </c>
      <c r="I37" s="138">
        <v>8.3299999999999999E-2</v>
      </c>
    </row>
    <row r="38" spans="1:9" x14ac:dyDescent="0.35">
      <c r="A38" s="136">
        <v>43511</v>
      </c>
      <c r="B38" s="153">
        <v>101.27000000000001</v>
      </c>
      <c r="C38" s="138">
        <v>7.8300000000000008E-2</v>
      </c>
      <c r="D38" s="153">
        <v>101.7</v>
      </c>
      <c r="E38" s="138">
        <v>8.0100000000000005E-2</v>
      </c>
      <c r="F38" s="153">
        <v>100.60000000000001</v>
      </c>
      <c r="G38" s="138">
        <v>8.3100000000000007E-2</v>
      </c>
      <c r="H38" s="153">
        <v>99.820000000000007</v>
      </c>
      <c r="I38" s="138">
        <v>8.4000000000000005E-2</v>
      </c>
    </row>
    <row r="39" spans="1:9" x14ac:dyDescent="0.35">
      <c r="A39" s="133">
        <v>43514</v>
      </c>
      <c r="B39" s="154">
        <v>101.44000000000001</v>
      </c>
      <c r="C39" s="135">
        <v>7.7899999999999997E-2</v>
      </c>
      <c r="D39" s="154">
        <v>101.86</v>
      </c>
      <c r="E39" s="135">
        <v>7.9799999999999996E-2</v>
      </c>
      <c r="F39" s="154">
        <v>100.80000000000001</v>
      </c>
      <c r="G39" s="135">
        <v>8.2799999999999999E-2</v>
      </c>
      <c r="H39" s="154">
        <v>99.910000000000011</v>
      </c>
      <c r="I39" s="135">
        <v>8.3900000000000002E-2</v>
      </c>
    </row>
    <row r="40" spans="1:9" x14ac:dyDescent="0.35">
      <c r="A40" s="133">
        <v>43515</v>
      </c>
      <c r="B40" s="154">
        <v>101.46000000000001</v>
      </c>
      <c r="C40" s="135">
        <v>7.7800000000000008E-2</v>
      </c>
      <c r="D40" s="154">
        <v>101.97</v>
      </c>
      <c r="E40" s="135">
        <v>7.9700000000000007E-2</v>
      </c>
      <c r="F40" s="154">
        <v>100.93</v>
      </c>
      <c r="G40" s="135">
        <v>8.270000000000001E-2</v>
      </c>
      <c r="H40" s="154">
        <v>99.97</v>
      </c>
      <c r="I40" s="135">
        <v>8.3799999999999999E-2</v>
      </c>
    </row>
    <row r="41" spans="1:9" x14ac:dyDescent="0.35">
      <c r="A41" s="133">
        <v>43516</v>
      </c>
      <c r="B41" s="154">
        <v>101.80000000000001</v>
      </c>
      <c r="C41" s="135">
        <v>7.6999999999999999E-2</v>
      </c>
      <c r="D41" s="154">
        <v>102.60000000000001</v>
      </c>
      <c r="E41" s="135">
        <v>7.8800000000000009E-2</v>
      </c>
      <c r="F41" s="154">
        <v>101.4</v>
      </c>
      <c r="G41" s="135">
        <v>8.2200000000000009E-2</v>
      </c>
      <c r="H41" s="154">
        <v>100.76</v>
      </c>
      <c r="I41" s="135">
        <v>8.3000000000000004E-2</v>
      </c>
    </row>
    <row r="42" spans="1:9" x14ac:dyDescent="0.35">
      <c r="A42" s="133">
        <v>43517</v>
      </c>
      <c r="B42" s="154">
        <v>101.72</v>
      </c>
      <c r="C42" s="135">
        <v>7.7200000000000005E-2</v>
      </c>
      <c r="D42" s="154">
        <v>102.37</v>
      </c>
      <c r="E42" s="135">
        <v>7.9100000000000004E-2</v>
      </c>
      <c r="F42" s="154">
        <v>101.43</v>
      </c>
      <c r="G42" s="135">
        <v>8.2100000000000006E-2</v>
      </c>
      <c r="H42" s="154">
        <v>100.93</v>
      </c>
      <c r="I42" s="135">
        <v>8.2799999999999999E-2</v>
      </c>
    </row>
    <row r="43" spans="1:9" x14ac:dyDescent="0.35">
      <c r="A43" s="133">
        <v>43518</v>
      </c>
      <c r="B43" s="154">
        <v>101.61</v>
      </c>
      <c r="C43" s="135">
        <v>7.7399999999999997E-2</v>
      </c>
      <c r="D43" s="154">
        <v>102.14</v>
      </c>
      <c r="E43" s="135">
        <v>7.9399999999999998E-2</v>
      </c>
      <c r="F43" s="154">
        <v>101.09</v>
      </c>
      <c r="G43" s="135">
        <v>8.2500000000000004E-2</v>
      </c>
      <c r="H43" s="154">
        <v>100.68</v>
      </c>
      <c r="I43" s="135">
        <v>8.3100000000000007E-2</v>
      </c>
    </row>
    <row r="44" spans="1:9" x14ac:dyDescent="0.35">
      <c r="A44" s="136">
        <v>43521</v>
      </c>
      <c r="B44" s="153">
        <v>101.86</v>
      </c>
      <c r="C44" s="138">
        <v>7.6899999999999996E-2</v>
      </c>
      <c r="D44" s="153">
        <v>102.56</v>
      </c>
      <c r="E44" s="138">
        <v>7.8800000000000009E-2</v>
      </c>
      <c r="F44" s="153">
        <v>101.65</v>
      </c>
      <c r="G44" s="138">
        <v>8.1900000000000001E-2</v>
      </c>
      <c r="H44" s="153">
        <v>100.85000000000001</v>
      </c>
      <c r="I44" s="138">
        <v>8.2900000000000001E-2</v>
      </c>
    </row>
    <row r="45" spans="1:9" x14ac:dyDescent="0.35">
      <c r="A45" s="136">
        <v>43522</v>
      </c>
      <c r="B45" s="153">
        <v>101.92</v>
      </c>
      <c r="C45" s="138">
        <v>7.6700000000000004E-2</v>
      </c>
      <c r="D45" s="153">
        <v>102.82000000000001</v>
      </c>
      <c r="E45" s="138">
        <v>7.85E-2</v>
      </c>
      <c r="F45" s="153">
        <v>101.81</v>
      </c>
      <c r="G45" s="138">
        <v>8.1700000000000009E-2</v>
      </c>
      <c r="H45" s="153">
        <v>101.03</v>
      </c>
      <c r="I45" s="138">
        <v>8.270000000000001E-2</v>
      </c>
    </row>
    <row r="46" spans="1:9" x14ac:dyDescent="0.35">
      <c r="A46" s="136">
        <v>43523</v>
      </c>
      <c r="B46" s="153">
        <v>102.64</v>
      </c>
      <c r="C46" s="138">
        <v>7.4999999999999997E-2</v>
      </c>
      <c r="D46" s="153">
        <v>103.37</v>
      </c>
      <c r="E46" s="138">
        <v>7.7700000000000005E-2</v>
      </c>
      <c r="F46" s="153">
        <v>102.57000000000001</v>
      </c>
      <c r="G46" s="138">
        <v>8.0799999999999997E-2</v>
      </c>
      <c r="H46" s="153">
        <v>101.45</v>
      </c>
      <c r="I46" s="138">
        <v>8.2299999999999998E-2</v>
      </c>
    </row>
    <row r="47" spans="1:9" x14ac:dyDescent="0.35">
      <c r="A47" s="136">
        <v>43524</v>
      </c>
      <c r="B47" s="153">
        <v>102.54</v>
      </c>
      <c r="C47" s="138">
        <v>7.5300000000000006E-2</v>
      </c>
      <c r="D47" s="153">
        <v>102.99000000000001</v>
      </c>
      <c r="E47" s="138">
        <v>7.8200000000000006E-2</v>
      </c>
      <c r="F47" s="153">
        <v>102.13000000000001</v>
      </c>
      <c r="G47" s="138">
        <v>8.1299999999999997E-2</v>
      </c>
      <c r="H47" s="153">
        <v>101.37</v>
      </c>
      <c r="I47" s="138">
        <v>8.2400000000000001E-2</v>
      </c>
    </row>
    <row r="48" spans="1:9" x14ac:dyDescent="0.35">
      <c r="A48" s="136">
        <v>43525</v>
      </c>
      <c r="B48" s="153">
        <v>102.71000000000001</v>
      </c>
      <c r="C48" s="138">
        <v>7.4900000000000008E-2</v>
      </c>
      <c r="D48" s="153">
        <v>103.08</v>
      </c>
      <c r="E48" s="138">
        <v>7.8100000000000003E-2</v>
      </c>
      <c r="F48" s="153">
        <v>102.01</v>
      </c>
      <c r="G48" s="138">
        <v>8.1500000000000003E-2</v>
      </c>
      <c r="H48" s="153">
        <v>101.28</v>
      </c>
      <c r="I48" s="138">
        <v>8.2500000000000004E-2</v>
      </c>
    </row>
    <row r="49" spans="1:9" x14ac:dyDescent="0.35">
      <c r="A49" s="133">
        <v>43528</v>
      </c>
      <c r="B49" s="154">
        <v>102.72</v>
      </c>
      <c r="C49" s="135">
        <v>7.4800000000000005E-2</v>
      </c>
      <c r="D49" s="154">
        <v>102.77</v>
      </c>
      <c r="E49" s="135">
        <v>7.85E-2</v>
      </c>
      <c r="F49" s="154">
        <v>101.67</v>
      </c>
      <c r="G49" s="135">
        <v>8.1799999999999998E-2</v>
      </c>
      <c r="H49" s="154">
        <v>100.77000000000001</v>
      </c>
      <c r="I49" s="135">
        <v>8.3000000000000004E-2</v>
      </c>
    </row>
    <row r="50" spans="1:9" x14ac:dyDescent="0.35">
      <c r="A50" s="133">
        <v>43529</v>
      </c>
      <c r="B50" s="154">
        <v>102.86</v>
      </c>
      <c r="C50" s="135">
        <v>7.4499999999999997E-2</v>
      </c>
      <c r="D50" s="154">
        <v>102.74000000000001</v>
      </c>
      <c r="E50" s="135">
        <v>7.8600000000000003E-2</v>
      </c>
      <c r="F50" s="154">
        <v>101.47</v>
      </c>
      <c r="G50" s="135">
        <v>8.2100000000000006E-2</v>
      </c>
      <c r="H50" s="154">
        <v>100.7</v>
      </c>
      <c r="I50" s="135">
        <v>8.3100000000000007E-2</v>
      </c>
    </row>
    <row r="51" spans="1:9" x14ac:dyDescent="0.35">
      <c r="A51" s="133">
        <v>43530</v>
      </c>
      <c r="B51" s="154">
        <v>102.88000000000001</v>
      </c>
      <c r="C51" s="135">
        <v>7.4499999999999997E-2</v>
      </c>
      <c r="D51" s="154">
        <v>102.80000000000001</v>
      </c>
      <c r="E51" s="135">
        <v>7.85E-2</v>
      </c>
      <c r="F51" s="154">
        <v>101.55000000000001</v>
      </c>
      <c r="G51" s="135">
        <v>8.2000000000000003E-2</v>
      </c>
      <c r="H51" s="154">
        <v>100.7</v>
      </c>
      <c r="I51" s="135">
        <v>8.3100000000000007E-2</v>
      </c>
    </row>
    <row r="52" spans="1:9" x14ac:dyDescent="0.35">
      <c r="A52" s="133">
        <v>43532</v>
      </c>
      <c r="B52" s="154">
        <v>102.62</v>
      </c>
      <c r="C52" s="135">
        <v>7.51E-2</v>
      </c>
      <c r="D52" s="154">
        <v>102.25</v>
      </c>
      <c r="E52" s="135">
        <v>7.9300000000000009E-2</v>
      </c>
      <c r="F52" s="154">
        <v>100.98</v>
      </c>
      <c r="G52" s="135">
        <v>8.2600000000000007E-2</v>
      </c>
      <c r="H52" s="154">
        <v>100.43</v>
      </c>
      <c r="I52" s="135">
        <v>8.3299999999999999E-2</v>
      </c>
    </row>
    <row r="53" spans="1:9" x14ac:dyDescent="0.35">
      <c r="A53" s="136">
        <v>43535</v>
      </c>
      <c r="B53" s="153">
        <v>102.55000000000001</v>
      </c>
      <c r="C53" s="138">
        <v>7.5200000000000003E-2</v>
      </c>
      <c r="D53" s="153">
        <v>102.10000000000001</v>
      </c>
      <c r="E53" s="138">
        <v>7.9500000000000001E-2</v>
      </c>
      <c r="F53" s="153">
        <v>100.44000000000001</v>
      </c>
      <c r="G53" s="138">
        <v>8.3299999999999999E-2</v>
      </c>
      <c r="H53" s="153">
        <v>99.58</v>
      </c>
      <c r="I53" s="138">
        <v>8.4199999999999997E-2</v>
      </c>
    </row>
    <row r="54" spans="1:9" x14ac:dyDescent="0.35">
      <c r="A54" s="136">
        <v>43536</v>
      </c>
      <c r="B54" s="153">
        <v>102.69000000000001</v>
      </c>
      <c r="C54" s="138">
        <v>7.4900000000000008E-2</v>
      </c>
      <c r="D54" s="153">
        <v>102.55000000000001</v>
      </c>
      <c r="E54" s="138">
        <v>7.8800000000000009E-2</v>
      </c>
      <c r="F54" s="153">
        <v>100.86</v>
      </c>
      <c r="G54" s="138">
        <v>8.2799999999999999E-2</v>
      </c>
      <c r="H54" s="153">
        <v>100.37</v>
      </c>
      <c r="I54" s="138">
        <v>8.3400000000000002E-2</v>
      </c>
    </row>
    <row r="55" spans="1:9" x14ac:dyDescent="0.35">
      <c r="A55" s="136">
        <v>43537</v>
      </c>
      <c r="B55" s="153">
        <v>102.96000000000001</v>
      </c>
      <c r="C55" s="138">
        <v>7.4300000000000005E-2</v>
      </c>
      <c r="D55" s="153">
        <v>102.85000000000001</v>
      </c>
      <c r="E55" s="138">
        <v>7.8399999999999997E-2</v>
      </c>
      <c r="F55" s="153">
        <v>100.93</v>
      </c>
      <c r="G55" s="138">
        <v>8.270000000000001E-2</v>
      </c>
      <c r="H55" s="153">
        <v>100.53</v>
      </c>
      <c r="I55" s="138">
        <v>8.3199999999999996E-2</v>
      </c>
    </row>
    <row r="56" spans="1:9" x14ac:dyDescent="0.35">
      <c r="A56" s="136">
        <v>43538</v>
      </c>
      <c r="B56" s="153">
        <v>103.06</v>
      </c>
      <c r="C56" s="138">
        <v>7.3999999999999996E-2</v>
      </c>
      <c r="D56" s="153">
        <v>103.10000000000001</v>
      </c>
      <c r="E56" s="138">
        <v>7.8100000000000003E-2</v>
      </c>
      <c r="F56" s="153">
        <v>101.82000000000001</v>
      </c>
      <c r="G56" s="138">
        <v>8.1700000000000009E-2</v>
      </c>
      <c r="H56" s="153">
        <v>101.05000000000001</v>
      </c>
      <c r="I56" s="138">
        <v>8.270000000000001E-2</v>
      </c>
    </row>
    <row r="57" spans="1:9" x14ac:dyDescent="0.35">
      <c r="A57" s="136">
        <v>43539</v>
      </c>
      <c r="B57" s="153">
        <v>103.18</v>
      </c>
      <c r="C57" s="138">
        <v>7.3700000000000002E-2</v>
      </c>
      <c r="D57" s="153">
        <v>103.09</v>
      </c>
      <c r="E57" s="138">
        <v>7.8100000000000003E-2</v>
      </c>
      <c r="F57" s="153">
        <v>102.07000000000001</v>
      </c>
      <c r="G57" s="138">
        <v>8.14E-2</v>
      </c>
      <c r="H57" s="153">
        <v>101.16000000000001</v>
      </c>
      <c r="I57" s="138">
        <v>8.2600000000000007E-2</v>
      </c>
    </row>
    <row r="58" spans="1:9" x14ac:dyDescent="0.35">
      <c r="A58" s="133">
        <v>43542</v>
      </c>
      <c r="B58" s="154">
        <v>103.59</v>
      </c>
      <c r="C58" s="135">
        <v>7.2800000000000004E-2</v>
      </c>
      <c r="D58" s="154">
        <v>103.83</v>
      </c>
      <c r="E58" s="135">
        <v>7.6999999999999999E-2</v>
      </c>
      <c r="F58" s="154">
        <v>102.89</v>
      </c>
      <c r="G58" s="135">
        <v>8.0399999999999999E-2</v>
      </c>
      <c r="H58" s="154">
        <v>101.98</v>
      </c>
      <c r="I58" s="135">
        <v>8.1799999999999998E-2</v>
      </c>
    </row>
    <row r="59" spans="1:9" x14ac:dyDescent="0.35">
      <c r="A59" s="133">
        <v>43543</v>
      </c>
      <c r="B59" s="154">
        <v>103.58</v>
      </c>
      <c r="C59" s="135">
        <v>7.2800000000000004E-2</v>
      </c>
      <c r="D59" s="154">
        <v>103.68</v>
      </c>
      <c r="E59" s="135">
        <v>7.7200000000000005E-2</v>
      </c>
      <c r="F59" s="154">
        <v>102.68</v>
      </c>
      <c r="G59" s="135">
        <v>8.0700000000000008E-2</v>
      </c>
      <c r="H59" s="154">
        <v>102.01</v>
      </c>
      <c r="I59" s="135">
        <v>8.1700000000000009E-2</v>
      </c>
    </row>
    <row r="60" spans="1:9" x14ac:dyDescent="0.35">
      <c r="A60" s="133">
        <v>43544</v>
      </c>
      <c r="B60" s="154">
        <v>103.65</v>
      </c>
      <c r="C60" s="135">
        <v>7.2599999999999998E-2</v>
      </c>
      <c r="D60" s="154">
        <v>103.81</v>
      </c>
      <c r="E60" s="135">
        <v>7.6999999999999999E-2</v>
      </c>
      <c r="F60" s="154">
        <v>103.01</v>
      </c>
      <c r="G60" s="135">
        <v>8.0299999999999996E-2</v>
      </c>
      <c r="H60" s="154">
        <v>102.2</v>
      </c>
      <c r="I60" s="135">
        <v>8.1500000000000003E-2</v>
      </c>
    </row>
    <row r="61" spans="1:9" x14ac:dyDescent="0.35">
      <c r="A61" s="133">
        <v>43545</v>
      </c>
      <c r="B61" s="154">
        <v>104.49000000000001</v>
      </c>
      <c r="C61" s="135">
        <v>7.0699999999999999E-2</v>
      </c>
      <c r="D61" s="154">
        <v>105.05</v>
      </c>
      <c r="E61" s="135">
        <v>7.5300000000000006E-2</v>
      </c>
      <c r="F61" s="154">
        <v>104.56</v>
      </c>
      <c r="G61" s="135">
        <v>7.8600000000000003E-2</v>
      </c>
      <c r="H61" s="154">
        <v>104.18</v>
      </c>
      <c r="I61" s="135">
        <v>7.9600000000000004E-2</v>
      </c>
    </row>
    <row r="62" spans="1:9" x14ac:dyDescent="0.35">
      <c r="A62" s="133">
        <v>43546</v>
      </c>
      <c r="B62" s="154">
        <v>104.37</v>
      </c>
      <c r="C62" s="135">
        <v>7.1000000000000008E-2</v>
      </c>
      <c r="D62" s="154">
        <v>104.62</v>
      </c>
      <c r="E62" s="135">
        <v>7.5900000000000009E-2</v>
      </c>
      <c r="F62" s="154">
        <v>103.54</v>
      </c>
      <c r="G62" s="135">
        <v>7.9700000000000007E-2</v>
      </c>
      <c r="H62" s="154">
        <v>103.16</v>
      </c>
      <c r="I62" s="135">
        <v>8.0600000000000005E-2</v>
      </c>
    </row>
    <row r="63" spans="1:9" x14ac:dyDescent="0.35">
      <c r="A63" s="136">
        <v>43549</v>
      </c>
      <c r="B63" s="153">
        <v>104.16000000000001</v>
      </c>
      <c r="C63" s="138">
        <v>7.1400000000000005E-2</v>
      </c>
      <c r="D63" s="153">
        <v>104.31</v>
      </c>
      <c r="E63" s="138">
        <v>7.6300000000000007E-2</v>
      </c>
      <c r="F63" s="153">
        <v>102.92</v>
      </c>
      <c r="G63" s="138">
        <v>8.0399999999999999E-2</v>
      </c>
      <c r="H63" s="153">
        <v>102.7</v>
      </c>
      <c r="I63" s="138">
        <v>8.1000000000000003E-2</v>
      </c>
    </row>
    <row r="64" spans="1:9" x14ac:dyDescent="0.35">
      <c r="A64" s="136">
        <v>43550</v>
      </c>
      <c r="B64" s="153">
        <v>104.49000000000001</v>
      </c>
      <c r="C64" s="138">
        <v>7.0699999999999999E-2</v>
      </c>
      <c r="D64" s="153">
        <v>104.56</v>
      </c>
      <c r="E64" s="138">
        <v>7.5999999999999998E-2</v>
      </c>
      <c r="F64" s="153">
        <v>103.23</v>
      </c>
      <c r="G64" s="138">
        <v>8.0100000000000005E-2</v>
      </c>
      <c r="H64" s="153">
        <v>102.94000000000001</v>
      </c>
      <c r="I64" s="138">
        <v>8.0799999999999997E-2</v>
      </c>
    </row>
    <row r="65" spans="1:9" x14ac:dyDescent="0.35">
      <c r="A65" s="136">
        <v>43551</v>
      </c>
      <c r="B65" s="153">
        <v>104.60000000000001</v>
      </c>
      <c r="C65" s="138">
        <v>7.0400000000000004E-2</v>
      </c>
      <c r="D65" s="153">
        <v>104.59</v>
      </c>
      <c r="E65" s="138">
        <v>7.5999999999999998E-2</v>
      </c>
      <c r="F65" s="153">
        <v>102.79</v>
      </c>
      <c r="G65" s="138">
        <v>8.0600000000000005E-2</v>
      </c>
      <c r="H65" s="153">
        <v>102.71000000000001</v>
      </c>
      <c r="I65" s="138">
        <v>8.1000000000000003E-2</v>
      </c>
    </row>
    <row r="66" spans="1:9" x14ac:dyDescent="0.35">
      <c r="A66" s="136">
        <v>43552</v>
      </c>
      <c r="B66" s="153">
        <v>104.22</v>
      </c>
      <c r="C66" s="138">
        <v>7.1300000000000002E-2</v>
      </c>
      <c r="D66" s="153">
        <v>104.05000000000001</v>
      </c>
      <c r="E66" s="138">
        <v>7.6700000000000004E-2</v>
      </c>
      <c r="F66" s="153">
        <v>102.38000000000001</v>
      </c>
      <c r="G66" s="138">
        <v>8.1000000000000003E-2</v>
      </c>
      <c r="H66" s="153">
        <v>102.23</v>
      </c>
      <c r="I66" s="138">
        <v>8.1500000000000003E-2</v>
      </c>
    </row>
    <row r="67" spans="1:9" x14ac:dyDescent="0.35">
      <c r="A67" s="136">
        <v>43553</v>
      </c>
      <c r="B67" s="153">
        <v>104.09</v>
      </c>
      <c r="C67" s="138">
        <v>7.1599999999999997E-2</v>
      </c>
      <c r="D67" s="153">
        <v>104.12</v>
      </c>
      <c r="E67" s="138">
        <v>7.6600000000000001E-2</v>
      </c>
      <c r="F67" s="153">
        <v>102.19000000000001</v>
      </c>
      <c r="G67" s="138">
        <v>8.1200000000000008E-2</v>
      </c>
      <c r="H67" s="153">
        <v>102.04</v>
      </c>
      <c r="I67" s="138">
        <v>8.1700000000000009E-2</v>
      </c>
    </row>
    <row r="68" spans="1:9" x14ac:dyDescent="0.35">
      <c r="A68" s="133">
        <v>43556</v>
      </c>
      <c r="B68" s="154">
        <v>104.38000000000001</v>
      </c>
      <c r="C68" s="135">
        <v>7.0900000000000005E-2</v>
      </c>
      <c r="D68" s="154">
        <v>104.62</v>
      </c>
      <c r="E68" s="135">
        <v>7.5900000000000009E-2</v>
      </c>
      <c r="F68" s="154">
        <v>102.94000000000001</v>
      </c>
      <c r="G68" s="135">
        <v>8.0399999999999999E-2</v>
      </c>
      <c r="H68" s="154">
        <v>102.62</v>
      </c>
      <c r="I68" s="135">
        <v>8.1100000000000005E-2</v>
      </c>
    </row>
    <row r="69" spans="1:9" x14ac:dyDescent="0.35">
      <c r="A69" s="133">
        <v>43557</v>
      </c>
      <c r="B69" s="154">
        <v>104.4</v>
      </c>
      <c r="C69" s="135">
        <v>7.0900000000000005E-2</v>
      </c>
      <c r="D69" s="154">
        <v>104.69000000000001</v>
      </c>
      <c r="E69" s="135">
        <v>7.5800000000000006E-2</v>
      </c>
      <c r="F69" s="154">
        <v>103.27000000000001</v>
      </c>
      <c r="G69" s="135">
        <v>0.08</v>
      </c>
      <c r="H69" s="154">
        <v>102.51</v>
      </c>
      <c r="I69" s="135">
        <v>8.1200000000000008E-2</v>
      </c>
    </row>
    <row r="70" spans="1:9" x14ac:dyDescent="0.35">
      <c r="A70" s="133">
        <v>43559</v>
      </c>
      <c r="B70" s="154">
        <v>104.42</v>
      </c>
      <c r="C70" s="135">
        <v>7.0800000000000002E-2</v>
      </c>
      <c r="D70" s="154">
        <v>104.75</v>
      </c>
      <c r="E70" s="135">
        <v>7.5700000000000003E-2</v>
      </c>
      <c r="F70" s="154">
        <v>103.21000000000001</v>
      </c>
      <c r="G70" s="135">
        <v>8.0100000000000005E-2</v>
      </c>
      <c r="H70" s="154">
        <v>102.38000000000001</v>
      </c>
      <c r="I70" s="135">
        <v>8.14E-2</v>
      </c>
    </row>
    <row r="71" spans="1:9" x14ac:dyDescent="0.35">
      <c r="A71" s="133">
        <v>43560</v>
      </c>
      <c r="B71" s="154">
        <v>104.59</v>
      </c>
      <c r="C71" s="135">
        <v>7.0400000000000004E-2</v>
      </c>
      <c r="D71" s="154">
        <v>105.08</v>
      </c>
      <c r="E71" s="135">
        <v>7.5300000000000006E-2</v>
      </c>
      <c r="F71" s="154">
        <v>103.45</v>
      </c>
      <c r="G71" s="135">
        <v>7.9799999999999996E-2</v>
      </c>
      <c r="H71" s="154">
        <v>102.66</v>
      </c>
      <c r="I71" s="135">
        <v>8.1100000000000005E-2</v>
      </c>
    </row>
    <row r="72" spans="1:9" x14ac:dyDescent="0.35">
      <c r="A72" s="136">
        <v>43563</v>
      </c>
      <c r="B72" s="153">
        <v>104.39</v>
      </c>
      <c r="C72" s="138">
        <v>7.0900000000000005E-2</v>
      </c>
      <c r="D72" s="153">
        <v>104.64</v>
      </c>
      <c r="E72" s="138">
        <v>7.5900000000000009E-2</v>
      </c>
      <c r="F72" s="153">
        <v>103.13000000000001</v>
      </c>
      <c r="G72" s="138">
        <v>8.0200000000000007E-2</v>
      </c>
      <c r="H72" s="153">
        <v>102.31</v>
      </c>
      <c r="I72" s="138">
        <v>8.14E-2</v>
      </c>
    </row>
    <row r="73" spans="1:9" x14ac:dyDescent="0.35">
      <c r="A73" s="136">
        <v>43564</v>
      </c>
      <c r="B73" s="153">
        <v>104.19000000000001</v>
      </c>
      <c r="C73" s="138">
        <v>7.1300000000000002E-2</v>
      </c>
      <c r="D73" s="153">
        <v>104.25</v>
      </c>
      <c r="E73" s="138">
        <v>7.640000000000001E-2</v>
      </c>
      <c r="F73" s="153">
        <v>102.86</v>
      </c>
      <c r="G73" s="138">
        <v>8.0500000000000002E-2</v>
      </c>
      <c r="H73" s="153">
        <v>102.09</v>
      </c>
      <c r="I73" s="138">
        <v>8.1700000000000009E-2</v>
      </c>
    </row>
    <row r="74" spans="1:9" x14ac:dyDescent="0.35">
      <c r="A74" s="136">
        <v>43565</v>
      </c>
      <c r="B74" s="153">
        <v>104.12</v>
      </c>
      <c r="C74" s="138">
        <v>7.1500000000000008E-2</v>
      </c>
      <c r="D74" s="153">
        <v>104.13000000000001</v>
      </c>
      <c r="E74" s="138">
        <v>7.6600000000000001E-2</v>
      </c>
      <c r="F74" s="153">
        <v>102.45</v>
      </c>
      <c r="G74" s="138">
        <v>8.09E-2</v>
      </c>
      <c r="H74" s="153">
        <v>101.66000000000001</v>
      </c>
      <c r="I74" s="138">
        <v>8.2100000000000006E-2</v>
      </c>
    </row>
    <row r="75" spans="1:9" x14ac:dyDescent="0.35">
      <c r="A75" s="136">
        <v>43566</v>
      </c>
      <c r="B75" s="153">
        <v>104.17</v>
      </c>
      <c r="C75" s="138">
        <v>7.1400000000000005E-2</v>
      </c>
      <c r="D75" s="153">
        <v>104.2</v>
      </c>
      <c r="E75" s="138">
        <v>7.6499999999999999E-2</v>
      </c>
      <c r="F75" s="153">
        <v>102.5</v>
      </c>
      <c r="G75" s="138">
        <v>8.09E-2</v>
      </c>
      <c r="H75" s="153">
        <v>101.59</v>
      </c>
      <c r="I75" s="138">
        <v>8.2200000000000009E-2</v>
      </c>
    </row>
    <row r="76" spans="1:9" x14ac:dyDescent="0.35">
      <c r="A76" s="136">
        <v>43567</v>
      </c>
      <c r="B76" s="153">
        <v>104.14</v>
      </c>
      <c r="C76" s="138">
        <v>7.1400000000000005E-2</v>
      </c>
      <c r="D76" s="153">
        <v>104.07000000000001</v>
      </c>
      <c r="E76" s="138">
        <v>7.6700000000000004E-2</v>
      </c>
      <c r="F76" s="153">
        <v>102.46</v>
      </c>
      <c r="G76" s="138">
        <v>8.09E-2</v>
      </c>
      <c r="H76" s="153">
        <v>101.52000000000001</v>
      </c>
      <c r="I76" s="138">
        <v>8.2200000000000009E-2</v>
      </c>
    </row>
    <row r="77" spans="1:9" x14ac:dyDescent="0.35">
      <c r="A77" s="133">
        <v>43570</v>
      </c>
      <c r="B77" s="154">
        <v>104.22</v>
      </c>
      <c r="C77" s="135">
        <v>7.1199999999999999E-2</v>
      </c>
      <c r="D77" s="154">
        <v>104.21000000000001</v>
      </c>
      <c r="E77" s="135">
        <v>7.6499999999999999E-2</v>
      </c>
      <c r="F77" s="154">
        <v>102.49000000000001</v>
      </c>
      <c r="G77" s="135">
        <v>8.09E-2</v>
      </c>
      <c r="H77" s="154">
        <v>101.51</v>
      </c>
      <c r="I77" s="135">
        <v>8.2200000000000009E-2</v>
      </c>
    </row>
    <row r="78" spans="1:9" x14ac:dyDescent="0.35">
      <c r="A78" s="133">
        <v>43571</v>
      </c>
      <c r="B78" s="154">
        <v>104.23</v>
      </c>
      <c r="C78" s="135">
        <v>7.1199999999999999E-2</v>
      </c>
      <c r="D78" s="154">
        <v>104.42</v>
      </c>
      <c r="E78" s="135">
        <v>7.6200000000000004E-2</v>
      </c>
      <c r="F78" s="154">
        <v>102.81</v>
      </c>
      <c r="G78" s="135">
        <v>8.0500000000000002E-2</v>
      </c>
      <c r="H78" s="154">
        <v>101.88000000000001</v>
      </c>
      <c r="I78" s="135">
        <v>8.1900000000000001E-2</v>
      </c>
    </row>
    <row r="79" spans="1:9" x14ac:dyDescent="0.35">
      <c r="A79" s="133">
        <v>43573</v>
      </c>
      <c r="B79" s="154">
        <v>104.49000000000001</v>
      </c>
      <c r="C79" s="135">
        <v>7.0599999999999996E-2</v>
      </c>
      <c r="D79" s="154">
        <v>104.95</v>
      </c>
      <c r="E79" s="135">
        <v>7.5400000000000009E-2</v>
      </c>
      <c r="F79" s="154">
        <v>103.51</v>
      </c>
      <c r="G79" s="135">
        <v>7.9700000000000007E-2</v>
      </c>
      <c r="H79" s="154">
        <v>102.59</v>
      </c>
      <c r="I79" s="135">
        <v>8.1200000000000008E-2</v>
      </c>
    </row>
    <row r="80" spans="1:9" x14ac:dyDescent="0.35">
      <c r="A80" s="136">
        <v>43577</v>
      </c>
      <c r="B80" s="153">
        <v>104.31</v>
      </c>
      <c r="C80" s="138">
        <v>7.1000000000000008E-2</v>
      </c>
      <c r="D80" s="153">
        <v>104.60000000000001</v>
      </c>
      <c r="E80" s="138">
        <v>7.5900000000000009E-2</v>
      </c>
      <c r="F80" s="153">
        <v>102.87</v>
      </c>
      <c r="G80" s="138">
        <v>8.0399999999999999E-2</v>
      </c>
      <c r="H80" s="153">
        <v>102</v>
      </c>
      <c r="I80" s="138">
        <v>8.1700000000000009E-2</v>
      </c>
    </row>
    <row r="81" spans="1:9" x14ac:dyDescent="0.35">
      <c r="A81" s="136">
        <v>43578</v>
      </c>
      <c r="B81" s="153">
        <v>104.25</v>
      </c>
      <c r="C81" s="138">
        <v>7.1099999999999997E-2</v>
      </c>
      <c r="D81" s="153">
        <v>104.34</v>
      </c>
      <c r="E81" s="138">
        <v>7.6300000000000007E-2</v>
      </c>
      <c r="F81" s="153">
        <v>102.65</v>
      </c>
      <c r="G81" s="138">
        <v>8.0700000000000008E-2</v>
      </c>
      <c r="H81" s="153">
        <v>101.87</v>
      </c>
      <c r="I81" s="138">
        <v>8.1900000000000001E-2</v>
      </c>
    </row>
    <row r="82" spans="1:9" x14ac:dyDescent="0.35">
      <c r="A82" s="136">
        <v>43579</v>
      </c>
      <c r="B82" s="153">
        <v>104.13000000000001</v>
      </c>
      <c r="C82" s="138">
        <v>7.1400000000000005E-2</v>
      </c>
      <c r="D82" s="153">
        <v>103.99000000000001</v>
      </c>
      <c r="E82" s="138">
        <v>7.6800000000000007E-2</v>
      </c>
      <c r="F82" s="153">
        <v>102.12</v>
      </c>
      <c r="G82" s="138">
        <v>8.1299999999999997E-2</v>
      </c>
      <c r="H82" s="153">
        <v>101.23</v>
      </c>
      <c r="I82" s="138">
        <v>8.2500000000000004E-2</v>
      </c>
    </row>
    <row r="83" spans="1:9" x14ac:dyDescent="0.35">
      <c r="A83" s="136">
        <v>43580</v>
      </c>
      <c r="B83" s="153">
        <v>104.04</v>
      </c>
      <c r="C83" s="138">
        <v>7.1599999999999997E-2</v>
      </c>
      <c r="D83" s="153">
        <v>103.86</v>
      </c>
      <c r="E83" s="138">
        <v>7.6999999999999999E-2</v>
      </c>
      <c r="F83" s="153">
        <v>101.88000000000001</v>
      </c>
      <c r="G83" s="138">
        <v>8.1600000000000006E-2</v>
      </c>
      <c r="H83" s="153">
        <v>100.91000000000001</v>
      </c>
      <c r="I83" s="138">
        <v>8.2900000000000001E-2</v>
      </c>
    </row>
    <row r="84" spans="1:9" x14ac:dyDescent="0.35">
      <c r="A84" s="136">
        <v>43581</v>
      </c>
      <c r="B84" s="153">
        <v>103.81</v>
      </c>
      <c r="C84" s="138">
        <v>7.2099999999999997E-2</v>
      </c>
      <c r="D84" s="153">
        <v>103.38000000000001</v>
      </c>
      <c r="E84" s="138">
        <v>7.7600000000000002E-2</v>
      </c>
      <c r="F84" s="153">
        <v>101.41000000000001</v>
      </c>
      <c r="G84" s="138">
        <v>8.2100000000000006E-2</v>
      </c>
      <c r="H84" s="153">
        <v>100.53</v>
      </c>
      <c r="I84" s="138">
        <v>8.3199999999999996E-2</v>
      </c>
    </row>
    <row r="85" spans="1:9" x14ac:dyDescent="0.35">
      <c r="A85" s="133">
        <v>43584</v>
      </c>
      <c r="B85" s="154">
        <v>103.9</v>
      </c>
      <c r="C85" s="135">
        <v>7.1900000000000006E-2</v>
      </c>
      <c r="D85" s="154">
        <v>103.5</v>
      </c>
      <c r="E85" s="135">
        <v>7.7499999999999999E-2</v>
      </c>
      <c r="F85" s="154">
        <v>101.5</v>
      </c>
      <c r="G85" s="135">
        <v>8.2000000000000003E-2</v>
      </c>
      <c r="H85" s="154">
        <v>100.64</v>
      </c>
      <c r="I85" s="135">
        <v>8.3100000000000007E-2</v>
      </c>
    </row>
    <row r="86" spans="1:9" x14ac:dyDescent="0.35">
      <c r="A86" s="133">
        <v>43585</v>
      </c>
      <c r="B86" s="154">
        <v>103.47</v>
      </c>
      <c r="C86" s="135">
        <v>7.2900000000000006E-2</v>
      </c>
      <c r="D86" s="154">
        <v>103.14</v>
      </c>
      <c r="E86" s="135">
        <v>7.8E-2</v>
      </c>
      <c r="F86" s="154">
        <v>101.13000000000001</v>
      </c>
      <c r="G86" s="135">
        <v>8.2400000000000001E-2</v>
      </c>
      <c r="H86" s="154">
        <v>100.35000000000001</v>
      </c>
      <c r="I86" s="135">
        <v>8.3400000000000002E-2</v>
      </c>
    </row>
    <row r="87" spans="1:9" x14ac:dyDescent="0.35">
      <c r="A87" s="133">
        <v>43587</v>
      </c>
      <c r="B87" s="154">
        <v>103.22</v>
      </c>
      <c r="C87" s="135">
        <v>7.350000000000001E-2</v>
      </c>
      <c r="D87" s="154">
        <v>103.12</v>
      </c>
      <c r="E87" s="135">
        <v>7.8E-2</v>
      </c>
      <c r="F87" s="154">
        <v>100.94</v>
      </c>
      <c r="G87" s="135">
        <v>8.270000000000001E-2</v>
      </c>
      <c r="H87" s="154">
        <v>100.32000000000001</v>
      </c>
      <c r="I87" s="135">
        <v>8.3500000000000005E-2</v>
      </c>
    </row>
    <row r="88" spans="1:9" x14ac:dyDescent="0.35">
      <c r="A88" s="133">
        <v>43588</v>
      </c>
      <c r="B88" s="154">
        <v>102.80000000000001</v>
      </c>
      <c r="C88" s="135">
        <v>7.4499999999999997E-2</v>
      </c>
      <c r="D88" s="154">
        <v>102.60000000000001</v>
      </c>
      <c r="E88" s="135">
        <v>7.8700000000000006E-2</v>
      </c>
      <c r="F88" s="154">
        <v>100.05000000000001</v>
      </c>
      <c r="G88" s="135">
        <v>8.3699999999999997E-2</v>
      </c>
      <c r="H88" s="154">
        <v>99.570000000000007</v>
      </c>
      <c r="I88" s="135">
        <v>8.4199999999999997E-2</v>
      </c>
    </row>
    <row r="89" spans="1:9" x14ac:dyDescent="0.35">
      <c r="A89" s="136">
        <v>43591</v>
      </c>
      <c r="B89" s="153">
        <v>102.75</v>
      </c>
      <c r="C89" s="138">
        <v>7.46E-2</v>
      </c>
      <c r="D89" s="153">
        <v>102.28</v>
      </c>
      <c r="E89" s="138">
        <v>7.9200000000000007E-2</v>
      </c>
      <c r="F89" s="153">
        <v>99.660000000000011</v>
      </c>
      <c r="G89" s="138">
        <v>8.4199999999999997E-2</v>
      </c>
      <c r="H89" s="153">
        <v>98.98</v>
      </c>
      <c r="I89" s="138">
        <v>8.4900000000000003E-2</v>
      </c>
    </row>
    <row r="90" spans="1:9" x14ac:dyDescent="0.35">
      <c r="A90" s="136">
        <v>43592</v>
      </c>
      <c r="B90" s="153">
        <v>102.68</v>
      </c>
      <c r="C90" s="138">
        <v>7.4800000000000005E-2</v>
      </c>
      <c r="D90" s="153">
        <v>102.09</v>
      </c>
      <c r="E90" s="138">
        <v>7.9500000000000001E-2</v>
      </c>
      <c r="F90" s="153">
        <v>99.28</v>
      </c>
      <c r="G90" s="138">
        <v>8.4600000000000009E-2</v>
      </c>
      <c r="H90" s="153">
        <v>98.62</v>
      </c>
      <c r="I90" s="138">
        <v>8.5199999999999998E-2</v>
      </c>
    </row>
    <row r="91" spans="1:9" x14ac:dyDescent="0.35">
      <c r="A91" s="136">
        <v>43593</v>
      </c>
      <c r="B91" s="153">
        <v>102.60000000000001</v>
      </c>
      <c r="C91" s="138">
        <v>7.4999999999999997E-2</v>
      </c>
      <c r="D91" s="153">
        <v>101.84</v>
      </c>
      <c r="E91" s="138">
        <v>7.9799999999999996E-2</v>
      </c>
      <c r="F91" s="153">
        <v>98.95</v>
      </c>
      <c r="G91" s="138">
        <v>8.5000000000000006E-2</v>
      </c>
      <c r="H91" s="153">
        <v>98.15</v>
      </c>
      <c r="I91" s="138">
        <v>8.5699999999999998E-2</v>
      </c>
    </row>
    <row r="92" spans="1:9" x14ac:dyDescent="0.35">
      <c r="A92" s="136">
        <v>43594</v>
      </c>
      <c r="B92" s="153">
        <v>102.5</v>
      </c>
      <c r="C92" s="138">
        <v>7.5200000000000003E-2</v>
      </c>
      <c r="D92" s="153">
        <v>101.55</v>
      </c>
      <c r="E92" s="138">
        <v>8.0299999999999996E-2</v>
      </c>
      <c r="F92" s="153">
        <v>98.98</v>
      </c>
      <c r="G92" s="138">
        <v>8.5000000000000006E-2</v>
      </c>
      <c r="H92" s="153">
        <v>97.92</v>
      </c>
      <c r="I92" s="138">
        <v>8.6000000000000007E-2</v>
      </c>
    </row>
    <row r="93" spans="1:9" x14ac:dyDescent="0.35">
      <c r="A93" s="136">
        <v>43595</v>
      </c>
      <c r="B93" s="153">
        <v>102.51</v>
      </c>
      <c r="C93" s="138">
        <v>7.5200000000000003E-2</v>
      </c>
      <c r="D93" s="153">
        <v>101.80000000000001</v>
      </c>
      <c r="E93" s="138">
        <v>7.9899999999999999E-2</v>
      </c>
      <c r="F93" s="153">
        <v>98.910000000000011</v>
      </c>
      <c r="G93" s="138">
        <v>8.5100000000000009E-2</v>
      </c>
      <c r="H93" s="153">
        <v>98.03</v>
      </c>
      <c r="I93" s="138">
        <v>8.5900000000000004E-2</v>
      </c>
    </row>
    <row r="94" spans="1:9" x14ac:dyDescent="0.35">
      <c r="A94" s="133">
        <v>43598</v>
      </c>
      <c r="B94" s="154">
        <v>102.68</v>
      </c>
      <c r="C94" s="135">
        <v>7.4800000000000005E-2</v>
      </c>
      <c r="D94" s="154">
        <v>101.73</v>
      </c>
      <c r="E94" s="135">
        <v>0.08</v>
      </c>
      <c r="F94" s="154">
        <v>98.910000000000011</v>
      </c>
      <c r="G94" s="135">
        <v>8.5100000000000009E-2</v>
      </c>
      <c r="H94" s="154">
        <v>97.98</v>
      </c>
      <c r="I94" s="135">
        <v>8.5900000000000004E-2</v>
      </c>
    </row>
    <row r="95" spans="1:9" x14ac:dyDescent="0.35">
      <c r="A95" s="133">
        <v>43599</v>
      </c>
      <c r="B95" s="154">
        <v>102.44000000000001</v>
      </c>
      <c r="C95" s="135">
        <v>7.5300000000000006E-2</v>
      </c>
      <c r="D95" s="154">
        <v>101.42</v>
      </c>
      <c r="E95" s="135">
        <v>8.0500000000000002E-2</v>
      </c>
      <c r="F95" s="154">
        <v>98.190000000000012</v>
      </c>
      <c r="G95" s="135">
        <v>8.6000000000000007E-2</v>
      </c>
      <c r="H95" s="154">
        <v>97.44</v>
      </c>
      <c r="I95" s="135">
        <v>8.6500000000000007E-2</v>
      </c>
    </row>
    <row r="96" spans="1:9" x14ac:dyDescent="0.35">
      <c r="A96" s="133">
        <v>43600</v>
      </c>
      <c r="B96" s="154">
        <v>102.75</v>
      </c>
      <c r="C96" s="135">
        <v>7.46E-2</v>
      </c>
      <c r="D96" s="154">
        <v>101.91000000000001</v>
      </c>
      <c r="E96" s="135">
        <v>7.9700000000000007E-2</v>
      </c>
      <c r="F96" s="154">
        <v>98.98</v>
      </c>
      <c r="G96" s="135">
        <v>8.5000000000000006E-2</v>
      </c>
      <c r="H96" s="154">
        <v>98.12</v>
      </c>
      <c r="I96" s="135">
        <v>8.5800000000000001E-2</v>
      </c>
    </row>
    <row r="97" spans="1:9" x14ac:dyDescent="0.35">
      <c r="A97" s="133">
        <v>43601</v>
      </c>
      <c r="B97" s="154">
        <v>102.61</v>
      </c>
      <c r="C97" s="135">
        <v>7.4900000000000008E-2</v>
      </c>
      <c r="D97" s="154">
        <v>101.7</v>
      </c>
      <c r="E97" s="135">
        <v>0.08</v>
      </c>
      <c r="F97" s="154">
        <v>98.92</v>
      </c>
      <c r="G97" s="135">
        <v>8.5100000000000009E-2</v>
      </c>
      <c r="H97" s="154">
        <v>97.9</v>
      </c>
      <c r="I97" s="135">
        <v>8.6000000000000007E-2</v>
      </c>
    </row>
    <row r="98" spans="1:9" x14ac:dyDescent="0.35">
      <c r="A98" s="133">
        <v>43602</v>
      </c>
      <c r="B98" s="154">
        <v>102.61</v>
      </c>
      <c r="C98" s="135">
        <v>7.4900000000000008E-2</v>
      </c>
      <c r="D98" s="154">
        <v>101.7</v>
      </c>
      <c r="E98" s="135">
        <v>0.08</v>
      </c>
      <c r="F98" s="154">
        <v>99.11</v>
      </c>
      <c r="G98" s="135">
        <v>8.48E-2</v>
      </c>
      <c r="H98" s="154">
        <v>98.36</v>
      </c>
      <c r="I98" s="135">
        <v>8.5500000000000007E-2</v>
      </c>
    </row>
    <row r="99" spans="1:9" x14ac:dyDescent="0.35">
      <c r="A99" s="136">
        <v>43605</v>
      </c>
      <c r="B99" s="153">
        <v>102.39</v>
      </c>
      <c r="C99" s="138">
        <v>7.5400000000000009E-2</v>
      </c>
      <c r="D99" s="153">
        <v>101.41000000000001</v>
      </c>
      <c r="E99" s="138">
        <v>8.0500000000000002E-2</v>
      </c>
      <c r="F99" s="153">
        <v>98.47</v>
      </c>
      <c r="G99" s="138">
        <v>8.5600000000000009E-2</v>
      </c>
      <c r="H99" s="153">
        <v>97.83</v>
      </c>
      <c r="I99" s="138">
        <v>8.6099999999999996E-2</v>
      </c>
    </row>
    <row r="100" spans="1:9" x14ac:dyDescent="0.35">
      <c r="A100" s="136">
        <v>43606</v>
      </c>
      <c r="B100" s="153">
        <v>102.26</v>
      </c>
      <c r="C100" s="138">
        <v>7.5800000000000006E-2</v>
      </c>
      <c r="D100" s="153">
        <v>101.16000000000001</v>
      </c>
      <c r="E100" s="138">
        <v>8.0799999999999997E-2</v>
      </c>
      <c r="F100" s="153">
        <v>98.08</v>
      </c>
      <c r="G100" s="138">
        <v>8.6099999999999996E-2</v>
      </c>
      <c r="H100" s="153">
        <v>97.26</v>
      </c>
      <c r="I100" s="138">
        <v>8.6699999999999999E-2</v>
      </c>
    </row>
    <row r="101" spans="1:9" x14ac:dyDescent="0.35">
      <c r="A101" s="136">
        <v>43607</v>
      </c>
      <c r="B101" s="153">
        <v>102.24000000000001</v>
      </c>
      <c r="C101" s="138">
        <v>7.5800000000000006E-2</v>
      </c>
      <c r="D101" s="153">
        <v>101.29</v>
      </c>
      <c r="E101" s="138">
        <v>8.0600000000000005E-2</v>
      </c>
      <c r="F101" s="153">
        <v>98.36</v>
      </c>
      <c r="G101" s="138">
        <v>8.5800000000000001E-2</v>
      </c>
      <c r="H101" s="153">
        <v>97.600000000000009</v>
      </c>
      <c r="I101" s="138">
        <v>8.6300000000000002E-2</v>
      </c>
    </row>
    <row r="102" spans="1:9" x14ac:dyDescent="0.35">
      <c r="A102" s="136">
        <v>43608</v>
      </c>
      <c r="B102" s="153">
        <v>102.31</v>
      </c>
      <c r="C102" s="138">
        <v>7.5600000000000001E-2</v>
      </c>
      <c r="D102" s="153">
        <v>101.29</v>
      </c>
      <c r="E102" s="138">
        <v>8.0600000000000005E-2</v>
      </c>
      <c r="F102" s="153">
        <v>98.61</v>
      </c>
      <c r="G102" s="138">
        <v>8.5400000000000004E-2</v>
      </c>
      <c r="H102" s="153">
        <v>97.62</v>
      </c>
      <c r="I102" s="138">
        <v>8.6300000000000002E-2</v>
      </c>
    </row>
    <row r="103" spans="1:9" x14ac:dyDescent="0.35">
      <c r="A103" s="136">
        <v>43609</v>
      </c>
      <c r="B103" s="153">
        <v>102.46000000000001</v>
      </c>
      <c r="C103" s="138">
        <v>7.5300000000000006E-2</v>
      </c>
      <c r="D103" s="153">
        <v>102.21</v>
      </c>
      <c r="E103" s="138">
        <v>7.9300000000000009E-2</v>
      </c>
      <c r="F103" s="153">
        <v>99.73</v>
      </c>
      <c r="G103" s="138">
        <v>8.4100000000000008E-2</v>
      </c>
      <c r="H103" s="153">
        <v>99.06</v>
      </c>
      <c r="I103" s="138">
        <v>8.48E-2</v>
      </c>
    </row>
    <row r="104" spans="1:9" x14ac:dyDescent="0.35">
      <c r="A104" s="133">
        <v>43612</v>
      </c>
      <c r="B104" s="154">
        <v>102.97</v>
      </c>
      <c r="C104" s="135">
        <v>7.3999999999999996E-2</v>
      </c>
      <c r="D104" s="154">
        <v>102.77</v>
      </c>
      <c r="E104" s="135">
        <v>7.85E-2</v>
      </c>
      <c r="F104" s="154">
        <v>100.63</v>
      </c>
      <c r="G104" s="135">
        <v>8.3000000000000004E-2</v>
      </c>
      <c r="H104" s="154">
        <v>99.960000000000008</v>
      </c>
      <c r="I104" s="135">
        <v>8.3799999999999999E-2</v>
      </c>
    </row>
    <row r="105" spans="1:9" x14ac:dyDescent="0.35">
      <c r="A105" s="133">
        <v>43613</v>
      </c>
      <c r="B105" s="154">
        <v>102.63000000000001</v>
      </c>
      <c r="C105" s="135">
        <v>7.4800000000000005E-2</v>
      </c>
      <c r="D105" s="154">
        <v>102.24000000000001</v>
      </c>
      <c r="E105" s="135">
        <v>7.9200000000000007E-2</v>
      </c>
      <c r="F105" s="154">
        <v>100.01</v>
      </c>
      <c r="G105" s="135">
        <v>8.3799999999999999E-2</v>
      </c>
      <c r="H105" s="154">
        <v>99.65</v>
      </c>
      <c r="I105" s="135">
        <v>8.4100000000000008E-2</v>
      </c>
    </row>
    <row r="106" spans="1:9" x14ac:dyDescent="0.35">
      <c r="A106" s="133">
        <v>43614</v>
      </c>
      <c r="B106" s="154">
        <v>102.5</v>
      </c>
      <c r="C106" s="135">
        <v>7.5200000000000003E-2</v>
      </c>
      <c r="D106" s="154">
        <v>101.87</v>
      </c>
      <c r="E106" s="135">
        <v>7.9799999999999996E-2</v>
      </c>
      <c r="F106" s="154">
        <v>99.13000000000001</v>
      </c>
      <c r="G106" s="135">
        <v>8.48E-2</v>
      </c>
      <c r="H106" s="154">
        <v>98.86</v>
      </c>
      <c r="I106" s="135">
        <v>8.5000000000000006E-2</v>
      </c>
    </row>
    <row r="107" spans="1:9" x14ac:dyDescent="0.35">
      <c r="A107" s="133">
        <v>43616</v>
      </c>
      <c r="B107" s="154">
        <v>102.43</v>
      </c>
      <c r="C107" s="135">
        <v>7.5300000000000006E-2</v>
      </c>
      <c r="D107" s="154">
        <v>101.54</v>
      </c>
      <c r="E107" s="135">
        <v>8.0299999999999996E-2</v>
      </c>
      <c r="F107" s="154">
        <v>99.16</v>
      </c>
      <c r="G107" s="135">
        <v>8.48E-2</v>
      </c>
      <c r="H107" s="154">
        <v>98.940000000000012</v>
      </c>
      <c r="I107" s="135">
        <v>8.4900000000000003E-2</v>
      </c>
    </row>
    <row r="108" spans="1:9" x14ac:dyDescent="0.35">
      <c r="A108" s="136">
        <v>43626</v>
      </c>
      <c r="B108" s="153">
        <v>103.35000000000001</v>
      </c>
      <c r="C108" s="138">
        <v>7.3099999999999998E-2</v>
      </c>
      <c r="D108" s="153">
        <v>103.74000000000001</v>
      </c>
      <c r="E108" s="138">
        <v>7.7100000000000002E-2</v>
      </c>
      <c r="F108" s="153">
        <v>101.95</v>
      </c>
      <c r="G108" s="138">
        <v>8.1500000000000003E-2</v>
      </c>
      <c r="H108" s="153">
        <v>101.68</v>
      </c>
      <c r="I108" s="138">
        <v>8.2100000000000006E-2</v>
      </c>
    </row>
    <row r="109" spans="1:9" x14ac:dyDescent="0.35">
      <c r="A109" s="136">
        <v>43627</v>
      </c>
      <c r="B109" s="153">
        <v>103.38000000000001</v>
      </c>
      <c r="C109" s="138">
        <v>7.3000000000000009E-2</v>
      </c>
      <c r="D109" s="153">
        <v>103.83</v>
      </c>
      <c r="E109" s="138">
        <v>7.6899999999999996E-2</v>
      </c>
      <c r="F109" s="153">
        <v>102.58</v>
      </c>
      <c r="G109" s="138">
        <v>8.0799999999999997E-2</v>
      </c>
      <c r="H109" s="153">
        <v>101.75</v>
      </c>
      <c r="I109" s="138">
        <v>8.2000000000000003E-2</v>
      </c>
    </row>
    <row r="110" spans="1:9" x14ac:dyDescent="0.35">
      <c r="A110" s="136">
        <v>43628</v>
      </c>
      <c r="B110" s="153">
        <v>103.43</v>
      </c>
      <c r="C110" s="138">
        <v>7.2900000000000006E-2</v>
      </c>
      <c r="D110" s="153">
        <v>103.57000000000001</v>
      </c>
      <c r="E110" s="138">
        <v>7.7300000000000008E-2</v>
      </c>
      <c r="F110" s="153">
        <v>102.76</v>
      </c>
      <c r="G110" s="138">
        <v>8.0500000000000002E-2</v>
      </c>
      <c r="H110" s="153">
        <v>101.75</v>
      </c>
      <c r="I110" s="138">
        <v>8.2000000000000003E-2</v>
      </c>
    </row>
    <row r="111" spans="1:9" x14ac:dyDescent="0.35">
      <c r="A111" s="136">
        <v>43629</v>
      </c>
      <c r="B111" s="153">
        <v>103.74000000000001</v>
      </c>
      <c r="C111" s="138">
        <v>7.2099999999999997E-2</v>
      </c>
      <c r="D111" s="153">
        <v>104.12</v>
      </c>
      <c r="E111" s="138">
        <v>7.6499999999999999E-2</v>
      </c>
      <c r="F111" s="153">
        <v>103.2</v>
      </c>
      <c r="G111" s="138">
        <v>0.08</v>
      </c>
      <c r="H111" s="153">
        <v>102.2</v>
      </c>
      <c r="I111" s="138">
        <v>8.1500000000000003E-2</v>
      </c>
    </row>
    <row r="112" spans="1:9" x14ac:dyDescent="0.35">
      <c r="A112" s="136">
        <v>43630</v>
      </c>
      <c r="B112" s="153">
        <v>103.85000000000001</v>
      </c>
      <c r="C112" s="138">
        <v>7.1800000000000003E-2</v>
      </c>
      <c r="D112" s="153">
        <v>103.95</v>
      </c>
      <c r="E112" s="138">
        <v>7.6800000000000007E-2</v>
      </c>
      <c r="F112" s="153">
        <v>103.31</v>
      </c>
      <c r="G112" s="138">
        <v>7.9899999999999999E-2</v>
      </c>
      <c r="H112" s="153">
        <v>102.17</v>
      </c>
      <c r="I112" s="138">
        <v>8.1600000000000006E-2</v>
      </c>
    </row>
    <row r="113" spans="1:9" x14ac:dyDescent="0.35">
      <c r="A113" s="133">
        <v>43633</v>
      </c>
      <c r="B113" s="154">
        <v>103.97</v>
      </c>
      <c r="C113" s="135">
        <v>7.1500000000000008E-2</v>
      </c>
      <c r="D113" s="154">
        <v>104.10000000000001</v>
      </c>
      <c r="E113" s="135">
        <v>7.6600000000000001E-2</v>
      </c>
      <c r="F113" s="154">
        <v>103.39</v>
      </c>
      <c r="G113" s="135">
        <v>7.9799999999999996E-2</v>
      </c>
      <c r="H113" s="154">
        <v>102.33</v>
      </c>
      <c r="I113" s="135">
        <v>8.14E-2</v>
      </c>
    </row>
    <row r="114" spans="1:9" x14ac:dyDescent="0.35">
      <c r="A114" s="133">
        <v>43634</v>
      </c>
      <c r="B114" s="154">
        <v>103.98</v>
      </c>
      <c r="C114" s="135">
        <v>7.1500000000000008E-2</v>
      </c>
      <c r="D114" s="154">
        <v>104.12</v>
      </c>
      <c r="E114" s="135">
        <v>7.6499999999999999E-2</v>
      </c>
      <c r="F114" s="154">
        <v>103.17</v>
      </c>
      <c r="G114" s="135">
        <v>8.0100000000000005E-2</v>
      </c>
      <c r="H114" s="154">
        <v>102.39</v>
      </c>
      <c r="I114" s="135">
        <v>8.1299999999999997E-2</v>
      </c>
    </row>
    <row r="115" spans="1:9" x14ac:dyDescent="0.35">
      <c r="A115" s="133">
        <v>43635</v>
      </c>
      <c r="B115" s="154">
        <v>104.71000000000001</v>
      </c>
      <c r="C115" s="135">
        <v>6.9800000000000001E-2</v>
      </c>
      <c r="D115" s="154">
        <v>104.72</v>
      </c>
      <c r="E115" s="135">
        <v>7.5700000000000003E-2</v>
      </c>
      <c r="F115" s="154">
        <v>103.98</v>
      </c>
      <c r="G115" s="135">
        <v>7.9200000000000007E-2</v>
      </c>
      <c r="H115" s="154">
        <v>102.86</v>
      </c>
      <c r="I115" s="135">
        <v>8.09E-2</v>
      </c>
    </row>
    <row r="116" spans="1:9" x14ac:dyDescent="0.35">
      <c r="A116" s="133">
        <v>43636</v>
      </c>
      <c r="B116" s="154">
        <v>105.25</v>
      </c>
      <c r="C116" s="135">
        <v>6.8500000000000005E-2</v>
      </c>
      <c r="D116" s="154">
        <v>105.66000000000001</v>
      </c>
      <c r="E116" s="135">
        <v>7.4400000000000008E-2</v>
      </c>
      <c r="F116" s="154">
        <v>104.95</v>
      </c>
      <c r="G116" s="135">
        <v>7.8100000000000003E-2</v>
      </c>
      <c r="H116" s="154">
        <v>103.83</v>
      </c>
      <c r="I116" s="135">
        <v>7.9899999999999999E-2</v>
      </c>
    </row>
    <row r="117" spans="1:9" x14ac:dyDescent="0.35">
      <c r="A117" s="133">
        <v>43637</v>
      </c>
      <c r="B117" s="154">
        <v>105.36</v>
      </c>
      <c r="C117" s="135">
        <v>6.8199999999999997E-2</v>
      </c>
      <c r="D117" s="154">
        <v>106.34</v>
      </c>
      <c r="E117" s="135">
        <v>7.3400000000000007E-2</v>
      </c>
      <c r="F117" s="154">
        <v>105.7</v>
      </c>
      <c r="G117" s="135">
        <v>7.7200000000000005E-2</v>
      </c>
      <c r="H117" s="154">
        <v>104.38000000000001</v>
      </c>
      <c r="I117" s="135">
        <v>7.9399999999999998E-2</v>
      </c>
    </row>
    <row r="118" spans="1:9" x14ac:dyDescent="0.35">
      <c r="A118" s="136">
        <v>43640</v>
      </c>
      <c r="B118" s="153">
        <v>105.12</v>
      </c>
      <c r="C118" s="138">
        <v>6.88E-2</v>
      </c>
      <c r="D118" s="153">
        <v>105.26</v>
      </c>
      <c r="E118" s="138">
        <v>7.4900000000000008E-2</v>
      </c>
      <c r="F118" s="153">
        <v>104.69000000000001</v>
      </c>
      <c r="G118" s="138">
        <v>7.8399999999999997E-2</v>
      </c>
      <c r="H118" s="153">
        <v>103.39</v>
      </c>
      <c r="I118" s="138">
        <v>8.0299999999999996E-2</v>
      </c>
    </row>
    <row r="119" spans="1:9" x14ac:dyDescent="0.35">
      <c r="A119" s="136">
        <v>43641</v>
      </c>
      <c r="B119" s="153">
        <v>105.22</v>
      </c>
      <c r="C119" s="138">
        <v>6.8500000000000005E-2</v>
      </c>
      <c r="D119" s="153">
        <v>105.84</v>
      </c>
      <c r="E119" s="138">
        <v>7.4099999999999999E-2</v>
      </c>
      <c r="F119" s="153">
        <v>105.05</v>
      </c>
      <c r="G119" s="138">
        <v>7.8E-2</v>
      </c>
      <c r="H119" s="153">
        <v>103.77000000000001</v>
      </c>
      <c r="I119" s="138">
        <v>0.08</v>
      </c>
    </row>
    <row r="120" spans="1:9" x14ac:dyDescent="0.35">
      <c r="A120" s="136">
        <v>43642</v>
      </c>
      <c r="B120" s="153">
        <v>105.06</v>
      </c>
      <c r="C120" s="138">
        <v>6.8900000000000003E-2</v>
      </c>
      <c r="D120" s="153">
        <v>105.72</v>
      </c>
      <c r="E120" s="138">
        <v>7.4300000000000005E-2</v>
      </c>
      <c r="F120" s="153">
        <v>105.34</v>
      </c>
      <c r="G120" s="138">
        <v>7.7600000000000002E-2</v>
      </c>
      <c r="H120" s="153">
        <v>103.81</v>
      </c>
      <c r="I120" s="138">
        <v>7.9899999999999999E-2</v>
      </c>
    </row>
    <row r="121" spans="1:9" x14ac:dyDescent="0.35">
      <c r="A121" s="136">
        <v>43643</v>
      </c>
      <c r="B121" s="153">
        <v>105.08</v>
      </c>
      <c r="C121" s="138">
        <v>6.88E-2</v>
      </c>
      <c r="D121" s="153">
        <v>105.71000000000001</v>
      </c>
      <c r="E121" s="138">
        <v>7.4300000000000005E-2</v>
      </c>
      <c r="F121" s="153">
        <v>105.43</v>
      </c>
      <c r="G121" s="138">
        <v>7.7499999999999999E-2</v>
      </c>
      <c r="H121" s="153">
        <v>104.08</v>
      </c>
      <c r="I121" s="138">
        <v>7.9700000000000007E-2</v>
      </c>
    </row>
    <row r="122" spans="1:9" x14ac:dyDescent="0.35">
      <c r="A122" s="136">
        <v>43644</v>
      </c>
      <c r="B122" s="153">
        <v>105.38</v>
      </c>
      <c r="C122" s="138">
        <v>6.8100000000000008E-2</v>
      </c>
      <c r="D122" s="153">
        <v>106.43</v>
      </c>
      <c r="E122" s="138">
        <v>7.3300000000000004E-2</v>
      </c>
      <c r="F122" s="153">
        <v>106.41000000000001</v>
      </c>
      <c r="G122" s="138">
        <v>7.640000000000001E-2</v>
      </c>
      <c r="H122" s="153">
        <v>104.65</v>
      </c>
      <c r="I122" s="138">
        <v>7.9100000000000004E-2</v>
      </c>
    </row>
    <row r="123" spans="1:9" x14ac:dyDescent="0.35">
      <c r="A123" s="133">
        <v>43647</v>
      </c>
      <c r="B123" s="154">
        <v>105.38000000000001</v>
      </c>
      <c r="C123" s="135">
        <v>6.8100000000000008E-2</v>
      </c>
      <c r="D123" s="154">
        <v>106.45</v>
      </c>
      <c r="E123" s="135">
        <v>7.3200000000000001E-2</v>
      </c>
      <c r="F123" s="154">
        <v>106.39</v>
      </c>
      <c r="G123" s="135">
        <v>7.6499999999999999E-2</v>
      </c>
      <c r="H123" s="154">
        <v>104.68</v>
      </c>
      <c r="I123" s="135">
        <v>7.9100000000000004E-2</v>
      </c>
    </row>
    <row r="124" spans="1:9" x14ac:dyDescent="0.35">
      <c r="A124" s="133">
        <v>43648</v>
      </c>
      <c r="B124" s="154">
        <v>105.16000000000001</v>
      </c>
      <c r="C124" s="135">
        <v>6.8600000000000008E-2</v>
      </c>
      <c r="D124" s="154">
        <v>106.23</v>
      </c>
      <c r="E124" s="135">
        <v>7.350000000000001E-2</v>
      </c>
      <c r="F124" s="154">
        <v>106.09</v>
      </c>
      <c r="G124" s="135">
        <v>7.6800000000000007E-2</v>
      </c>
      <c r="H124" s="154">
        <v>104.42</v>
      </c>
      <c r="I124" s="135">
        <v>7.9300000000000009E-2</v>
      </c>
    </row>
    <row r="125" spans="1:9" x14ac:dyDescent="0.35">
      <c r="A125" s="133">
        <v>43649</v>
      </c>
      <c r="B125" s="154">
        <v>105.46000000000001</v>
      </c>
      <c r="C125" s="135">
        <v>6.7900000000000002E-2</v>
      </c>
      <c r="D125" s="154">
        <v>106.63000000000001</v>
      </c>
      <c r="E125" s="135">
        <v>7.3000000000000009E-2</v>
      </c>
      <c r="F125" s="154">
        <v>106.59</v>
      </c>
      <c r="G125" s="135">
        <v>7.6200000000000004E-2</v>
      </c>
      <c r="H125" s="154">
        <v>105.17</v>
      </c>
      <c r="I125" s="135">
        <v>7.8600000000000003E-2</v>
      </c>
    </row>
    <row r="126" spans="1:9" x14ac:dyDescent="0.35">
      <c r="A126" s="133">
        <v>43650</v>
      </c>
      <c r="B126" s="154">
        <v>105.7</v>
      </c>
      <c r="C126" s="135">
        <v>6.7299999999999999E-2</v>
      </c>
      <c r="D126" s="154">
        <v>107.49000000000001</v>
      </c>
      <c r="E126" s="135">
        <v>7.1800000000000003E-2</v>
      </c>
      <c r="F126" s="154">
        <v>107.38</v>
      </c>
      <c r="G126" s="135">
        <v>7.5400000000000009E-2</v>
      </c>
      <c r="H126" s="154">
        <v>106.63000000000001</v>
      </c>
      <c r="I126" s="135">
        <v>7.7200000000000005E-2</v>
      </c>
    </row>
    <row r="127" spans="1:9" x14ac:dyDescent="0.35">
      <c r="A127" s="133">
        <v>43651</v>
      </c>
      <c r="B127" s="154">
        <v>105.59</v>
      </c>
      <c r="C127" s="135">
        <v>6.7600000000000007E-2</v>
      </c>
      <c r="D127" s="154">
        <v>107.37</v>
      </c>
      <c r="E127" s="135">
        <v>7.2000000000000008E-2</v>
      </c>
      <c r="F127" s="154">
        <v>107.24000000000001</v>
      </c>
      <c r="G127" s="135">
        <v>7.5499999999999998E-2</v>
      </c>
      <c r="H127" s="154">
        <v>106.5</v>
      </c>
      <c r="I127" s="135">
        <v>7.7300000000000008E-2</v>
      </c>
    </row>
    <row r="128" spans="1:9" x14ac:dyDescent="0.35">
      <c r="A128" s="136">
        <v>43654</v>
      </c>
      <c r="B128" s="153">
        <v>105.51</v>
      </c>
      <c r="C128" s="138">
        <v>6.7699999999999996E-2</v>
      </c>
      <c r="D128" s="153">
        <v>106.75</v>
      </c>
      <c r="E128" s="138">
        <v>7.2800000000000004E-2</v>
      </c>
      <c r="F128" s="153">
        <v>106.61</v>
      </c>
      <c r="G128" s="138">
        <v>7.6200000000000004E-2</v>
      </c>
      <c r="H128" s="153">
        <v>106.01</v>
      </c>
      <c r="I128" s="138">
        <v>7.7800000000000008E-2</v>
      </c>
    </row>
    <row r="129" spans="1:9" x14ac:dyDescent="0.35">
      <c r="A129" s="136">
        <v>43655</v>
      </c>
      <c r="B129" s="153">
        <v>105.56</v>
      </c>
      <c r="C129" s="138">
        <v>6.7600000000000007E-2</v>
      </c>
      <c r="D129" s="153">
        <v>106.87</v>
      </c>
      <c r="E129" s="138">
        <v>7.2599999999999998E-2</v>
      </c>
      <c r="F129" s="153">
        <v>106.95</v>
      </c>
      <c r="G129" s="138">
        <v>7.5900000000000009E-2</v>
      </c>
      <c r="H129" s="153">
        <v>106.15</v>
      </c>
      <c r="I129" s="138">
        <v>7.7600000000000002E-2</v>
      </c>
    </row>
    <row r="130" spans="1:9" x14ac:dyDescent="0.35">
      <c r="A130" s="136">
        <v>43656</v>
      </c>
      <c r="B130" s="153">
        <v>105.44000000000001</v>
      </c>
      <c r="C130" s="138">
        <v>6.7900000000000002E-2</v>
      </c>
      <c r="D130" s="153">
        <v>106.3</v>
      </c>
      <c r="E130" s="138">
        <v>7.3400000000000007E-2</v>
      </c>
      <c r="F130" s="153">
        <v>105.94</v>
      </c>
      <c r="G130" s="138">
        <v>7.6999999999999999E-2</v>
      </c>
      <c r="H130" s="153">
        <v>105.54</v>
      </c>
      <c r="I130" s="138">
        <v>7.8200000000000006E-2</v>
      </c>
    </row>
    <row r="131" spans="1:9" x14ac:dyDescent="0.35">
      <c r="A131" s="136">
        <v>43657</v>
      </c>
      <c r="B131" s="153">
        <v>106.12</v>
      </c>
      <c r="C131" s="138">
        <v>6.6299999999999998E-2</v>
      </c>
      <c r="D131" s="153">
        <v>107.26</v>
      </c>
      <c r="E131" s="138">
        <v>7.2099999999999997E-2</v>
      </c>
      <c r="F131" s="153">
        <v>107.08</v>
      </c>
      <c r="G131" s="138">
        <v>7.5700000000000003E-2</v>
      </c>
      <c r="H131" s="153">
        <v>106.38000000000001</v>
      </c>
      <c r="I131" s="138">
        <v>7.7399999999999997E-2</v>
      </c>
    </row>
    <row r="132" spans="1:9" x14ac:dyDescent="0.35">
      <c r="A132" s="136">
        <v>43658</v>
      </c>
      <c r="B132" s="153">
        <v>106.27000000000001</v>
      </c>
      <c r="C132" s="138">
        <v>6.59E-2</v>
      </c>
      <c r="D132" s="153">
        <v>107.19000000000001</v>
      </c>
      <c r="E132" s="138">
        <v>7.22E-2</v>
      </c>
      <c r="F132" s="153">
        <v>107.05000000000001</v>
      </c>
      <c r="G132" s="138">
        <v>7.5700000000000003E-2</v>
      </c>
      <c r="H132" s="153">
        <v>106.43</v>
      </c>
      <c r="I132" s="138">
        <v>7.7399999999999997E-2</v>
      </c>
    </row>
    <row r="133" spans="1:9" x14ac:dyDescent="0.35">
      <c r="A133" s="133">
        <v>43661</v>
      </c>
      <c r="B133" s="154">
        <v>106.75</v>
      </c>
      <c r="C133" s="135">
        <v>6.4799999999999996E-2</v>
      </c>
      <c r="D133" s="154">
        <v>107.97</v>
      </c>
      <c r="E133" s="135">
        <v>7.1099999999999997E-2</v>
      </c>
      <c r="F133" s="154">
        <v>107.94</v>
      </c>
      <c r="G133" s="135">
        <v>7.4800000000000005E-2</v>
      </c>
      <c r="H133" s="154">
        <v>107.10000000000001</v>
      </c>
      <c r="I133" s="135">
        <v>7.6700000000000004E-2</v>
      </c>
    </row>
    <row r="134" spans="1:9" x14ac:dyDescent="0.35">
      <c r="A134" s="133">
        <v>43662</v>
      </c>
      <c r="B134" s="154">
        <v>106.81</v>
      </c>
      <c r="C134" s="135">
        <v>6.4600000000000005E-2</v>
      </c>
      <c r="D134" s="154">
        <v>108.06</v>
      </c>
      <c r="E134" s="135">
        <v>7.1000000000000008E-2</v>
      </c>
      <c r="F134" s="154">
        <v>108.24000000000001</v>
      </c>
      <c r="G134" s="135">
        <v>7.4499999999999997E-2</v>
      </c>
      <c r="H134" s="154">
        <v>107.47</v>
      </c>
      <c r="I134" s="135">
        <v>7.640000000000001E-2</v>
      </c>
    </row>
    <row r="135" spans="1:9" x14ac:dyDescent="0.35">
      <c r="A135" s="133">
        <v>43663</v>
      </c>
      <c r="B135" s="154">
        <v>106.72</v>
      </c>
      <c r="C135" s="135">
        <v>6.4799999999999996E-2</v>
      </c>
      <c r="D135" s="154">
        <v>107.87</v>
      </c>
      <c r="E135" s="135">
        <v>7.1300000000000002E-2</v>
      </c>
      <c r="F135" s="154">
        <v>107.96000000000001</v>
      </c>
      <c r="G135" s="135">
        <v>7.4800000000000005E-2</v>
      </c>
      <c r="H135" s="154">
        <v>107.15</v>
      </c>
      <c r="I135" s="135">
        <v>7.6700000000000004E-2</v>
      </c>
    </row>
    <row r="136" spans="1:9" x14ac:dyDescent="0.35">
      <c r="A136" s="133">
        <v>43664</v>
      </c>
      <c r="B136" s="154">
        <v>106.64</v>
      </c>
      <c r="C136" s="135">
        <v>6.5000000000000002E-2</v>
      </c>
      <c r="D136" s="154">
        <v>107.86</v>
      </c>
      <c r="E136" s="135">
        <v>7.1300000000000002E-2</v>
      </c>
      <c r="F136" s="154">
        <v>107.89</v>
      </c>
      <c r="G136" s="135">
        <v>7.4800000000000005E-2</v>
      </c>
      <c r="H136" s="154">
        <v>106.99000000000001</v>
      </c>
      <c r="I136" s="135">
        <v>7.6800000000000007E-2</v>
      </c>
    </row>
    <row r="137" spans="1:9" x14ac:dyDescent="0.35">
      <c r="A137" s="133">
        <v>43665</v>
      </c>
      <c r="B137" s="154">
        <v>106.71000000000001</v>
      </c>
      <c r="C137" s="135">
        <v>6.4799999999999996E-2</v>
      </c>
      <c r="D137" s="154">
        <v>108.04</v>
      </c>
      <c r="E137" s="135">
        <v>7.1000000000000008E-2</v>
      </c>
      <c r="F137" s="154">
        <v>107.86</v>
      </c>
      <c r="G137" s="135">
        <v>7.4900000000000008E-2</v>
      </c>
      <c r="H137" s="154">
        <v>107.18</v>
      </c>
      <c r="I137" s="135">
        <v>7.6700000000000004E-2</v>
      </c>
    </row>
    <row r="138" spans="1:9" x14ac:dyDescent="0.35">
      <c r="A138" s="136">
        <v>43668</v>
      </c>
      <c r="B138" s="153">
        <v>106.57000000000001</v>
      </c>
      <c r="C138" s="138">
        <v>6.5100000000000005E-2</v>
      </c>
      <c r="D138" s="153">
        <v>107.53</v>
      </c>
      <c r="E138" s="138">
        <v>7.17E-2</v>
      </c>
      <c r="F138" s="153">
        <v>107.87</v>
      </c>
      <c r="G138" s="138">
        <v>7.4800000000000005E-2</v>
      </c>
      <c r="H138" s="153">
        <v>106.92</v>
      </c>
      <c r="I138" s="138">
        <v>7.6899999999999996E-2</v>
      </c>
    </row>
    <row r="139" spans="1:9" x14ac:dyDescent="0.35">
      <c r="A139" s="136">
        <v>43669</v>
      </c>
      <c r="B139" s="153">
        <v>106.06</v>
      </c>
      <c r="C139" s="138">
        <v>6.6299999999999998E-2</v>
      </c>
      <c r="D139" s="153">
        <v>106.99000000000001</v>
      </c>
      <c r="E139" s="138">
        <v>7.2400000000000006E-2</v>
      </c>
      <c r="F139" s="153">
        <v>107.23</v>
      </c>
      <c r="G139" s="138">
        <v>7.5499999999999998E-2</v>
      </c>
      <c r="H139" s="153">
        <v>106.04</v>
      </c>
      <c r="I139" s="138">
        <v>7.7700000000000005E-2</v>
      </c>
    </row>
    <row r="140" spans="1:9" x14ac:dyDescent="0.35">
      <c r="A140" s="136">
        <v>43670</v>
      </c>
      <c r="B140" s="153">
        <v>105.94000000000001</v>
      </c>
      <c r="C140" s="138">
        <v>6.6600000000000006E-2</v>
      </c>
      <c r="D140" s="153">
        <v>106.86</v>
      </c>
      <c r="E140" s="138">
        <v>7.2599999999999998E-2</v>
      </c>
      <c r="F140" s="153">
        <v>106.69000000000001</v>
      </c>
      <c r="G140" s="138">
        <v>7.6100000000000001E-2</v>
      </c>
      <c r="H140" s="153">
        <v>105.97</v>
      </c>
      <c r="I140" s="138">
        <v>7.7800000000000008E-2</v>
      </c>
    </row>
    <row r="141" spans="1:9" x14ac:dyDescent="0.35">
      <c r="A141" s="136">
        <v>43671</v>
      </c>
      <c r="B141" s="153">
        <v>106.2</v>
      </c>
      <c r="C141" s="138">
        <v>6.6000000000000003E-2</v>
      </c>
      <c r="D141" s="153">
        <v>107.37</v>
      </c>
      <c r="E141" s="138">
        <v>7.1900000000000006E-2</v>
      </c>
      <c r="F141" s="153">
        <v>107.48</v>
      </c>
      <c r="G141" s="138">
        <v>7.5300000000000006E-2</v>
      </c>
      <c r="H141" s="153">
        <v>106.42</v>
      </c>
      <c r="I141" s="138">
        <v>7.7399999999999997E-2</v>
      </c>
    </row>
    <row r="142" spans="1:9" x14ac:dyDescent="0.35">
      <c r="A142" s="136">
        <v>43672</v>
      </c>
      <c r="B142" s="153">
        <v>106.09</v>
      </c>
      <c r="C142" s="138">
        <v>6.6200000000000009E-2</v>
      </c>
      <c r="D142" s="153">
        <v>107.29</v>
      </c>
      <c r="E142" s="138">
        <v>7.2000000000000008E-2</v>
      </c>
      <c r="F142" s="153">
        <v>107.41000000000001</v>
      </c>
      <c r="G142" s="138">
        <v>7.5300000000000006E-2</v>
      </c>
      <c r="H142" s="153">
        <v>106.37</v>
      </c>
      <c r="I142" s="138">
        <v>7.7399999999999997E-2</v>
      </c>
    </row>
    <row r="143" spans="1:9" x14ac:dyDescent="0.35">
      <c r="A143" s="133">
        <v>43675</v>
      </c>
      <c r="B143" s="154">
        <v>106</v>
      </c>
      <c r="C143" s="135">
        <v>6.6400000000000001E-2</v>
      </c>
      <c r="D143" s="154">
        <v>107.18</v>
      </c>
      <c r="E143" s="135">
        <v>7.22E-2</v>
      </c>
      <c r="F143" s="154">
        <v>107.28</v>
      </c>
      <c r="G143" s="135">
        <v>7.5499999999999998E-2</v>
      </c>
      <c r="H143" s="154">
        <v>106.28</v>
      </c>
      <c r="I143" s="135">
        <v>7.7499999999999999E-2</v>
      </c>
    </row>
    <row r="144" spans="1:9" x14ac:dyDescent="0.35">
      <c r="A144" s="133">
        <v>43676</v>
      </c>
      <c r="B144" s="154">
        <v>105.63000000000001</v>
      </c>
      <c r="C144" s="135">
        <v>6.7299999999999999E-2</v>
      </c>
      <c r="D144" s="154">
        <v>106.51</v>
      </c>
      <c r="E144" s="135">
        <v>7.3099999999999998E-2</v>
      </c>
      <c r="F144" s="154">
        <v>106.60000000000001</v>
      </c>
      <c r="G144" s="135">
        <v>7.6200000000000004E-2</v>
      </c>
      <c r="H144" s="154">
        <v>105.86</v>
      </c>
      <c r="I144" s="135">
        <v>7.7899999999999997E-2</v>
      </c>
    </row>
    <row r="145" spans="1:9" x14ac:dyDescent="0.35">
      <c r="A145" s="133">
        <v>43677</v>
      </c>
      <c r="B145" s="154">
        <v>105.44000000000001</v>
      </c>
      <c r="C145" s="135">
        <v>6.7799999999999999E-2</v>
      </c>
      <c r="D145" s="154">
        <v>106.28</v>
      </c>
      <c r="E145" s="135">
        <v>7.3400000000000007E-2</v>
      </c>
      <c r="F145" s="154">
        <v>106.35000000000001</v>
      </c>
      <c r="G145" s="135">
        <v>7.6499999999999999E-2</v>
      </c>
      <c r="H145" s="154">
        <v>105.39</v>
      </c>
      <c r="I145" s="135">
        <v>7.8399999999999997E-2</v>
      </c>
    </row>
    <row r="146" spans="1:9" x14ac:dyDescent="0.35">
      <c r="A146" s="133">
        <v>43678</v>
      </c>
      <c r="B146" s="154">
        <v>105.01</v>
      </c>
      <c r="C146" s="135">
        <v>6.88E-2</v>
      </c>
      <c r="D146" s="154">
        <v>105.53</v>
      </c>
      <c r="E146" s="135">
        <v>7.4499999999999997E-2</v>
      </c>
      <c r="F146" s="154">
        <v>105.72</v>
      </c>
      <c r="G146" s="135">
        <v>7.7200000000000005E-2</v>
      </c>
      <c r="H146" s="154">
        <v>104.86</v>
      </c>
      <c r="I146" s="135">
        <v>7.8899999999999998E-2</v>
      </c>
    </row>
    <row r="147" spans="1:9" x14ac:dyDescent="0.35">
      <c r="A147" s="133">
        <v>43679</v>
      </c>
      <c r="B147" s="154">
        <v>104.37</v>
      </c>
      <c r="C147" s="135">
        <v>7.0300000000000001E-2</v>
      </c>
      <c r="D147" s="154">
        <v>104.48</v>
      </c>
      <c r="E147" s="135">
        <v>7.5999999999999998E-2</v>
      </c>
      <c r="F147" s="154">
        <v>104.42</v>
      </c>
      <c r="G147" s="135">
        <v>7.8600000000000003E-2</v>
      </c>
      <c r="H147" s="154">
        <v>103.64</v>
      </c>
      <c r="I147" s="135">
        <v>8.0100000000000005E-2</v>
      </c>
    </row>
    <row r="148" spans="1:9" x14ac:dyDescent="0.35">
      <c r="A148" s="136">
        <v>43682</v>
      </c>
      <c r="B148" s="153">
        <v>104.37</v>
      </c>
      <c r="C148" s="138">
        <v>7.0300000000000001E-2</v>
      </c>
      <c r="D148" s="153">
        <v>104.47</v>
      </c>
      <c r="E148" s="138">
        <v>7.5999999999999998E-2</v>
      </c>
      <c r="F148" s="153">
        <v>104.28</v>
      </c>
      <c r="G148" s="138">
        <v>7.8800000000000009E-2</v>
      </c>
      <c r="H148" s="153">
        <v>103.13000000000001</v>
      </c>
      <c r="I148" s="138">
        <v>8.0600000000000005E-2</v>
      </c>
    </row>
    <row r="149" spans="1:9" x14ac:dyDescent="0.35">
      <c r="A149" s="136">
        <v>43683</v>
      </c>
      <c r="B149" s="153">
        <v>103.67</v>
      </c>
      <c r="C149" s="138">
        <v>7.2000000000000008E-2</v>
      </c>
      <c r="D149" s="153">
        <v>103.66000000000001</v>
      </c>
      <c r="E149" s="138">
        <v>7.7100000000000002E-2</v>
      </c>
      <c r="F149" s="153">
        <v>102.45</v>
      </c>
      <c r="G149" s="138">
        <v>8.09E-2</v>
      </c>
      <c r="H149" s="153">
        <v>101.79</v>
      </c>
      <c r="I149" s="138">
        <v>8.1900000000000001E-2</v>
      </c>
    </row>
    <row r="150" spans="1:9" x14ac:dyDescent="0.35">
      <c r="A150" s="136">
        <v>43684</v>
      </c>
      <c r="B150" s="153">
        <v>104.41000000000001</v>
      </c>
      <c r="C150" s="138">
        <v>7.0199999999999999E-2</v>
      </c>
      <c r="D150" s="153">
        <v>104.74000000000001</v>
      </c>
      <c r="E150" s="138">
        <v>7.5600000000000001E-2</v>
      </c>
      <c r="F150" s="153">
        <v>103.74000000000001</v>
      </c>
      <c r="G150" s="138">
        <v>7.9399999999999998E-2</v>
      </c>
      <c r="H150" s="153">
        <v>102.5</v>
      </c>
      <c r="I150" s="138">
        <v>8.1200000000000008E-2</v>
      </c>
    </row>
    <row r="151" spans="1:9" x14ac:dyDescent="0.35">
      <c r="A151" s="136">
        <v>43685</v>
      </c>
      <c r="B151" s="153">
        <v>104.82000000000001</v>
      </c>
      <c r="C151" s="138">
        <v>6.9199999999999998E-2</v>
      </c>
      <c r="D151" s="153">
        <v>105.47</v>
      </c>
      <c r="E151" s="138">
        <v>7.4499999999999997E-2</v>
      </c>
      <c r="F151" s="153">
        <v>104.67</v>
      </c>
      <c r="G151" s="138">
        <v>7.8399999999999997E-2</v>
      </c>
      <c r="H151" s="153">
        <v>103.60000000000001</v>
      </c>
      <c r="I151" s="138">
        <v>8.0100000000000005E-2</v>
      </c>
    </row>
    <row r="152" spans="1:9" x14ac:dyDescent="0.35">
      <c r="A152" s="136">
        <v>43686</v>
      </c>
      <c r="B152" s="153">
        <v>105.45</v>
      </c>
      <c r="C152" s="138">
        <v>6.7699999999999996E-2</v>
      </c>
      <c r="D152" s="153">
        <v>106.49000000000001</v>
      </c>
      <c r="E152" s="138">
        <v>7.3099999999999998E-2</v>
      </c>
      <c r="F152" s="153">
        <v>105.96000000000001</v>
      </c>
      <c r="G152" s="138">
        <v>7.6899999999999996E-2</v>
      </c>
      <c r="H152" s="153">
        <v>105.26</v>
      </c>
      <c r="I152" s="138">
        <v>7.85E-2</v>
      </c>
    </row>
    <row r="153" spans="1:9" x14ac:dyDescent="0.35">
      <c r="A153" s="133">
        <v>43689</v>
      </c>
      <c r="B153" s="154">
        <v>105.56</v>
      </c>
      <c r="C153" s="135">
        <v>6.7400000000000002E-2</v>
      </c>
      <c r="D153" s="154">
        <v>106.46000000000001</v>
      </c>
      <c r="E153" s="135">
        <v>7.3099999999999998E-2</v>
      </c>
      <c r="F153" s="154">
        <v>105.89</v>
      </c>
      <c r="G153" s="135">
        <v>7.6999999999999999E-2</v>
      </c>
      <c r="H153" s="154">
        <v>105.32000000000001</v>
      </c>
      <c r="I153" s="135">
        <v>7.8399999999999997E-2</v>
      </c>
    </row>
    <row r="154" spans="1:9" x14ac:dyDescent="0.35">
      <c r="A154" s="133">
        <v>43690</v>
      </c>
      <c r="B154" s="154">
        <v>104.9</v>
      </c>
      <c r="C154" s="135">
        <v>6.9000000000000006E-2</v>
      </c>
      <c r="D154" s="154">
        <v>105.56</v>
      </c>
      <c r="E154" s="135">
        <v>7.4400000000000008E-2</v>
      </c>
      <c r="F154" s="154">
        <v>105.24000000000001</v>
      </c>
      <c r="G154" s="135">
        <v>7.7700000000000005E-2</v>
      </c>
      <c r="H154" s="154">
        <v>104.33</v>
      </c>
      <c r="I154" s="135">
        <v>7.9399999999999998E-2</v>
      </c>
    </row>
    <row r="155" spans="1:9" x14ac:dyDescent="0.35">
      <c r="A155" s="133">
        <v>43691</v>
      </c>
      <c r="B155" s="154">
        <v>105.48</v>
      </c>
      <c r="C155" s="135">
        <v>6.7600000000000007E-2</v>
      </c>
      <c r="D155" s="154">
        <v>105.77000000000001</v>
      </c>
      <c r="E155" s="135">
        <v>7.4099999999999999E-2</v>
      </c>
      <c r="F155" s="154">
        <v>105.26</v>
      </c>
      <c r="G155" s="135">
        <v>7.7700000000000005E-2</v>
      </c>
      <c r="H155" s="154">
        <v>104.88000000000001</v>
      </c>
      <c r="I155" s="135">
        <v>7.8899999999999998E-2</v>
      </c>
    </row>
    <row r="156" spans="1:9" x14ac:dyDescent="0.35">
      <c r="A156" s="133">
        <v>43692</v>
      </c>
      <c r="B156" s="154">
        <v>105.22</v>
      </c>
      <c r="C156" s="135">
        <v>6.8199999999999997E-2</v>
      </c>
      <c r="D156" s="154">
        <v>105.14</v>
      </c>
      <c r="E156" s="135">
        <v>7.4999999999999997E-2</v>
      </c>
      <c r="F156" s="154">
        <v>104.76</v>
      </c>
      <c r="G156" s="135">
        <v>7.8300000000000008E-2</v>
      </c>
      <c r="H156" s="154">
        <v>104.60000000000001</v>
      </c>
      <c r="I156" s="135">
        <v>7.9100000000000004E-2</v>
      </c>
    </row>
    <row r="157" spans="1:9" x14ac:dyDescent="0.35">
      <c r="A157" s="133">
        <v>43693</v>
      </c>
      <c r="B157" s="154">
        <v>105.72</v>
      </c>
      <c r="C157" s="135">
        <v>6.7000000000000004E-2</v>
      </c>
      <c r="D157" s="154">
        <v>105.96000000000001</v>
      </c>
      <c r="E157" s="135">
        <v>7.3800000000000004E-2</v>
      </c>
      <c r="F157" s="154">
        <v>105.61</v>
      </c>
      <c r="G157" s="135">
        <v>7.7300000000000008E-2</v>
      </c>
      <c r="H157" s="154">
        <v>105.49000000000001</v>
      </c>
      <c r="I157" s="135">
        <v>7.8300000000000008E-2</v>
      </c>
    </row>
    <row r="158" spans="1:9" x14ac:dyDescent="0.35">
      <c r="A158" s="136">
        <v>43696</v>
      </c>
      <c r="B158" s="153">
        <v>105.72</v>
      </c>
      <c r="C158" s="138">
        <v>6.7000000000000004E-2</v>
      </c>
      <c r="D158" s="153">
        <v>106.7</v>
      </c>
      <c r="E158" s="138">
        <v>7.2800000000000004E-2</v>
      </c>
      <c r="F158" s="153">
        <v>106</v>
      </c>
      <c r="G158" s="138">
        <v>7.6899999999999996E-2</v>
      </c>
      <c r="H158" s="153">
        <v>105.69</v>
      </c>
      <c r="I158" s="138">
        <v>7.8100000000000003E-2</v>
      </c>
    </row>
    <row r="159" spans="1:9" x14ac:dyDescent="0.35">
      <c r="A159" s="136">
        <v>43697</v>
      </c>
      <c r="B159" s="153">
        <v>105.58</v>
      </c>
      <c r="C159" s="138">
        <v>6.7299999999999999E-2</v>
      </c>
      <c r="D159" s="153">
        <v>106.32</v>
      </c>
      <c r="E159" s="138">
        <v>7.3300000000000004E-2</v>
      </c>
      <c r="F159" s="153">
        <v>105.83</v>
      </c>
      <c r="G159" s="138">
        <v>7.7100000000000002E-2</v>
      </c>
      <c r="H159" s="153">
        <v>105.48</v>
      </c>
      <c r="I159" s="138">
        <v>7.8300000000000008E-2</v>
      </c>
    </row>
    <row r="160" spans="1:9" x14ac:dyDescent="0.35">
      <c r="A160" s="136">
        <v>43698</v>
      </c>
      <c r="B160" s="153">
        <v>105.62</v>
      </c>
      <c r="C160" s="138">
        <v>6.720000000000001E-2</v>
      </c>
      <c r="D160" s="153">
        <v>106.4</v>
      </c>
      <c r="E160" s="138">
        <v>7.3200000000000001E-2</v>
      </c>
      <c r="F160" s="153">
        <v>105.91000000000001</v>
      </c>
      <c r="G160" s="138">
        <v>7.6999999999999999E-2</v>
      </c>
      <c r="H160" s="153">
        <v>105.64</v>
      </c>
      <c r="I160" s="138">
        <v>7.8100000000000003E-2</v>
      </c>
    </row>
    <row r="161" spans="1:9" x14ac:dyDescent="0.35">
      <c r="A161" s="136">
        <v>43699</v>
      </c>
      <c r="B161" s="153">
        <v>106.03</v>
      </c>
      <c r="C161" s="138">
        <v>6.6200000000000009E-2</v>
      </c>
      <c r="D161" s="153">
        <v>107.26</v>
      </c>
      <c r="E161" s="138">
        <v>7.2000000000000008E-2</v>
      </c>
      <c r="F161" s="153">
        <v>106.71000000000001</v>
      </c>
      <c r="G161" s="138">
        <v>7.6100000000000001E-2</v>
      </c>
      <c r="H161" s="153">
        <v>106.83</v>
      </c>
      <c r="I161" s="138">
        <v>7.6999999999999999E-2</v>
      </c>
    </row>
    <row r="162" spans="1:9" x14ac:dyDescent="0.35">
      <c r="A162" s="136">
        <v>43700</v>
      </c>
      <c r="B162" s="153">
        <v>106.10000000000001</v>
      </c>
      <c r="C162" s="138">
        <v>6.6000000000000003E-2</v>
      </c>
      <c r="D162" s="153">
        <v>107.04</v>
      </c>
      <c r="E162" s="138">
        <v>7.2300000000000003E-2</v>
      </c>
      <c r="F162" s="153">
        <v>106.35000000000001</v>
      </c>
      <c r="G162" s="138">
        <v>7.6499999999999999E-2</v>
      </c>
      <c r="H162" s="153">
        <v>106.4</v>
      </c>
      <c r="I162" s="138">
        <v>7.7399999999999997E-2</v>
      </c>
    </row>
    <row r="163" spans="1:9" x14ac:dyDescent="0.35">
      <c r="A163" s="133">
        <v>43703</v>
      </c>
      <c r="B163" s="154">
        <v>105.64</v>
      </c>
      <c r="C163" s="135">
        <v>6.7100000000000007E-2</v>
      </c>
      <c r="D163" s="154">
        <v>106.51</v>
      </c>
      <c r="E163" s="135">
        <v>7.3099999999999998E-2</v>
      </c>
      <c r="F163" s="154">
        <v>106.02000000000001</v>
      </c>
      <c r="G163" s="135">
        <v>7.6800000000000007E-2</v>
      </c>
      <c r="H163" s="154">
        <v>105.8</v>
      </c>
      <c r="I163" s="135">
        <v>7.8E-2</v>
      </c>
    </row>
    <row r="164" spans="1:9" x14ac:dyDescent="0.35">
      <c r="A164" s="133">
        <v>43704</v>
      </c>
      <c r="B164" s="154">
        <v>105.77000000000001</v>
      </c>
      <c r="C164" s="135">
        <v>6.6799999999999998E-2</v>
      </c>
      <c r="D164" s="154">
        <v>106.73</v>
      </c>
      <c r="E164" s="135">
        <v>7.2700000000000001E-2</v>
      </c>
      <c r="F164" s="154">
        <v>106.07000000000001</v>
      </c>
      <c r="G164" s="135">
        <v>7.6800000000000007E-2</v>
      </c>
      <c r="H164" s="154">
        <v>105.61</v>
      </c>
      <c r="I164" s="135">
        <v>7.8200000000000006E-2</v>
      </c>
    </row>
    <row r="165" spans="1:9" x14ac:dyDescent="0.35">
      <c r="A165" s="133">
        <v>43705</v>
      </c>
      <c r="B165" s="154">
        <v>105.43</v>
      </c>
      <c r="C165" s="135">
        <v>6.7600000000000007E-2</v>
      </c>
      <c r="D165" s="154">
        <v>106.43</v>
      </c>
      <c r="E165" s="135">
        <v>7.3200000000000001E-2</v>
      </c>
      <c r="F165" s="154">
        <v>105.68</v>
      </c>
      <c r="G165" s="135">
        <v>7.7200000000000005E-2</v>
      </c>
      <c r="H165" s="154">
        <v>105.16000000000001</v>
      </c>
      <c r="I165" s="135">
        <v>7.8600000000000003E-2</v>
      </c>
    </row>
    <row r="166" spans="1:9" x14ac:dyDescent="0.35">
      <c r="A166" s="133">
        <v>43706</v>
      </c>
      <c r="B166" s="154">
        <v>105.43</v>
      </c>
      <c r="C166" s="135">
        <v>6.7600000000000007E-2</v>
      </c>
      <c r="D166" s="154">
        <v>106.26</v>
      </c>
      <c r="E166" s="135">
        <v>7.3400000000000007E-2</v>
      </c>
      <c r="F166" s="154">
        <v>105.41000000000001</v>
      </c>
      <c r="G166" s="135">
        <v>7.7499999999999999E-2</v>
      </c>
      <c r="H166" s="154">
        <v>104.84</v>
      </c>
      <c r="I166" s="135">
        <v>7.8899999999999998E-2</v>
      </c>
    </row>
    <row r="167" spans="1:9" x14ac:dyDescent="0.35">
      <c r="A167" s="133">
        <v>43707</v>
      </c>
      <c r="B167" s="154">
        <v>105.53</v>
      </c>
      <c r="C167" s="135">
        <v>6.7299999999999999E-2</v>
      </c>
      <c r="D167" s="154">
        <v>106.52000000000001</v>
      </c>
      <c r="E167" s="135">
        <v>7.3000000000000009E-2</v>
      </c>
      <c r="F167" s="154">
        <v>105.52000000000001</v>
      </c>
      <c r="G167" s="135">
        <v>7.7399999999999997E-2</v>
      </c>
      <c r="H167" s="154">
        <v>105.12</v>
      </c>
      <c r="I167" s="135">
        <v>7.8600000000000003E-2</v>
      </c>
    </row>
    <row r="168" spans="1:9" x14ac:dyDescent="0.35">
      <c r="A168" s="136">
        <v>43710</v>
      </c>
      <c r="B168" s="153">
        <v>105.57000000000001</v>
      </c>
      <c r="C168" s="138">
        <v>6.720000000000001E-2</v>
      </c>
      <c r="D168" s="153">
        <v>106.65</v>
      </c>
      <c r="E168" s="138">
        <v>7.2800000000000004E-2</v>
      </c>
      <c r="F168" s="153">
        <v>105.56</v>
      </c>
      <c r="G168" s="138">
        <v>7.7399999999999997E-2</v>
      </c>
      <c r="H168" s="153">
        <v>105.24000000000001</v>
      </c>
      <c r="I168" s="138">
        <v>7.85E-2</v>
      </c>
    </row>
    <row r="169" spans="1:9" x14ac:dyDescent="0.35">
      <c r="A169" s="136">
        <v>43711</v>
      </c>
      <c r="B169" s="153">
        <v>105.44000000000001</v>
      </c>
      <c r="C169" s="138">
        <v>6.7500000000000004E-2</v>
      </c>
      <c r="D169" s="153">
        <v>106.3</v>
      </c>
      <c r="E169" s="138">
        <v>7.3300000000000004E-2</v>
      </c>
      <c r="F169" s="153">
        <v>105.34</v>
      </c>
      <c r="G169" s="138">
        <v>7.7600000000000002E-2</v>
      </c>
      <c r="H169" s="153">
        <v>105.13000000000001</v>
      </c>
      <c r="I169" s="138">
        <v>7.8600000000000003E-2</v>
      </c>
    </row>
    <row r="170" spans="1:9" x14ac:dyDescent="0.35">
      <c r="A170" s="136">
        <v>43712</v>
      </c>
      <c r="B170" s="153">
        <v>105.43</v>
      </c>
      <c r="C170" s="138">
        <v>6.7600000000000007E-2</v>
      </c>
      <c r="D170" s="153">
        <v>106.32000000000001</v>
      </c>
      <c r="E170" s="138">
        <v>7.3300000000000004E-2</v>
      </c>
      <c r="F170" s="153">
        <v>105.24000000000001</v>
      </c>
      <c r="G170" s="138">
        <v>7.7700000000000005E-2</v>
      </c>
      <c r="H170" s="153">
        <v>104.76</v>
      </c>
      <c r="I170" s="138">
        <v>7.9000000000000001E-2</v>
      </c>
    </row>
    <row r="171" spans="1:9" x14ac:dyDescent="0.35">
      <c r="A171" s="136">
        <v>43713</v>
      </c>
      <c r="B171" s="153">
        <v>105.67</v>
      </c>
      <c r="C171" s="138">
        <v>6.7000000000000004E-2</v>
      </c>
      <c r="D171" s="153">
        <v>106.64</v>
      </c>
      <c r="E171" s="138">
        <v>7.2900000000000006E-2</v>
      </c>
      <c r="F171" s="153">
        <v>105.71</v>
      </c>
      <c r="G171" s="138">
        <v>7.7200000000000005E-2</v>
      </c>
      <c r="H171" s="153">
        <v>105.53</v>
      </c>
      <c r="I171" s="138">
        <v>7.8200000000000006E-2</v>
      </c>
    </row>
    <row r="172" spans="1:9" x14ac:dyDescent="0.35">
      <c r="A172" s="136">
        <v>43714</v>
      </c>
      <c r="B172" s="153">
        <v>105.60000000000001</v>
      </c>
      <c r="C172" s="138">
        <v>6.7100000000000007E-2</v>
      </c>
      <c r="D172" s="153">
        <v>106.42</v>
      </c>
      <c r="E172" s="138">
        <v>7.3200000000000001E-2</v>
      </c>
      <c r="F172" s="153">
        <v>105.54</v>
      </c>
      <c r="G172" s="138">
        <v>7.7399999999999997E-2</v>
      </c>
      <c r="H172" s="153">
        <v>105.2</v>
      </c>
      <c r="I172" s="138">
        <v>7.85E-2</v>
      </c>
    </row>
    <row r="173" spans="1:9" x14ac:dyDescent="0.35">
      <c r="A173" s="133">
        <v>43717</v>
      </c>
      <c r="B173" s="154">
        <v>105.66</v>
      </c>
      <c r="C173" s="135">
        <v>6.7000000000000004E-2</v>
      </c>
      <c r="D173" s="154">
        <v>106.58</v>
      </c>
      <c r="E173" s="135">
        <v>7.2900000000000006E-2</v>
      </c>
      <c r="F173" s="154">
        <v>105.51</v>
      </c>
      <c r="G173" s="135">
        <v>7.7399999999999997E-2</v>
      </c>
      <c r="H173" s="154">
        <v>105.32000000000001</v>
      </c>
      <c r="I173" s="135">
        <v>7.8399999999999997E-2</v>
      </c>
    </row>
    <row r="174" spans="1:9" x14ac:dyDescent="0.35">
      <c r="A174" s="133">
        <v>43718</v>
      </c>
      <c r="B174" s="154">
        <v>105.84</v>
      </c>
      <c r="C174" s="135">
        <v>6.6500000000000004E-2</v>
      </c>
      <c r="D174" s="154">
        <v>107</v>
      </c>
      <c r="E174" s="135">
        <v>7.2300000000000003E-2</v>
      </c>
      <c r="F174" s="154">
        <v>106.17</v>
      </c>
      <c r="G174" s="135">
        <v>7.6700000000000004E-2</v>
      </c>
      <c r="H174" s="154">
        <v>105.67</v>
      </c>
      <c r="I174" s="135">
        <v>7.8100000000000003E-2</v>
      </c>
    </row>
    <row r="175" spans="1:9" x14ac:dyDescent="0.35">
      <c r="A175" s="133">
        <v>43719</v>
      </c>
      <c r="B175" s="154">
        <v>105.82000000000001</v>
      </c>
      <c r="C175" s="135">
        <v>6.6600000000000006E-2</v>
      </c>
      <c r="D175" s="154">
        <v>106.87</v>
      </c>
      <c r="E175" s="135">
        <v>7.2500000000000009E-2</v>
      </c>
      <c r="F175" s="154">
        <v>105.99000000000001</v>
      </c>
      <c r="G175" s="135">
        <v>7.6899999999999996E-2</v>
      </c>
      <c r="H175" s="154">
        <v>105.66000000000001</v>
      </c>
      <c r="I175" s="135">
        <v>7.8100000000000003E-2</v>
      </c>
    </row>
    <row r="176" spans="1:9" x14ac:dyDescent="0.35">
      <c r="A176" s="133">
        <v>43720</v>
      </c>
      <c r="B176" s="154">
        <v>105.81</v>
      </c>
      <c r="C176" s="135">
        <v>6.6600000000000006E-2</v>
      </c>
      <c r="D176" s="154">
        <v>106.95</v>
      </c>
      <c r="E176" s="135">
        <v>7.2400000000000006E-2</v>
      </c>
      <c r="F176" s="154">
        <v>105.99000000000001</v>
      </c>
      <c r="G176" s="135">
        <v>7.6899999999999996E-2</v>
      </c>
      <c r="H176" s="154">
        <v>105.75</v>
      </c>
      <c r="I176" s="135">
        <v>7.8E-2</v>
      </c>
    </row>
    <row r="177" spans="1:9" x14ac:dyDescent="0.35">
      <c r="A177" s="133">
        <v>43721</v>
      </c>
      <c r="B177" s="154">
        <v>106.16000000000001</v>
      </c>
      <c r="C177" s="135">
        <v>6.5700000000000008E-2</v>
      </c>
      <c r="D177" s="154">
        <v>107.71000000000001</v>
      </c>
      <c r="E177" s="135">
        <v>7.1400000000000005E-2</v>
      </c>
      <c r="F177" s="154">
        <v>106.66000000000001</v>
      </c>
      <c r="G177" s="135">
        <v>7.6100000000000001E-2</v>
      </c>
      <c r="H177" s="154">
        <v>106.67</v>
      </c>
      <c r="I177" s="135">
        <v>7.7100000000000002E-2</v>
      </c>
    </row>
    <row r="178" spans="1:9" x14ac:dyDescent="0.35">
      <c r="A178" s="136">
        <v>43724</v>
      </c>
      <c r="B178" s="153">
        <v>105.87</v>
      </c>
      <c r="C178" s="138">
        <v>6.6400000000000001E-2</v>
      </c>
      <c r="D178" s="153">
        <v>106.9</v>
      </c>
      <c r="E178" s="138">
        <v>7.2500000000000009E-2</v>
      </c>
      <c r="F178" s="153">
        <v>106.11</v>
      </c>
      <c r="G178" s="138">
        <v>7.6700000000000004E-2</v>
      </c>
      <c r="H178" s="153">
        <v>105.92</v>
      </c>
      <c r="I178" s="138">
        <v>7.7899999999999997E-2</v>
      </c>
    </row>
    <row r="179" spans="1:9" x14ac:dyDescent="0.35">
      <c r="A179" s="136">
        <v>43725</v>
      </c>
      <c r="B179" s="153">
        <v>105.7</v>
      </c>
      <c r="C179" s="138">
        <v>6.6799999999999998E-2</v>
      </c>
      <c r="D179" s="153">
        <v>106.65</v>
      </c>
      <c r="E179" s="138">
        <v>7.2800000000000004E-2</v>
      </c>
      <c r="F179" s="153">
        <v>105.81</v>
      </c>
      <c r="G179" s="138">
        <v>7.7100000000000002E-2</v>
      </c>
      <c r="H179" s="153">
        <v>105.61</v>
      </c>
      <c r="I179" s="138">
        <v>7.8100000000000003E-2</v>
      </c>
    </row>
    <row r="180" spans="1:9" x14ac:dyDescent="0.35">
      <c r="A180" s="136">
        <v>43726</v>
      </c>
      <c r="B180" s="153">
        <v>106.09</v>
      </c>
      <c r="C180" s="138">
        <v>6.59E-2</v>
      </c>
      <c r="D180" s="153">
        <v>107.28</v>
      </c>
      <c r="E180" s="138">
        <v>7.1900000000000006E-2</v>
      </c>
      <c r="F180" s="153">
        <v>106.49000000000001</v>
      </c>
      <c r="G180" s="138">
        <v>7.6300000000000007E-2</v>
      </c>
      <c r="H180" s="153">
        <v>106.13000000000001</v>
      </c>
      <c r="I180" s="138">
        <v>7.7600000000000002E-2</v>
      </c>
    </row>
    <row r="181" spans="1:9" x14ac:dyDescent="0.35">
      <c r="A181" s="136">
        <v>43727</v>
      </c>
      <c r="B181" s="153">
        <v>106.1</v>
      </c>
      <c r="C181" s="138">
        <v>6.5799999999999997E-2</v>
      </c>
      <c r="D181" s="153">
        <v>107.18</v>
      </c>
      <c r="E181" s="138">
        <v>7.2099999999999997E-2</v>
      </c>
      <c r="F181" s="153">
        <v>106.35000000000001</v>
      </c>
      <c r="G181" s="138">
        <v>7.6499999999999999E-2</v>
      </c>
      <c r="H181" s="153">
        <v>106.01</v>
      </c>
      <c r="I181" s="138">
        <v>7.7800000000000008E-2</v>
      </c>
    </row>
    <row r="182" spans="1:9" x14ac:dyDescent="0.35">
      <c r="A182" s="136">
        <v>43728</v>
      </c>
      <c r="B182" s="153">
        <v>105.94</v>
      </c>
      <c r="C182" s="138">
        <v>6.6200000000000009E-2</v>
      </c>
      <c r="D182" s="153">
        <v>107.01</v>
      </c>
      <c r="E182" s="138">
        <v>7.2300000000000003E-2</v>
      </c>
      <c r="F182" s="153">
        <v>106.07000000000001</v>
      </c>
      <c r="G182" s="138">
        <v>7.6800000000000007E-2</v>
      </c>
      <c r="H182" s="153">
        <v>105.77000000000001</v>
      </c>
      <c r="I182" s="138">
        <v>7.8E-2</v>
      </c>
    </row>
    <row r="183" spans="1:9" x14ac:dyDescent="0.35">
      <c r="A183" s="133">
        <v>43731</v>
      </c>
      <c r="B183" s="154">
        <v>106.06</v>
      </c>
      <c r="C183" s="135">
        <v>6.59E-2</v>
      </c>
      <c r="D183" s="154">
        <v>107.06</v>
      </c>
      <c r="E183" s="135">
        <v>7.22E-2</v>
      </c>
      <c r="F183" s="154">
        <v>106.02000000000001</v>
      </c>
      <c r="G183" s="135">
        <v>7.6800000000000007E-2</v>
      </c>
      <c r="H183" s="154">
        <v>105.76</v>
      </c>
      <c r="I183" s="135">
        <v>7.8E-2</v>
      </c>
    </row>
    <row r="184" spans="1:9" x14ac:dyDescent="0.35">
      <c r="A184" s="133">
        <v>43732</v>
      </c>
      <c r="B184" s="154">
        <v>105.85000000000001</v>
      </c>
      <c r="C184" s="135">
        <v>6.6400000000000001E-2</v>
      </c>
      <c r="D184" s="154">
        <v>106.62</v>
      </c>
      <c r="E184" s="135">
        <v>7.2800000000000004E-2</v>
      </c>
      <c r="F184" s="154">
        <v>105.85</v>
      </c>
      <c r="G184" s="135">
        <v>7.6999999999999999E-2</v>
      </c>
      <c r="H184" s="154">
        <v>105.51</v>
      </c>
      <c r="I184" s="135">
        <v>7.8200000000000006E-2</v>
      </c>
    </row>
    <row r="185" spans="1:9" x14ac:dyDescent="0.35">
      <c r="A185" s="133">
        <v>43733</v>
      </c>
      <c r="B185" s="154">
        <v>105.66000000000001</v>
      </c>
      <c r="C185" s="135">
        <v>6.6900000000000001E-2</v>
      </c>
      <c r="D185" s="154">
        <v>106.37</v>
      </c>
      <c r="E185" s="135">
        <v>7.3200000000000001E-2</v>
      </c>
      <c r="F185" s="154">
        <v>105.52000000000001</v>
      </c>
      <c r="G185" s="135">
        <v>7.7399999999999997E-2</v>
      </c>
      <c r="H185" s="154">
        <v>105.11</v>
      </c>
      <c r="I185" s="135">
        <v>7.8600000000000003E-2</v>
      </c>
    </row>
    <row r="186" spans="1:9" x14ac:dyDescent="0.35">
      <c r="A186" s="133">
        <v>43734</v>
      </c>
      <c r="B186" s="154">
        <v>105.74</v>
      </c>
      <c r="C186" s="135">
        <v>6.6700000000000009E-2</v>
      </c>
      <c r="D186" s="154">
        <v>106.69000000000001</v>
      </c>
      <c r="E186" s="135">
        <v>7.2700000000000001E-2</v>
      </c>
      <c r="F186" s="154">
        <v>105.63</v>
      </c>
      <c r="G186" s="135">
        <v>7.7300000000000008E-2</v>
      </c>
      <c r="H186" s="154">
        <v>105.29</v>
      </c>
      <c r="I186" s="135">
        <v>7.85E-2</v>
      </c>
    </row>
    <row r="187" spans="1:9" x14ac:dyDescent="0.35">
      <c r="A187" s="133">
        <v>43735</v>
      </c>
      <c r="B187" s="154">
        <v>105.63000000000001</v>
      </c>
      <c r="C187" s="135">
        <v>6.6900000000000001E-2</v>
      </c>
      <c r="D187" s="154">
        <v>106.3</v>
      </c>
      <c r="E187" s="135">
        <v>7.3300000000000004E-2</v>
      </c>
      <c r="F187" s="154">
        <v>105.29</v>
      </c>
      <c r="G187" s="135">
        <v>7.7600000000000002E-2</v>
      </c>
      <c r="H187" s="154">
        <v>104.92</v>
      </c>
      <c r="I187" s="135">
        <v>7.8800000000000009E-2</v>
      </c>
    </row>
    <row r="188" spans="1:9" x14ac:dyDescent="0.35">
      <c r="A188" s="136">
        <v>43738</v>
      </c>
      <c r="B188" s="153">
        <v>105.7</v>
      </c>
      <c r="C188" s="138">
        <v>6.6700000000000009E-2</v>
      </c>
      <c r="D188" s="153">
        <v>106.63000000000001</v>
      </c>
      <c r="E188" s="138">
        <v>7.2800000000000004E-2</v>
      </c>
      <c r="F188" s="153">
        <v>105.60000000000001</v>
      </c>
      <c r="G188" s="138">
        <v>7.7300000000000008E-2</v>
      </c>
      <c r="H188" s="153">
        <v>105.31</v>
      </c>
      <c r="I188" s="138">
        <v>7.8399999999999997E-2</v>
      </c>
    </row>
    <row r="189" spans="1:9" x14ac:dyDescent="0.35">
      <c r="A189" s="136">
        <v>43739</v>
      </c>
      <c r="B189" s="153">
        <v>105.66000000000001</v>
      </c>
      <c r="C189" s="138">
        <v>6.6799999999999998E-2</v>
      </c>
      <c r="D189" s="153">
        <v>106.64</v>
      </c>
      <c r="E189" s="138">
        <v>7.2800000000000004E-2</v>
      </c>
      <c r="F189" s="153">
        <v>105.67</v>
      </c>
      <c r="G189" s="138">
        <v>7.7200000000000005E-2</v>
      </c>
      <c r="H189" s="153">
        <v>105.26</v>
      </c>
      <c r="I189" s="138">
        <v>7.85E-2</v>
      </c>
    </row>
    <row r="190" spans="1:9" x14ac:dyDescent="0.35">
      <c r="A190" s="136">
        <v>43740</v>
      </c>
      <c r="B190" s="153">
        <v>105.7</v>
      </c>
      <c r="C190" s="138">
        <v>6.6700000000000009E-2</v>
      </c>
      <c r="D190" s="153">
        <v>106.67</v>
      </c>
      <c r="E190" s="138">
        <v>7.2800000000000004E-2</v>
      </c>
      <c r="F190" s="153">
        <v>105.77000000000001</v>
      </c>
      <c r="G190" s="138">
        <v>7.7100000000000002E-2</v>
      </c>
      <c r="H190" s="153">
        <v>105.49000000000001</v>
      </c>
      <c r="I190" s="138">
        <v>7.8300000000000008E-2</v>
      </c>
    </row>
    <row r="191" spans="1:9" x14ac:dyDescent="0.35">
      <c r="A191" s="136">
        <v>43741</v>
      </c>
      <c r="B191" s="153">
        <v>105.79</v>
      </c>
      <c r="C191" s="138">
        <v>6.6500000000000004E-2</v>
      </c>
      <c r="D191" s="153">
        <v>106.9</v>
      </c>
      <c r="E191" s="138">
        <v>7.2400000000000006E-2</v>
      </c>
      <c r="F191" s="153">
        <v>105.89</v>
      </c>
      <c r="G191" s="138">
        <v>7.6999999999999999E-2</v>
      </c>
      <c r="H191" s="153">
        <v>105.49000000000001</v>
      </c>
      <c r="I191" s="138">
        <v>7.8300000000000008E-2</v>
      </c>
    </row>
    <row r="192" spans="1:9" x14ac:dyDescent="0.35">
      <c r="A192" s="136">
        <v>43742</v>
      </c>
      <c r="B192" s="153">
        <v>106.03</v>
      </c>
      <c r="C192" s="138">
        <v>6.59E-2</v>
      </c>
      <c r="D192" s="153">
        <v>107.17</v>
      </c>
      <c r="E192" s="138">
        <v>7.2099999999999997E-2</v>
      </c>
      <c r="F192" s="153">
        <v>106.30000000000001</v>
      </c>
      <c r="G192" s="138">
        <v>7.6499999999999999E-2</v>
      </c>
      <c r="H192" s="153">
        <v>105.55</v>
      </c>
      <c r="I192" s="138">
        <v>7.8200000000000006E-2</v>
      </c>
    </row>
    <row r="193" spans="1:9" x14ac:dyDescent="0.35">
      <c r="A193" s="133">
        <v>43745</v>
      </c>
      <c r="B193" s="154">
        <v>105.99000000000001</v>
      </c>
      <c r="C193" s="135">
        <v>6.6000000000000003E-2</v>
      </c>
      <c r="D193" s="154">
        <v>107.06</v>
      </c>
      <c r="E193" s="135">
        <v>7.22E-2</v>
      </c>
      <c r="F193" s="154">
        <v>106.13000000000001</v>
      </c>
      <c r="G193" s="135">
        <v>7.6700000000000004E-2</v>
      </c>
      <c r="H193" s="154">
        <v>105.47</v>
      </c>
      <c r="I193" s="135">
        <v>7.8300000000000008E-2</v>
      </c>
    </row>
    <row r="194" spans="1:9" x14ac:dyDescent="0.35">
      <c r="A194" s="133">
        <v>43746</v>
      </c>
      <c r="B194" s="154">
        <v>105.9</v>
      </c>
      <c r="C194" s="135">
        <v>6.6200000000000009E-2</v>
      </c>
      <c r="D194" s="154">
        <v>106.93</v>
      </c>
      <c r="E194" s="135">
        <v>7.2400000000000006E-2</v>
      </c>
      <c r="F194" s="154">
        <v>106.07000000000001</v>
      </c>
      <c r="G194" s="135">
        <v>7.6800000000000007E-2</v>
      </c>
      <c r="H194" s="154">
        <v>105.35000000000001</v>
      </c>
      <c r="I194" s="135">
        <v>7.8399999999999997E-2</v>
      </c>
    </row>
    <row r="195" spans="1:9" x14ac:dyDescent="0.35">
      <c r="A195" s="133">
        <v>43747</v>
      </c>
      <c r="B195" s="154">
        <v>105.62</v>
      </c>
      <c r="C195" s="135">
        <v>6.6900000000000001E-2</v>
      </c>
      <c r="D195" s="154">
        <v>106.69000000000001</v>
      </c>
      <c r="E195" s="135">
        <v>7.2700000000000001E-2</v>
      </c>
      <c r="F195" s="154">
        <v>105.87</v>
      </c>
      <c r="G195" s="135">
        <v>7.6999999999999999E-2</v>
      </c>
      <c r="H195" s="154">
        <v>105.13000000000001</v>
      </c>
      <c r="I195" s="135">
        <v>7.8600000000000003E-2</v>
      </c>
    </row>
    <row r="196" spans="1:9" x14ac:dyDescent="0.35">
      <c r="A196" s="133">
        <v>43748</v>
      </c>
      <c r="B196" s="154">
        <v>105.73</v>
      </c>
      <c r="C196" s="135">
        <v>6.6600000000000006E-2</v>
      </c>
      <c r="D196" s="154">
        <v>106.73</v>
      </c>
      <c r="E196" s="135">
        <v>7.2700000000000001E-2</v>
      </c>
      <c r="F196" s="154">
        <v>105.96000000000001</v>
      </c>
      <c r="G196" s="135">
        <v>7.6899999999999996E-2</v>
      </c>
      <c r="H196" s="154">
        <v>105.08</v>
      </c>
      <c r="I196" s="135">
        <v>7.8700000000000006E-2</v>
      </c>
    </row>
    <row r="197" spans="1:9" x14ac:dyDescent="0.35">
      <c r="A197" s="133">
        <v>43749</v>
      </c>
      <c r="B197" s="154">
        <v>105.92</v>
      </c>
      <c r="C197" s="135">
        <v>6.6100000000000006E-2</v>
      </c>
      <c r="D197" s="154">
        <v>106.94000000000001</v>
      </c>
      <c r="E197" s="135">
        <v>7.2400000000000006E-2</v>
      </c>
      <c r="F197" s="154">
        <v>106.10000000000001</v>
      </c>
      <c r="G197" s="135">
        <v>7.6700000000000004E-2</v>
      </c>
      <c r="H197" s="154">
        <v>105.14</v>
      </c>
      <c r="I197" s="135">
        <v>7.8600000000000003E-2</v>
      </c>
    </row>
    <row r="198" spans="1:9" x14ac:dyDescent="0.35">
      <c r="A198" s="136">
        <v>43752</v>
      </c>
      <c r="B198" s="153">
        <v>105.9</v>
      </c>
      <c r="C198" s="138">
        <v>6.6100000000000006E-2</v>
      </c>
      <c r="D198" s="153">
        <v>107.06</v>
      </c>
      <c r="E198" s="138">
        <v>7.22E-2</v>
      </c>
      <c r="F198" s="153">
        <v>106.26</v>
      </c>
      <c r="G198" s="138">
        <v>7.6499999999999999E-2</v>
      </c>
      <c r="H198" s="153">
        <v>105.31</v>
      </c>
      <c r="I198" s="138">
        <v>7.8399999999999997E-2</v>
      </c>
    </row>
    <row r="199" spans="1:9" x14ac:dyDescent="0.35">
      <c r="A199" s="136">
        <v>43753</v>
      </c>
      <c r="B199" s="153">
        <v>105.94000000000001</v>
      </c>
      <c r="C199" s="138">
        <v>6.6000000000000003E-2</v>
      </c>
      <c r="D199" s="153">
        <v>107.16000000000001</v>
      </c>
      <c r="E199" s="138">
        <v>7.2099999999999997E-2</v>
      </c>
      <c r="F199" s="153">
        <v>106.56</v>
      </c>
      <c r="G199" s="138">
        <v>7.6200000000000004E-2</v>
      </c>
      <c r="H199" s="153">
        <v>105.39</v>
      </c>
      <c r="I199" s="138">
        <v>7.8399999999999997E-2</v>
      </c>
    </row>
    <row r="200" spans="1:9" x14ac:dyDescent="0.35">
      <c r="A200" s="136">
        <v>43754</v>
      </c>
      <c r="B200" s="153">
        <v>105.93</v>
      </c>
      <c r="C200" s="138">
        <v>6.6100000000000006E-2</v>
      </c>
      <c r="D200" s="153">
        <v>107.24000000000001</v>
      </c>
      <c r="E200" s="138">
        <v>7.1900000000000006E-2</v>
      </c>
      <c r="F200" s="153">
        <v>106.82000000000001</v>
      </c>
      <c r="G200" s="138">
        <v>7.5900000000000009E-2</v>
      </c>
      <c r="H200" s="153">
        <v>105.73</v>
      </c>
      <c r="I200" s="138">
        <v>7.8E-2</v>
      </c>
    </row>
    <row r="201" spans="1:9" x14ac:dyDescent="0.35">
      <c r="A201" s="136">
        <v>43755</v>
      </c>
      <c r="B201" s="153">
        <v>106.01</v>
      </c>
      <c r="C201" s="138">
        <v>6.5799999999999997E-2</v>
      </c>
      <c r="D201" s="153">
        <v>107.58</v>
      </c>
      <c r="E201" s="138">
        <v>7.1500000000000008E-2</v>
      </c>
      <c r="F201" s="153">
        <v>107.15</v>
      </c>
      <c r="G201" s="138">
        <v>7.5600000000000001E-2</v>
      </c>
      <c r="H201" s="153">
        <v>106.12</v>
      </c>
      <c r="I201" s="138">
        <v>7.7700000000000005E-2</v>
      </c>
    </row>
    <row r="202" spans="1:9" x14ac:dyDescent="0.35">
      <c r="A202" s="136">
        <v>43756</v>
      </c>
      <c r="B202" s="153">
        <v>105.98</v>
      </c>
      <c r="C202" s="138">
        <v>6.59E-2</v>
      </c>
      <c r="D202" s="153">
        <v>107.79</v>
      </c>
      <c r="E202" s="138">
        <v>7.1199999999999999E-2</v>
      </c>
      <c r="F202" s="153">
        <v>106.93</v>
      </c>
      <c r="G202" s="138">
        <v>7.5800000000000006E-2</v>
      </c>
      <c r="H202" s="153">
        <v>106.09</v>
      </c>
      <c r="I202" s="138">
        <v>7.7700000000000005E-2</v>
      </c>
    </row>
    <row r="203" spans="1:9" x14ac:dyDescent="0.35">
      <c r="A203" s="133">
        <v>43759</v>
      </c>
      <c r="B203" s="154">
        <v>106.03</v>
      </c>
      <c r="C203" s="135">
        <v>6.5799999999999997E-2</v>
      </c>
      <c r="D203" s="154">
        <v>107.71000000000001</v>
      </c>
      <c r="E203" s="135">
        <v>7.1300000000000002E-2</v>
      </c>
      <c r="F203" s="154">
        <v>107.04</v>
      </c>
      <c r="G203" s="135">
        <v>7.5700000000000003E-2</v>
      </c>
      <c r="H203" s="154">
        <v>106.12</v>
      </c>
      <c r="I203" s="135">
        <v>7.7700000000000005E-2</v>
      </c>
    </row>
    <row r="204" spans="1:9" x14ac:dyDescent="0.35">
      <c r="A204" s="133">
        <v>43760</v>
      </c>
      <c r="B204" s="154">
        <v>106.13000000000001</v>
      </c>
      <c r="C204" s="135">
        <v>6.5500000000000003E-2</v>
      </c>
      <c r="D204" s="154">
        <v>107.97</v>
      </c>
      <c r="E204" s="135">
        <v>7.0900000000000005E-2</v>
      </c>
      <c r="F204" s="154">
        <v>107.02000000000001</v>
      </c>
      <c r="G204" s="135">
        <v>7.5700000000000003E-2</v>
      </c>
      <c r="H204" s="154">
        <v>105.99000000000001</v>
      </c>
      <c r="I204" s="135">
        <v>7.7800000000000008E-2</v>
      </c>
    </row>
    <row r="205" spans="1:9" x14ac:dyDescent="0.35">
      <c r="A205" s="133">
        <v>43761</v>
      </c>
      <c r="B205" s="154">
        <v>106.25</v>
      </c>
      <c r="C205" s="135">
        <v>6.5200000000000008E-2</v>
      </c>
      <c r="D205" s="154">
        <v>108.19000000000001</v>
      </c>
      <c r="E205" s="135">
        <v>7.0599999999999996E-2</v>
      </c>
      <c r="F205" s="154">
        <v>107.60000000000001</v>
      </c>
      <c r="G205" s="135">
        <v>7.51E-2</v>
      </c>
      <c r="H205" s="154">
        <v>106.43</v>
      </c>
      <c r="I205" s="135">
        <v>7.7399999999999997E-2</v>
      </c>
    </row>
    <row r="206" spans="1:9" x14ac:dyDescent="0.35">
      <c r="A206" s="133">
        <v>43762</v>
      </c>
      <c r="B206" s="154">
        <v>106.36</v>
      </c>
      <c r="C206" s="135">
        <v>6.4899999999999999E-2</v>
      </c>
      <c r="D206" s="154">
        <v>108.34</v>
      </c>
      <c r="E206" s="135">
        <v>7.0400000000000004E-2</v>
      </c>
      <c r="F206" s="154">
        <v>107.95</v>
      </c>
      <c r="G206" s="135">
        <v>7.4700000000000003E-2</v>
      </c>
      <c r="H206" s="154">
        <v>106.51</v>
      </c>
      <c r="I206" s="135">
        <v>7.7300000000000008E-2</v>
      </c>
    </row>
    <row r="207" spans="1:9" x14ac:dyDescent="0.35">
      <c r="A207" s="133">
        <v>43763</v>
      </c>
      <c r="B207" s="154">
        <v>106.19000000000001</v>
      </c>
      <c r="C207" s="135">
        <v>6.5299999999999997E-2</v>
      </c>
      <c r="D207" s="154">
        <v>108.04</v>
      </c>
      <c r="E207" s="135">
        <v>7.0800000000000002E-2</v>
      </c>
      <c r="F207" s="154">
        <v>107.58</v>
      </c>
      <c r="G207" s="135">
        <v>7.51E-2</v>
      </c>
      <c r="H207" s="154">
        <v>106.25</v>
      </c>
      <c r="I207" s="135">
        <v>7.7499999999999999E-2</v>
      </c>
    </row>
    <row r="208" spans="1:9" x14ac:dyDescent="0.35">
      <c r="A208" s="136">
        <v>43766</v>
      </c>
      <c r="B208" s="153">
        <v>106.44000000000001</v>
      </c>
      <c r="C208" s="138">
        <v>6.4700000000000008E-2</v>
      </c>
      <c r="D208" s="153">
        <v>108.27</v>
      </c>
      <c r="E208" s="138">
        <v>7.0500000000000007E-2</v>
      </c>
      <c r="F208" s="153">
        <v>107.44000000000001</v>
      </c>
      <c r="G208" s="138">
        <v>7.5200000000000003E-2</v>
      </c>
      <c r="H208" s="153">
        <v>106.56</v>
      </c>
      <c r="I208" s="138">
        <v>7.7200000000000005E-2</v>
      </c>
    </row>
    <row r="209" spans="1:9" x14ac:dyDescent="0.35">
      <c r="A209" s="136">
        <v>43767</v>
      </c>
      <c r="B209" s="153">
        <v>106.66000000000001</v>
      </c>
      <c r="C209" s="138">
        <v>6.4200000000000007E-2</v>
      </c>
      <c r="D209" s="153">
        <v>108.49000000000001</v>
      </c>
      <c r="E209" s="138">
        <v>7.0199999999999999E-2</v>
      </c>
      <c r="F209" s="153">
        <v>107.79</v>
      </c>
      <c r="G209" s="138">
        <v>7.4800000000000005E-2</v>
      </c>
      <c r="H209" s="153">
        <v>106.85000000000001</v>
      </c>
      <c r="I209" s="138">
        <v>7.6899999999999996E-2</v>
      </c>
    </row>
    <row r="210" spans="1:9" x14ac:dyDescent="0.35">
      <c r="A210" s="136">
        <v>43768</v>
      </c>
      <c r="B210" s="153">
        <v>106.46000000000001</v>
      </c>
      <c r="C210" s="138">
        <v>6.4600000000000005E-2</v>
      </c>
      <c r="D210" s="153">
        <v>108.35000000000001</v>
      </c>
      <c r="E210" s="138">
        <v>7.0400000000000004E-2</v>
      </c>
      <c r="F210" s="153">
        <v>107.62</v>
      </c>
      <c r="G210" s="138">
        <v>7.4999999999999997E-2</v>
      </c>
      <c r="H210" s="153">
        <v>106.73</v>
      </c>
      <c r="I210" s="138">
        <v>7.7100000000000002E-2</v>
      </c>
    </row>
    <row r="211" spans="1:9" x14ac:dyDescent="0.35">
      <c r="A211" s="136">
        <v>43769</v>
      </c>
      <c r="B211" s="153">
        <v>106.75</v>
      </c>
      <c r="C211" s="138">
        <v>6.3899999999999998E-2</v>
      </c>
      <c r="D211" s="153">
        <v>108.79</v>
      </c>
      <c r="E211" s="138">
        <v>6.9800000000000001E-2</v>
      </c>
      <c r="F211" s="153">
        <v>108.08</v>
      </c>
      <c r="G211" s="138">
        <v>7.4499999999999997E-2</v>
      </c>
      <c r="H211" s="153">
        <v>107.16000000000001</v>
      </c>
      <c r="I211" s="138">
        <v>7.6700000000000004E-2</v>
      </c>
    </row>
    <row r="212" spans="1:9" x14ac:dyDescent="0.35">
      <c r="A212" s="136">
        <v>43770</v>
      </c>
      <c r="B212" s="153">
        <v>106.54</v>
      </c>
      <c r="C212" s="138">
        <v>6.4399999999999999E-2</v>
      </c>
      <c r="D212" s="153">
        <v>108.44</v>
      </c>
      <c r="E212" s="138">
        <v>7.0300000000000001E-2</v>
      </c>
      <c r="F212" s="153">
        <v>107.96</v>
      </c>
      <c r="G212" s="138">
        <v>7.4700000000000003E-2</v>
      </c>
      <c r="H212" s="153">
        <v>106.81</v>
      </c>
      <c r="I212" s="138">
        <v>7.6999999999999999E-2</v>
      </c>
    </row>
    <row r="213" spans="1:9" x14ac:dyDescent="0.35">
      <c r="A213" s="133">
        <v>43773</v>
      </c>
      <c r="B213" s="154">
        <v>106.71000000000001</v>
      </c>
      <c r="C213" s="135">
        <v>6.4000000000000001E-2</v>
      </c>
      <c r="D213" s="154">
        <v>109</v>
      </c>
      <c r="E213" s="135">
        <v>6.9500000000000006E-2</v>
      </c>
      <c r="F213" s="154">
        <v>108.02000000000001</v>
      </c>
      <c r="G213" s="135">
        <v>7.46E-2</v>
      </c>
      <c r="H213" s="154">
        <v>107.02</v>
      </c>
      <c r="I213" s="135">
        <v>7.6800000000000007E-2</v>
      </c>
    </row>
    <row r="214" spans="1:9" x14ac:dyDescent="0.35">
      <c r="A214" s="133">
        <v>43774</v>
      </c>
      <c r="B214" s="154">
        <v>106.65</v>
      </c>
      <c r="C214" s="135">
        <v>6.4100000000000004E-2</v>
      </c>
      <c r="D214" s="154">
        <v>108.87</v>
      </c>
      <c r="E214" s="135">
        <v>6.9600000000000009E-2</v>
      </c>
      <c r="F214" s="154">
        <v>107.98</v>
      </c>
      <c r="G214" s="135">
        <v>7.46E-2</v>
      </c>
      <c r="H214" s="154">
        <v>106.96</v>
      </c>
      <c r="I214" s="135">
        <v>7.6800000000000007E-2</v>
      </c>
    </row>
    <row r="215" spans="1:9" x14ac:dyDescent="0.35">
      <c r="A215" s="133">
        <v>43775</v>
      </c>
      <c r="B215" s="154">
        <v>106.82</v>
      </c>
      <c r="C215" s="135">
        <v>6.3700000000000007E-2</v>
      </c>
      <c r="D215" s="154">
        <v>109.09</v>
      </c>
      <c r="E215" s="135">
        <v>6.93E-2</v>
      </c>
      <c r="F215" s="154">
        <v>108.24</v>
      </c>
      <c r="G215" s="135">
        <v>7.4300000000000005E-2</v>
      </c>
      <c r="H215" s="154">
        <v>107.34</v>
      </c>
      <c r="I215" s="135">
        <v>7.6499999999999999E-2</v>
      </c>
    </row>
    <row r="216" spans="1:9" x14ac:dyDescent="0.35">
      <c r="A216" s="133">
        <v>43776</v>
      </c>
      <c r="B216" s="154">
        <v>106.60000000000001</v>
      </c>
      <c r="C216" s="135">
        <v>6.4200000000000007E-2</v>
      </c>
      <c r="D216" s="154">
        <v>108.64</v>
      </c>
      <c r="E216" s="135">
        <v>7.0000000000000007E-2</v>
      </c>
      <c r="F216" s="154">
        <v>108.29</v>
      </c>
      <c r="G216" s="135">
        <v>7.4300000000000005E-2</v>
      </c>
      <c r="H216" s="154">
        <v>107.26</v>
      </c>
      <c r="I216" s="135">
        <v>7.6600000000000001E-2</v>
      </c>
    </row>
    <row r="217" spans="1:9" x14ac:dyDescent="0.35">
      <c r="A217" s="133">
        <v>43777</v>
      </c>
      <c r="B217" s="154">
        <v>106.73</v>
      </c>
      <c r="C217" s="135">
        <v>6.3899999999999998E-2</v>
      </c>
      <c r="D217" s="154">
        <v>108.83</v>
      </c>
      <c r="E217" s="135">
        <v>6.9699999999999998E-2</v>
      </c>
      <c r="F217" s="154">
        <v>109.26</v>
      </c>
      <c r="G217" s="135">
        <v>7.3200000000000001E-2</v>
      </c>
      <c r="H217" s="154">
        <v>107.98</v>
      </c>
      <c r="I217" s="135">
        <v>7.5900000000000009E-2</v>
      </c>
    </row>
    <row r="218" spans="1:9" x14ac:dyDescent="0.35">
      <c r="A218" s="136">
        <v>43780</v>
      </c>
      <c r="B218" s="153">
        <v>106.69</v>
      </c>
      <c r="C218" s="138">
        <v>6.4000000000000001E-2</v>
      </c>
      <c r="D218" s="153">
        <v>108.82</v>
      </c>
      <c r="E218" s="138">
        <v>6.9699999999999998E-2</v>
      </c>
      <c r="F218" s="153">
        <v>109.33</v>
      </c>
      <c r="G218" s="138">
        <v>7.3200000000000001E-2</v>
      </c>
      <c r="H218" s="153">
        <v>108.48</v>
      </c>
      <c r="I218" s="138">
        <v>7.5400000000000009E-2</v>
      </c>
    </row>
    <row r="219" spans="1:9" x14ac:dyDescent="0.35">
      <c r="A219" s="136">
        <v>43781</v>
      </c>
      <c r="B219" s="153">
        <v>106.43</v>
      </c>
      <c r="C219" s="138">
        <v>6.4600000000000005E-2</v>
      </c>
      <c r="D219" s="153">
        <v>108.4</v>
      </c>
      <c r="E219" s="138">
        <v>7.0300000000000001E-2</v>
      </c>
      <c r="F219" s="153">
        <v>108.86</v>
      </c>
      <c r="G219" s="138">
        <v>7.3700000000000002E-2</v>
      </c>
      <c r="H219" s="153">
        <v>107.88000000000001</v>
      </c>
      <c r="I219" s="138">
        <v>7.5999999999999998E-2</v>
      </c>
    </row>
    <row r="220" spans="1:9" x14ac:dyDescent="0.35">
      <c r="A220" s="136">
        <v>43782</v>
      </c>
      <c r="B220" s="153">
        <v>106.18</v>
      </c>
      <c r="C220" s="138">
        <v>6.5200000000000008E-2</v>
      </c>
      <c r="D220" s="153">
        <v>108.05000000000001</v>
      </c>
      <c r="E220" s="138">
        <v>7.0800000000000002E-2</v>
      </c>
      <c r="F220" s="153">
        <v>108.21</v>
      </c>
      <c r="G220" s="138">
        <v>7.4400000000000008E-2</v>
      </c>
      <c r="H220" s="153">
        <v>107.49000000000001</v>
      </c>
      <c r="I220" s="138">
        <v>7.6300000000000007E-2</v>
      </c>
    </row>
    <row r="221" spans="1:9" x14ac:dyDescent="0.35">
      <c r="A221" s="136">
        <v>43783</v>
      </c>
      <c r="B221" s="153">
        <v>106.23</v>
      </c>
      <c r="C221" s="138">
        <v>6.5100000000000005E-2</v>
      </c>
      <c r="D221" s="153">
        <v>108.05000000000001</v>
      </c>
      <c r="E221" s="138">
        <v>7.0800000000000002E-2</v>
      </c>
      <c r="F221" s="153">
        <v>108.16000000000001</v>
      </c>
      <c r="G221" s="138">
        <v>7.4400000000000008E-2</v>
      </c>
      <c r="H221" s="153">
        <v>107.43</v>
      </c>
      <c r="I221" s="138">
        <v>7.640000000000001E-2</v>
      </c>
    </row>
    <row r="222" spans="1:9" x14ac:dyDescent="0.35">
      <c r="A222" s="136">
        <v>43784</v>
      </c>
      <c r="B222" s="153">
        <v>106.25</v>
      </c>
      <c r="C222" s="138">
        <v>6.5000000000000002E-2</v>
      </c>
      <c r="D222" s="153">
        <v>108.21</v>
      </c>
      <c r="E222" s="138">
        <v>7.0500000000000007E-2</v>
      </c>
      <c r="F222" s="153">
        <v>108.25</v>
      </c>
      <c r="G222" s="138">
        <v>7.4300000000000005E-2</v>
      </c>
      <c r="H222" s="153">
        <v>107.58</v>
      </c>
      <c r="I222" s="138">
        <v>7.6200000000000004E-2</v>
      </c>
    </row>
    <row r="223" spans="1:9" x14ac:dyDescent="0.35">
      <c r="A223" s="133">
        <v>43787</v>
      </c>
      <c r="B223" s="154">
        <v>106.53</v>
      </c>
      <c r="C223" s="135">
        <v>6.4299999999999996E-2</v>
      </c>
      <c r="D223" s="154">
        <v>108.64</v>
      </c>
      <c r="E223" s="135">
        <v>6.9900000000000004E-2</v>
      </c>
      <c r="F223" s="154">
        <v>108.46000000000001</v>
      </c>
      <c r="G223" s="135">
        <v>7.4099999999999999E-2</v>
      </c>
      <c r="H223" s="154">
        <v>107.72</v>
      </c>
      <c r="I223" s="135">
        <v>7.6100000000000001E-2</v>
      </c>
    </row>
    <row r="224" spans="1:9" x14ac:dyDescent="0.35">
      <c r="A224" s="133">
        <v>43788</v>
      </c>
      <c r="B224" s="154">
        <v>106.35000000000001</v>
      </c>
      <c r="C224" s="135">
        <v>6.4799999999999996E-2</v>
      </c>
      <c r="D224" s="154">
        <v>108.45</v>
      </c>
      <c r="E224" s="135">
        <v>7.0199999999999999E-2</v>
      </c>
      <c r="F224" s="154">
        <v>108.33</v>
      </c>
      <c r="G224" s="135">
        <v>7.4200000000000002E-2</v>
      </c>
      <c r="H224" s="154">
        <v>107.64</v>
      </c>
      <c r="I224" s="135">
        <v>7.6200000000000004E-2</v>
      </c>
    </row>
    <row r="225" spans="1:9" x14ac:dyDescent="0.35">
      <c r="A225" s="133">
        <v>43789</v>
      </c>
      <c r="B225" s="154">
        <v>106.37</v>
      </c>
      <c r="C225" s="135">
        <v>6.4700000000000008E-2</v>
      </c>
      <c r="D225" s="154">
        <v>108.34</v>
      </c>
      <c r="E225" s="135">
        <v>7.0300000000000001E-2</v>
      </c>
      <c r="F225" s="154">
        <v>108.19000000000001</v>
      </c>
      <c r="G225" s="135">
        <v>7.4400000000000008E-2</v>
      </c>
      <c r="H225" s="154">
        <v>107.51</v>
      </c>
      <c r="I225" s="135">
        <v>7.6300000000000007E-2</v>
      </c>
    </row>
    <row r="226" spans="1:9" x14ac:dyDescent="0.35">
      <c r="A226" s="133">
        <v>43790</v>
      </c>
      <c r="B226" s="154">
        <v>106.14</v>
      </c>
      <c r="C226" s="135">
        <v>6.5299999999999997E-2</v>
      </c>
      <c r="D226" s="154">
        <v>107.99000000000001</v>
      </c>
      <c r="E226" s="135">
        <v>7.0800000000000002E-2</v>
      </c>
      <c r="F226" s="154">
        <v>107.94</v>
      </c>
      <c r="G226" s="135">
        <v>7.4700000000000003E-2</v>
      </c>
      <c r="H226" s="154">
        <v>107.2</v>
      </c>
      <c r="I226" s="135">
        <v>7.6600000000000001E-2</v>
      </c>
    </row>
    <row r="227" spans="1:9" x14ac:dyDescent="0.35">
      <c r="A227" s="133">
        <v>43791</v>
      </c>
      <c r="B227" s="154">
        <v>106.29</v>
      </c>
      <c r="C227" s="135">
        <v>6.4899999999999999E-2</v>
      </c>
      <c r="D227" s="154">
        <v>108.18</v>
      </c>
      <c r="E227" s="135">
        <v>7.0599999999999996E-2</v>
      </c>
      <c r="F227" s="154">
        <v>108.08</v>
      </c>
      <c r="G227" s="135">
        <v>7.4499999999999997E-2</v>
      </c>
      <c r="H227" s="154">
        <v>107.29</v>
      </c>
      <c r="I227" s="135">
        <v>7.6499999999999999E-2</v>
      </c>
    </row>
    <row r="228" spans="1:9" x14ac:dyDescent="0.35">
      <c r="A228" s="136">
        <v>43794</v>
      </c>
      <c r="B228" s="153">
        <v>106.26</v>
      </c>
      <c r="C228" s="138">
        <v>6.4899999999999999E-2</v>
      </c>
      <c r="D228" s="153">
        <v>108.21000000000001</v>
      </c>
      <c r="E228" s="138">
        <v>7.0500000000000007E-2</v>
      </c>
      <c r="F228" s="153">
        <v>108.11</v>
      </c>
      <c r="G228" s="138">
        <v>7.4499999999999997E-2</v>
      </c>
      <c r="H228" s="153">
        <v>107.23</v>
      </c>
      <c r="I228" s="138">
        <v>7.6600000000000001E-2</v>
      </c>
    </row>
    <row r="229" spans="1:9" x14ac:dyDescent="0.35">
      <c r="A229" s="136">
        <v>43795</v>
      </c>
      <c r="B229" s="153">
        <v>106.28</v>
      </c>
      <c r="C229" s="138">
        <v>6.4899999999999999E-2</v>
      </c>
      <c r="D229" s="153">
        <v>107.78</v>
      </c>
      <c r="E229" s="138">
        <v>7.1099999999999997E-2</v>
      </c>
      <c r="F229" s="153">
        <v>107.98</v>
      </c>
      <c r="G229" s="138">
        <v>7.46E-2</v>
      </c>
      <c r="H229" s="153">
        <v>107.25</v>
      </c>
      <c r="I229" s="138">
        <v>7.6600000000000001E-2</v>
      </c>
    </row>
    <row r="230" spans="1:9" x14ac:dyDescent="0.35">
      <c r="A230" s="136">
        <v>43796</v>
      </c>
      <c r="B230" s="153">
        <v>106.22</v>
      </c>
      <c r="C230" s="138">
        <v>6.5000000000000002E-2</v>
      </c>
      <c r="D230" s="153">
        <v>108.09</v>
      </c>
      <c r="E230" s="138">
        <v>7.0699999999999999E-2</v>
      </c>
      <c r="F230" s="153">
        <v>107.75</v>
      </c>
      <c r="G230" s="138">
        <v>7.4900000000000008E-2</v>
      </c>
      <c r="H230" s="153">
        <v>107.16000000000001</v>
      </c>
      <c r="I230" s="138">
        <v>7.6600000000000001E-2</v>
      </c>
    </row>
    <row r="231" spans="1:9" x14ac:dyDescent="0.35">
      <c r="A231" s="136">
        <v>43797</v>
      </c>
      <c r="B231" s="153">
        <v>106.27000000000001</v>
      </c>
      <c r="C231" s="138">
        <v>6.4899999999999999E-2</v>
      </c>
      <c r="D231" s="153">
        <v>108.23</v>
      </c>
      <c r="E231" s="138">
        <v>7.0500000000000007E-2</v>
      </c>
      <c r="F231" s="153">
        <v>107.81</v>
      </c>
      <c r="G231" s="138">
        <v>7.4800000000000005E-2</v>
      </c>
      <c r="H231" s="153">
        <v>107.28</v>
      </c>
      <c r="I231" s="138">
        <v>7.6499999999999999E-2</v>
      </c>
    </row>
    <row r="232" spans="1:9" x14ac:dyDescent="0.35">
      <c r="A232" s="133">
        <v>43801</v>
      </c>
      <c r="B232" s="154">
        <v>106.06</v>
      </c>
      <c r="C232" s="135">
        <v>6.54E-2</v>
      </c>
      <c r="D232" s="154">
        <v>107.26</v>
      </c>
      <c r="E232" s="135">
        <v>7.1800000000000003E-2</v>
      </c>
      <c r="F232" s="154">
        <v>106.80000000000001</v>
      </c>
      <c r="G232" s="135">
        <v>7.5900000000000009E-2</v>
      </c>
      <c r="H232" s="154">
        <v>106.65</v>
      </c>
      <c r="I232" s="135">
        <v>7.7100000000000002E-2</v>
      </c>
    </row>
    <row r="233" spans="1:9" x14ac:dyDescent="0.35">
      <c r="A233" s="133">
        <v>43802</v>
      </c>
      <c r="B233" s="154">
        <v>105.81</v>
      </c>
      <c r="C233" s="135">
        <v>6.6000000000000003E-2</v>
      </c>
      <c r="D233" s="154">
        <v>107.4</v>
      </c>
      <c r="E233" s="135">
        <v>7.1599999999999997E-2</v>
      </c>
      <c r="F233" s="154">
        <v>106.84</v>
      </c>
      <c r="G233" s="135">
        <v>7.5900000000000009E-2</v>
      </c>
      <c r="H233" s="154">
        <v>106.31</v>
      </c>
      <c r="I233" s="135">
        <v>7.7399999999999997E-2</v>
      </c>
    </row>
    <row r="234" spans="1:9" x14ac:dyDescent="0.35">
      <c r="A234" s="133">
        <v>43803</v>
      </c>
      <c r="B234" s="154">
        <v>105.82000000000001</v>
      </c>
      <c r="C234" s="135">
        <v>6.6000000000000003E-2</v>
      </c>
      <c r="D234" s="154">
        <v>107.41000000000001</v>
      </c>
      <c r="E234" s="135">
        <v>7.1599999999999997E-2</v>
      </c>
      <c r="F234" s="154">
        <v>106.76</v>
      </c>
      <c r="G234" s="135">
        <v>7.5900000000000009E-2</v>
      </c>
      <c r="H234" s="154">
        <v>106.47</v>
      </c>
      <c r="I234" s="135">
        <v>7.7300000000000008E-2</v>
      </c>
    </row>
    <row r="235" spans="1:9" x14ac:dyDescent="0.35">
      <c r="A235" s="133">
        <v>43804</v>
      </c>
      <c r="B235" s="154">
        <v>106.10000000000001</v>
      </c>
      <c r="C235" s="135">
        <v>6.5200000000000008E-2</v>
      </c>
      <c r="D235" s="154">
        <v>107.88000000000001</v>
      </c>
      <c r="E235" s="135">
        <v>7.0900000000000005E-2</v>
      </c>
      <c r="F235" s="154">
        <v>107.31</v>
      </c>
      <c r="G235" s="135">
        <v>7.5300000000000006E-2</v>
      </c>
      <c r="H235" s="154">
        <v>106.77</v>
      </c>
      <c r="I235" s="135">
        <v>7.6999999999999999E-2</v>
      </c>
    </row>
    <row r="236" spans="1:9" x14ac:dyDescent="0.35">
      <c r="A236" s="133">
        <v>43805</v>
      </c>
      <c r="B236" s="154">
        <v>106.11</v>
      </c>
      <c r="C236" s="135">
        <v>6.5200000000000008E-2</v>
      </c>
      <c r="D236" s="154">
        <v>107.93</v>
      </c>
      <c r="E236" s="135">
        <v>7.0900000000000005E-2</v>
      </c>
      <c r="F236" s="154">
        <v>107.25</v>
      </c>
      <c r="G236" s="135">
        <v>7.5400000000000009E-2</v>
      </c>
      <c r="H236" s="154">
        <v>106.91000000000001</v>
      </c>
      <c r="I236" s="135">
        <v>7.6899999999999996E-2</v>
      </c>
    </row>
    <row r="237" spans="1:9" x14ac:dyDescent="0.35">
      <c r="A237" s="136">
        <v>43808</v>
      </c>
      <c r="B237" s="153">
        <v>106.11</v>
      </c>
      <c r="C237" s="138">
        <v>6.5200000000000008E-2</v>
      </c>
      <c r="D237" s="153">
        <v>107.79</v>
      </c>
      <c r="E237" s="138">
        <v>7.1099999999999997E-2</v>
      </c>
      <c r="F237" s="153">
        <v>107.15</v>
      </c>
      <c r="G237" s="138">
        <v>7.5499999999999998E-2</v>
      </c>
      <c r="H237" s="153">
        <v>106.74000000000001</v>
      </c>
      <c r="I237" s="138">
        <v>7.6999999999999999E-2</v>
      </c>
    </row>
    <row r="238" spans="1:9" x14ac:dyDescent="0.35">
      <c r="A238" s="136">
        <v>43809</v>
      </c>
      <c r="B238" s="153">
        <v>106.17</v>
      </c>
      <c r="C238" s="138">
        <v>6.5000000000000002E-2</v>
      </c>
      <c r="D238" s="153">
        <v>107.88000000000001</v>
      </c>
      <c r="E238" s="138">
        <v>7.0900000000000005E-2</v>
      </c>
      <c r="F238" s="153">
        <v>107.22</v>
      </c>
      <c r="G238" s="138">
        <v>7.5400000000000009E-2</v>
      </c>
      <c r="H238" s="153">
        <v>106.93</v>
      </c>
      <c r="I238" s="138">
        <v>7.6800000000000007E-2</v>
      </c>
    </row>
    <row r="239" spans="1:9" x14ac:dyDescent="0.35">
      <c r="A239" s="136">
        <v>43810</v>
      </c>
      <c r="B239" s="153">
        <v>106.14</v>
      </c>
      <c r="C239" s="138">
        <v>6.5100000000000005E-2</v>
      </c>
      <c r="D239" s="153">
        <v>107.77000000000001</v>
      </c>
      <c r="E239" s="138">
        <v>7.1099999999999997E-2</v>
      </c>
      <c r="F239" s="153">
        <v>107.14</v>
      </c>
      <c r="G239" s="138">
        <v>7.5499999999999998E-2</v>
      </c>
      <c r="H239" s="153">
        <v>106.81</v>
      </c>
      <c r="I239" s="138">
        <v>7.6999999999999999E-2</v>
      </c>
    </row>
    <row r="240" spans="1:9" x14ac:dyDescent="0.35">
      <c r="A240" s="136">
        <v>43811</v>
      </c>
      <c r="B240" s="153">
        <v>105.94000000000001</v>
      </c>
      <c r="C240" s="138">
        <v>6.5600000000000006E-2</v>
      </c>
      <c r="D240" s="153">
        <v>107.33</v>
      </c>
      <c r="E240" s="138">
        <v>7.17E-2</v>
      </c>
      <c r="F240" s="153">
        <v>106.24000000000001</v>
      </c>
      <c r="G240" s="138">
        <v>7.6499999999999999E-2</v>
      </c>
      <c r="H240" s="153">
        <v>106.21000000000001</v>
      </c>
      <c r="I240" s="138">
        <v>7.7499999999999999E-2</v>
      </c>
    </row>
    <row r="241" spans="1:9" x14ac:dyDescent="0.35">
      <c r="A241" s="136">
        <v>43812</v>
      </c>
      <c r="B241" s="153">
        <v>106.01</v>
      </c>
      <c r="C241" s="138">
        <v>6.54E-2</v>
      </c>
      <c r="D241" s="153">
        <v>107.28</v>
      </c>
      <c r="E241" s="138">
        <v>7.1800000000000003E-2</v>
      </c>
      <c r="F241" s="153">
        <v>106.21000000000001</v>
      </c>
      <c r="G241" s="138">
        <v>7.6499999999999999E-2</v>
      </c>
      <c r="H241" s="153">
        <v>106.04</v>
      </c>
      <c r="I241" s="138">
        <v>7.7700000000000005E-2</v>
      </c>
    </row>
    <row r="242" spans="1:9" x14ac:dyDescent="0.35">
      <c r="A242" s="133">
        <v>43815</v>
      </c>
      <c r="B242" s="154">
        <v>105.78</v>
      </c>
      <c r="C242" s="135">
        <v>6.6000000000000003E-2</v>
      </c>
      <c r="D242" s="154">
        <v>106.81</v>
      </c>
      <c r="E242" s="135">
        <v>7.2400000000000006E-2</v>
      </c>
      <c r="F242" s="154">
        <v>105.86</v>
      </c>
      <c r="G242" s="135">
        <v>7.6899999999999996E-2</v>
      </c>
      <c r="H242" s="154">
        <v>105.71000000000001</v>
      </c>
      <c r="I242" s="135">
        <v>7.8E-2</v>
      </c>
    </row>
    <row r="243" spans="1:9" x14ac:dyDescent="0.35">
      <c r="A243" s="133">
        <v>43816</v>
      </c>
      <c r="B243" s="154">
        <v>105.68</v>
      </c>
      <c r="C243" s="135">
        <v>6.6200000000000009E-2</v>
      </c>
      <c r="D243" s="154">
        <v>106.4</v>
      </c>
      <c r="E243" s="135">
        <v>7.3000000000000009E-2</v>
      </c>
      <c r="F243" s="154">
        <v>105.36</v>
      </c>
      <c r="G243" s="135">
        <v>7.7499999999999999E-2</v>
      </c>
      <c r="H243" s="154">
        <v>105.36</v>
      </c>
      <c r="I243" s="135">
        <v>7.8399999999999997E-2</v>
      </c>
    </row>
    <row r="244" spans="1:9" x14ac:dyDescent="0.35">
      <c r="A244" s="133">
        <v>43817</v>
      </c>
      <c r="B244" s="154">
        <v>105.66000000000001</v>
      </c>
      <c r="C244" s="135">
        <v>6.6200000000000009E-2</v>
      </c>
      <c r="D244" s="154">
        <v>106.29</v>
      </c>
      <c r="E244" s="135">
        <v>7.3200000000000001E-2</v>
      </c>
      <c r="F244" s="154">
        <v>104.98</v>
      </c>
      <c r="G244" s="135">
        <v>7.7899999999999997E-2</v>
      </c>
      <c r="H244" s="154">
        <v>105.09</v>
      </c>
      <c r="I244" s="135">
        <v>7.8600000000000003E-2</v>
      </c>
    </row>
    <row r="245" spans="1:9" x14ac:dyDescent="0.35">
      <c r="A245" s="133">
        <v>43818</v>
      </c>
      <c r="B245" s="154">
        <v>105.95</v>
      </c>
      <c r="C245" s="135">
        <v>6.5500000000000003E-2</v>
      </c>
      <c r="D245" s="154">
        <v>106.98</v>
      </c>
      <c r="E245" s="135">
        <v>7.22E-2</v>
      </c>
      <c r="F245" s="154">
        <v>105.45</v>
      </c>
      <c r="G245" s="135">
        <v>7.7399999999999997E-2</v>
      </c>
      <c r="H245" s="154">
        <v>105.48</v>
      </c>
      <c r="I245" s="135">
        <v>7.8200000000000006E-2</v>
      </c>
    </row>
    <row r="246" spans="1:9" x14ac:dyDescent="0.35">
      <c r="A246" s="133">
        <v>43819</v>
      </c>
      <c r="B246" s="154">
        <v>106.11</v>
      </c>
      <c r="C246" s="135">
        <v>6.5100000000000005E-2</v>
      </c>
      <c r="D246" s="154">
        <v>107.24000000000001</v>
      </c>
      <c r="E246" s="135">
        <v>7.1800000000000003E-2</v>
      </c>
      <c r="F246" s="154">
        <v>105.97</v>
      </c>
      <c r="G246" s="135">
        <v>7.6800000000000007E-2</v>
      </c>
      <c r="H246" s="154">
        <v>105.81</v>
      </c>
      <c r="I246" s="135">
        <v>7.7899999999999997E-2</v>
      </c>
    </row>
    <row r="247" spans="1:9" x14ac:dyDescent="0.35">
      <c r="A247" s="136">
        <v>43822</v>
      </c>
      <c r="B247" s="153">
        <v>106.33</v>
      </c>
      <c r="C247" s="138">
        <v>6.4500000000000002E-2</v>
      </c>
      <c r="D247" s="153">
        <v>107.65</v>
      </c>
      <c r="E247" s="138">
        <v>7.1199999999999999E-2</v>
      </c>
      <c r="F247" s="153">
        <v>106.56</v>
      </c>
      <c r="G247" s="138">
        <v>7.6100000000000001E-2</v>
      </c>
      <c r="H247" s="153">
        <v>106.33</v>
      </c>
      <c r="I247" s="138">
        <v>7.7399999999999997E-2</v>
      </c>
    </row>
    <row r="248" spans="1:9" x14ac:dyDescent="0.35">
      <c r="A248" s="136">
        <v>43825</v>
      </c>
      <c r="B248" s="153">
        <v>106.5</v>
      </c>
      <c r="C248" s="138">
        <v>6.4000000000000001E-2</v>
      </c>
      <c r="D248" s="153">
        <v>107.93</v>
      </c>
      <c r="E248" s="138">
        <v>7.0800000000000002E-2</v>
      </c>
      <c r="F248" s="153">
        <v>107.08</v>
      </c>
      <c r="G248" s="138">
        <v>7.5600000000000001E-2</v>
      </c>
      <c r="H248" s="153">
        <v>106.47</v>
      </c>
      <c r="I248" s="138">
        <v>7.7300000000000008E-2</v>
      </c>
    </row>
    <row r="249" spans="1:9" x14ac:dyDescent="0.35">
      <c r="A249" s="136">
        <v>43826</v>
      </c>
      <c r="B249" s="153">
        <v>106.57000000000001</v>
      </c>
      <c r="C249" s="138">
        <v>6.3800000000000009E-2</v>
      </c>
      <c r="D249" s="153">
        <v>107.88000000000001</v>
      </c>
      <c r="E249" s="138">
        <v>7.0900000000000005E-2</v>
      </c>
      <c r="F249" s="153">
        <v>107.15</v>
      </c>
      <c r="G249" s="138">
        <v>7.5499999999999998E-2</v>
      </c>
      <c r="H249" s="153">
        <v>107.08</v>
      </c>
      <c r="I249" s="138">
        <v>7.6700000000000004E-2</v>
      </c>
    </row>
    <row r="250" spans="1:9" x14ac:dyDescent="0.35">
      <c r="A250" s="133">
        <v>43829</v>
      </c>
      <c r="B250" s="154">
        <v>106.67</v>
      </c>
      <c r="C250" s="135">
        <v>6.3600000000000004E-2</v>
      </c>
      <c r="D250" s="154">
        <v>107.95</v>
      </c>
      <c r="E250" s="135">
        <v>7.0800000000000002E-2</v>
      </c>
      <c r="F250" s="154">
        <v>107.13000000000001</v>
      </c>
      <c r="G250" s="135">
        <v>7.5499999999999998E-2</v>
      </c>
      <c r="H250" s="154">
        <v>107.14</v>
      </c>
      <c r="I250" s="135">
        <v>7.6600000000000001E-2</v>
      </c>
    </row>
    <row r="251" spans="1:9" x14ac:dyDescent="0.35">
      <c r="A251" s="133">
        <v>43830</v>
      </c>
      <c r="B251" s="154">
        <v>106.61</v>
      </c>
      <c r="C251" s="135">
        <v>6.3700000000000007E-2</v>
      </c>
      <c r="D251" s="154">
        <v>108.32</v>
      </c>
      <c r="E251" s="135">
        <v>7.0300000000000001E-2</v>
      </c>
      <c r="F251" s="154">
        <v>107.15</v>
      </c>
      <c r="G251" s="135">
        <v>7.5499999999999998E-2</v>
      </c>
      <c r="H251" s="154">
        <v>107.30000000000001</v>
      </c>
      <c r="I251" s="135">
        <v>7.6499999999999999E-2</v>
      </c>
    </row>
  </sheetData>
  <mergeCells count="17">
    <mergeCell ref="H5:I5"/>
    <mergeCell ref="A2:A6"/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</mergeCells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BEB3-2D83-4D5F-B722-5125129B0F4F}">
  <dimension ref="A2:XFC248"/>
  <sheetViews>
    <sheetView topLeftCell="D1" zoomScale="108" zoomScaleNormal="130" workbookViewId="0">
      <pane ySplit="6" topLeftCell="A233" activePane="bottomLeft" state="frozen"/>
      <selection activeCell="K1" sqref="K1:XFD1048576"/>
      <selection pane="bottomLeft" activeCell="I7" sqref="I7:I248"/>
    </sheetView>
  </sheetViews>
  <sheetFormatPr defaultColWidth="0" defaultRowHeight="14.5" x14ac:dyDescent="0.35"/>
  <cols>
    <col min="1" max="1" width="14.453125" style="253" customWidth="1"/>
    <col min="2" max="2" width="8.36328125" style="254" customWidth="1"/>
    <col min="3" max="3" width="10" style="220" customWidth="1"/>
    <col min="4" max="4" width="10.1796875" style="254" customWidth="1"/>
    <col min="5" max="5" width="10" style="220" customWidth="1"/>
    <col min="6" max="6" width="8.36328125" style="254" customWidth="1"/>
    <col min="7" max="7" width="10" style="220" customWidth="1"/>
    <col min="8" max="8" width="8.36328125" style="254" customWidth="1"/>
    <col min="9" max="9" width="10" style="220" customWidth="1"/>
    <col min="10" max="10" width="9.1796875" style="47" customWidth="1"/>
    <col min="11" max="16384" width="9.1796875" style="47" hidden="1"/>
  </cols>
  <sheetData>
    <row r="2" spans="1:9" x14ac:dyDescent="0.35">
      <c r="A2" s="482" t="s">
        <v>73</v>
      </c>
      <c r="B2" s="488" t="s">
        <v>74</v>
      </c>
      <c r="C2" s="488"/>
      <c r="D2" s="488" t="s">
        <v>75</v>
      </c>
      <c r="E2" s="488"/>
      <c r="F2" s="488" t="s">
        <v>76</v>
      </c>
      <c r="G2" s="488"/>
      <c r="H2" s="488" t="s">
        <v>77</v>
      </c>
      <c r="I2" s="488"/>
    </row>
    <row r="3" spans="1:9" x14ac:dyDescent="0.35">
      <c r="A3" s="483"/>
      <c r="B3" s="488" t="s">
        <v>108</v>
      </c>
      <c r="C3" s="488"/>
      <c r="D3" s="488" t="s">
        <v>109</v>
      </c>
      <c r="E3" s="488"/>
      <c r="F3" s="488" t="s">
        <v>110</v>
      </c>
      <c r="G3" s="488"/>
      <c r="H3" s="488" t="s">
        <v>111</v>
      </c>
      <c r="I3" s="488"/>
    </row>
    <row r="4" spans="1:9" x14ac:dyDescent="0.35">
      <c r="A4" s="483"/>
      <c r="B4" s="489">
        <v>6.5000000000000002E-2</v>
      </c>
      <c r="C4" s="489"/>
      <c r="D4" s="489">
        <v>7.0000000000000007E-2</v>
      </c>
      <c r="E4" s="489"/>
      <c r="F4" s="489">
        <v>7.4999999999999997E-2</v>
      </c>
      <c r="G4" s="489"/>
      <c r="H4" s="489">
        <v>7.4999999999999997E-2</v>
      </c>
      <c r="I4" s="489"/>
    </row>
    <row r="5" spans="1:9" x14ac:dyDescent="0.35">
      <c r="A5" s="483"/>
      <c r="B5" s="487">
        <v>45823</v>
      </c>
      <c r="C5" s="487"/>
      <c r="D5" s="487">
        <v>47741</v>
      </c>
      <c r="E5" s="487"/>
      <c r="F5" s="487">
        <v>49475</v>
      </c>
      <c r="G5" s="487"/>
      <c r="H5" s="487">
        <v>51241</v>
      </c>
      <c r="I5" s="487"/>
    </row>
    <row r="6" spans="1:9" ht="29" x14ac:dyDescent="0.35">
      <c r="A6" s="484"/>
      <c r="B6" s="178" t="s">
        <v>82</v>
      </c>
      <c r="C6" s="179" t="s">
        <v>83</v>
      </c>
      <c r="D6" s="178" t="s">
        <v>82</v>
      </c>
      <c r="E6" s="179" t="s">
        <v>83</v>
      </c>
      <c r="F6" s="178" t="s">
        <v>82</v>
      </c>
      <c r="G6" s="179" t="s">
        <v>83</v>
      </c>
      <c r="H6" s="178" t="s">
        <v>82</v>
      </c>
      <c r="I6" s="179" t="s">
        <v>83</v>
      </c>
    </row>
    <row r="7" spans="1:9" x14ac:dyDescent="0.35">
      <c r="A7" s="133">
        <v>43832</v>
      </c>
      <c r="B7" s="180">
        <v>100.48500000000001</v>
      </c>
      <c r="C7" s="181">
        <v>6.4000000000000001E-2</v>
      </c>
      <c r="D7" s="180">
        <v>99.47</v>
      </c>
      <c r="E7" s="181">
        <v>7.0699999999999999E-2</v>
      </c>
      <c r="F7" s="180">
        <v>100.48</v>
      </c>
      <c r="G7" s="181">
        <v>7.4499999999999997E-2</v>
      </c>
      <c r="H7" s="180">
        <v>99.64</v>
      </c>
      <c r="I7" s="181">
        <v>7.5400000000000009E-2</v>
      </c>
    </row>
    <row r="8" spans="1:9" x14ac:dyDescent="0.35">
      <c r="A8" s="133">
        <v>43833</v>
      </c>
      <c r="B8" s="180">
        <v>100.61124999999998</v>
      </c>
      <c r="C8" s="181">
        <v>6.3700000000000007E-2</v>
      </c>
      <c r="D8" s="180">
        <v>99.69</v>
      </c>
      <c r="E8" s="181">
        <v>7.0400000000000004E-2</v>
      </c>
      <c r="F8" s="180">
        <v>100.88000000000001</v>
      </c>
      <c r="G8" s="181">
        <v>7.4099999999999999E-2</v>
      </c>
      <c r="H8" s="180">
        <v>99.86</v>
      </c>
      <c r="I8" s="181">
        <v>7.5200000000000003E-2</v>
      </c>
    </row>
    <row r="9" spans="1:9" x14ac:dyDescent="0.35">
      <c r="A9" s="133">
        <v>43836</v>
      </c>
      <c r="B9" s="180">
        <v>100.25875000000002</v>
      </c>
      <c r="C9" s="181">
        <v>6.4500000000000002E-2</v>
      </c>
      <c r="D9" s="180">
        <v>99</v>
      </c>
      <c r="E9" s="181">
        <v>7.1400000000000005E-2</v>
      </c>
      <c r="F9" s="180">
        <v>100.39</v>
      </c>
      <c r="G9" s="181">
        <v>7.46E-2</v>
      </c>
      <c r="H9" s="180">
        <v>99.28</v>
      </c>
      <c r="I9" s="181">
        <v>7.5700000000000003E-2</v>
      </c>
    </row>
    <row r="10" spans="1:9" x14ac:dyDescent="0.35">
      <c r="A10" s="133">
        <v>43837</v>
      </c>
      <c r="B10" s="180">
        <v>100.47750000000002</v>
      </c>
      <c r="C10" s="181">
        <v>6.4000000000000001E-2</v>
      </c>
      <c r="D10" s="180">
        <v>99.240000000000009</v>
      </c>
      <c r="E10" s="181">
        <v>7.1099999999999997E-2</v>
      </c>
      <c r="F10" s="180">
        <v>100.59</v>
      </c>
      <c r="G10" s="181">
        <v>7.4400000000000008E-2</v>
      </c>
      <c r="H10" s="180">
        <v>99.65</v>
      </c>
      <c r="I10" s="181">
        <v>7.5400000000000009E-2</v>
      </c>
    </row>
    <row r="11" spans="1:9" x14ac:dyDescent="0.35">
      <c r="A11" s="133">
        <v>43838</v>
      </c>
      <c r="B11" s="180">
        <v>100.51500000000001</v>
      </c>
      <c r="C11" s="181">
        <v>6.3899999999999998E-2</v>
      </c>
      <c r="D11" s="180">
        <v>99.460000000000008</v>
      </c>
      <c r="E11" s="181">
        <v>7.0800000000000002E-2</v>
      </c>
      <c r="F11" s="180">
        <v>100.39</v>
      </c>
      <c r="G11" s="181">
        <v>7.46E-2</v>
      </c>
      <c r="H11" s="180">
        <v>99.65</v>
      </c>
      <c r="I11" s="181">
        <v>7.5400000000000009E-2</v>
      </c>
    </row>
    <row r="12" spans="1:9" x14ac:dyDescent="0.35">
      <c r="A12" s="133">
        <v>43839</v>
      </c>
      <c r="B12" s="180">
        <v>100.935</v>
      </c>
      <c r="C12" s="181">
        <v>6.3E-2</v>
      </c>
      <c r="D12" s="180">
        <v>100.06</v>
      </c>
      <c r="E12" s="181">
        <v>7.0000000000000007E-2</v>
      </c>
      <c r="F12" s="180">
        <v>100.92</v>
      </c>
      <c r="G12" s="181">
        <v>7.3999999999999996E-2</v>
      </c>
      <c r="H12" s="180">
        <v>99.81</v>
      </c>
      <c r="I12" s="181">
        <v>7.5200000000000003E-2</v>
      </c>
    </row>
    <row r="13" spans="1:9" x14ac:dyDescent="0.35">
      <c r="A13" s="133">
        <v>43840</v>
      </c>
      <c r="B13" s="180">
        <v>100.51500000000001</v>
      </c>
      <c r="C13" s="181">
        <v>6.3899999999999998E-2</v>
      </c>
      <c r="D13" s="180">
        <v>99.460000000000008</v>
      </c>
      <c r="E13" s="181">
        <v>7.0800000000000002E-2</v>
      </c>
      <c r="F13" s="180">
        <v>100.39</v>
      </c>
      <c r="G13" s="181">
        <v>7.46E-2</v>
      </c>
      <c r="H13" s="180">
        <v>99.65</v>
      </c>
      <c r="I13" s="181">
        <v>7.5400000000000009E-2</v>
      </c>
    </row>
    <row r="14" spans="1:9" x14ac:dyDescent="0.35">
      <c r="A14" s="133">
        <v>43843</v>
      </c>
      <c r="B14" s="180">
        <v>101.70874999999999</v>
      </c>
      <c r="C14" s="181">
        <v>6.13E-2</v>
      </c>
      <c r="D14" s="180">
        <v>101.06</v>
      </c>
      <c r="E14" s="181">
        <v>6.8600000000000008E-2</v>
      </c>
      <c r="F14" s="180">
        <v>102.05000000000001</v>
      </c>
      <c r="G14" s="181">
        <v>7.2800000000000004E-2</v>
      </c>
      <c r="H14" s="180">
        <v>100.69000000000001</v>
      </c>
      <c r="I14" s="181">
        <v>7.4400000000000008E-2</v>
      </c>
    </row>
    <row r="15" spans="1:9" x14ac:dyDescent="0.35">
      <c r="A15" s="133">
        <v>43844</v>
      </c>
      <c r="B15" s="180">
        <v>101.38124999999997</v>
      </c>
      <c r="C15" s="181">
        <v>6.2E-2</v>
      </c>
      <c r="D15" s="180">
        <v>101.06</v>
      </c>
      <c r="E15" s="181">
        <v>6.8600000000000008E-2</v>
      </c>
      <c r="F15" s="180">
        <v>101.68</v>
      </c>
      <c r="G15" s="181">
        <v>7.3200000000000001E-2</v>
      </c>
      <c r="H15" s="180">
        <v>100.59</v>
      </c>
      <c r="I15" s="181">
        <v>7.4499999999999997E-2</v>
      </c>
    </row>
    <row r="16" spans="1:9" x14ac:dyDescent="0.35">
      <c r="A16" s="133">
        <v>43845</v>
      </c>
      <c r="B16" s="180">
        <v>101.38124999999998</v>
      </c>
      <c r="C16" s="181">
        <v>6.2E-2</v>
      </c>
      <c r="D16" s="180">
        <v>100.96000000000001</v>
      </c>
      <c r="E16" s="181">
        <v>6.8699999999999997E-2</v>
      </c>
      <c r="F16" s="180">
        <v>101.61</v>
      </c>
      <c r="G16" s="181">
        <v>7.3300000000000004E-2</v>
      </c>
      <c r="H16" s="180">
        <v>100.49000000000001</v>
      </c>
      <c r="I16" s="181">
        <v>7.46E-2</v>
      </c>
    </row>
    <row r="17" spans="1:9" x14ac:dyDescent="0.35">
      <c r="A17" s="133">
        <v>43846</v>
      </c>
      <c r="B17" s="180">
        <v>101.54874999999998</v>
      </c>
      <c r="C17" s="181">
        <v>6.1600000000000002E-2</v>
      </c>
      <c r="D17" s="180">
        <v>101.29</v>
      </c>
      <c r="E17" s="181">
        <v>6.83E-2</v>
      </c>
      <c r="F17" s="180">
        <v>101.66000000000001</v>
      </c>
      <c r="G17" s="181">
        <v>7.3200000000000001E-2</v>
      </c>
      <c r="H17" s="180">
        <v>100.65</v>
      </c>
      <c r="I17" s="181">
        <v>7.4400000000000008E-2</v>
      </c>
    </row>
    <row r="18" spans="1:9" x14ac:dyDescent="0.35">
      <c r="A18" s="133">
        <v>43847</v>
      </c>
      <c r="B18" s="180">
        <v>101.62624999999998</v>
      </c>
      <c r="C18" s="181">
        <v>6.1500000000000006E-2</v>
      </c>
      <c r="D18" s="180">
        <v>101.39</v>
      </c>
      <c r="E18" s="181">
        <v>6.8199999999999997E-2</v>
      </c>
      <c r="F18" s="180">
        <v>101.62</v>
      </c>
      <c r="G18" s="181">
        <v>7.3300000000000004E-2</v>
      </c>
      <c r="H18" s="180">
        <v>100.73</v>
      </c>
      <c r="I18" s="181">
        <v>7.4300000000000005E-2</v>
      </c>
    </row>
    <row r="19" spans="1:9" x14ac:dyDescent="0.35">
      <c r="A19" s="133">
        <v>43850</v>
      </c>
      <c r="B19" s="180">
        <v>101.66499999999999</v>
      </c>
      <c r="C19" s="181">
        <v>6.1400000000000003E-2</v>
      </c>
      <c r="D19" s="180">
        <v>101.32</v>
      </c>
      <c r="E19" s="181">
        <v>6.83E-2</v>
      </c>
      <c r="F19" s="180">
        <v>101.68</v>
      </c>
      <c r="G19" s="181">
        <v>7.3200000000000001E-2</v>
      </c>
      <c r="H19" s="180">
        <v>100.76</v>
      </c>
      <c r="I19" s="181">
        <v>7.4300000000000005E-2</v>
      </c>
    </row>
    <row r="20" spans="1:9" x14ac:dyDescent="0.35">
      <c r="A20" s="133">
        <v>43851</v>
      </c>
      <c r="B20" s="180">
        <v>101.82124999999999</v>
      </c>
      <c r="C20" s="181">
        <v>6.1000000000000006E-2</v>
      </c>
      <c r="D20" s="180">
        <v>101.57000000000001</v>
      </c>
      <c r="E20" s="181">
        <v>6.7900000000000002E-2</v>
      </c>
      <c r="F20" s="180">
        <v>101.79</v>
      </c>
      <c r="G20" s="181">
        <v>7.3099999999999998E-2</v>
      </c>
      <c r="H20" s="180">
        <v>100.93</v>
      </c>
      <c r="I20" s="181">
        <v>7.4099999999999999E-2</v>
      </c>
    </row>
    <row r="21" spans="1:9" x14ac:dyDescent="0.35">
      <c r="A21" s="133">
        <v>43852</v>
      </c>
      <c r="B21" s="180">
        <v>102.13499999999999</v>
      </c>
      <c r="C21" s="181">
        <v>6.0299999999999999E-2</v>
      </c>
      <c r="D21" s="180">
        <v>102.2</v>
      </c>
      <c r="E21" s="181">
        <v>6.7100000000000007E-2</v>
      </c>
      <c r="F21" s="180">
        <v>102.27000000000001</v>
      </c>
      <c r="G21" s="181">
        <v>7.2599999999999998E-2</v>
      </c>
      <c r="H21" s="180">
        <v>101.42</v>
      </c>
      <c r="I21" s="181">
        <v>7.3700000000000002E-2</v>
      </c>
    </row>
    <row r="22" spans="1:9" x14ac:dyDescent="0.35">
      <c r="A22" s="133">
        <v>43853</v>
      </c>
      <c r="B22" s="180">
        <v>102.3725</v>
      </c>
      <c r="C22" s="181">
        <v>5.9800000000000006E-2</v>
      </c>
      <c r="D22" s="180">
        <v>102.71</v>
      </c>
      <c r="E22" s="181">
        <v>6.6400000000000001E-2</v>
      </c>
      <c r="F22" s="180">
        <v>103.06</v>
      </c>
      <c r="G22" s="181">
        <v>7.17E-2</v>
      </c>
      <c r="H22" s="180">
        <v>102.04</v>
      </c>
      <c r="I22" s="181">
        <v>7.3099999999999998E-2</v>
      </c>
    </row>
    <row r="23" spans="1:9" x14ac:dyDescent="0.35">
      <c r="A23" s="133">
        <v>43854</v>
      </c>
      <c r="B23" s="180">
        <v>102.50000000000003</v>
      </c>
      <c r="C23" s="181">
        <v>5.9500000000000004E-2</v>
      </c>
      <c r="D23" s="180">
        <v>103.13000000000001</v>
      </c>
      <c r="E23" s="181">
        <v>6.59E-2</v>
      </c>
      <c r="F23" s="180">
        <v>104.19000000000001</v>
      </c>
      <c r="G23" s="181">
        <v>7.0500000000000007E-2</v>
      </c>
      <c r="H23" s="180">
        <v>102.82000000000001</v>
      </c>
      <c r="I23" s="181">
        <v>7.2400000000000006E-2</v>
      </c>
    </row>
    <row r="24" spans="1:9" x14ac:dyDescent="0.35">
      <c r="A24" s="133">
        <v>43857</v>
      </c>
      <c r="B24" s="180">
        <v>102.55250000000001</v>
      </c>
      <c r="C24" s="181">
        <v>5.9400000000000001E-2</v>
      </c>
      <c r="D24" s="180">
        <v>102.79</v>
      </c>
      <c r="E24" s="181">
        <v>6.6299999999999998E-2</v>
      </c>
      <c r="F24" s="180">
        <v>103.79</v>
      </c>
      <c r="G24" s="181">
        <v>7.0900000000000005E-2</v>
      </c>
      <c r="H24" s="180">
        <v>102.17</v>
      </c>
      <c r="I24" s="181">
        <v>7.3000000000000009E-2</v>
      </c>
    </row>
    <row r="25" spans="1:9" x14ac:dyDescent="0.35">
      <c r="A25" s="133">
        <v>43858</v>
      </c>
      <c r="B25" s="180">
        <v>101.75625000000002</v>
      </c>
      <c r="C25" s="181">
        <v>6.1100000000000002E-2</v>
      </c>
      <c r="D25" s="180">
        <v>101.73</v>
      </c>
      <c r="E25" s="181">
        <v>6.7699999999999996E-2</v>
      </c>
      <c r="F25" s="180">
        <v>102.62</v>
      </c>
      <c r="G25" s="181">
        <v>7.22E-2</v>
      </c>
      <c r="H25" s="180">
        <v>101.42</v>
      </c>
      <c r="I25" s="181">
        <v>7.3700000000000002E-2</v>
      </c>
    </row>
    <row r="26" spans="1:9" x14ac:dyDescent="0.35">
      <c r="A26" s="133">
        <v>43859</v>
      </c>
      <c r="B26" s="180">
        <v>102.34875</v>
      </c>
      <c r="C26" s="181">
        <v>5.9900000000000002E-2</v>
      </c>
      <c r="D26" s="180">
        <v>102.75</v>
      </c>
      <c r="E26" s="181">
        <v>6.6400000000000001E-2</v>
      </c>
      <c r="F26" s="180">
        <v>103.54</v>
      </c>
      <c r="G26" s="181">
        <v>7.1199999999999999E-2</v>
      </c>
      <c r="H26" s="180">
        <v>101.97</v>
      </c>
      <c r="I26" s="181">
        <v>7.3200000000000001E-2</v>
      </c>
    </row>
    <row r="27" spans="1:9" x14ac:dyDescent="0.35">
      <c r="A27" s="133">
        <v>43860</v>
      </c>
      <c r="B27" s="180">
        <v>102.3425</v>
      </c>
      <c r="C27" s="181">
        <v>5.9900000000000002E-2</v>
      </c>
      <c r="D27" s="180">
        <v>102.74000000000001</v>
      </c>
      <c r="E27" s="181">
        <v>6.6400000000000001E-2</v>
      </c>
      <c r="F27" s="180">
        <v>103.44000000000001</v>
      </c>
      <c r="G27" s="181">
        <v>7.1300000000000002E-2</v>
      </c>
      <c r="H27" s="180">
        <v>102.28</v>
      </c>
      <c r="I27" s="181">
        <v>7.2900000000000006E-2</v>
      </c>
    </row>
    <row r="28" spans="1:9" x14ac:dyDescent="0.35">
      <c r="A28" s="133">
        <v>43861</v>
      </c>
      <c r="B28" s="180">
        <v>102.33625000000001</v>
      </c>
      <c r="C28" s="181">
        <v>5.9900000000000002E-2</v>
      </c>
      <c r="D28" s="180">
        <v>102.86</v>
      </c>
      <c r="E28" s="181">
        <v>6.6200000000000009E-2</v>
      </c>
      <c r="F28" s="180">
        <v>103.37</v>
      </c>
      <c r="G28" s="181">
        <v>7.1400000000000005E-2</v>
      </c>
      <c r="H28" s="180">
        <v>101.94000000000001</v>
      </c>
      <c r="I28" s="181">
        <v>7.3200000000000001E-2</v>
      </c>
    </row>
    <row r="29" spans="1:9" x14ac:dyDescent="0.35">
      <c r="A29" s="133">
        <v>43864</v>
      </c>
      <c r="B29" s="180">
        <v>102.00125</v>
      </c>
      <c r="C29" s="181">
        <v>6.0600000000000001E-2</v>
      </c>
      <c r="D29" s="180">
        <v>102.28</v>
      </c>
      <c r="E29" s="181">
        <v>6.7000000000000004E-2</v>
      </c>
      <c r="F29" s="180">
        <v>103.01</v>
      </c>
      <c r="G29" s="181">
        <v>7.1800000000000003E-2</v>
      </c>
      <c r="H29" s="180">
        <v>101.63000000000001</v>
      </c>
      <c r="I29" s="181">
        <v>7.350000000000001E-2</v>
      </c>
    </row>
    <row r="30" spans="1:9" x14ac:dyDescent="0.35">
      <c r="A30" s="133">
        <v>43865</v>
      </c>
      <c r="B30" s="180">
        <v>102.2175</v>
      </c>
      <c r="C30" s="181">
        <v>6.0100000000000001E-2</v>
      </c>
      <c r="D30" s="180">
        <v>102.52000000000001</v>
      </c>
      <c r="E30" s="181">
        <v>6.6700000000000009E-2</v>
      </c>
      <c r="F30" s="180">
        <v>102.9</v>
      </c>
      <c r="G30" s="181">
        <v>7.1900000000000006E-2</v>
      </c>
      <c r="H30" s="180">
        <v>101.5</v>
      </c>
      <c r="I30" s="181">
        <v>7.3599999999999999E-2</v>
      </c>
    </row>
    <row r="31" spans="1:9" x14ac:dyDescent="0.35">
      <c r="A31" s="133">
        <v>43866</v>
      </c>
      <c r="B31" s="180">
        <v>102.39624999999998</v>
      </c>
      <c r="C31" s="181">
        <v>5.9700000000000003E-2</v>
      </c>
      <c r="D31" s="180">
        <v>103.12</v>
      </c>
      <c r="E31" s="181">
        <v>6.59E-2</v>
      </c>
      <c r="F31" s="180">
        <v>103.25</v>
      </c>
      <c r="G31" s="181">
        <v>7.1500000000000008E-2</v>
      </c>
      <c r="H31" s="180">
        <v>101.91000000000001</v>
      </c>
      <c r="I31" s="181">
        <v>7.3200000000000001E-2</v>
      </c>
    </row>
    <row r="32" spans="1:9" x14ac:dyDescent="0.35">
      <c r="A32" s="133">
        <v>43867</v>
      </c>
      <c r="B32" s="180">
        <v>102.51750000000001</v>
      </c>
      <c r="C32" s="181">
        <v>5.9500000000000004E-2</v>
      </c>
      <c r="D32" s="180">
        <v>103.30000000000001</v>
      </c>
      <c r="E32" s="181">
        <v>6.5700000000000008E-2</v>
      </c>
      <c r="F32" s="180">
        <v>103.32000000000001</v>
      </c>
      <c r="G32" s="181">
        <v>7.1400000000000005E-2</v>
      </c>
      <c r="H32" s="180">
        <v>102.15</v>
      </c>
      <c r="I32" s="181">
        <v>7.3000000000000009E-2</v>
      </c>
    </row>
    <row r="33" spans="1:9" x14ac:dyDescent="0.35">
      <c r="A33" s="133">
        <v>43868</v>
      </c>
      <c r="B33" s="180">
        <v>102.57749999999999</v>
      </c>
      <c r="C33" s="181">
        <v>5.9300000000000005E-2</v>
      </c>
      <c r="D33" s="180">
        <v>103.44000000000001</v>
      </c>
      <c r="E33" s="181">
        <v>6.5500000000000003E-2</v>
      </c>
      <c r="F33" s="180">
        <v>104.19000000000001</v>
      </c>
      <c r="G33" s="181">
        <v>7.0500000000000007E-2</v>
      </c>
      <c r="H33" s="180">
        <v>102.54</v>
      </c>
      <c r="I33" s="181">
        <v>7.2599999999999998E-2</v>
      </c>
    </row>
    <row r="34" spans="1:9" x14ac:dyDescent="0.35">
      <c r="A34" s="133">
        <v>43871</v>
      </c>
      <c r="B34" s="180">
        <v>102.44374999999999</v>
      </c>
      <c r="C34" s="181">
        <v>5.96E-2</v>
      </c>
      <c r="D34" s="180">
        <v>103.15</v>
      </c>
      <c r="E34" s="181">
        <v>6.59E-2</v>
      </c>
      <c r="F34" s="180">
        <v>103.71000000000001</v>
      </c>
      <c r="G34" s="181">
        <v>7.1000000000000008E-2</v>
      </c>
      <c r="H34" s="180">
        <v>102.16000000000001</v>
      </c>
      <c r="I34" s="181">
        <v>7.3000000000000009E-2</v>
      </c>
    </row>
    <row r="35" spans="1:9" x14ac:dyDescent="0.35">
      <c r="A35" s="133">
        <v>43872</v>
      </c>
      <c r="B35" s="180">
        <v>102.58625000000001</v>
      </c>
      <c r="C35" s="181">
        <v>5.9300000000000005E-2</v>
      </c>
      <c r="D35" s="180">
        <v>103.27000000000001</v>
      </c>
      <c r="E35" s="181">
        <v>6.5700000000000008E-2</v>
      </c>
      <c r="F35" s="180">
        <v>103.84</v>
      </c>
      <c r="G35" s="181">
        <v>7.0900000000000005E-2</v>
      </c>
      <c r="H35" s="180">
        <v>102.23</v>
      </c>
      <c r="I35" s="181">
        <v>7.2900000000000006E-2</v>
      </c>
    </row>
    <row r="36" spans="1:9" x14ac:dyDescent="0.35">
      <c r="A36" s="133">
        <v>43873</v>
      </c>
      <c r="B36" s="180">
        <v>103.05375000000001</v>
      </c>
      <c r="C36" s="181">
        <v>5.8300000000000005E-2</v>
      </c>
      <c r="D36" s="180">
        <v>103.60000000000001</v>
      </c>
      <c r="E36" s="181">
        <v>6.5299999999999997E-2</v>
      </c>
      <c r="F36" s="180">
        <v>104.48</v>
      </c>
      <c r="G36" s="181">
        <v>7.0199999999999999E-2</v>
      </c>
      <c r="H36" s="180">
        <v>102.7</v>
      </c>
      <c r="I36" s="181">
        <v>7.2500000000000009E-2</v>
      </c>
    </row>
    <row r="37" spans="1:9" x14ac:dyDescent="0.35">
      <c r="A37" s="133">
        <v>43874</v>
      </c>
      <c r="B37" s="180">
        <v>103.27250000000001</v>
      </c>
      <c r="C37" s="181">
        <v>5.7800000000000004E-2</v>
      </c>
      <c r="D37" s="180">
        <v>103.54</v>
      </c>
      <c r="E37" s="181">
        <v>6.54E-2</v>
      </c>
      <c r="F37" s="180">
        <v>104.29</v>
      </c>
      <c r="G37" s="181">
        <v>7.0400000000000004E-2</v>
      </c>
      <c r="H37" s="180">
        <v>102.5</v>
      </c>
      <c r="I37" s="181">
        <v>7.2700000000000001E-2</v>
      </c>
    </row>
    <row r="38" spans="1:9" x14ac:dyDescent="0.35">
      <c r="A38" s="133">
        <v>43875</v>
      </c>
      <c r="B38" s="180">
        <v>103.21375</v>
      </c>
      <c r="C38" s="181">
        <v>5.79E-2</v>
      </c>
      <c r="D38" s="180">
        <v>103.28</v>
      </c>
      <c r="E38" s="181">
        <v>6.5700000000000008E-2</v>
      </c>
      <c r="F38" s="180">
        <v>104.25</v>
      </c>
      <c r="G38" s="181">
        <v>7.0500000000000007E-2</v>
      </c>
      <c r="H38" s="180">
        <v>102.31</v>
      </c>
      <c r="I38" s="181">
        <v>7.2800000000000004E-2</v>
      </c>
    </row>
    <row r="39" spans="1:9" x14ac:dyDescent="0.35">
      <c r="A39" s="133">
        <v>43878</v>
      </c>
      <c r="B39" s="180">
        <v>103.30625000000001</v>
      </c>
      <c r="C39" s="181">
        <v>5.7700000000000001E-2</v>
      </c>
      <c r="D39" s="180">
        <v>103.37</v>
      </c>
      <c r="E39" s="181">
        <v>6.5600000000000006E-2</v>
      </c>
      <c r="F39" s="180">
        <v>104.41000000000001</v>
      </c>
      <c r="G39" s="181">
        <v>7.0300000000000001E-2</v>
      </c>
      <c r="H39" s="180">
        <v>102.42</v>
      </c>
      <c r="I39" s="181">
        <v>7.2700000000000001E-2</v>
      </c>
    </row>
    <row r="40" spans="1:9" x14ac:dyDescent="0.35">
      <c r="A40" s="133">
        <v>43879</v>
      </c>
      <c r="B40" s="180">
        <v>103.50250000000003</v>
      </c>
      <c r="C40" s="181">
        <v>5.7300000000000004E-2</v>
      </c>
      <c r="D40" s="180">
        <v>103.57000000000001</v>
      </c>
      <c r="E40" s="181">
        <v>6.5299999999999997E-2</v>
      </c>
      <c r="F40" s="180">
        <v>104.48</v>
      </c>
      <c r="G40" s="181">
        <v>7.0199999999999999E-2</v>
      </c>
      <c r="H40" s="180">
        <v>102.5</v>
      </c>
      <c r="I40" s="181">
        <v>7.2700000000000001E-2</v>
      </c>
    </row>
    <row r="41" spans="1:9" x14ac:dyDescent="0.35">
      <c r="A41" s="133">
        <v>43880</v>
      </c>
      <c r="B41" s="180">
        <v>103.81625000000001</v>
      </c>
      <c r="C41" s="181">
        <v>5.6600000000000004E-2</v>
      </c>
      <c r="D41" s="180">
        <v>103.8</v>
      </c>
      <c r="E41" s="181">
        <v>6.5000000000000002E-2</v>
      </c>
      <c r="F41" s="180">
        <v>104.67</v>
      </c>
      <c r="G41" s="181">
        <v>7.0000000000000007E-2</v>
      </c>
      <c r="H41" s="180">
        <v>102.59</v>
      </c>
      <c r="I41" s="181">
        <v>7.2599999999999998E-2</v>
      </c>
    </row>
    <row r="42" spans="1:9" x14ac:dyDescent="0.35">
      <c r="A42" s="133">
        <v>43881</v>
      </c>
      <c r="B42" s="180">
        <v>103.75624999999999</v>
      </c>
      <c r="C42" s="181">
        <v>5.67E-2</v>
      </c>
      <c r="D42" s="180">
        <v>103.64</v>
      </c>
      <c r="E42" s="181">
        <v>6.5200000000000008E-2</v>
      </c>
      <c r="F42" s="180">
        <v>104.43</v>
      </c>
      <c r="G42" s="181">
        <v>7.0300000000000001E-2</v>
      </c>
      <c r="H42" s="180">
        <v>102.52000000000001</v>
      </c>
      <c r="I42" s="181">
        <v>7.2599999999999998E-2</v>
      </c>
    </row>
    <row r="43" spans="1:9" x14ac:dyDescent="0.35">
      <c r="A43" s="133">
        <v>43882</v>
      </c>
      <c r="B43" s="180">
        <v>103.85374999999998</v>
      </c>
      <c r="C43" s="181">
        <v>5.6500000000000002E-2</v>
      </c>
      <c r="D43" s="180">
        <v>103.82000000000001</v>
      </c>
      <c r="E43" s="181">
        <v>6.5000000000000002E-2</v>
      </c>
      <c r="F43" s="180">
        <v>104.52000000000001</v>
      </c>
      <c r="G43" s="181">
        <v>7.0199999999999999E-2</v>
      </c>
      <c r="H43" s="180">
        <v>102.7</v>
      </c>
      <c r="I43" s="181">
        <v>7.2500000000000009E-2</v>
      </c>
    </row>
    <row r="44" spans="1:9" x14ac:dyDescent="0.35">
      <c r="A44" s="133">
        <v>43885</v>
      </c>
      <c r="B44" s="180">
        <v>103.65624999999994</v>
      </c>
      <c r="C44" s="181">
        <v>5.6900000000000006E-2</v>
      </c>
      <c r="D44" s="180">
        <v>103.52000000000001</v>
      </c>
      <c r="E44" s="181">
        <v>6.54E-2</v>
      </c>
      <c r="F44" s="180">
        <v>104.36</v>
      </c>
      <c r="G44" s="181">
        <v>7.0300000000000001E-2</v>
      </c>
      <c r="H44" s="180">
        <v>102.49000000000001</v>
      </c>
      <c r="I44" s="181">
        <v>7.2700000000000001E-2</v>
      </c>
    </row>
    <row r="45" spans="1:9" x14ac:dyDescent="0.35">
      <c r="A45" s="133">
        <v>43886</v>
      </c>
      <c r="B45" s="180">
        <v>103.81499999999998</v>
      </c>
      <c r="C45" s="181">
        <v>5.6600000000000004E-2</v>
      </c>
      <c r="D45" s="180">
        <v>103.54</v>
      </c>
      <c r="E45" s="181">
        <v>6.5299999999999997E-2</v>
      </c>
      <c r="F45" s="180">
        <v>104.39</v>
      </c>
      <c r="G45" s="181">
        <v>7.0300000000000001E-2</v>
      </c>
      <c r="H45" s="180">
        <v>102.37</v>
      </c>
      <c r="I45" s="181">
        <v>7.2800000000000004E-2</v>
      </c>
    </row>
    <row r="46" spans="1:9" x14ac:dyDescent="0.35">
      <c r="A46" s="133">
        <v>43887</v>
      </c>
      <c r="B46" s="180">
        <v>103.755</v>
      </c>
      <c r="C46" s="181">
        <v>5.67E-2</v>
      </c>
      <c r="D46" s="180">
        <v>103.47</v>
      </c>
      <c r="E46" s="181">
        <v>6.54E-2</v>
      </c>
      <c r="F46" s="180">
        <v>104.30000000000001</v>
      </c>
      <c r="G46" s="181">
        <v>7.0400000000000004E-2</v>
      </c>
      <c r="H46" s="180">
        <v>102.28</v>
      </c>
      <c r="I46" s="181">
        <v>7.2900000000000006E-2</v>
      </c>
    </row>
    <row r="47" spans="1:9" x14ac:dyDescent="0.35">
      <c r="A47" s="133">
        <v>43888</v>
      </c>
      <c r="B47" s="180">
        <v>103.2625</v>
      </c>
      <c r="C47" s="181">
        <v>5.7800000000000004E-2</v>
      </c>
      <c r="D47" s="180">
        <v>102.48</v>
      </c>
      <c r="E47" s="181">
        <v>6.6700000000000009E-2</v>
      </c>
      <c r="F47" s="180">
        <v>102.79</v>
      </c>
      <c r="G47" s="181">
        <v>7.2000000000000008E-2</v>
      </c>
      <c r="H47" s="180">
        <v>101.23</v>
      </c>
      <c r="I47" s="181">
        <v>7.3900000000000007E-2</v>
      </c>
    </row>
    <row r="48" spans="1:9" x14ac:dyDescent="0.35">
      <c r="A48" s="133">
        <v>43889</v>
      </c>
      <c r="B48" s="180">
        <v>102.36874999999998</v>
      </c>
      <c r="C48" s="181">
        <v>5.9700000000000003E-2</v>
      </c>
      <c r="D48" s="180">
        <v>101.21000000000001</v>
      </c>
      <c r="E48" s="181">
        <v>6.8400000000000002E-2</v>
      </c>
      <c r="F48" s="180">
        <v>101.25</v>
      </c>
      <c r="G48" s="181">
        <v>7.3700000000000002E-2</v>
      </c>
      <c r="H48" s="180">
        <v>100.92</v>
      </c>
      <c r="I48" s="181">
        <v>7.4200000000000002E-2</v>
      </c>
    </row>
    <row r="49" spans="1:9" x14ac:dyDescent="0.35">
      <c r="A49" s="133">
        <v>43892</v>
      </c>
      <c r="B49" s="180">
        <v>100.86</v>
      </c>
      <c r="C49" s="181">
        <v>6.3100000000000003E-2</v>
      </c>
      <c r="D49" s="180">
        <v>99.34</v>
      </c>
      <c r="E49" s="181">
        <v>7.0900000000000005E-2</v>
      </c>
      <c r="F49" s="180">
        <v>99.350000000000009</v>
      </c>
      <c r="G49" s="181">
        <v>7.5800000000000006E-2</v>
      </c>
      <c r="H49" s="180">
        <v>99.01</v>
      </c>
      <c r="I49" s="181">
        <v>7.5999999999999998E-2</v>
      </c>
    </row>
    <row r="50" spans="1:9" x14ac:dyDescent="0.35">
      <c r="A50" s="133">
        <v>43893</v>
      </c>
      <c r="B50" s="180">
        <v>102.2775</v>
      </c>
      <c r="C50" s="181">
        <v>5.9900000000000002E-2</v>
      </c>
      <c r="D50" s="180">
        <v>101.71000000000001</v>
      </c>
      <c r="E50" s="181">
        <v>6.7699999999999996E-2</v>
      </c>
      <c r="F50" s="180">
        <v>101.11</v>
      </c>
      <c r="G50" s="181">
        <v>7.3800000000000004E-2</v>
      </c>
      <c r="H50" s="180">
        <v>100.09</v>
      </c>
      <c r="I50" s="181">
        <v>7.4999999999999997E-2</v>
      </c>
    </row>
    <row r="51" spans="1:9" x14ac:dyDescent="0.35">
      <c r="A51" s="133">
        <v>43894</v>
      </c>
      <c r="B51" s="180">
        <v>103.23875000000001</v>
      </c>
      <c r="C51" s="181">
        <v>5.7800000000000004E-2</v>
      </c>
      <c r="D51" s="180">
        <v>103.15</v>
      </c>
      <c r="E51" s="181">
        <v>6.59E-2</v>
      </c>
      <c r="F51" s="180">
        <v>103.65</v>
      </c>
      <c r="G51" s="181">
        <v>7.1099999999999997E-2</v>
      </c>
      <c r="H51" s="180">
        <v>101.52000000000001</v>
      </c>
      <c r="I51" s="181">
        <v>7.3599999999999999E-2</v>
      </c>
    </row>
    <row r="52" spans="1:9" x14ac:dyDescent="0.35">
      <c r="A52" s="133">
        <v>43895</v>
      </c>
      <c r="B52" s="180">
        <v>103.77000000000001</v>
      </c>
      <c r="C52" s="181">
        <v>5.67E-2</v>
      </c>
      <c r="D52" s="180">
        <v>103.60000000000001</v>
      </c>
      <c r="E52" s="181">
        <v>6.5299999999999997E-2</v>
      </c>
      <c r="F52" s="180">
        <v>104.58</v>
      </c>
      <c r="G52" s="181">
        <v>7.010000000000001E-2</v>
      </c>
      <c r="H52" s="180">
        <v>103.98</v>
      </c>
      <c r="I52" s="181">
        <v>7.1300000000000002E-2</v>
      </c>
    </row>
    <row r="53" spans="1:9" x14ac:dyDescent="0.35">
      <c r="A53" s="133">
        <v>43896</v>
      </c>
      <c r="B53" s="180">
        <v>103.15875</v>
      </c>
      <c r="C53" s="181">
        <v>5.8000000000000003E-2</v>
      </c>
      <c r="D53" s="180">
        <v>102.82000000000001</v>
      </c>
      <c r="E53" s="181">
        <v>6.6299999999999998E-2</v>
      </c>
      <c r="F53" s="180">
        <v>103.83</v>
      </c>
      <c r="G53" s="181">
        <v>7.0900000000000005E-2</v>
      </c>
      <c r="H53" s="180">
        <v>103.48</v>
      </c>
      <c r="I53" s="181">
        <v>7.17E-2</v>
      </c>
    </row>
    <row r="54" spans="1:9" x14ac:dyDescent="0.35">
      <c r="A54" s="133">
        <v>43899</v>
      </c>
      <c r="B54" s="180">
        <v>101.21875</v>
      </c>
      <c r="C54" s="181">
        <v>6.2300000000000001E-2</v>
      </c>
      <c r="D54" s="180">
        <v>99.89</v>
      </c>
      <c r="E54" s="181">
        <v>7.0199999999999999E-2</v>
      </c>
      <c r="F54" s="180">
        <v>100.93</v>
      </c>
      <c r="G54" s="181">
        <v>7.3999999999999996E-2</v>
      </c>
      <c r="H54" s="180">
        <v>100.91000000000001</v>
      </c>
      <c r="I54" s="181">
        <v>7.4200000000000002E-2</v>
      </c>
    </row>
    <row r="55" spans="1:9" x14ac:dyDescent="0.35">
      <c r="A55" s="133">
        <v>43900</v>
      </c>
      <c r="B55" s="180">
        <v>101.72625000000001</v>
      </c>
      <c r="C55" s="181">
        <v>6.1100000000000002E-2</v>
      </c>
      <c r="D55" s="180">
        <v>100.21000000000001</v>
      </c>
      <c r="E55" s="181">
        <v>6.9800000000000001E-2</v>
      </c>
      <c r="F55" s="180">
        <v>100.03</v>
      </c>
      <c r="G55" s="181">
        <v>7.4999999999999997E-2</v>
      </c>
      <c r="H55" s="180">
        <v>100.15</v>
      </c>
      <c r="I55" s="181">
        <v>7.4900000000000008E-2</v>
      </c>
    </row>
    <row r="56" spans="1:9" x14ac:dyDescent="0.35">
      <c r="A56" s="133">
        <v>43901</v>
      </c>
      <c r="B56" s="180">
        <v>102.09500000000001</v>
      </c>
      <c r="C56" s="181">
        <v>6.0299999999999999E-2</v>
      </c>
      <c r="D56" s="180">
        <v>101.31</v>
      </c>
      <c r="E56" s="181">
        <v>6.83E-2</v>
      </c>
      <c r="F56" s="180">
        <v>101.46000000000001</v>
      </c>
      <c r="G56" s="181">
        <v>7.3400000000000007E-2</v>
      </c>
      <c r="H56" s="180">
        <v>100.77000000000001</v>
      </c>
      <c r="I56" s="181">
        <v>7.4300000000000005E-2</v>
      </c>
    </row>
    <row r="57" spans="1:9" x14ac:dyDescent="0.35">
      <c r="A57" s="133">
        <v>43902</v>
      </c>
      <c r="B57" s="180">
        <v>101.29875000000001</v>
      </c>
      <c r="C57" s="181">
        <v>6.2100000000000002E-2</v>
      </c>
      <c r="D57" s="180">
        <v>99.06</v>
      </c>
      <c r="E57" s="181">
        <v>7.1300000000000002E-2</v>
      </c>
      <c r="F57" s="180">
        <v>99.63000000000001</v>
      </c>
      <c r="G57" s="181">
        <v>7.5400000000000009E-2</v>
      </c>
      <c r="H57" s="180">
        <v>99.240000000000009</v>
      </c>
      <c r="I57" s="181">
        <v>7.5800000000000006E-2</v>
      </c>
    </row>
    <row r="58" spans="1:9" x14ac:dyDescent="0.35">
      <c r="A58" s="133">
        <v>43903</v>
      </c>
      <c r="B58" s="180">
        <v>99.352499999999992</v>
      </c>
      <c r="C58" s="181">
        <v>6.6500000000000004E-2</v>
      </c>
      <c r="D58" s="180">
        <v>96.73</v>
      </c>
      <c r="E58" s="181">
        <v>7.46E-2</v>
      </c>
      <c r="F58" s="180">
        <v>97.39</v>
      </c>
      <c r="G58" s="181">
        <v>7.8E-2</v>
      </c>
      <c r="H58" s="180">
        <v>96.940000000000012</v>
      </c>
      <c r="I58" s="181">
        <v>7.8100000000000003E-2</v>
      </c>
    </row>
    <row r="59" spans="1:9" x14ac:dyDescent="0.35">
      <c r="A59" s="133">
        <v>43906</v>
      </c>
      <c r="B59" s="180">
        <v>99.152500000000003</v>
      </c>
      <c r="C59" s="181">
        <v>6.7000000000000004E-2</v>
      </c>
      <c r="D59" s="180">
        <v>97.92</v>
      </c>
      <c r="E59" s="181">
        <v>7.2900000000000006E-2</v>
      </c>
      <c r="F59" s="180">
        <v>98.29</v>
      </c>
      <c r="G59" s="181">
        <v>7.6999999999999999E-2</v>
      </c>
      <c r="H59" s="180">
        <v>96.940000000000012</v>
      </c>
      <c r="I59" s="181">
        <v>7.8100000000000003E-2</v>
      </c>
    </row>
    <row r="60" spans="1:9" x14ac:dyDescent="0.35">
      <c r="A60" s="133">
        <v>43907</v>
      </c>
      <c r="B60" s="180">
        <v>98.757499999999993</v>
      </c>
      <c r="C60" s="181">
        <v>6.7900000000000002E-2</v>
      </c>
      <c r="D60" s="180">
        <v>96.54</v>
      </c>
      <c r="E60" s="181">
        <v>7.4900000000000008E-2</v>
      </c>
      <c r="F60" s="180">
        <v>97.82</v>
      </c>
      <c r="G60" s="181">
        <v>7.7499999999999999E-2</v>
      </c>
      <c r="H60" s="180">
        <v>96.02000000000001</v>
      </c>
      <c r="I60" s="181">
        <v>7.9000000000000001E-2</v>
      </c>
    </row>
    <row r="61" spans="1:9" x14ac:dyDescent="0.35">
      <c r="A61" s="133">
        <v>43908</v>
      </c>
      <c r="B61" s="180">
        <v>99.497500000000002</v>
      </c>
      <c r="C61" s="181">
        <v>6.6200000000000009E-2</v>
      </c>
      <c r="D61" s="180">
        <v>96.350000000000009</v>
      </c>
      <c r="E61" s="181">
        <v>7.51E-2</v>
      </c>
      <c r="F61" s="180">
        <v>97.42</v>
      </c>
      <c r="G61" s="181">
        <v>7.8E-2</v>
      </c>
      <c r="H61" s="180">
        <v>96.190000000000012</v>
      </c>
      <c r="I61" s="181">
        <v>7.8899999999999998E-2</v>
      </c>
    </row>
    <row r="62" spans="1:9" x14ac:dyDescent="0.35">
      <c r="A62" s="133">
        <v>43909</v>
      </c>
      <c r="B62" s="180">
        <v>97.394999999999996</v>
      </c>
      <c r="C62" s="181">
        <v>7.1099999999999997E-2</v>
      </c>
      <c r="D62" s="180">
        <v>94.320000000000007</v>
      </c>
      <c r="E62" s="181">
        <v>7.8100000000000003E-2</v>
      </c>
      <c r="F62" s="180">
        <v>94.95</v>
      </c>
      <c r="G62" s="181">
        <v>8.09E-2</v>
      </c>
      <c r="H62" s="180">
        <v>94.75</v>
      </c>
      <c r="I62" s="181">
        <v>8.0399999999999999E-2</v>
      </c>
    </row>
    <row r="63" spans="1:9" x14ac:dyDescent="0.35">
      <c r="A63" s="133">
        <v>43910</v>
      </c>
      <c r="B63" s="180">
        <v>96.458749999999995</v>
      </c>
      <c r="C63" s="181">
        <v>7.3300000000000004E-2</v>
      </c>
      <c r="D63" s="180">
        <v>92.01</v>
      </c>
      <c r="E63" s="181">
        <v>8.1500000000000003E-2</v>
      </c>
      <c r="F63" s="180">
        <v>91.74</v>
      </c>
      <c r="G63" s="181">
        <v>8.48E-2</v>
      </c>
      <c r="H63" s="180">
        <v>91.54</v>
      </c>
      <c r="I63" s="181">
        <v>8.3799999999999999E-2</v>
      </c>
    </row>
    <row r="64" spans="1:9" x14ac:dyDescent="0.35">
      <c r="A64" s="133">
        <v>43913</v>
      </c>
      <c r="B64" s="180">
        <v>96.356250000000003</v>
      </c>
      <c r="C64" s="181">
        <v>7.350000000000001E-2</v>
      </c>
      <c r="D64" s="180">
        <v>92.23</v>
      </c>
      <c r="E64" s="181">
        <v>8.1200000000000008E-2</v>
      </c>
      <c r="F64" s="180">
        <v>91.300000000000011</v>
      </c>
      <c r="G64" s="181">
        <v>8.5300000000000001E-2</v>
      </c>
      <c r="H64" s="180">
        <v>91.14</v>
      </c>
      <c r="I64" s="181">
        <v>8.43E-2</v>
      </c>
    </row>
    <row r="65" spans="1:9" x14ac:dyDescent="0.35">
      <c r="A65" s="133">
        <v>43914</v>
      </c>
      <c r="B65" s="180">
        <v>95.834999999999994</v>
      </c>
      <c r="C65" s="181">
        <v>7.4800000000000005E-2</v>
      </c>
      <c r="D65" s="180">
        <v>91.210000000000008</v>
      </c>
      <c r="E65" s="181">
        <v>8.2799999999999999E-2</v>
      </c>
      <c r="F65" s="180">
        <v>91.14</v>
      </c>
      <c r="G65" s="181">
        <v>8.5500000000000007E-2</v>
      </c>
      <c r="H65" s="180">
        <v>90.24</v>
      </c>
      <c r="I65" s="181">
        <v>8.5300000000000001E-2</v>
      </c>
    </row>
    <row r="66" spans="1:9" x14ac:dyDescent="0.35">
      <c r="A66" s="133">
        <v>43916</v>
      </c>
      <c r="B66" s="180">
        <v>96.493750000000006</v>
      </c>
      <c r="C66" s="181">
        <v>7.3200000000000001E-2</v>
      </c>
      <c r="D66" s="180">
        <v>92.39</v>
      </c>
      <c r="E66" s="181">
        <v>8.1000000000000003E-2</v>
      </c>
      <c r="F66" s="180">
        <v>92.09</v>
      </c>
      <c r="G66" s="181">
        <v>8.43E-2</v>
      </c>
      <c r="H66" s="180">
        <v>90.26</v>
      </c>
      <c r="I66" s="181">
        <v>8.5300000000000001E-2</v>
      </c>
    </row>
    <row r="67" spans="1:9" x14ac:dyDescent="0.35">
      <c r="A67" s="133">
        <v>43917</v>
      </c>
      <c r="B67" s="180">
        <v>97.155000000000001</v>
      </c>
      <c r="C67" s="181">
        <v>7.17E-2</v>
      </c>
      <c r="D67" s="180">
        <v>93.850000000000009</v>
      </c>
      <c r="E67" s="181">
        <v>7.8800000000000009E-2</v>
      </c>
      <c r="F67" s="180">
        <v>92.460000000000008</v>
      </c>
      <c r="G67" s="181">
        <v>8.3900000000000002E-2</v>
      </c>
      <c r="H67" s="180">
        <v>91.38000000000001</v>
      </c>
      <c r="I67" s="181">
        <v>8.4000000000000005E-2</v>
      </c>
    </row>
    <row r="68" spans="1:9" x14ac:dyDescent="0.35">
      <c r="A68" s="133">
        <v>43920</v>
      </c>
      <c r="B68" s="180">
        <v>97.543749999999989</v>
      </c>
      <c r="C68" s="181">
        <v>7.0699999999999999E-2</v>
      </c>
      <c r="D68" s="180">
        <v>93.9</v>
      </c>
      <c r="E68" s="181">
        <v>7.8700000000000006E-2</v>
      </c>
      <c r="F68" s="180">
        <v>93.940000000000012</v>
      </c>
      <c r="G68" s="181">
        <v>8.2100000000000006E-2</v>
      </c>
      <c r="H68" s="180">
        <v>92.23</v>
      </c>
      <c r="I68" s="181">
        <v>8.3100000000000007E-2</v>
      </c>
    </row>
    <row r="69" spans="1:9" x14ac:dyDescent="0.35">
      <c r="A69" s="133">
        <v>43921</v>
      </c>
      <c r="B69" s="180">
        <v>97.088750000000005</v>
      </c>
      <c r="C69" s="181">
        <v>7.1800000000000003E-2</v>
      </c>
      <c r="D69" s="180">
        <v>94.210000000000008</v>
      </c>
      <c r="E69" s="181">
        <v>7.8300000000000008E-2</v>
      </c>
      <c r="F69" s="180">
        <v>93.72</v>
      </c>
      <c r="G69" s="181">
        <v>8.2299999999999998E-2</v>
      </c>
      <c r="H69" s="180">
        <v>92.73</v>
      </c>
      <c r="I69" s="181">
        <v>8.2500000000000004E-2</v>
      </c>
    </row>
    <row r="70" spans="1:9" x14ac:dyDescent="0.35">
      <c r="A70" s="133">
        <v>43922</v>
      </c>
      <c r="B70" s="180">
        <v>96.788749999999993</v>
      </c>
      <c r="C70" s="181">
        <v>7.2500000000000009E-2</v>
      </c>
      <c r="D70" s="180">
        <v>93.87</v>
      </c>
      <c r="E70" s="181">
        <v>7.8800000000000009E-2</v>
      </c>
      <c r="F70" s="180">
        <v>93.78</v>
      </c>
      <c r="G70" s="181">
        <v>8.2299999999999998E-2</v>
      </c>
      <c r="H70" s="180">
        <v>92.1</v>
      </c>
      <c r="I70" s="181">
        <v>8.3199999999999996E-2</v>
      </c>
    </row>
    <row r="71" spans="1:9" x14ac:dyDescent="0.35">
      <c r="A71" s="133">
        <v>43923</v>
      </c>
      <c r="B71" s="180">
        <v>96.52</v>
      </c>
      <c r="C71" s="181">
        <v>7.3200000000000001E-2</v>
      </c>
      <c r="D71" s="180">
        <v>92.910000000000011</v>
      </c>
      <c r="E71" s="181">
        <v>8.0200000000000007E-2</v>
      </c>
      <c r="F71" s="180">
        <v>93.28</v>
      </c>
      <c r="G71" s="181">
        <v>8.2900000000000001E-2</v>
      </c>
      <c r="H71" s="180">
        <v>91.37</v>
      </c>
      <c r="I71" s="181">
        <v>8.4000000000000005E-2</v>
      </c>
    </row>
    <row r="72" spans="1:9" x14ac:dyDescent="0.35">
      <c r="A72" s="133">
        <v>43924</v>
      </c>
      <c r="B72" s="180">
        <v>96.428750000000008</v>
      </c>
      <c r="C72" s="181">
        <v>7.3400000000000007E-2</v>
      </c>
      <c r="D72" s="180">
        <v>92.79</v>
      </c>
      <c r="E72" s="181">
        <v>8.0399999999999999E-2</v>
      </c>
      <c r="F72" s="180">
        <v>93.93</v>
      </c>
      <c r="G72" s="181">
        <v>8.2100000000000006E-2</v>
      </c>
      <c r="H72" s="180">
        <v>92.71</v>
      </c>
      <c r="I72" s="181">
        <v>8.2500000000000004E-2</v>
      </c>
    </row>
    <row r="73" spans="1:9" x14ac:dyDescent="0.35">
      <c r="A73" s="133">
        <v>43927</v>
      </c>
      <c r="B73" s="180">
        <v>96.386250000000004</v>
      </c>
      <c r="C73" s="181">
        <v>7.350000000000001E-2</v>
      </c>
      <c r="D73" s="180">
        <v>92.56</v>
      </c>
      <c r="E73" s="181">
        <v>8.0700000000000008E-2</v>
      </c>
      <c r="F73" s="180">
        <v>93.65</v>
      </c>
      <c r="G73" s="181">
        <v>8.2400000000000001E-2</v>
      </c>
      <c r="H73" s="180">
        <v>92.92</v>
      </c>
      <c r="I73" s="181">
        <v>8.2299999999999998E-2</v>
      </c>
    </row>
    <row r="74" spans="1:9" x14ac:dyDescent="0.35">
      <c r="A74" s="133">
        <v>43928</v>
      </c>
      <c r="B74" s="180">
        <v>95.622500000000002</v>
      </c>
      <c r="C74" s="181">
        <v>7.5400000000000009E-2</v>
      </c>
      <c r="D74" s="180">
        <v>91.9</v>
      </c>
      <c r="E74" s="181">
        <v>8.1700000000000009E-2</v>
      </c>
      <c r="F74" s="180">
        <v>93.68</v>
      </c>
      <c r="G74" s="181">
        <v>8.2400000000000001E-2</v>
      </c>
      <c r="H74" s="180">
        <v>92.79</v>
      </c>
      <c r="I74" s="181">
        <v>8.2500000000000004E-2</v>
      </c>
    </row>
    <row r="75" spans="1:9" x14ac:dyDescent="0.35">
      <c r="A75" s="133">
        <v>43929</v>
      </c>
      <c r="B75" s="180">
        <v>95.873750000000001</v>
      </c>
      <c r="C75" s="181">
        <v>7.4800000000000005E-2</v>
      </c>
      <c r="D75" s="180">
        <v>92.550000000000011</v>
      </c>
      <c r="E75" s="181">
        <v>8.0700000000000008E-2</v>
      </c>
      <c r="F75" s="180">
        <v>93.800000000000011</v>
      </c>
      <c r="G75" s="181">
        <v>8.2299999999999998E-2</v>
      </c>
      <c r="H75" s="180">
        <v>93.11</v>
      </c>
      <c r="I75" s="181">
        <v>8.2100000000000006E-2</v>
      </c>
    </row>
    <row r="76" spans="1:9" x14ac:dyDescent="0.35">
      <c r="A76" s="133">
        <v>43930</v>
      </c>
      <c r="B76" s="180">
        <v>95.601249999999993</v>
      </c>
      <c r="C76" s="181">
        <v>7.5400000000000009E-2</v>
      </c>
      <c r="D76" s="180">
        <v>92.52</v>
      </c>
      <c r="E76" s="181">
        <v>8.0799999999999997E-2</v>
      </c>
      <c r="F76" s="180">
        <v>93.490000000000009</v>
      </c>
      <c r="G76" s="181">
        <v>8.2600000000000007E-2</v>
      </c>
      <c r="H76" s="180">
        <v>92.6</v>
      </c>
      <c r="I76" s="181">
        <v>8.270000000000001E-2</v>
      </c>
    </row>
    <row r="77" spans="1:9" x14ac:dyDescent="0.35">
      <c r="A77" s="133">
        <v>43934</v>
      </c>
      <c r="B77" s="180">
        <v>95.828749999999985</v>
      </c>
      <c r="C77" s="181">
        <v>7.4900000000000008E-2</v>
      </c>
      <c r="D77" s="180">
        <v>93.350000000000009</v>
      </c>
      <c r="E77" s="181">
        <v>7.9500000000000001E-2</v>
      </c>
      <c r="F77" s="180">
        <v>93.84</v>
      </c>
      <c r="G77" s="181">
        <v>8.2200000000000009E-2</v>
      </c>
      <c r="H77" s="180">
        <v>92.940000000000012</v>
      </c>
      <c r="I77" s="181">
        <v>8.2299999999999998E-2</v>
      </c>
    </row>
    <row r="78" spans="1:9" x14ac:dyDescent="0.35">
      <c r="A78" s="133">
        <v>43935</v>
      </c>
      <c r="B78" s="180">
        <v>95.617500000000007</v>
      </c>
      <c r="C78" s="181">
        <v>7.5400000000000009E-2</v>
      </c>
      <c r="D78" s="180">
        <v>93.59</v>
      </c>
      <c r="E78" s="181">
        <v>7.9200000000000007E-2</v>
      </c>
      <c r="F78" s="180">
        <v>93.84</v>
      </c>
      <c r="G78" s="181">
        <v>8.2200000000000009E-2</v>
      </c>
      <c r="H78" s="180">
        <v>92.88000000000001</v>
      </c>
      <c r="I78" s="181">
        <v>8.2400000000000001E-2</v>
      </c>
    </row>
    <row r="79" spans="1:9" x14ac:dyDescent="0.35">
      <c r="A79" s="133">
        <v>43936</v>
      </c>
      <c r="B79" s="180">
        <v>96.22999999999999</v>
      </c>
      <c r="C79" s="181">
        <v>7.3900000000000007E-2</v>
      </c>
      <c r="D79" s="180">
        <v>94.23</v>
      </c>
      <c r="E79" s="181">
        <v>7.8200000000000006E-2</v>
      </c>
      <c r="F79" s="180">
        <v>94.26</v>
      </c>
      <c r="G79" s="181">
        <v>8.1700000000000009E-2</v>
      </c>
      <c r="H79" s="180">
        <v>92.97</v>
      </c>
      <c r="I79" s="181">
        <v>8.2299999999999998E-2</v>
      </c>
    </row>
    <row r="80" spans="1:9" x14ac:dyDescent="0.35">
      <c r="A80" s="133">
        <v>43937</v>
      </c>
      <c r="B80" s="180">
        <v>96.164999999999992</v>
      </c>
      <c r="C80" s="181">
        <v>7.4099999999999999E-2</v>
      </c>
      <c r="D80" s="180">
        <v>93.58</v>
      </c>
      <c r="E80" s="181">
        <v>7.9200000000000007E-2</v>
      </c>
      <c r="F80" s="180">
        <v>94.64</v>
      </c>
      <c r="G80" s="181">
        <v>8.1200000000000008E-2</v>
      </c>
      <c r="H80" s="180">
        <v>93.45</v>
      </c>
      <c r="I80" s="181">
        <v>8.1799999999999998E-2</v>
      </c>
    </row>
    <row r="81" spans="1:9" x14ac:dyDescent="0.35">
      <c r="A81" s="133">
        <v>43938</v>
      </c>
      <c r="B81" s="180">
        <v>96.462500000000006</v>
      </c>
      <c r="C81" s="181">
        <v>7.3400000000000007E-2</v>
      </c>
      <c r="D81" s="180">
        <v>94.01</v>
      </c>
      <c r="E81" s="181">
        <v>7.8600000000000003E-2</v>
      </c>
      <c r="F81" s="180">
        <v>94.52000000000001</v>
      </c>
      <c r="G81" s="181">
        <v>8.14E-2</v>
      </c>
      <c r="H81" s="180">
        <v>93.45</v>
      </c>
      <c r="I81" s="181">
        <v>8.1799999999999998E-2</v>
      </c>
    </row>
    <row r="82" spans="1:9" x14ac:dyDescent="0.35">
      <c r="A82" s="133">
        <v>43941</v>
      </c>
      <c r="B82" s="180">
        <v>96.902500000000003</v>
      </c>
      <c r="C82" s="181">
        <v>7.2300000000000003E-2</v>
      </c>
      <c r="D82" s="180">
        <v>93.990000000000009</v>
      </c>
      <c r="E82" s="181">
        <v>7.8600000000000003E-2</v>
      </c>
      <c r="F82" s="180">
        <v>94.65</v>
      </c>
      <c r="G82" s="181">
        <v>8.1200000000000008E-2</v>
      </c>
      <c r="H82" s="180">
        <v>93.53</v>
      </c>
      <c r="I82" s="181">
        <v>8.1700000000000009E-2</v>
      </c>
    </row>
    <row r="83" spans="1:9" x14ac:dyDescent="0.35">
      <c r="A83" s="133">
        <v>43942</v>
      </c>
      <c r="B83" s="180">
        <v>97.601249999999993</v>
      </c>
      <c r="C83" s="181">
        <v>7.0699999999999999E-2</v>
      </c>
      <c r="D83" s="180">
        <v>94.87</v>
      </c>
      <c r="E83" s="181">
        <v>7.7300000000000008E-2</v>
      </c>
      <c r="F83" s="180">
        <v>95.67</v>
      </c>
      <c r="G83" s="181">
        <v>0.08</v>
      </c>
      <c r="H83" s="180">
        <v>94.37</v>
      </c>
      <c r="I83" s="181">
        <v>8.0799999999999997E-2</v>
      </c>
    </row>
    <row r="84" spans="1:9" x14ac:dyDescent="0.35">
      <c r="A84" s="133">
        <v>43943</v>
      </c>
      <c r="B84" s="180">
        <v>97.547499999999985</v>
      </c>
      <c r="C84" s="181">
        <v>7.0800000000000002E-2</v>
      </c>
      <c r="D84" s="180">
        <v>94.490000000000009</v>
      </c>
      <c r="E84" s="181">
        <v>7.7899999999999997E-2</v>
      </c>
      <c r="F84" s="180">
        <v>95.740000000000009</v>
      </c>
      <c r="G84" s="181">
        <v>7.9899999999999999E-2</v>
      </c>
      <c r="H84" s="180">
        <v>94.59</v>
      </c>
      <c r="I84" s="181">
        <v>8.0500000000000002E-2</v>
      </c>
    </row>
    <row r="85" spans="1:9" x14ac:dyDescent="0.35">
      <c r="A85" s="133">
        <v>43944</v>
      </c>
      <c r="B85" s="180">
        <v>96.96875</v>
      </c>
      <c r="C85" s="181">
        <v>7.22E-2</v>
      </c>
      <c r="D85" s="180">
        <v>94.210000000000008</v>
      </c>
      <c r="E85" s="181">
        <v>7.8300000000000008E-2</v>
      </c>
      <c r="F85" s="180">
        <v>95.77000000000001</v>
      </c>
      <c r="G85" s="181">
        <v>7.9899999999999999E-2</v>
      </c>
      <c r="H85" s="180">
        <v>94.5</v>
      </c>
      <c r="I85" s="181">
        <v>8.0600000000000005E-2</v>
      </c>
    </row>
    <row r="86" spans="1:9" x14ac:dyDescent="0.35">
      <c r="A86" s="133">
        <v>43945</v>
      </c>
      <c r="B86" s="180">
        <v>97.101249999999993</v>
      </c>
      <c r="C86" s="181">
        <v>7.1900000000000006E-2</v>
      </c>
      <c r="D86" s="180">
        <v>94.190000000000012</v>
      </c>
      <c r="E86" s="181">
        <v>7.8300000000000008E-2</v>
      </c>
      <c r="F86" s="180">
        <v>96.06</v>
      </c>
      <c r="G86" s="181">
        <v>7.9600000000000004E-2</v>
      </c>
      <c r="H86" s="180">
        <v>94.98</v>
      </c>
      <c r="I86" s="181">
        <v>8.0100000000000005E-2</v>
      </c>
    </row>
    <row r="87" spans="1:9" x14ac:dyDescent="0.35">
      <c r="A87" s="133">
        <v>43948</v>
      </c>
      <c r="B87" s="180">
        <v>96.461250000000007</v>
      </c>
      <c r="C87" s="181">
        <v>7.3400000000000007E-2</v>
      </c>
      <c r="D87" s="180">
        <v>93.45</v>
      </c>
      <c r="E87" s="181">
        <v>7.9399999999999998E-2</v>
      </c>
      <c r="F87" s="180">
        <v>95.490000000000009</v>
      </c>
      <c r="G87" s="181">
        <v>8.0200000000000007E-2</v>
      </c>
      <c r="H87" s="180">
        <v>94.820000000000007</v>
      </c>
      <c r="I87" s="181">
        <v>8.0299999999999996E-2</v>
      </c>
    </row>
    <row r="88" spans="1:9" x14ac:dyDescent="0.35">
      <c r="A88" s="133">
        <v>43949</v>
      </c>
      <c r="B88" s="180">
        <v>95.58874999999999</v>
      </c>
      <c r="C88" s="181">
        <v>7.5600000000000001E-2</v>
      </c>
      <c r="D88" s="180">
        <v>92.490000000000009</v>
      </c>
      <c r="E88" s="181">
        <v>8.09E-2</v>
      </c>
      <c r="F88" s="180">
        <v>95.47</v>
      </c>
      <c r="G88" s="181">
        <v>8.0299999999999996E-2</v>
      </c>
      <c r="H88" s="180">
        <v>94.4</v>
      </c>
      <c r="I88" s="181">
        <v>8.0700000000000008E-2</v>
      </c>
    </row>
    <row r="89" spans="1:9" x14ac:dyDescent="0.35">
      <c r="A89" s="133">
        <v>43950</v>
      </c>
      <c r="B89" s="180">
        <v>95.547500000000014</v>
      </c>
      <c r="C89" s="181">
        <v>7.5700000000000003E-2</v>
      </c>
      <c r="D89" s="180">
        <v>92.660000000000011</v>
      </c>
      <c r="E89" s="181">
        <v>8.0600000000000005E-2</v>
      </c>
      <c r="F89" s="180">
        <v>94.87</v>
      </c>
      <c r="G89" s="181">
        <v>8.1000000000000003E-2</v>
      </c>
      <c r="H89" s="180">
        <v>94.14</v>
      </c>
      <c r="I89" s="181">
        <v>8.1000000000000003E-2</v>
      </c>
    </row>
    <row r="90" spans="1:9" x14ac:dyDescent="0.35">
      <c r="A90" s="133">
        <v>43951</v>
      </c>
      <c r="B90" s="180">
        <v>96.666250000000005</v>
      </c>
      <c r="C90" s="181">
        <v>7.2900000000000006E-2</v>
      </c>
      <c r="D90" s="180">
        <v>93.79</v>
      </c>
      <c r="E90" s="181">
        <v>7.8899999999999998E-2</v>
      </c>
      <c r="F90" s="180">
        <v>95.11</v>
      </c>
      <c r="G90" s="181">
        <v>8.0700000000000008E-2</v>
      </c>
      <c r="H90" s="180">
        <v>94.68</v>
      </c>
      <c r="I90" s="181">
        <v>8.0399999999999999E-2</v>
      </c>
    </row>
    <row r="91" spans="1:9" x14ac:dyDescent="0.35">
      <c r="A91" s="133">
        <v>43955</v>
      </c>
      <c r="B91" s="180">
        <v>96.637500000000003</v>
      </c>
      <c r="C91" s="181">
        <v>7.3000000000000009E-2</v>
      </c>
      <c r="D91" s="180">
        <v>93.72</v>
      </c>
      <c r="E91" s="181">
        <v>7.9000000000000001E-2</v>
      </c>
      <c r="F91" s="180">
        <v>95.17</v>
      </c>
      <c r="G91" s="181">
        <v>8.0600000000000005E-2</v>
      </c>
      <c r="H91" s="180">
        <v>94.17</v>
      </c>
      <c r="I91" s="181">
        <v>8.1000000000000003E-2</v>
      </c>
    </row>
    <row r="92" spans="1:9" x14ac:dyDescent="0.35">
      <c r="A92" s="133">
        <v>43956</v>
      </c>
      <c r="B92" s="180">
        <v>96.051249999999982</v>
      </c>
      <c r="C92" s="181">
        <v>7.4499999999999997E-2</v>
      </c>
      <c r="D92" s="180">
        <v>92.92</v>
      </c>
      <c r="E92" s="181">
        <v>8.0200000000000007E-2</v>
      </c>
      <c r="F92" s="180">
        <v>94.7</v>
      </c>
      <c r="G92" s="181">
        <v>8.1200000000000008E-2</v>
      </c>
      <c r="H92" s="180">
        <v>93.800000000000011</v>
      </c>
      <c r="I92" s="181">
        <v>8.14E-2</v>
      </c>
    </row>
    <row r="93" spans="1:9" x14ac:dyDescent="0.35">
      <c r="A93" s="133">
        <v>43957</v>
      </c>
      <c r="B93" s="180">
        <v>95.912499999999994</v>
      </c>
      <c r="C93" s="181">
        <v>7.4800000000000005E-2</v>
      </c>
      <c r="D93" s="180">
        <v>92.94</v>
      </c>
      <c r="E93" s="181">
        <v>8.0200000000000007E-2</v>
      </c>
      <c r="F93" s="180">
        <v>94.51</v>
      </c>
      <c r="G93" s="181">
        <v>8.14E-2</v>
      </c>
      <c r="H93" s="180">
        <v>93.38000000000001</v>
      </c>
      <c r="I93" s="181">
        <v>8.1799999999999998E-2</v>
      </c>
    </row>
    <row r="94" spans="1:9" x14ac:dyDescent="0.35">
      <c r="A94" s="133">
        <v>43959</v>
      </c>
      <c r="B94" s="180">
        <v>95.853750000000005</v>
      </c>
      <c r="C94" s="181">
        <v>7.4999999999999997E-2</v>
      </c>
      <c r="D94" s="180">
        <v>92.75</v>
      </c>
      <c r="E94" s="181">
        <v>8.0500000000000002E-2</v>
      </c>
      <c r="F94" s="180">
        <v>93.98</v>
      </c>
      <c r="G94" s="181">
        <v>8.2100000000000006E-2</v>
      </c>
      <c r="H94" s="180">
        <v>93.13000000000001</v>
      </c>
      <c r="I94" s="181">
        <v>8.2100000000000006E-2</v>
      </c>
    </row>
    <row r="95" spans="1:9" x14ac:dyDescent="0.35">
      <c r="A95" s="133">
        <v>43962</v>
      </c>
      <c r="B95" s="180">
        <v>95.942499999999995</v>
      </c>
      <c r="C95" s="181">
        <v>7.4800000000000005E-2</v>
      </c>
      <c r="D95" s="180">
        <v>92.89</v>
      </c>
      <c r="E95" s="181">
        <v>8.0299999999999996E-2</v>
      </c>
      <c r="F95" s="180">
        <v>94.03</v>
      </c>
      <c r="G95" s="181">
        <v>8.2000000000000003E-2</v>
      </c>
      <c r="H95" s="180">
        <v>93.210000000000008</v>
      </c>
      <c r="I95" s="181">
        <v>8.2000000000000003E-2</v>
      </c>
    </row>
    <row r="96" spans="1:9" x14ac:dyDescent="0.35">
      <c r="A96" s="133">
        <v>43963</v>
      </c>
      <c r="B96" s="180">
        <v>95.938749999999999</v>
      </c>
      <c r="C96" s="181">
        <v>7.4800000000000005E-2</v>
      </c>
      <c r="D96" s="180">
        <v>92.600000000000009</v>
      </c>
      <c r="E96" s="181">
        <v>8.0700000000000008E-2</v>
      </c>
      <c r="F96" s="180">
        <v>93.77000000000001</v>
      </c>
      <c r="G96" s="181">
        <v>8.2299999999999998E-2</v>
      </c>
      <c r="H96" s="180">
        <v>93.28</v>
      </c>
      <c r="I96" s="181">
        <v>8.1900000000000001E-2</v>
      </c>
    </row>
    <row r="97" spans="1:9" x14ac:dyDescent="0.35">
      <c r="A97" s="133">
        <v>43964</v>
      </c>
      <c r="B97" s="180">
        <v>96.917500000000004</v>
      </c>
      <c r="C97" s="181">
        <v>7.2400000000000006E-2</v>
      </c>
      <c r="D97" s="180">
        <v>93.88000000000001</v>
      </c>
      <c r="E97" s="181">
        <v>7.8800000000000009E-2</v>
      </c>
      <c r="F97" s="180">
        <v>94.12</v>
      </c>
      <c r="G97" s="181">
        <v>8.1900000000000001E-2</v>
      </c>
      <c r="H97" s="180">
        <v>92.910000000000011</v>
      </c>
      <c r="I97" s="181">
        <v>8.2299999999999998E-2</v>
      </c>
    </row>
    <row r="98" spans="1:9" x14ac:dyDescent="0.35">
      <c r="A98" s="133">
        <v>43965</v>
      </c>
      <c r="B98" s="180">
        <v>97.057500000000019</v>
      </c>
      <c r="C98" s="181">
        <v>7.2000000000000008E-2</v>
      </c>
      <c r="D98" s="180">
        <v>93.960000000000008</v>
      </c>
      <c r="E98" s="181">
        <v>7.8700000000000006E-2</v>
      </c>
      <c r="F98" s="180">
        <v>94.660000000000011</v>
      </c>
      <c r="G98" s="181">
        <v>8.1200000000000008E-2</v>
      </c>
      <c r="H98" s="180">
        <v>93.690000000000012</v>
      </c>
      <c r="I98" s="181">
        <v>8.1500000000000003E-2</v>
      </c>
    </row>
    <row r="99" spans="1:9" x14ac:dyDescent="0.35">
      <c r="A99" s="133">
        <v>43966</v>
      </c>
      <c r="B99" s="180">
        <v>97.242500000000007</v>
      </c>
      <c r="C99" s="181">
        <v>7.1599999999999997E-2</v>
      </c>
      <c r="D99" s="180">
        <v>94.43</v>
      </c>
      <c r="E99" s="181">
        <v>7.8E-2</v>
      </c>
      <c r="F99" s="180">
        <v>95.09</v>
      </c>
      <c r="G99" s="181">
        <v>8.0700000000000008E-2</v>
      </c>
      <c r="H99" s="180">
        <v>94.38000000000001</v>
      </c>
      <c r="I99" s="181">
        <v>8.0799999999999997E-2</v>
      </c>
    </row>
    <row r="100" spans="1:9" x14ac:dyDescent="0.35">
      <c r="A100" s="133">
        <v>43969</v>
      </c>
      <c r="B100" s="180">
        <v>97.59</v>
      </c>
      <c r="C100" s="181">
        <v>7.0800000000000002E-2</v>
      </c>
      <c r="D100" s="180">
        <v>95.03</v>
      </c>
      <c r="E100" s="181">
        <v>7.7100000000000002E-2</v>
      </c>
      <c r="F100" s="180">
        <v>95.45</v>
      </c>
      <c r="G100" s="181">
        <v>8.0299999999999996E-2</v>
      </c>
      <c r="H100" s="180">
        <v>94.960000000000008</v>
      </c>
      <c r="I100" s="181">
        <v>8.0100000000000005E-2</v>
      </c>
    </row>
    <row r="101" spans="1:9" x14ac:dyDescent="0.35">
      <c r="A101" s="133">
        <v>43970</v>
      </c>
      <c r="B101" s="180">
        <v>97.773750000000007</v>
      </c>
      <c r="C101" s="181">
        <v>7.0300000000000001E-2</v>
      </c>
      <c r="D101" s="180">
        <v>95.68</v>
      </c>
      <c r="E101" s="181">
        <v>7.6100000000000001E-2</v>
      </c>
      <c r="F101" s="180">
        <v>96.47</v>
      </c>
      <c r="G101" s="181">
        <v>7.9100000000000004E-2</v>
      </c>
      <c r="H101" s="180">
        <v>95.13000000000001</v>
      </c>
      <c r="I101" s="181">
        <v>0.08</v>
      </c>
    </row>
    <row r="102" spans="1:9" x14ac:dyDescent="0.35">
      <c r="A102" s="133">
        <v>43971</v>
      </c>
      <c r="B102" s="180">
        <v>98.002499999999998</v>
      </c>
      <c r="C102" s="181">
        <v>6.9800000000000001E-2</v>
      </c>
      <c r="D102" s="180">
        <v>96.14</v>
      </c>
      <c r="E102" s="181">
        <v>7.5499999999999998E-2</v>
      </c>
      <c r="F102" s="180">
        <v>96.800000000000011</v>
      </c>
      <c r="G102" s="181">
        <v>7.8700000000000006E-2</v>
      </c>
      <c r="H102" s="180">
        <v>96.15</v>
      </c>
      <c r="I102" s="181">
        <v>7.8899999999999998E-2</v>
      </c>
    </row>
    <row r="103" spans="1:9" x14ac:dyDescent="0.35">
      <c r="A103" s="133">
        <v>43977</v>
      </c>
      <c r="B103" s="180">
        <v>98.485000000000014</v>
      </c>
      <c r="C103" s="181">
        <v>6.8600000000000008E-2</v>
      </c>
      <c r="D103" s="180">
        <v>96.73</v>
      </c>
      <c r="E103" s="181">
        <v>7.46E-2</v>
      </c>
      <c r="F103" s="180">
        <v>96.95</v>
      </c>
      <c r="G103" s="181">
        <v>7.85E-2</v>
      </c>
      <c r="H103" s="180">
        <v>96.51</v>
      </c>
      <c r="I103" s="181">
        <v>7.85E-2</v>
      </c>
    </row>
    <row r="104" spans="1:9" x14ac:dyDescent="0.35">
      <c r="A104" s="133">
        <v>43978</v>
      </c>
      <c r="B104" s="180">
        <v>99.496250000000003</v>
      </c>
      <c r="C104" s="181">
        <v>6.6200000000000009E-2</v>
      </c>
      <c r="D104" s="180">
        <v>98.72</v>
      </c>
      <c r="E104" s="181">
        <v>7.1800000000000003E-2</v>
      </c>
      <c r="F104" s="180">
        <v>98.18</v>
      </c>
      <c r="G104" s="181">
        <v>7.7100000000000002E-2</v>
      </c>
      <c r="H104" s="180">
        <v>97.710000000000008</v>
      </c>
      <c r="I104" s="181">
        <v>7.7300000000000008E-2</v>
      </c>
    </row>
    <row r="105" spans="1:9" x14ac:dyDescent="0.35">
      <c r="A105" s="133">
        <v>43979</v>
      </c>
      <c r="B105" s="180">
        <v>98.663749999999993</v>
      </c>
      <c r="C105" s="181">
        <v>6.8199999999999997E-2</v>
      </c>
      <c r="D105" s="180">
        <v>97.550000000000011</v>
      </c>
      <c r="E105" s="181">
        <v>7.350000000000001E-2</v>
      </c>
      <c r="F105" s="180">
        <v>97.33</v>
      </c>
      <c r="G105" s="181">
        <v>7.8100000000000003E-2</v>
      </c>
      <c r="H105" s="180">
        <v>97.24</v>
      </c>
      <c r="I105" s="181">
        <v>7.7800000000000008E-2</v>
      </c>
    </row>
    <row r="106" spans="1:9" x14ac:dyDescent="0.35">
      <c r="A106" s="133">
        <v>43980</v>
      </c>
      <c r="B106" s="180">
        <v>98.618749999999991</v>
      </c>
      <c r="C106" s="181">
        <v>6.83E-2</v>
      </c>
      <c r="D106" s="180">
        <v>97.550000000000011</v>
      </c>
      <c r="E106" s="181">
        <v>7.350000000000001E-2</v>
      </c>
      <c r="F106" s="180">
        <v>97.320000000000007</v>
      </c>
      <c r="G106" s="181">
        <v>7.8100000000000003E-2</v>
      </c>
      <c r="H106" s="180">
        <v>97.07</v>
      </c>
      <c r="I106" s="181">
        <v>7.8E-2</v>
      </c>
    </row>
    <row r="107" spans="1:9" x14ac:dyDescent="0.35">
      <c r="A107" s="133">
        <v>43984</v>
      </c>
      <c r="B107" s="180">
        <v>99.038749999999993</v>
      </c>
      <c r="C107" s="181">
        <v>6.7299999999999999E-2</v>
      </c>
      <c r="D107" s="180">
        <v>98.34</v>
      </c>
      <c r="E107" s="181">
        <v>7.2300000000000003E-2</v>
      </c>
      <c r="F107" s="180">
        <v>97.82</v>
      </c>
      <c r="G107" s="181">
        <v>7.7499999999999999E-2</v>
      </c>
      <c r="H107" s="180">
        <v>97.68</v>
      </c>
      <c r="I107" s="181">
        <v>7.7300000000000008E-2</v>
      </c>
    </row>
    <row r="108" spans="1:9" x14ac:dyDescent="0.35">
      <c r="A108" s="133">
        <v>43985</v>
      </c>
      <c r="B108" s="180">
        <v>100.14499999999998</v>
      </c>
      <c r="C108" s="181">
        <v>6.4700000000000008E-2</v>
      </c>
      <c r="D108" s="180">
        <v>100.26</v>
      </c>
      <c r="E108" s="181">
        <v>6.9699999999999998E-2</v>
      </c>
      <c r="F108" s="180">
        <v>100.04</v>
      </c>
      <c r="G108" s="181">
        <v>7.4999999999999997E-2</v>
      </c>
      <c r="H108" s="180">
        <v>99.660000000000011</v>
      </c>
      <c r="I108" s="181">
        <v>7.5400000000000009E-2</v>
      </c>
    </row>
    <row r="109" spans="1:9" x14ac:dyDescent="0.35">
      <c r="A109" s="133">
        <v>43986</v>
      </c>
      <c r="B109" s="180">
        <v>100.14375</v>
      </c>
      <c r="C109" s="181">
        <v>6.4700000000000008E-2</v>
      </c>
      <c r="D109" s="180">
        <v>100.04</v>
      </c>
      <c r="E109" s="181">
        <v>7.0000000000000007E-2</v>
      </c>
      <c r="F109" s="180">
        <v>100.16</v>
      </c>
      <c r="G109" s="181">
        <v>7.4900000000000008E-2</v>
      </c>
      <c r="H109" s="180">
        <v>100.05000000000001</v>
      </c>
      <c r="I109" s="181">
        <v>7.4999999999999997E-2</v>
      </c>
    </row>
    <row r="110" spans="1:9" x14ac:dyDescent="0.35">
      <c r="A110" s="133">
        <v>43987</v>
      </c>
      <c r="B110" s="180">
        <v>99.548750000000013</v>
      </c>
      <c r="C110" s="181">
        <v>6.6100000000000006E-2</v>
      </c>
      <c r="D110" s="180">
        <v>99.52000000000001</v>
      </c>
      <c r="E110" s="181">
        <v>7.0699999999999999E-2</v>
      </c>
      <c r="F110" s="180">
        <v>99.54</v>
      </c>
      <c r="G110" s="181">
        <v>7.5600000000000001E-2</v>
      </c>
      <c r="H110" s="180">
        <v>99.36</v>
      </c>
      <c r="I110" s="181">
        <v>7.5700000000000003E-2</v>
      </c>
    </row>
    <row r="111" spans="1:9" x14ac:dyDescent="0.35">
      <c r="A111" s="133">
        <v>43990</v>
      </c>
      <c r="B111" s="180">
        <v>99.228750000000019</v>
      </c>
      <c r="C111" s="181">
        <v>6.6900000000000001E-2</v>
      </c>
      <c r="D111" s="180">
        <v>99.22</v>
      </c>
      <c r="E111" s="181">
        <v>7.1099999999999997E-2</v>
      </c>
      <c r="F111" s="180">
        <v>99.03</v>
      </c>
      <c r="G111" s="181">
        <v>7.6100000000000001E-2</v>
      </c>
      <c r="H111" s="180">
        <v>98.93</v>
      </c>
      <c r="I111" s="181">
        <v>7.6100000000000001E-2</v>
      </c>
    </row>
    <row r="112" spans="1:9" x14ac:dyDescent="0.35">
      <c r="A112" s="133">
        <v>43991</v>
      </c>
      <c r="B112" s="180">
        <v>98.942499999999995</v>
      </c>
      <c r="C112" s="181">
        <v>6.7600000000000007E-2</v>
      </c>
      <c r="D112" s="180">
        <v>98.440000000000012</v>
      </c>
      <c r="E112" s="181">
        <v>7.22E-2</v>
      </c>
      <c r="F112" s="180">
        <v>98.660000000000011</v>
      </c>
      <c r="G112" s="181">
        <v>7.6600000000000001E-2</v>
      </c>
      <c r="H112" s="180">
        <v>98.12</v>
      </c>
      <c r="I112" s="181">
        <v>7.6899999999999996E-2</v>
      </c>
    </row>
    <row r="113" spans="1:10" x14ac:dyDescent="0.35">
      <c r="A113" s="133">
        <v>43992</v>
      </c>
      <c r="B113" s="180">
        <v>98.733750000000015</v>
      </c>
      <c r="C113" s="181">
        <v>6.8100000000000008E-2</v>
      </c>
      <c r="D113" s="180">
        <v>98.05</v>
      </c>
      <c r="E113" s="181">
        <v>7.2800000000000004E-2</v>
      </c>
      <c r="F113" s="180">
        <v>98.43</v>
      </c>
      <c r="G113" s="181">
        <v>7.6800000000000007E-2</v>
      </c>
      <c r="H113" s="180">
        <v>97.81</v>
      </c>
      <c r="I113" s="181">
        <v>7.7200000000000005E-2</v>
      </c>
    </row>
    <row r="114" spans="1:10" x14ac:dyDescent="0.35">
      <c r="A114" s="133">
        <v>43993</v>
      </c>
      <c r="B114" s="180">
        <v>99.211250000000021</v>
      </c>
      <c r="C114" s="181">
        <v>6.6900000000000001E-2</v>
      </c>
      <c r="D114" s="180">
        <v>98.800000000000011</v>
      </c>
      <c r="E114" s="181">
        <v>7.17E-2</v>
      </c>
      <c r="F114" s="180">
        <v>98.87</v>
      </c>
      <c r="G114" s="181">
        <v>7.6300000000000007E-2</v>
      </c>
      <c r="H114" s="180">
        <v>98.070000000000007</v>
      </c>
      <c r="I114" s="181">
        <v>7.6899999999999996E-2</v>
      </c>
    </row>
    <row r="115" spans="1:10" x14ac:dyDescent="0.35">
      <c r="A115" s="133">
        <v>43994</v>
      </c>
      <c r="B115" s="180">
        <v>98.837499999999977</v>
      </c>
      <c r="C115" s="181">
        <v>6.7799999999999999E-2</v>
      </c>
      <c r="D115" s="180">
        <v>98.29</v>
      </c>
      <c r="E115" s="181">
        <v>7.2400000000000006E-2</v>
      </c>
      <c r="F115" s="180">
        <v>98.37</v>
      </c>
      <c r="G115" s="181">
        <v>7.6899999999999996E-2</v>
      </c>
      <c r="H115" s="180">
        <v>98.300000000000011</v>
      </c>
      <c r="I115" s="181">
        <v>7.6700000000000004E-2</v>
      </c>
    </row>
    <row r="116" spans="1:10" x14ac:dyDescent="0.35">
      <c r="A116" s="133">
        <v>43997</v>
      </c>
      <c r="B116" s="180">
        <v>98.677500000000009</v>
      </c>
      <c r="C116" s="181">
        <v>6.8199999999999997E-2</v>
      </c>
      <c r="D116" s="180">
        <v>98.6</v>
      </c>
      <c r="E116" s="181">
        <v>7.2000000000000008E-2</v>
      </c>
      <c r="F116" s="180">
        <v>98.410000000000011</v>
      </c>
      <c r="G116" s="181">
        <v>7.6899999999999996E-2</v>
      </c>
      <c r="H116" s="180">
        <v>98.11</v>
      </c>
      <c r="I116" s="181">
        <v>7.6899999999999996E-2</v>
      </c>
    </row>
    <row r="117" spans="1:10" x14ac:dyDescent="0.35">
      <c r="A117" s="133">
        <v>43998</v>
      </c>
      <c r="B117" s="180">
        <v>98.924999999999997</v>
      </c>
      <c r="C117" s="181">
        <v>6.7600000000000007E-2</v>
      </c>
      <c r="D117" s="180">
        <v>98.93</v>
      </c>
      <c r="E117" s="181">
        <v>7.1500000000000008E-2</v>
      </c>
      <c r="F117" s="180">
        <v>98.410000000000011</v>
      </c>
      <c r="G117" s="181">
        <v>7.6899999999999996E-2</v>
      </c>
      <c r="H117" s="180">
        <v>98.37</v>
      </c>
      <c r="I117" s="181">
        <v>7.6600000000000001E-2</v>
      </c>
    </row>
    <row r="118" spans="1:10" x14ac:dyDescent="0.35">
      <c r="A118" s="133">
        <v>43999</v>
      </c>
      <c r="B118" s="180">
        <v>99.078749999999985</v>
      </c>
      <c r="C118" s="181">
        <v>6.7299999999999999E-2</v>
      </c>
      <c r="D118" s="180">
        <v>99.15</v>
      </c>
      <c r="E118" s="181">
        <v>7.1199999999999999E-2</v>
      </c>
      <c r="F118" s="180">
        <v>98.75</v>
      </c>
      <c r="G118" s="181">
        <v>7.6499999999999999E-2</v>
      </c>
      <c r="H118" s="180">
        <v>98.550000000000011</v>
      </c>
      <c r="I118" s="181">
        <v>7.6499999999999999E-2</v>
      </c>
    </row>
    <row r="119" spans="1:10" x14ac:dyDescent="0.35">
      <c r="A119" s="133">
        <v>44000</v>
      </c>
      <c r="B119" s="180">
        <v>99.137500000000003</v>
      </c>
      <c r="C119" s="181">
        <v>6.7100000000000007E-2</v>
      </c>
      <c r="D119" s="180">
        <v>99.02000000000001</v>
      </c>
      <c r="E119" s="181">
        <v>7.1400000000000005E-2</v>
      </c>
      <c r="F119" s="180">
        <v>98.72</v>
      </c>
      <c r="G119" s="181">
        <v>7.6499999999999999E-2</v>
      </c>
      <c r="H119" s="180">
        <v>98.48</v>
      </c>
      <c r="I119" s="181">
        <v>7.6499999999999999E-2</v>
      </c>
    </row>
    <row r="120" spans="1:10" x14ac:dyDescent="0.35">
      <c r="A120" s="133">
        <v>44001</v>
      </c>
      <c r="B120" s="180">
        <v>99.22</v>
      </c>
      <c r="C120" s="181">
        <v>6.6900000000000001E-2</v>
      </c>
      <c r="D120" s="180">
        <v>98.72</v>
      </c>
      <c r="E120" s="181">
        <v>7.1800000000000003E-2</v>
      </c>
      <c r="F120" s="180">
        <v>98.56</v>
      </c>
      <c r="G120" s="181">
        <v>7.6700000000000004E-2</v>
      </c>
      <c r="H120" s="180">
        <v>98.37</v>
      </c>
      <c r="I120" s="181">
        <v>7.6600000000000001E-2</v>
      </c>
    </row>
    <row r="121" spans="1:10" x14ac:dyDescent="0.35">
      <c r="A121" s="133">
        <v>44004</v>
      </c>
      <c r="B121" s="180">
        <v>99.497500000000031</v>
      </c>
      <c r="C121" s="181">
        <v>6.6200000000000009E-2</v>
      </c>
      <c r="D121" s="180">
        <v>98.940000000000012</v>
      </c>
      <c r="E121" s="181">
        <v>7.1500000000000008E-2</v>
      </c>
      <c r="F121" s="180">
        <v>98.92</v>
      </c>
      <c r="G121" s="181">
        <v>7.6300000000000007E-2</v>
      </c>
      <c r="H121" s="180">
        <v>98.75</v>
      </c>
      <c r="I121" s="181">
        <v>7.6300000000000007E-2</v>
      </c>
    </row>
    <row r="122" spans="1:10" x14ac:dyDescent="0.35">
      <c r="A122" s="133">
        <v>44005</v>
      </c>
      <c r="B122" s="180">
        <v>99.49375000000002</v>
      </c>
      <c r="C122" s="181">
        <v>6.6299999999999998E-2</v>
      </c>
      <c r="D122" s="180">
        <v>98.76</v>
      </c>
      <c r="E122" s="181">
        <v>7.1800000000000003E-2</v>
      </c>
      <c r="F122" s="180">
        <v>98.97</v>
      </c>
      <c r="G122" s="181">
        <v>7.6200000000000004E-2</v>
      </c>
      <c r="H122" s="180">
        <v>98.820000000000007</v>
      </c>
      <c r="I122" s="182">
        <v>7.6200000000000004E-2</v>
      </c>
    </row>
    <row r="123" spans="1:10" x14ac:dyDescent="0.35">
      <c r="A123" s="133">
        <v>44006</v>
      </c>
      <c r="B123" s="180">
        <v>99.881250000000009</v>
      </c>
      <c r="C123" s="181">
        <v>6.5299999999999997E-2</v>
      </c>
      <c r="D123" s="180">
        <v>99.240000000000009</v>
      </c>
      <c r="E123" s="181">
        <v>7.1099999999999997E-2</v>
      </c>
      <c r="F123" s="180">
        <v>99.34</v>
      </c>
      <c r="G123" s="181">
        <v>7.5800000000000006E-2</v>
      </c>
      <c r="H123" s="180">
        <v>99.100000000000009</v>
      </c>
      <c r="I123" s="183">
        <v>7.5900000000000009E-2</v>
      </c>
    </row>
    <row r="124" spans="1:10" x14ac:dyDescent="0.35">
      <c r="A124" s="133">
        <v>44007</v>
      </c>
      <c r="B124" s="180">
        <v>99.907499999999999</v>
      </c>
      <c r="C124" s="181">
        <v>6.5299999999999997E-2</v>
      </c>
      <c r="D124" s="184">
        <v>99.06</v>
      </c>
      <c r="E124" s="181">
        <v>7.1300000000000002E-2</v>
      </c>
      <c r="F124" s="180">
        <v>99.7</v>
      </c>
      <c r="G124" s="181">
        <v>7.5400000000000009E-2</v>
      </c>
      <c r="H124" s="180">
        <v>99</v>
      </c>
      <c r="I124" s="181">
        <v>7.5999999999999998E-2</v>
      </c>
    </row>
    <row r="125" spans="1:10" x14ac:dyDescent="0.35">
      <c r="A125" s="185">
        <v>44008</v>
      </c>
      <c r="B125" s="186">
        <v>99.835000000000008</v>
      </c>
      <c r="C125" s="187">
        <v>6.54E-2</v>
      </c>
      <c r="D125" s="188">
        <v>98.78</v>
      </c>
      <c r="E125" s="187">
        <v>7.17E-2</v>
      </c>
      <c r="F125" s="189">
        <v>99.42</v>
      </c>
      <c r="G125" s="190">
        <v>7.5700000000000003E-2</v>
      </c>
      <c r="H125" s="186">
        <v>98.820000000000007</v>
      </c>
      <c r="I125" s="182">
        <v>7.6200000000000004E-2</v>
      </c>
    </row>
    <row r="126" spans="1:10" x14ac:dyDescent="0.35">
      <c r="A126" s="191">
        <v>44011</v>
      </c>
      <c r="B126" s="192">
        <v>99.834999999999994</v>
      </c>
      <c r="C126" s="193">
        <v>6.54E-2</v>
      </c>
      <c r="D126" s="194">
        <v>98.910000000000011</v>
      </c>
      <c r="E126" s="193">
        <v>7.1599999999999997E-2</v>
      </c>
      <c r="F126" s="195">
        <v>99.11</v>
      </c>
      <c r="G126" s="193">
        <v>7.6100000000000001E-2</v>
      </c>
      <c r="H126" s="195">
        <v>98.81</v>
      </c>
      <c r="I126" s="193">
        <v>7.6200000000000004E-2</v>
      </c>
      <c r="J126" s="196"/>
    </row>
    <row r="127" spans="1:10" x14ac:dyDescent="0.35">
      <c r="A127" s="197">
        <v>44012</v>
      </c>
      <c r="B127" s="198">
        <v>99.78</v>
      </c>
      <c r="C127" s="199">
        <v>6.5600000000000006E-2</v>
      </c>
      <c r="D127" s="198">
        <v>98.55</v>
      </c>
      <c r="E127" s="199">
        <v>7.2099999999999997E-2</v>
      </c>
      <c r="F127" s="200">
        <v>98.94</v>
      </c>
      <c r="G127" s="199">
        <v>7.6200000000000004E-2</v>
      </c>
      <c r="H127" s="200">
        <v>98.71</v>
      </c>
      <c r="I127" s="201">
        <v>7.6300000000000007E-2</v>
      </c>
      <c r="J127" s="202"/>
    </row>
    <row r="128" spans="1:10" x14ac:dyDescent="0.35">
      <c r="A128" s="203">
        <v>44013</v>
      </c>
      <c r="B128" s="204">
        <v>99.963750000000005</v>
      </c>
      <c r="C128" s="205">
        <v>6.5100000000000005E-2</v>
      </c>
      <c r="D128" s="204">
        <v>98.75</v>
      </c>
      <c r="E128" s="206">
        <v>7.1800000000000003E-2</v>
      </c>
      <c r="F128" s="207">
        <v>99.17</v>
      </c>
      <c r="G128" s="206">
        <v>7.5999999999999998E-2</v>
      </c>
      <c r="H128" s="207">
        <v>98.990000000000009</v>
      </c>
      <c r="I128" s="206">
        <v>7.5999999999999998E-2</v>
      </c>
    </row>
    <row r="129" spans="1:16383" x14ac:dyDescent="0.35">
      <c r="A129" s="191">
        <v>44014</v>
      </c>
      <c r="B129" s="208">
        <v>99.88</v>
      </c>
      <c r="C129" s="209">
        <v>6.5299999999999997E-2</v>
      </c>
      <c r="D129" s="208">
        <v>98.56</v>
      </c>
      <c r="E129" s="209">
        <v>7.2000000000000008E-2</v>
      </c>
      <c r="F129" s="210">
        <v>99.160000000000011</v>
      </c>
      <c r="G129" s="211">
        <v>7.5999999999999998E-2</v>
      </c>
      <c r="H129" s="210">
        <v>98.73</v>
      </c>
      <c r="I129" s="209">
        <v>7.6300000000000007E-2</v>
      </c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  <c r="U129" s="212"/>
      <c r="V129" s="212"/>
      <c r="W129" s="212"/>
      <c r="X129" s="212"/>
      <c r="Y129" s="212"/>
      <c r="Z129" s="212"/>
      <c r="AA129" s="212"/>
      <c r="AB129" s="212"/>
      <c r="AC129" s="212"/>
      <c r="AD129" s="212"/>
      <c r="AE129" s="212"/>
      <c r="AF129" s="212"/>
      <c r="AG129" s="212"/>
      <c r="AH129" s="212"/>
      <c r="AI129" s="212"/>
      <c r="AJ129" s="212"/>
      <c r="AK129" s="212"/>
      <c r="AL129" s="212"/>
      <c r="AM129" s="212"/>
      <c r="AN129" s="212"/>
      <c r="AO129" s="212"/>
      <c r="AP129" s="212"/>
      <c r="AQ129" s="212"/>
      <c r="AR129" s="212"/>
      <c r="AS129" s="212"/>
      <c r="AT129" s="212"/>
      <c r="AU129" s="212"/>
      <c r="AV129" s="212"/>
      <c r="AW129" s="212"/>
      <c r="AX129" s="212"/>
      <c r="AY129" s="212"/>
      <c r="AZ129" s="212"/>
      <c r="BA129" s="212"/>
      <c r="BB129" s="212"/>
      <c r="BC129" s="212"/>
      <c r="BD129" s="212"/>
      <c r="BE129" s="212"/>
      <c r="BF129" s="212"/>
      <c r="BG129" s="212"/>
      <c r="BH129" s="212"/>
      <c r="BI129" s="212"/>
      <c r="BJ129" s="212"/>
      <c r="BK129" s="212"/>
      <c r="BL129" s="212"/>
      <c r="BM129" s="212"/>
      <c r="BN129" s="212"/>
      <c r="BO129" s="212"/>
      <c r="BP129" s="212"/>
      <c r="BQ129" s="212"/>
      <c r="BR129" s="212"/>
      <c r="BS129" s="212"/>
      <c r="BT129" s="212"/>
      <c r="BU129" s="212"/>
      <c r="BV129" s="212"/>
      <c r="BW129" s="212"/>
      <c r="BX129" s="212"/>
      <c r="BY129" s="212"/>
      <c r="BZ129" s="212"/>
      <c r="CA129" s="212"/>
      <c r="CB129" s="212"/>
      <c r="CC129" s="212"/>
      <c r="CD129" s="212"/>
      <c r="CE129" s="212"/>
      <c r="CF129" s="212"/>
      <c r="CG129" s="212"/>
      <c r="CH129" s="212"/>
      <c r="CI129" s="212"/>
      <c r="CJ129" s="212"/>
      <c r="CK129" s="212"/>
      <c r="CL129" s="212"/>
      <c r="CM129" s="212"/>
      <c r="CN129" s="212"/>
      <c r="CO129" s="212"/>
      <c r="CP129" s="212"/>
      <c r="CQ129" s="212"/>
      <c r="CR129" s="212"/>
      <c r="CS129" s="212"/>
      <c r="CT129" s="212"/>
      <c r="CU129" s="212"/>
      <c r="CV129" s="212"/>
      <c r="CW129" s="212"/>
      <c r="CX129" s="212"/>
      <c r="CY129" s="212"/>
      <c r="CZ129" s="212"/>
      <c r="DA129" s="212"/>
      <c r="DB129" s="212"/>
      <c r="DC129" s="212"/>
      <c r="DD129" s="212"/>
      <c r="DE129" s="212"/>
      <c r="DF129" s="212"/>
      <c r="DG129" s="212"/>
      <c r="DH129" s="212"/>
      <c r="DI129" s="212"/>
      <c r="DJ129" s="212"/>
      <c r="DK129" s="212"/>
      <c r="DL129" s="212"/>
      <c r="DM129" s="212"/>
      <c r="DN129" s="212"/>
      <c r="DO129" s="212"/>
      <c r="DP129" s="212"/>
      <c r="DQ129" s="212"/>
      <c r="DR129" s="212"/>
      <c r="DS129" s="212"/>
      <c r="DT129" s="212"/>
      <c r="DU129" s="212"/>
      <c r="DV129" s="212"/>
      <c r="DW129" s="212"/>
      <c r="DX129" s="212"/>
      <c r="DY129" s="212"/>
      <c r="DZ129" s="212"/>
      <c r="EA129" s="212"/>
      <c r="EB129" s="212"/>
      <c r="EC129" s="212"/>
      <c r="ED129" s="212"/>
      <c r="EE129" s="212"/>
      <c r="EF129" s="212"/>
      <c r="EG129" s="212"/>
      <c r="EH129" s="212"/>
      <c r="EI129" s="212"/>
      <c r="EJ129" s="212"/>
      <c r="EK129" s="212"/>
      <c r="EL129" s="212"/>
      <c r="EM129" s="212"/>
      <c r="EN129" s="212"/>
      <c r="EO129" s="212"/>
      <c r="EP129" s="212"/>
      <c r="EQ129" s="212"/>
      <c r="ER129" s="212"/>
      <c r="ES129" s="212"/>
      <c r="ET129" s="212"/>
      <c r="EU129" s="212"/>
      <c r="EV129" s="212"/>
      <c r="EW129" s="212"/>
      <c r="EX129" s="212"/>
      <c r="EY129" s="212"/>
      <c r="EZ129" s="212"/>
      <c r="FA129" s="212"/>
      <c r="FB129" s="212"/>
      <c r="FC129" s="212"/>
      <c r="FD129" s="212"/>
      <c r="FE129" s="212"/>
      <c r="FF129" s="212"/>
      <c r="FG129" s="212"/>
      <c r="FH129" s="212"/>
      <c r="FI129" s="212"/>
      <c r="FJ129" s="212"/>
      <c r="FK129" s="212"/>
      <c r="FL129" s="212"/>
      <c r="FM129" s="212"/>
      <c r="FN129" s="212"/>
      <c r="FO129" s="212"/>
      <c r="FP129" s="212"/>
      <c r="FQ129" s="212"/>
      <c r="FR129" s="212"/>
      <c r="FS129" s="212"/>
      <c r="FT129" s="212"/>
      <c r="FU129" s="212"/>
      <c r="FV129" s="212"/>
      <c r="FW129" s="212"/>
      <c r="FX129" s="212"/>
      <c r="FY129" s="212"/>
      <c r="FZ129" s="212"/>
      <c r="GA129" s="212"/>
      <c r="GB129" s="212"/>
      <c r="GC129" s="212"/>
      <c r="GD129" s="212"/>
      <c r="GE129" s="212"/>
      <c r="GF129" s="212"/>
      <c r="GG129" s="212"/>
      <c r="GH129" s="212"/>
      <c r="GI129" s="212"/>
      <c r="GJ129" s="212"/>
      <c r="GK129" s="212"/>
      <c r="GL129" s="212"/>
      <c r="GM129" s="212"/>
      <c r="GN129" s="212"/>
      <c r="GO129" s="212"/>
      <c r="GP129" s="212"/>
      <c r="GQ129" s="212"/>
      <c r="GR129" s="212"/>
      <c r="GS129" s="212"/>
      <c r="GT129" s="212"/>
      <c r="GU129" s="212"/>
      <c r="GV129" s="212"/>
      <c r="GW129" s="212"/>
      <c r="GX129" s="212"/>
      <c r="GY129" s="212"/>
      <c r="GZ129" s="212"/>
      <c r="HA129" s="212"/>
      <c r="HB129" s="212"/>
      <c r="HC129" s="212"/>
      <c r="HD129" s="212"/>
      <c r="HE129" s="212"/>
      <c r="HF129" s="212"/>
      <c r="HG129" s="212"/>
      <c r="HH129" s="212"/>
      <c r="HI129" s="212"/>
      <c r="HJ129" s="212"/>
      <c r="HK129" s="212"/>
      <c r="HL129" s="212"/>
      <c r="HM129" s="212"/>
      <c r="HN129" s="212"/>
      <c r="HO129" s="212"/>
      <c r="HP129" s="212"/>
      <c r="HQ129" s="212"/>
      <c r="HR129" s="212"/>
      <c r="HS129" s="212"/>
      <c r="HT129" s="212"/>
      <c r="HU129" s="212"/>
      <c r="HV129" s="212"/>
      <c r="HW129" s="212"/>
      <c r="HX129" s="212"/>
      <c r="HY129" s="212"/>
      <c r="HZ129" s="212"/>
      <c r="IA129" s="212"/>
      <c r="IB129" s="212"/>
      <c r="IC129" s="212"/>
      <c r="ID129" s="212"/>
      <c r="IE129" s="212"/>
      <c r="IF129" s="212"/>
      <c r="IG129" s="212"/>
      <c r="IH129" s="212"/>
      <c r="II129" s="212"/>
      <c r="IJ129" s="212"/>
      <c r="IK129" s="212"/>
      <c r="IL129" s="212"/>
      <c r="IM129" s="212"/>
      <c r="IN129" s="212"/>
      <c r="IO129" s="212"/>
      <c r="IP129" s="212"/>
      <c r="IQ129" s="212"/>
      <c r="IR129" s="212"/>
      <c r="IS129" s="212"/>
      <c r="IT129" s="212"/>
      <c r="IU129" s="212"/>
      <c r="IV129" s="212"/>
      <c r="IW129" s="212"/>
      <c r="IX129" s="212"/>
      <c r="IY129" s="212"/>
      <c r="IZ129" s="212"/>
      <c r="JA129" s="212"/>
      <c r="JB129" s="212"/>
      <c r="JC129" s="212"/>
      <c r="JD129" s="212"/>
      <c r="JE129" s="212"/>
      <c r="JF129" s="212"/>
      <c r="JG129" s="212"/>
      <c r="JH129" s="212"/>
      <c r="JI129" s="212"/>
      <c r="JJ129" s="212"/>
      <c r="JK129" s="212"/>
      <c r="JL129" s="212"/>
      <c r="JM129" s="212"/>
      <c r="JN129" s="212"/>
      <c r="JO129" s="212"/>
      <c r="JP129" s="212"/>
      <c r="JQ129" s="212"/>
      <c r="JR129" s="212"/>
      <c r="JS129" s="212"/>
      <c r="JT129" s="212"/>
      <c r="JU129" s="212"/>
      <c r="JV129" s="212"/>
      <c r="JW129" s="212"/>
      <c r="JX129" s="212"/>
      <c r="JY129" s="212"/>
      <c r="JZ129" s="212"/>
      <c r="KA129" s="212"/>
      <c r="KB129" s="212"/>
      <c r="KC129" s="212"/>
      <c r="KD129" s="212"/>
      <c r="KE129" s="212"/>
      <c r="KF129" s="212"/>
      <c r="KG129" s="212"/>
      <c r="KH129" s="212"/>
      <c r="KI129" s="212"/>
      <c r="KJ129" s="212"/>
      <c r="KK129" s="212"/>
      <c r="KL129" s="212"/>
      <c r="KM129" s="212"/>
      <c r="KN129" s="212"/>
      <c r="KO129" s="212"/>
      <c r="KP129" s="212"/>
      <c r="KQ129" s="212"/>
      <c r="KR129" s="212"/>
      <c r="KS129" s="212"/>
      <c r="KT129" s="212"/>
      <c r="KU129" s="212"/>
      <c r="KV129" s="212"/>
      <c r="KW129" s="212"/>
      <c r="KX129" s="212"/>
      <c r="KY129" s="212"/>
      <c r="KZ129" s="212"/>
      <c r="LA129" s="212"/>
      <c r="LB129" s="212"/>
      <c r="LC129" s="212"/>
      <c r="LD129" s="212"/>
      <c r="LE129" s="212"/>
      <c r="LF129" s="212"/>
      <c r="LG129" s="212"/>
      <c r="LH129" s="212"/>
      <c r="LI129" s="212"/>
      <c r="LJ129" s="212"/>
      <c r="LK129" s="212"/>
      <c r="LL129" s="212"/>
      <c r="LM129" s="212"/>
      <c r="LN129" s="212"/>
      <c r="LO129" s="212"/>
      <c r="LP129" s="212"/>
      <c r="LQ129" s="212"/>
      <c r="LR129" s="212"/>
      <c r="LS129" s="212"/>
      <c r="LT129" s="212"/>
      <c r="LU129" s="212"/>
      <c r="LV129" s="212"/>
      <c r="LW129" s="212"/>
      <c r="LX129" s="212"/>
      <c r="LY129" s="212"/>
      <c r="LZ129" s="212"/>
      <c r="MA129" s="212"/>
      <c r="MB129" s="212"/>
      <c r="MC129" s="212"/>
      <c r="MD129" s="212"/>
      <c r="ME129" s="212"/>
      <c r="MF129" s="212"/>
      <c r="MG129" s="212"/>
      <c r="MH129" s="212"/>
      <c r="MI129" s="212"/>
      <c r="MJ129" s="212"/>
      <c r="MK129" s="212"/>
      <c r="ML129" s="212"/>
      <c r="MM129" s="212"/>
      <c r="MN129" s="212"/>
      <c r="MO129" s="212"/>
      <c r="MP129" s="212"/>
      <c r="MQ129" s="212"/>
      <c r="MR129" s="212"/>
      <c r="MS129" s="212"/>
      <c r="MT129" s="212"/>
      <c r="MU129" s="212"/>
      <c r="MV129" s="212"/>
      <c r="MW129" s="212"/>
      <c r="MX129" s="212"/>
      <c r="MY129" s="212"/>
      <c r="MZ129" s="212"/>
      <c r="NA129" s="212"/>
      <c r="NB129" s="212"/>
      <c r="NC129" s="212"/>
      <c r="ND129" s="212"/>
      <c r="NE129" s="212"/>
      <c r="NF129" s="212"/>
      <c r="NG129" s="212"/>
      <c r="NH129" s="212"/>
      <c r="NI129" s="212"/>
      <c r="NJ129" s="212"/>
      <c r="NK129" s="212"/>
      <c r="NL129" s="212"/>
      <c r="NM129" s="212"/>
      <c r="NN129" s="212"/>
      <c r="NO129" s="212"/>
      <c r="NP129" s="212"/>
      <c r="NQ129" s="212"/>
      <c r="NR129" s="212"/>
      <c r="NS129" s="212"/>
      <c r="NT129" s="212"/>
      <c r="NU129" s="212"/>
      <c r="NV129" s="212"/>
      <c r="NW129" s="212"/>
      <c r="NX129" s="212"/>
      <c r="NY129" s="212"/>
      <c r="NZ129" s="212"/>
      <c r="OA129" s="212"/>
      <c r="OB129" s="212"/>
      <c r="OC129" s="212"/>
      <c r="OD129" s="212"/>
      <c r="OE129" s="212"/>
      <c r="OF129" s="212"/>
      <c r="OG129" s="212"/>
      <c r="OH129" s="212"/>
      <c r="OI129" s="212"/>
      <c r="OJ129" s="212"/>
      <c r="OK129" s="212"/>
      <c r="OL129" s="212"/>
      <c r="OM129" s="212"/>
      <c r="ON129" s="212"/>
      <c r="OO129" s="212"/>
      <c r="OP129" s="212"/>
      <c r="OQ129" s="212"/>
      <c r="OR129" s="212"/>
      <c r="OS129" s="212"/>
      <c r="OT129" s="212"/>
      <c r="OU129" s="212"/>
      <c r="OV129" s="212"/>
      <c r="OW129" s="212"/>
      <c r="OX129" s="212"/>
      <c r="OY129" s="212"/>
      <c r="OZ129" s="212"/>
      <c r="PA129" s="212"/>
      <c r="PB129" s="212"/>
      <c r="PC129" s="212"/>
      <c r="PD129" s="212"/>
      <c r="PE129" s="212"/>
      <c r="PF129" s="212"/>
      <c r="PG129" s="212"/>
      <c r="PH129" s="212"/>
      <c r="PI129" s="212"/>
      <c r="PJ129" s="212"/>
      <c r="PK129" s="212"/>
      <c r="PL129" s="212"/>
      <c r="PM129" s="212"/>
      <c r="PN129" s="212"/>
      <c r="PO129" s="212"/>
      <c r="PP129" s="212"/>
      <c r="PQ129" s="212"/>
      <c r="PR129" s="212"/>
      <c r="PS129" s="212"/>
      <c r="PT129" s="212"/>
      <c r="PU129" s="212"/>
      <c r="PV129" s="212"/>
      <c r="PW129" s="212"/>
      <c r="PX129" s="212"/>
      <c r="PY129" s="212"/>
      <c r="PZ129" s="212"/>
      <c r="QA129" s="212"/>
      <c r="QB129" s="212"/>
      <c r="QC129" s="212"/>
      <c r="QD129" s="212"/>
      <c r="QE129" s="212"/>
      <c r="QF129" s="212"/>
      <c r="QG129" s="212"/>
      <c r="QH129" s="212"/>
      <c r="QI129" s="212"/>
      <c r="QJ129" s="212"/>
      <c r="QK129" s="212"/>
      <c r="QL129" s="212"/>
      <c r="QM129" s="212"/>
      <c r="QN129" s="212"/>
      <c r="QO129" s="212"/>
      <c r="QP129" s="212"/>
      <c r="QQ129" s="212"/>
      <c r="QR129" s="212"/>
      <c r="QS129" s="212"/>
      <c r="QT129" s="212"/>
      <c r="QU129" s="212"/>
      <c r="QV129" s="212"/>
      <c r="QW129" s="212"/>
      <c r="QX129" s="212"/>
      <c r="QY129" s="212"/>
      <c r="QZ129" s="212"/>
      <c r="RA129" s="212"/>
      <c r="RB129" s="212"/>
      <c r="RC129" s="212"/>
      <c r="RD129" s="212"/>
      <c r="RE129" s="212"/>
      <c r="RF129" s="212"/>
      <c r="RG129" s="212"/>
      <c r="RH129" s="212"/>
      <c r="RI129" s="212"/>
      <c r="RJ129" s="212"/>
      <c r="RK129" s="212"/>
      <c r="RL129" s="212"/>
      <c r="RM129" s="212"/>
      <c r="RN129" s="212"/>
      <c r="RO129" s="212"/>
      <c r="RP129" s="212"/>
      <c r="RQ129" s="212"/>
      <c r="RR129" s="212"/>
      <c r="RS129" s="212"/>
      <c r="RT129" s="212"/>
      <c r="RU129" s="212"/>
      <c r="RV129" s="212"/>
      <c r="RW129" s="212"/>
      <c r="RX129" s="212"/>
      <c r="RY129" s="212"/>
      <c r="RZ129" s="212"/>
      <c r="SA129" s="212"/>
      <c r="SB129" s="212"/>
      <c r="SC129" s="212"/>
      <c r="SD129" s="212"/>
      <c r="SE129" s="212"/>
      <c r="SF129" s="212"/>
      <c r="SG129" s="212"/>
      <c r="SH129" s="212"/>
      <c r="SI129" s="212"/>
      <c r="SJ129" s="212"/>
      <c r="SK129" s="212"/>
      <c r="SL129" s="212"/>
      <c r="SM129" s="212"/>
      <c r="SN129" s="212"/>
      <c r="SO129" s="212"/>
      <c r="SP129" s="212"/>
      <c r="SQ129" s="212"/>
      <c r="SR129" s="212"/>
      <c r="SS129" s="212"/>
      <c r="ST129" s="212"/>
      <c r="SU129" s="212"/>
      <c r="SV129" s="212"/>
      <c r="SW129" s="212"/>
      <c r="SX129" s="212"/>
      <c r="SY129" s="212"/>
      <c r="SZ129" s="212"/>
      <c r="TA129" s="212"/>
      <c r="TB129" s="212"/>
      <c r="TC129" s="212"/>
      <c r="TD129" s="212"/>
      <c r="TE129" s="212"/>
      <c r="TF129" s="212"/>
      <c r="TG129" s="212"/>
      <c r="TH129" s="212"/>
      <c r="TI129" s="212"/>
      <c r="TJ129" s="212"/>
      <c r="TK129" s="212"/>
      <c r="TL129" s="212"/>
      <c r="TM129" s="212"/>
      <c r="TN129" s="212"/>
      <c r="TO129" s="212"/>
      <c r="TP129" s="212"/>
      <c r="TQ129" s="212"/>
      <c r="TR129" s="212"/>
      <c r="TS129" s="212"/>
      <c r="TT129" s="212"/>
      <c r="TU129" s="212"/>
      <c r="TV129" s="212"/>
      <c r="TW129" s="212"/>
      <c r="TX129" s="212"/>
      <c r="TY129" s="212"/>
      <c r="TZ129" s="212"/>
      <c r="UA129" s="212"/>
      <c r="UB129" s="212"/>
      <c r="UC129" s="212"/>
      <c r="UD129" s="212"/>
      <c r="UE129" s="212"/>
      <c r="UF129" s="212"/>
      <c r="UG129" s="212"/>
      <c r="UH129" s="212"/>
      <c r="UI129" s="212"/>
      <c r="UJ129" s="212"/>
      <c r="UK129" s="212"/>
      <c r="UL129" s="212"/>
      <c r="UM129" s="212"/>
      <c r="UN129" s="212"/>
      <c r="UO129" s="212"/>
      <c r="UP129" s="212"/>
      <c r="UQ129" s="212"/>
      <c r="UR129" s="212"/>
      <c r="US129" s="212"/>
      <c r="UT129" s="212"/>
      <c r="UU129" s="212"/>
      <c r="UV129" s="212"/>
      <c r="UW129" s="212"/>
      <c r="UX129" s="212"/>
      <c r="UY129" s="212"/>
      <c r="UZ129" s="212"/>
      <c r="VA129" s="212"/>
      <c r="VB129" s="212"/>
      <c r="VC129" s="212"/>
      <c r="VD129" s="212"/>
      <c r="VE129" s="212"/>
      <c r="VF129" s="212"/>
      <c r="VG129" s="212"/>
      <c r="VH129" s="212"/>
      <c r="VI129" s="212"/>
      <c r="VJ129" s="212"/>
      <c r="VK129" s="212"/>
      <c r="VL129" s="212"/>
      <c r="VM129" s="212"/>
      <c r="VN129" s="212"/>
      <c r="VO129" s="212"/>
      <c r="VP129" s="212"/>
      <c r="VQ129" s="212"/>
      <c r="VR129" s="212"/>
      <c r="VS129" s="212"/>
      <c r="VT129" s="212"/>
      <c r="VU129" s="212"/>
      <c r="VV129" s="212"/>
      <c r="VW129" s="212"/>
      <c r="VX129" s="212"/>
      <c r="VY129" s="212"/>
      <c r="VZ129" s="212"/>
      <c r="WA129" s="212"/>
      <c r="WB129" s="212"/>
      <c r="WC129" s="212"/>
      <c r="WD129" s="212"/>
      <c r="WE129" s="212"/>
      <c r="WF129" s="212"/>
      <c r="WG129" s="212"/>
      <c r="WH129" s="212"/>
      <c r="WI129" s="212"/>
      <c r="WJ129" s="212"/>
      <c r="WK129" s="212"/>
      <c r="WL129" s="212"/>
      <c r="WM129" s="212"/>
      <c r="WN129" s="212"/>
      <c r="WO129" s="212"/>
      <c r="WP129" s="212"/>
      <c r="WQ129" s="212"/>
      <c r="WR129" s="212"/>
      <c r="WS129" s="212"/>
      <c r="WT129" s="212"/>
      <c r="WU129" s="212"/>
      <c r="WV129" s="212"/>
      <c r="WW129" s="212"/>
      <c r="WX129" s="212"/>
      <c r="WY129" s="212"/>
      <c r="WZ129" s="212"/>
      <c r="XA129" s="212"/>
      <c r="XB129" s="212"/>
      <c r="XC129" s="212"/>
      <c r="XD129" s="212"/>
      <c r="XE129" s="212"/>
      <c r="XF129" s="212"/>
      <c r="XG129" s="212"/>
      <c r="XH129" s="212"/>
      <c r="XI129" s="212"/>
      <c r="XJ129" s="212"/>
      <c r="XK129" s="212"/>
      <c r="XL129" s="212"/>
      <c r="XM129" s="212"/>
      <c r="XN129" s="212"/>
      <c r="XO129" s="212"/>
      <c r="XP129" s="212"/>
      <c r="XQ129" s="212"/>
      <c r="XR129" s="212"/>
      <c r="XS129" s="212"/>
      <c r="XT129" s="212"/>
      <c r="XU129" s="212"/>
      <c r="XV129" s="212"/>
      <c r="XW129" s="212"/>
      <c r="XX129" s="212"/>
      <c r="XY129" s="212"/>
      <c r="XZ129" s="212"/>
      <c r="YA129" s="212"/>
      <c r="YB129" s="212"/>
      <c r="YC129" s="212"/>
      <c r="YD129" s="212"/>
      <c r="YE129" s="212"/>
      <c r="YF129" s="212"/>
      <c r="YG129" s="212"/>
      <c r="YH129" s="212"/>
      <c r="YI129" s="212"/>
      <c r="YJ129" s="212"/>
      <c r="YK129" s="212"/>
      <c r="YL129" s="212"/>
      <c r="YM129" s="212"/>
      <c r="YN129" s="212"/>
      <c r="YO129" s="212"/>
      <c r="YP129" s="212"/>
      <c r="YQ129" s="212"/>
      <c r="YR129" s="212"/>
      <c r="YS129" s="212"/>
      <c r="YT129" s="212"/>
      <c r="YU129" s="212"/>
      <c r="YV129" s="212"/>
      <c r="YW129" s="212"/>
      <c r="YX129" s="212"/>
      <c r="YY129" s="212"/>
      <c r="YZ129" s="212"/>
      <c r="ZA129" s="212"/>
      <c r="ZB129" s="212"/>
      <c r="ZC129" s="212"/>
      <c r="ZD129" s="212"/>
      <c r="ZE129" s="212"/>
      <c r="ZF129" s="212"/>
      <c r="ZG129" s="212"/>
      <c r="ZH129" s="212"/>
      <c r="ZI129" s="212"/>
      <c r="ZJ129" s="212"/>
      <c r="ZK129" s="212"/>
      <c r="ZL129" s="212"/>
      <c r="ZM129" s="212"/>
      <c r="ZN129" s="212"/>
      <c r="ZO129" s="212"/>
      <c r="ZP129" s="212"/>
      <c r="ZQ129" s="212"/>
      <c r="ZR129" s="212"/>
      <c r="ZS129" s="212"/>
      <c r="ZT129" s="212"/>
      <c r="ZU129" s="212"/>
      <c r="ZV129" s="212"/>
      <c r="ZW129" s="212"/>
      <c r="ZX129" s="212"/>
      <c r="ZY129" s="212"/>
      <c r="ZZ129" s="212"/>
      <c r="AAA129" s="212"/>
      <c r="AAB129" s="212"/>
      <c r="AAC129" s="212"/>
      <c r="AAD129" s="212"/>
      <c r="AAE129" s="212"/>
      <c r="AAF129" s="212"/>
      <c r="AAG129" s="212"/>
      <c r="AAH129" s="212"/>
      <c r="AAI129" s="212"/>
      <c r="AAJ129" s="212"/>
      <c r="AAK129" s="212"/>
      <c r="AAL129" s="212"/>
      <c r="AAM129" s="212"/>
      <c r="AAN129" s="212"/>
      <c r="AAO129" s="212"/>
      <c r="AAP129" s="212"/>
      <c r="AAQ129" s="212"/>
      <c r="AAR129" s="212"/>
      <c r="AAS129" s="212"/>
      <c r="AAT129" s="212"/>
      <c r="AAU129" s="212"/>
      <c r="AAV129" s="212"/>
      <c r="AAW129" s="212"/>
      <c r="AAX129" s="212"/>
      <c r="AAY129" s="212"/>
      <c r="AAZ129" s="212"/>
      <c r="ABA129" s="212"/>
      <c r="ABB129" s="212"/>
      <c r="ABC129" s="212"/>
      <c r="ABD129" s="212"/>
      <c r="ABE129" s="212"/>
      <c r="ABF129" s="212"/>
      <c r="ABG129" s="212"/>
      <c r="ABH129" s="212"/>
      <c r="ABI129" s="212"/>
      <c r="ABJ129" s="212"/>
      <c r="ABK129" s="212"/>
      <c r="ABL129" s="212"/>
      <c r="ABM129" s="212"/>
      <c r="ABN129" s="212"/>
      <c r="ABO129" s="212"/>
      <c r="ABP129" s="212"/>
      <c r="ABQ129" s="212"/>
      <c r="ABR129" s="212"/>
      <c r="ABS129" s="212"/>
      <c r="ABT129" s="212"/>
      <c r="ABU129" s="212"/>
      <c r="ABV129" s="212"/>
      <c r="ABW129" s="212"/>
      <c r="ABX129" s="212"/>
      <c r="ABY129" s="212"/>
      <c r="ABZ129" s="212"/>
      <c r="ACA129" s="212"/>
      <c r="ACB129" s="212"/>
      <c r="ACC129" s="212"/>
      <c r="ACD129" s="212"/>
      <c r="ACE129" s="212"/>
      <c r="ACF129" s="212"/>
      <c r="ACG129" s="212"/>
      <c r="ACH129" s="212"/>
      <c r="ACI129" s="212"/>
      <c r="ACJ129" s="212"/>
      <c r="ACK129" s="212"/>
      <c r="ACL129" s="212"/>
      <c r="ACM129" s="212"/>
      <c r="ACN129" s="212"/>
      <c r="ACO129" s="212"/>
      <c r="ACP129" s="212"/>
      <c r="ACQ129" s="212"/>
      <c r="ACR129" s="212"/>
      <c r="ACS129" s="212"/>
      <c r="ACT129" s="212"/>
      <c r="ACU129" s="212"/>
      <c r="ACV129" s="212"/>
      <c r="ACW129" s="212"/>
      <c r="ACX129" s="212"/>
      <c r="ACY129" s="212"/>
      <c r="ACZ129" s="212"/>
      <c r="ADA129" s="212"/>
      <c r="ADB129" s="212"/>
      <c r="ADC129" s="212"/>
      <c r="ADD129" s="212"/>
      <c r="ADE129" s="212"/>
      <c r="ADF129" s="212"/>
      <c r="ADG129" s="212"/>
      <c r="ADH129" s="212"/>
      <c r="ADI129" s="212"/>
      <c r="ADJ129" s="212"/>
      <c r="ADK129" s="212"/>
      <c r="ADL129" s="212"/>
      <c r="ADM129" s="212"/>
      <c r="ADN129" s="212"/>
      <c r="ADO129" s="212"/>
      <c r="ADP129" s="212"/>
      <c r="ADQ129" s="212"/>
      <c r="ADR129" s="212"/>
      <c r="ADS129" s="212"/>
      <c r="ADT129" s="212"/>
      <c r="ADU129" s="212"/>
      <c r="ADV129" s="212"/>
      <c r="ADW129" s="212"/>
      <c r="ADX129" s="212"/>
      <c r="ADY129" s="212"/>
      <c r="ADZ129" s="212"/>
      <c r="AEA129" s="212"/>
      <c r="AEB129" s="212"/>
      <c r="AEC129" s="212"/>
      <c r="AED129" s="212"/>
      <c r="AEE129" s="212"/>
      <c r="AEF129" s="212"/>
      <c r="AEG129" s="212"/>
      <c r="AEH129" s="212"/>
      <c r="AEI129" s="212"/>
      <c r="AEJ129" s="212"/>
      <c r="AEK129" s="212"/>
      <c r="AEL129" s="212"/>
      <c r="AEM129" s="212"/>
      <c r="AEN129" s="212"/>
      <c r="AEO129" s="212"/>
      <c r="AEP129" s="212"/>
      <c r="AEQ129" s="212"/>
      <c r="AER129" s="212"/>
      <c r="AES129" s="212"/>
      <c r="AET129" s="212"/>
      <c r="AEU129" s="212"/>
      <c r="AEV129" s="212"/>
      <c r="AEW129" s="212"/>
      <c r="AEX129" s="212"/>
      <c r="AEY129" s="212"/>
      <c r="AEZ129" s="212"/>
      <c r="AFA129" s="212"/>
      <c r="AFB129" s="212"/>
      <c r="AFC129" s="212"/>
      <c r="AFD129" s="212"/>
      <c r="AFE129" s="212"/>
      <c r="AFF129" s="212"/>
      <c r="AFG129" s="212"/>
      <c r="AFH129" s="212"/>
      <c r="AFI129" s="212"/>
      <c r="AFJ129" s="212"/>
      <c r="AFK129" s="212"/>
      <c r="AFL129" s="212"/>
      <c r="AFM129" s="212"/>
      <c r="AFN129" s="212"/>
      <c r="AFO129" s="212"/>
      <c r="AFP129" s="212"/>
      <c r="AFQ129" s="212"/>
      <c r="AFR129" s="212"/>
      <c r="AFS129" s="212"/>
      <c r="AFT129" s="212"/>
      <c r="AFU129" s="212"/>
      <c r="AFV129" s="212"/>
      <c r="AFW129" s="212"/>
      <c r="AFX129" s="212"/>
      <c r="AFY129" s="212"/>
      <c r="AFZ129" s="212"/>
      <c r="AGA129" s="212"/>
      <c r="AGB129" s="212"/>
      <c r="AGC129" s="212"/>
      <c r="AGD129" s="212"/>
      <c r="AGE129" s="212"/>
      <c r="AGF129" s="212"/>
      <c r="AGG129" s="212"/>
      <c r="AGH129" s="212"/>
      <c r="AGI129" s="212"/>
      <c r="AGJ129" s="212"/>
      <c r="AGK129" s="212"/>
      <c r="AGL129" s="212"/>
      <c r="AGM129" s="212"/>
      <c r="AGN129" s="212"/>
      <c r="AGO129" s="212"/>
      <c r="AGP129" s="212"/>
      <c r="AGQ129" s="212"/>
      <c r="AGR129" s="212"/>
      <c r="AGS129" s="212"/>
      <c r="AGT129" s="212"/>
      <c r="AGU129" s="212"/>
      <c r="AGV129" s="212"/>
      <c r="AGW129" s="212"/>
      <c r="AGX129" s="212"/>
      <c r="AGY129" s="212"/>
      <c r="AGZ129" s="212"/>
      <c r="AHA129" s="212"/>
      <c r="AHB129" s="212"/>
      <c r="AHC129" s="212"/>
      <c r="AHD129" s="212"/>
      <c r="AHE129" s="212"/>
      <c r="AHF129" s="212"/>
      <c r="AHG129" s="212"/>
      <c r="AHH129" s="212"/>
      <c r="AHI129" s="212"/>
      <c r="AHJ129" s="212"/>
      <c r="AHK129" s="212"/>
      <c r="AHL129" s="212"/>
      <c r="AHM129" s="212"/>
      <c r="AHN129" s="212"/>
      <c r="AHO129" s="212"/>
      <c r="AHP129" s="212"/>
      <c r="AHQ129" s="212"/>
      <c r="AHR129" s="212"/>
      <c r="AHS129" s="212"/>
      <c r="AHT129" s="212"/>
      <c r="AHU129" s="212"/>
      <c r="AHV129" s="212"/>
      <c r="AHW129" s="212"/>
      <c r="AHX129" s="212"/>
      <c r="AHY129" s="212"/>
      <c r="AHZ129" s="212"/>
      <c r="AIA129" s="212"/>
      <c r="AIB129" s="212"/>
      <c r="AIC129" s="212"/>
      <c r="AID129" s="212"/>
      <c r="AIE129" s="212"/>
      <c r="AIF129" s="212"/>
      <c r="AIG129" s="212"/>
      <c r="AIH129" s="212"/>
      <c r="AII129" s="212"/>
      <c r="AIJ129" s="212"/>
      <c r="AIK129" s="212"/>
      <c r="AIL129" s="212"/>
      <c r="AIM129" s="212"/>
      <c r="AIN129" s="212"/>
      <c r="AIO129" s="212"/>
      <c r="AIP129" s="212"/>
      <c r="AIQ129" s="212"/>
      <c r="AIR129" s="212"/>
      <c r="AIS129" s="212"/>
      <c r="AIT129" s="212"/>
      <c r="AIU129" s="212"/>
      <c r="AIV129" s="212"/>
      <c r="AIW129" s="212"/>
      <c r="AIX129" s="212"/>
      <c r="AIY129" s="212"/>
      <c r="AIZ129" s="212"/>
      <c r="AJA129" s="212"/>
      <c r="AJB129" s="212"/>
      <c r="AJC129" s="212"/>
      <c r="AJD129" s="212"/>
      <c r="AJE129" s="212"/>
      <c r="AJF129" s="212"/>
      <c r="AJG129" s="212"/>
      <c r="AJH129" s="212"/>
      <c r="AJI129" s="212"/>
      <c r="AJJ129" s="212"/>
      <c r="AJK129" s="212"/>
      <c r="AJL129" s="212"/>
      <c r="AJM129" s="212"/>
      <c r="AJN129" s="212"/>
      <c r="AJO129" s="212"/>
      <c r="AJP129" s="212"/>
      <c r="AJQ129" s="212"/>
      <c r="AJR129" s="212"/>
      <c r="AJS129" s="212"/>
      <c r="AJT129" s="212"/>
      <c r="AJU129" s="212"/>
      <c r="AJV129" s="212"/>
      <c r="AJW129" s="212"/>
      <c r="AJX129" s="212"/>
      <c r="AJY129" s="212"/>
      <c r="AJZ129" s="212"/>
      <c r="AKA129" s="212"/>
      <c r="AKB129" s="212"/>
      <c r="AKC129" s="212"/>
      <c r="AKD129" s="212"/>
      <c r="AKE129" s="212"/>
      <c r="AKF129" s="212"/>
      <c r="AKG129" s="212"/>
      <c r="AKH129" s="212"/>
      <c r="AKI129" s="212"/>
      <c r="AKJ129" s="212"/>
      <c r="AKK129" s="212"/>
      <c r="AKL129" s="212"/>
      <c r="AKM129" s="212"/>
      <c r="AKN129" s="212"/>
      <c r="AKO129" s="212"/>
      <c r="AKP129" s="212"/>
      <c r="AKQ129" s="212"/>
      <c r="AKR129" s="212"/>
      <c r="AKS129" s="212"/>
      <c r="AKT129" s="212"/>
      <c r="AKU129" s="212"/>
      <c r="AKV129" s="212"/>
      <c r="AKW129" s="212"/>
      <c r="AKX129" s="212"/>
      <c r="AKY129" s="212"/>
      <c r="AKZ129" s="212"/>
      <c r="ALA129" s="212"/>
      <c r="ALB129" s="212"/>
      <c r="ALC129" s="212"/>
      <c r="ALD129" s="212"/>
      <c r="ALE129" s="212"/>
      <c r="ALF129" s="212"/>
      <c r="ALG129" s="212"/>
      <c r="ALH129" s="212"/>
      <c r="ALI129" s="212"/>
      <c r="ALJ129" s="212"/>
      <c r="ALK129" s="212"/>
      <c r="ALL129" s="212"/>
      <c r="ALM129" s="212"/>
      <c r="ALN129" s="212"/>
      <c r="ALO129" s="212"/>
      <c r="ALP129" s="212"/>
      <c r="ALQ129" s="212"/>
      <c r="ALR129" s="212"/>
      <c r="ALS129" s="212"/>
      <c r="ALT129" s="212"/>
      <c r="ALU129" s="212"/>
      <c r="ALV129" s="212"/>
      <c r="ALW129" s="212"/>
      <c r="ALX129" s="212"/>
      <c r="ALY129" s="212"/>
      <c r="ALZ129" s="212"/>
      <c r="AMA129" s="212"/>
      <c r="AMB129" s="212"/>
      <c r="AMC129" s="212"/>
      <c r="AMD129" s="212"/>
      <c r="AME129" s="212"/>
      <c r="AMF129" s="212"/>
      <c r="AMG129" s="212"/>
      <c r="AMH129" s="212"/>
      <c r="AMI129" s="212"/>
      <c r="AMJ129" s="212"/>
      <c r="AMK129" s="212"/>
      <c r="AML129" s="212"/>
      <c r="AMM129" s="212"/>
      <c r="AMN129" s="212"/>
      <c r="AMO129" s="212"/>
      <c r="AMP129" s="212"/>
      <c r="AMQ129" s="212"/>
      <c r="AMR129" s="212"/>
      <c r="AMS129" s="212"/>
      <c r="AMT129" s="212"/>
      <c r="AMU129" s="212"/>
      <c r="AMV129" s="212"/>
      <c r="AMW129" s="212"/>
      <c r="AMX129" s="212"/>
      <c r="AMY129" s="212"/>
      <c r="AMZ129" s="212"/>
      <c r="ANA129" s="212"/>
      <c r="ANB129" s="212"/>
      <c r="ANC129" s="212"/>
      <c r="AND129" s="212"/>
      <c r="ANE129" s="212"/>
      <c r="ANF129" s="212"/>
      <c r="ANG129" s="212"/>
      <c r="ANH129" s="212"/>
      <c r="ANI129" s="212"/>
      <c r="ANJ129" s="212"/>
      <c r="ANK129" s="212"/>
      <c r="ANL129" s="212"/>
      <c r="ANM129" s="212"/>
      <c r="ANN129" s="212"/>
      <c r="ANO129" s="212"/>
      <c r="ANP129" s="212"/>
      <c r="ANQ129" s="212"/>
      <c r="ANR129" s="212"/>
      <c r="ANS129" s="212"/>
      <c r="ANT129" s="212"/>
      <c r="ANU129" s="212"/>
      <c r="ANV129" s="212"/>
      <c r="ANW129" s="212"/>
      <c r="ANX129" s="212"/>
      <c r="ANY129" s="212"/>
      <c r="ANZ129" s="212"/>
      <c r="AOA129" s="212"/>
      <c r="AOB129" s="212"/>
      <c r="AOC129" s="212"/>
      <c r="AOD129" s="212"/>
      <c r="AOE129" s="212"/>
      <c r="AOF129" s="212"/>
      <c r="AOG129" s="212"/>
      <c r="AOH129" s="212"/>
      <c r="AOI129" s="212"/>
      <c r="AOJ129" s="212"/>
      <c r="AOK129" s="212"/>
      <c r="AOL129" s="212"/>
      <c r="AOM129" s="212"/>
      <c r="AON129" s="212"/>
      <c r="AOO129" s="212"/>
      <c r="AOP129" s="212"/>
      <c r="AOQ129" s="212"/>
      <c r="AOR129" s="212"/>
      <c r="AOS129" s="212"/>
      <c r="AOT129" s="212"/>
      <c r="AOU129" s="212"/>
      <c r="AOV129" s="212"/>
      <c r="AOW129" s="212"/>
      <c r="AOX129" s="212"/>
      <c r="AOY129" s="212"/>
      <c r="AOZ129" s="212"/>
      <c r="APA129" s="212"/>
      <c r="APB129" s="212"/>
      <c r="APC129" s="212"/>
      <c r="APD129" s="212"/>
      <c r="APE129" s="212"/>
      <c r="APF129" s="212"/>
      <c r="APG129" s="212"/>
      <c r="APH129" s="212"/>
      <c r="API129" s="212"/>
      <c r="APJ129" s="212"/>
      <c r="APK129" s="212"/>
      <c r="APL129" s="212"/>
      <c r="APM129" s="212"/>
      <c r="APN129" s="212"/>
      <c r="APO129" s="212"/>
      <c r="APP129" s="212"/>
      <c r="APQ129" s="212"/>
      <c r="APR129" s="212"/>
      <c r="APS129" s="212"/>
      <c r="APT129" s="212"/>
      <c r="APU129" s="212"/>
      <c r="APV129" s="212"/>
      <c r="APW129" s="212"/>
      <c r="APX129" s="212"/>
      <c r="APY129" s="212"/>
      <c r="APZ129" s="212"/>
      <c r="AQA129" s="212"/>
      <c r="AQB129" s="212"/>
      <c r="AQC129" s="212"/>
      <c r="AQD129" s="212"/>
      <c r="AQE129" s="212"/>
      <c r="AQF129" s="212"/>
      <c r="AQG129" s="212"/>
      <c r="AQH129" s="212"/>
      <c r="AQI129" s="212"/>
      <c r="AQJ129" s="212"/>
      <c r="AQK129" s="212"/>
      <c r="AQL129" s="212"/>
      <c r="AQM129" s="212"/>
      <c r="AQN129" s="212"/>
      <c r="AQO129" s="212"/>
      <c r="AQP129" s="212"/>
      <c r="AQQ129" s="212"/>
      <c r="AQR129" s="212"/>
      <c r="AQS129" s="212"/>
      <c r="AQT129" s="212"/>
      <c r="AQU129" s="212"/>
      <c r="AQV129" s="212"/>
      <c r="AQW129" s="212"/>
      <c r="AQX129" s="212"/>
      <c r="AQY129" s="212"/>
      <c r="AQZ129" s="212"/>
      <c r="ARA129" s="212"/>
      <c r="ARB129" s="212"/>
      <c r="ARC129" s="212"/>
      <c r="ARD129" s="212"/>
      <c r="ARE129" s="212"/>
      <c r="ARF129" s="212"/>
      <c r="ARG129" s="212"/>
      <c r="ARH129" s="212"/>
      <c r="ARI129" s="212"/>
      <c r="ARJ129" s="212"/>
      <c r="ARK129" s="212"/>
      <c r="ARL129" s="212"/>
      <c r="ARM129" s="212"/>
      <c r="ARN129" s="212"/>
      <c r="ARO129" s="212"/>
      <c r="ARP129" s="212"/>
      <c r="ARQ129" s="212"/>
      <c r="ARR129" s="212"/>
      <c r="ARS129" s="212"/>
      <c r="ART129" s="212"/>
      <c r="ARU129" s="212"/>
      <c r="ARV129" s="212"/>
      <c r="ARW129" s="212"/>
      <c r="ARX129" s="212"/>
      <c r="ARY129" s="212"/>
      <c r="ARZ129" s="212"/>
      <c r="ASA129" s="212"/>
      <c r="ASB129" s="212"/>
      <c r="ASC129" s="212"/>
      <c r="ASD129" s="212"/>
      <c r="ASE129" s="212"/>
      <c r="ASF129" s="212"/>
      <c r="ASG129" s="212"/>
      <c r="ASH129" s="212"/>
      <c r="ASI129" s="212"/>
      <c r="ASJ129" s="212"/>
      <c r="ASK129" s="212"/>
      <c r="ASL129" s="212"/>
      <c r="ASM129" s="212"/>
      <c r="ASN129" s="212"/>
      <c r="ASO129" s="212"/>
      <c r="ASP129" s="212"/>
      <c r="ASQ129" s="212"/>
      <c r="ASR129" s="212"/>
      <c r="ASS129" s="212"/>
      <c r="AST129" s="212"/>
      <c r="ASU129" s="212"/>
      <c r="ASV129" s="212"/>
      <c r="ASW129" s="212"/>
      <c r="ASX129" s="212"/>
      <c r="ASY129" s="212"/>
      <c r="ASZ129" s="212"/>
      <c r="ATA129" s="212"/>
      <c r="ATB129" s="212"/>
      <c r="ATC129" s="212"/>
      <c r="ATD129" s="212"/>
      <c r="ATE129" s="212"/>
      <c r="ATF129" s="212"/>
      <c r="ATG129" s="212"/>
      <c r="ATH129" s="212"/>
      <c r="ATI129" s="212"/>
      <c r="ATJ129" s="212"/>
      <c r="ATK129" s="212"/>
      <c r="ATL129" s="212"/>
      <c r="ATM129" s="212"/>
      <c r="ATN129" s="212"/>
      <c r="ATO129" s="212"/>
      <c r="ATP129" s="212"/>
      <c r="ATQ129" s="212"/>
      <c r="ATR129" s="212"/>
      <c r="ATS129" s="212"/>
      <c r="ATT129" s="212"/>
      <c r="ATU129" s="212"/>
      <c r="ATV129" s="212"/>
      <c r="ATW129" s="212"/>
      <c r="ATX129" s="212"/>
      <c r="ATY129" s="212"/>
      <c r="ATZ129" s="212"/>
      <c r="AUA129" s="212"/>
      <c r="AUB129" s="212"/>
      <c r="AUC129" s="212"/>
      <c r="AUD129" s="212"/>
      <c r="AUE129" s="212"/>
      <c r="AUF129" s="212"/>
      <c r="AUG129" s="212"/>
      <c r="AUH129" s="212"/>
      <c r="AUI129" s="212"/>
      <c r="AUJ129" s="212"/>
      <c r="AUK129" s="212"/>
      <c r="AUL129" s="212"/>
      <c r="AUM129" s="212"/>
      <c r="AUN129" s="212"/>
      <c r="AUO129" s="212"/>
      <c r="AUP129" s="212"/>
      <c r="AUQ129" s="212"/>
      <c r="AUR129" s="212"/>
      <c r="AUS129" s="212"/>
      <c r="AUT129" s="212"/>
      <c r="AUU129" s="212"/>
      <c r="AUV129" s="212"/>
      <c r="AUW129" s="212"/>
      <c r="AUX129" s="212"/>
      <c r="AUY129" s="212"/>
      <c r="AUZ129" s="212"/>
      <c r="AVA129" s="212"/>
      <c r="AVB129" s="212"/>
      <c r="AVC129" s="212"/>
      <c r="AVD129" s="212"/>
      <c r="AVE129" s="212"/>
      <c r="AVF129" s="212"/>
      <c r="AVG129" s="212"/>
      <c r="AVH129" s="212"/>
      <c r="AVI129" s="212"/>
      <c r="AVJ129" s="212"/>
      <c r="AVK129" s="212"/>
      <c r="AVL129" s="212"/>
      <c r="AVM129" s="212"/>
      <c r="AVN129" s="212"/>
      <c r="AVO129" s="212"/>
      <c r="AVP129" s="212"/>
      <c r="AVQ129" s="212"/>
      <c r="AVR129" s="212"/>
      <c r="AVS129" s="212"/>
      <c r="AVT129" s="212"/>
      <c r="AVU129" s="212"/>
      <c r="AVV129" s="212"/>
      <c r="AVW129" s="212"/>
      <c r="AVX129" s="212"/>
      <c r="AVY129" s="212"/>
      <c r="AVZ129" s="212"/>
      <c r="AWA129" s="212"/>
      <c r="AWB129" s="212"/>
      <c r="AWC129" s="212"/>
      <c r="AWD129" s="212"/>
      <c r="AWE129" s="212"/>
      <c r="AWF129" s="212"/>
      <c r="AWG129" s="212"/>
      <c r="AWH129" s="212"/>
      <c r="AWI129" s="212"/>
      <c r="AWJ129" s="212"/>
      <c r="AWK129" s="212"/>
      <c r="AWL129" s="212"/>
      <c r="AWM129" s="212"/>
      <c r="AWN129" s="212"/>
      <c r="AWO129" s="212"/>
      <c r="AWP129" s="212"/>
      <c r="AWQ129" s="212"/>
      <c r="AWR129" s="212"/>
      <c r="AWS129" s="212"/>
      <c r="AWT129" s="212"/>
      <c r="AWU129" s="212"/>
      <c r="AWV129" s="212"/>
      <c r="AWW129" s="212"/>
      <c r="AWX129" s="212"/>
      <c r="AWY129" s="212"/>
      <c r="AWZ129" s="212"/>
      <c r="AXA129" s="212"/>
      <c r="AXB129" s="212"/>
      <c r="AXC129" s="212"/>
      <c r="AXD129" s="212"/>
      <c r="AXE129" s="212"/>
      <c r="AXF129" s="212"/>
      <c r="AXG129" s="212"/>
      <c r="AXH129" s="212"/>
      <c r="AXI129" s="212"/>
      <c r="AXJ129" s="212"/>
      <c r="AXK129" s="212"/>
      <c r="AXL129" s="212"/>
      <c r="AXM129" s="212"/>
      <c r="AXN129" s="212"/>
      <c r="AXO129" s="212"/>
      <c r="AXP129" s="212"/>
      <c r="AXQ129" s="212"/>
      <c r="AXR129" s="212"/>
      <c r="AXS129" s="212"/>
      <c r="AXT129" s="212"/>
      <c r="AXU129" s="212"/>
      <c r="AXV129" s="212"/>
      <c r="AXW129" s="212"/>
      <c r="AXX129" s="212"/>
      <c r="AXY129" s="212"/>
      <c r="AXZ129" s="212"/>
      <c r="AYA129" s="212"/>
      <c r="AYB129" s="212"/>
      <c r="AYC129" s="212"/>
      <c r="AYD129" s="212"/>
      <c r="AYE129" s="212"/>
      <c r="AYF129" s="212"/>
      <c r="AYG129" s="212"/>
      <c r="AYH129" s="212"/>
      <c r="AYI129" s="212"/>
      <c r="AYJ129" s="212"/>
      <c r="AYK129" s="212"/>
      <c r="AYL129" s="212"/>
      <c r="AYM129" s="212"/>
      <c r="AYN129" s="212"/>
      <c r="AYO129" s="212"/>
      <c r="AYP129" s="212"/>
      <c r="AYQ129" s="212"/>
      <c r="AYR129" s="212"/>
      <c r="AYS129" s="212"/>
      <c r="AYT129" s="212"/>
      <c r="AYU129" s="212"/>
      <c r="AYV129" s="212"/>
      <c r="AYW129" s="212"/>
      <c r="AYX129" s="212"/>
      <c r="AYY129" s="212"/>
      <c r="AYZ129" s="212"/>
      <c r="AZA129" s="212"/>
      <c r="AZB129" s="212"/>
      <c r="AZC129" s="212"/>
      <c r="AZD129" s="212"/>
      <c r="AZE129" s="212"/>
      <c r="AZF129" s="212"/>
      <c r="AZG129" s="212"/>
      <c r="AZH129" s="212"/>
      <c r="AZI129" s="212"/>
      <c r="AZJ129" s="212"/>
      <c r="AZK129" s="212"/>
      <c r="AZL129" s="212"/>
      <c r="AZM129" s="212"/>
      <c r="AZN129" s="212"/>
      <c r="AZO129" s="212"/>
      <c r="AZP129" s="212"/>
      <c r="AZQ129" s="212"/>
      <c r="AZR129" s="212"/>
      <c r="AZS129" s="212"/>
      <c r="AZT129" s="212"/>
      <c r="AZU129" s="212"/>
      <c r="AZV129" s="212"/>
      <c r="AZW129" s="212"/>
      <c r="AZX129" s="212"/>
      <c r="AZY129" s="212"/>
      <c r="AZZ129" s="212"/>
      <c r="BAA129" s="212"/>
      <c r="BAB129" s="212"/>
      <c r="BAC129" s="212"/>
      <c r="BAD129" s="212"/>
      <c r="BAE129" s="212"/>
      <c r="BAF129" s="212"/>
      <c r="BAG129" s="212"/>
      <c r="BAH129" s="212"/>
      <c r="BAI129" s="212"/>
      <c r="BAJ129" s="212"/>
      <c r="BAK129" s="212"/>
      <c r="BAL129" s="212"/>
      <c r="BAM129" s="212"/>
      <c r="BAN129" s="212"/>
      <c r="BAO129" s="212"/>
      <c r="BAP129" s="212"/>
      <c r="BAQ129" s="212"/>
      <c r="BAR129" s="212"/>
      <c r="BAS129" s="212"/>
      <c r="BAT129" s="212"/>
      <c r="BAU129" s="212"/>
      <c r="BAV129" s="212"/>
      <c r="BAW129" s="212"/>
      <c r="BAX129" s="212"/>
      <c r="BAY129" s="212"/>
      <c r="BAZ129" s="212"/>
      <c r="BBA129" s="212"/>
      <c r="BBB129" s="212"/>
      <c r="BBC129" s="212"/>
      <c r="BBD129" s="212"/>
      <c r="BBE129" s="212"/>
      <c r="BBF129" s="212"/>
      <c r="BBG129" s="212"/>
      <c r="BBH129" s="212"/>
      <c r="BBI129" s="212"/>
      <c r="BBJ129" s="212"/>
      <c r="BBK129" s="212"/>
      <c r="BBL129" s="212"/>
      <c r="BBM129" s="212"/>
      <c r="BBN129" s="212"/>
      <c r="BBO129" s="212"/>
      <c r="BBP129" s="212"/>
      <c r="BBQ129" s="212"/>
      <c r="BBR129" s="212"/>
      <c r="BBS129" s="212"/>
      <c r="BBT129" s="212"/>
      <c r="BBU129" s="212"/>
      <c r="BBV129" s="212"/>
      <c r="BBW129" s="212"/>
      <c r="BBX129" s="212"/>
      <c r="BBY129" s="212"/>
      <c r="BBZ129" s="212"/>
      <c r="BCA129" s="212"/>
      <c r="BCB129" s="212"/>
      <c r="BCC129" s="212"/>
      <c r="BCD129" s="212"/>
      <c r="BCE129" s="212"/>
      <c r="BCF129" s="212"/>
      <c r="BCG129" s="212"/>
      <c r="BCH129" s="212"/>
      <c r="BCI129" s="212"/>
      <c r="BCJ129" s="212"/>
      <c r="BCK129" s="212"/>
      <c r="BCL129" s="212"/>
      <c r="BCM129" s="212"/>
      <c r="BCN129" s="212"/>
      <c r="BCO129" s="212"/>
      <c r="BCP129" s="212"/>
      <c r="BCQ129" s="212"/>
      <c r="BCR129" s="212"/>
      <c r="BCS129" s="212"/>
      <c r="BCT129" s="212"/>
      <c r="BCU129" s="212"/>
      <c r="BCV129" s="212"/>
      <c r="BCW129" s="212"/>
      <c r="BCX129" s="212"/>
      <c r="BCY129" s="212"/>
      <c r="BCZ129" s="212"/>
      <c r="BDA129" s="212"/>
      <c r="BDB129" s="212"/>
      <c r="BDC129" s="212"/>
      <c r="BDD129" s="212"/>
      <c r="BDE129" s="212"/>
      <c r="BDF129" s="212"/>
      <c r="BDG129" s="212"/>
      <c r="BDH129" s="212"/>
      <c r="BDI129" s="212"/>
      <c r="BDJ129" s="212"/>
      <c r="BDK129" s="212"/>
      <c r="BDL129" s="212"/>
      <c r="BDM129" s="212"/>
      <c r="BDN129" s="212"/>
      <c r="BDO129" s="212"/>
      <c r="BDP129" s="212"/>
      <c r="BDQ129" s="212"/>
      <c r="BDR129" s="212"/>
      <c r="BDS129" s="212"/>
      <c r="BDT129" s="212"/>
      <c r="BDU129" s="212"/>
      <c r="BDV129" s="212"/>
      <c r="BDW129" s="212"/>
      <c r="BDX129" s="212"/>
      <c r="BDY129" s="212"/>
      <c r="BDZ129" s="212"/>
      <c r="BEA129" s="212"/>
      <c r="BEB129" s="212"/>
      <c r="BEC129" s="212"/>
      <c r="BED129" s="212"/>
      <c r="BEE129" s="212"/>
      <c r="BEF129" s="212"/>
      <c r="BEG129" s="212"/>
      <c r="BEH129" s="212"/>
      <c r="BEI129" s="212"/>
      <c r="BEJ129" s="212"/>
      <c r="BEK129" s="212"/>
      <c r="BEL129" s="212"/>
      <c r="BEM129" s="212"/>
      <c r="BEN129" s="212"/>
      <c r="BEO129" s="212"/>
      <c r="BEP129" s="212"/>
      <c r="BEQ129" s="212"/>
      <c r="BER129" s="212"/>
      <c r="BES129" s="212"/>
      <c r="BET129" s="212"/>
      <c r="BEU129" s="212"/>
      <c r="BEV129" s="212"/>
      <c r="BEW129" s="212"/>
      <c r="BEX129" s="212"/>
      <c r="BEY129" s="212"/>
      <c r="BEZ129" s="212"/>
      <c r="BFA129" s="212"/>
      <c r="BFB129" s="212"/>
      <c r="BFC129" s="212"/>
      <c r="BFD129" s="212"/>
      <c r="BFE129" s="212"/>
      <c r="BFF129" s="212"/>
      <c r="BFG129" s="212"/>
      <c r="BFH129" s="212"/>
      <c r="BFI129" s="212"/>
      <c r="BFJ129" s="212"/>
      <c r="BFK129" s="212"/>
      <c r="BFL129" s="212"/>
      <c r="BFM129" s="212"/>
      <c r="BFN129" s="212"/>
      <c r="BFO129" s="212"/>
      <c r="BFP129" s="212"/>
      <c r="BFQ129" s="212"/>
      <c r="BFR129" s="212"/>
      <c r="BFS129" s="212"/>
      <c r="BFT129" s="212"/>
      <c r="BFU129" s="212"/>
      <c r="BFV129" s="212"/>
      <c r="BFW129" s="212"/>
      <c r="BFX129" s="212"/>
      <c r="BFY129" s="212"/>
      <c r="BFZ129" s="212"/>
      <c r="BGA129" s="212"/>
      <c r="BGB129" s="212"/>
      <c r="BGC129" s="212"/>
      <c r="BGD129" s="212"/>
      <c r="BGE129" s="212"/>
      <c r="BGF129" s="212"/>
      <c r="BGG129" s="212"/>
      <c r="BGH129" s="212"/>
      <c r="BGI129" s="212"/>
      <c r="BGJ129" s="212"/>
      <c r="BGK129" s="212"/>
      <c r="BGL129" s="212"/>
      <c r="BGM129" s="212"/>
      <c r="BGN129" s="212"/>
      <c r="BGO129" s="212"/>
      <c r="BGP129" s="212"/>
      <c r="BGQ129" s="212"/>
      <c r="BGR129" s="212"/>
      <c r="BGS129" s="212"/>
      <c r="BGT129" s="212"/>
      <c r="BGU129" s="212"/>
      <c r="BGV129" s="212"/>
      <c r="BGW129" s="212"/>
      <c r="BGX129" s="212"/>
      <c r="BGY129" s="212"/>
      <c r="BGZ129" s="212"/>
      <c r="BHA129" s="212"/>
      <c r="BHB129" s="212"/>
      <c r="BHC129" s="212"/>
      <c r="BHD129" s="212"/>
      <c r="BHE129" s="212"/>
      <c r="BHF129" s="212"/>
      <c r="BHG129" s="212"/>
      <c r="BHH129" s="212"/>
      <c r="BHI129" s="212"/>
      <c r="BHJ129" s="212"/>
      <c r="BHK129" s="212"/>
      <c r="BHL129" s="212"/>
      <c r="BHM129" s="212"/>
      <c r="BHN129" s="212"/>
      <c r="BHO129" s="212"/>
      <c r="BHP129" s="212"/>
      <c r="BHQ129" s="212"/>
      <c r="BHR129" s="212"/>
      <c r="BHS129" s="212"/>
      <c r="BHT129" s="212"/>
      <c r="BHU129" s="212"/>
      <c r="BHV129" s="212"/>
      <c r="BHW129" s="212"/>
      <c r="BHX129" s="212"/>
      <c r="BHY129" s="212"/>
      <c r="BHZ129" s="212"/>
      <c r="BIA129" s="212"/>
      <c r="BIB129" s="212"/>
      <c r="BIC129" s="212"/>
      <c r="BID129" s="212"/>
      <c r="BIE129" s="212"/>
      <c r="BIF129" s="212"/>
      <c r="BIG129" s="212"/>
      <c r="BIH129" s="212"/>
      <c r="BII129" s="212"/>
      <c r="BIJ129" s="212"/>
      <c r="BIK129" s="212"/>
      <c r="BIL129" s="212"/>
      <c r="BIM129" s="212"/>
      <c r="BIN129" s="212"/>
      <c r="BIO129" s="212"/>
      <c r="BIP129" s="212"/>
      <c r="BIQ129" s="212"/>
      <c r="BIR129" s="212"/>
      <c r="BIS129" s="212"/>
      <c r="BIT129" s="212"/>
      <c r="BIU129" s="212"/>
      <c r="BIV129" s="212"/>
      <c r="BIW129" s="212"/>
      <c r="BIX129" s="212"/>
      <c r="BIY129" s="212"/>
      <c r="BIZ129" s="212"/>
      <c r="BJA129" s="212"/>
      <c r="BJB129" s="212"/>
      <c r="BJC129" s="212"/>
      <c r="BJD129" s="212"/>
      <c r="BJE129" s="212"/>
      <c r="BJF129" s="212"/>
      <c r="BJG129" s="212"/>
      <c r="BJH129" s="212"/>
      <c r="BJI129" s="212"/>
      <c r="BJJ129" s="212"/>
      <c r="BJK129" s="212"/>
      <c r="BJL129" s="212"/>
      <c r="BJM129" s="212"/>
      <c r="BJN129" s="212"/>
      <c r="BJO129" s="212"/>
      <c r="BJP129" s="212"/>
      <c r="BJQ129" s="212"/>
      <c r="BJR129" s="212"/>
      <c r="BJS129" s="212"/>
      <c r="BJT129" s="212"/>
      <c r="BJU129" s="212"/>
      <c r="BJV129" s="212"/>
      <c r="BJW129" s="212"/>
      <c r="BJX129" s="212"/>
      <c r="BJY129" s="212"/>
      <c r="BJZ129" s="212"/>
      <c r="BKA129" s="212"/>
      <c r="BKB129" s="212"/>
      <c r="BKC129" s="212"/>
      <c r="BKD129" s="212"/>
      <c r="BKE129" s="212"/>
      <c r="BKF129" s="212"/>
      <c r="BKG129" s="212"/>
      <c r="BKH129" s="212"/>
      <c r="BKI129" s="212"/>
      <c r="BKJ129" s="212"/>
      <c r="BKK129" s="212"/>
      <c r="BKL129" s="212"/>
      <c r="BKM129" s="212"/>
      <c r="BKN129" s="212"/>
      <c r="BKO129" s="212"/>
      <c r="BKP129" s="212"/>
      <c r="BKQ129" s="212"/>
      <c r="BKR129" s="212"/>
      <c r="BKS129" s="212"/>
      <c r="BKT129" s="212"/>
      <c r="BKU129" s="212"/>
      <c r="BKV129" s="212"/>
      <c r="BKW129" s="212"/>
      <c r="BKX129" s="212"/>
      <c r="BKY129" s="212"/>
      <c r="BKZ129" s="212"/>
      <c r="BLA129" s="212"/>
      <c r="BLB129" s="212"/>
      <c r="BLC129" s="212"/>
      <c r="BLD129" s="212"/>
      <c r="BLE129" s="212"/>
      <c r="BLF129" s="212"/>
      <c r="BLG129" s="212"/>
      <c r="BLH129" s="212"/>
      <c r="BLI129" s="212"/>
      <c r="BLJ129" s="212"/>
      <c r="BLK129" s="212"/>
      <c r="BLL129" s="212"/>
      <c r="BLM129" s="212"/>
      <c r="BLN129" s="212"/>
      <c r="BLO129" s="212"/>
      <c r="BLP129" s="212"/>
      <c r="BLQ129" s="212"/>
      <c r="BLR129" s="212"/>
      <c r="BLS129" s="212"/>
      <c r="BLT129" s="212"/>
      <c r="BLU129" s="212"/>
      <c r="BLV129" s="212"/>
      <c r="BLW129" s="212"/>
      <c r="BLX129" s="212"/>
      <c r="BLY129" s="212"/>
      <c r="BLZ129" s="212"/>
      <c r="BMA129" s="212"/>
      <c r="BMB129" s="212"/>
      <c r="BMC129" s="212"/>
      <c r="BMD129" s="212"/>
      <c r="BME129" s="212"/>
      <c r="BMF129" s="212"/>
      <c r="BMG129" s="212"/>
      <c r="BMH129" s="212"/>
      <c r="BMI129" s="212"/>
      <c r="BMJ129" s="212"/>
      <c r="BMK129" s="212"/>
      <c r="BML129" s="212"/>
      <c r="BMM129" s="212"/>
      <c r="BMN129" s="212"/>
      <c r="BMO129" s="212"/>
      <c r="BMP129" s="212"/>
      <c r="BMQ129" s="212"/>
      <c r="BMR129" s="212"/>
      <c r="BMS129" s="212"/>
      <c r="BMT129" s="212"/>
      <c r="BMU129" s="212"/>
      <c r="BMV129" s="212"/>
      <c r="BMW129" s="212"/>
      <c r="BMX129" s="212"/>
      <c r="BMY129" s="212"/>
      <c r="BMZ129" s="212"/>
      <c r="BNA129" s="212"/>
      <c r="BNB129" s="212"/>
      <c r="BNC129" s="212"/>
      <c r="BND129" s="212"/>
      <c r="BNE129" s="212"/>
      <c r="BNF129" s="212"/>
      <c r="BNG129" s="212"/>
      <c r="BNH129" s="212"/>
      <c r="BNI129" s="212"/>
      <c r="BNJ129" s="212"/>
      <c r="BNK129" s="212"/>
      <c r="BNL129" s="212"/>
      <c r="BNM129" s="212"/>
      <c r="BNN129" s="212"/>
      <c r="BNO129" s="212"/>
      <c r="BNP129" s="212"/>
      <c r="BNQ129" s="212"/>
      <c r="BNR129" s="212"/>
      <c r="BNS129" s="212"/>
      <c r="BNT129" s="212"/>
      <c r="BNU129" s="212"/>
      <c r="BNV129" s="212"/>
      <c r="BNW129" s="212"/>
      <c r="BNX129" s="212"/>
      <c r="BNY129" s="212"/>
      <c r="BNZ129" s="212"/>
      <c r="BOA129" s="212"/>
      <c r="BOB129" s="212"/>
      <c r="BOC129" s="212"/>
      <c r="BOD129" s="212"/>
      <c r="BOE129" s="212"/>
      <c r="BOF129" s="212"/>
      <c r="BOG129" s="212"/>
      <c r="BOH129" s="212"/>
      <c r="BOI129" s="212"/>
      <c r="BOJ129" s="212"/>
      <c r="BOK129" s="212"/>
      <c r="BOL129" s="212"/>
      <c r="BOM129" s="212"/>
      <c r="BON129" s="212"/>
      <c r="BOO129" s="212"/>
      <c r="BOP129" s="212"/>
      <c r="BOQ129" s="212"/>
      <c r="BOR129" s="212"/>
      <c r="BOS129" s="212"/>
      <c r="BOT129" s="212"/>
      <c r="BOU129" s="212"/>
      <c r="BOV129" s="212"/>
      <c r="BOW129" s="212"/>
      <c r="BOX129" s="212"/>
      <c r="BOY129" s="212"/>
      <c r="BOZ129" s="212"/>
      <c r="BPA129" s="212"/>
      <c r="BPB129" s="212"/>
      <c r="BPC129" s="212"/>
      <c r="BPD129" s="212"/>
      <c r="BPE129" s="212"/>
      <c r="BPF129" s="212"/>
      <c r="BPG129" s="212"/>
      <c r="BPH129" s="212"/>
      <c r="BPI129" s="212"/>
      <c r="BPJ129" s="212"/>
      <c r="BPK129" s="212"/>
      <c r="BPL129" s="212"/>
      <c r="BPM129" s="212"/>
      <c r="BPN129" s="212"/>
      <c r="BPO129" s="212"/>
      <c r="BPP129" s="212"/>
      <c r="BPQ129" s="212"/>
      <c r="BPR129" s="212"/>
      <c r="BPS129" s="212"/>
      <c r="BPT129" s="212"/>
      <c r="BPU129" s="212"/>
      <c r="BPV129" s="212"/>
      <c r="BPW129" s="212"/>
      <c r="BPX129" s="212"/>
      <c r="BPY129" s="212"/>
      <c r="BPZ129" s="212"/>
      <c r="BQA129" s="212"/>
      <c r="BQB129" s="212"/>
      <c r="BQC129" s="212"/>
      <c r="BQD129" s="212"/>
      <c r="BQE129" s="212"/>
      <c r="BQF129" s="212"/>
      <c r="BQG129" s="212"/>
      <c r="BQH129" s="212"/>
      <c r="BQI129" s="212"/>
      <c r="BQJ129" s="212"/>
      <c r="BQK129" s="212"/>
      <c r="BQL129" s="212"/>
      <c r="BQM129" s="212"/>
      <c r="BQN129" s="212"/>
      <c r="BQO129" s="212"/>
      <c r="BQP129" s="212"/>
      <c r="BQQ129" s="212"/>
      <c r="BQR129" s="212"/>
      <c r="BQS129" s="212"/>
      <c r="BQT129" s="212"/>
      <c r="BQU129" s="212"/>
      <c r="BQV129" s="212"/>
      <c r="BQW129" s="212"/>
      <c r="BQX129" s="212"/>
      <c r="BQY129" s="212"/>
      <c r="BQZ129" s="212"/>
      <c r="BRA129" s="212"/>
      <c r="BRB129" s="212"/>
      <c r="BRC129" s="212"/>
      <c r="BRD129" s="212"/>
      <c r="BRE129" s="212"/>
      <c r="BRF129" s="212"/>
      <c r="BRG129" s="212"/>
      <c r="BRH129" s="212"/>
      <c r="BRI129" s="212"/>
      <c r="BRJ129" s="212"/>
      <c r="BRK129" s="212"/>
      <c r="BRL129" s="212"/>
      <c r="BRM129" s="212"/>
      <c r="BRN129" s="212"/>
      <c r="BRO129" s="212"/>
      <c r="BRP129" s="212"/>
      <c r="BRQ129" s="212"/>
      <c r="BRR129" s="212"/>
      <c r="BRS129" s="212"/>
      <c r="BRT129" s="212"/>
      <c r="BRU129" s="212"/>
      <c r="BRV129" s="212"/>
      <c r="BRW129" s="212"/>
      <c r="BRX129" s="212"/>
      <c r="BRY129" s="212"/>
      <c r="BRZ129" s="212"/>
      <c r="BSA129" s="212"/>
      <c r="BSB129" s="212"/>
      <c r="BSC129" s="212"/>
      <c r="BSD129" s="212"/>
      <c r="BSE129" s="212"/>
      <c r="BSF129" s="212"/>
      <c r="BSG129" s="212"/>
      <c r="BSH129" s="212"/>
      <c r="BSI129" s="212"/>
      <c r="BSJ129" s="212"/>
      <c r="BSK129" s="212"/>
      <c r="BSL129" s="212"/>
      <c r="BSM129" s="212"/>
      <c r="BSN129" s="212"/>
      <c r="BSO129" s="212"/>
      <c r="BSP129" s="212"/>
      <c r="BSQ129" s="212"/>
      <c r="BSR129" s="212"/>
      <c r="BSS129" s="212"/>
      <c r="BST129" s="212"/>
      <c r="BSU129" s="212"/>
      <c r="BSV129" s="212"/>
      <c r="BSW129" s="212"/>
      <c r="BSX129" s="212"/>
      <c r="BSY129" s="212"/>
      <c r="BSZ129" s="212"/>
      <c r="BTA129" s="212"/>
      <c r="BTB129" s="212"/>
      <c r="BTC129" s="212"/>
      <c r="BTD129" s="212"/>
      <c r="BTE129" s="212"/>
      <c r="BTF129" s="212"/>
      <c r="BTG129" s="212"/>
      <c r="BTH129" s="212"/>
      <c r="BTI129" s="212"/>
      <c r="BTJ129" s="212"/>
      <c r="BTK129" s="212"/>
      <c r="BTL129" s="212"/>
      <c r="BTM129" s="212"/>
      <c r="BTN129" s="212"/>
      <c r="BTO129" s="212"/>
      <c r="BTP129" s="212"/>
      <c r="BTQ129" s="212"/>
      <c r="BTR129" s="212"/>
      <c r="BTS129" s="212"/>
      <c r="BTT129" s="212"/>
      <c r="BTU129" s="212"/>
      <c r="BTV129" s="212"/>
      <c r="BTW129" s="212"/>
      <c r="BTX129" s="212"/>
      <c r="BTY129" s="212"/>
      <c r="BTZ129" s="212"/>
      <c r="BUA129" s="212"/>
      <c r="BUB129" s="212"/>
      <c r="BUC129" s="212"/>
      <c r="BUD129" s="212"/>
      <c r="BUE129" s="212"/>
      <c r="BUF129" s="212"/>
      <c r="BUG129" s="212"/>
      <c r="BUH129" s="212"/>
      <c r="BUI129" s="212"/>
      <c r="BUJ129" s="212"/>
      <c r="BUK129" s="212"/>
      <c r="BUL129" s="212"/>
      <c r="BUM129" s="212"/>
      <c r="BUN129" s="212"/>
      <c r="BUO129" s="212"/>
      <c r="BUP129" s="212"/>
      <c r="BUQ129" s="212"/>
      <c r="BUR129" s="212"/>
      <c r="BUS129" s="212"/>
      <c r="BUT129" s="212"/>
      <c r="BUU129" s="212"/>
      <c r="BUV129" s="212"/>
      <c r="BUW129" s="212"/>
      <c r="BUX129" s="212"/>
      <c r="BUY129" s="212"/>
      <c r="BUZ129" s="212"/>
      <c r="BVA129" s="212"/>
      <c r="BVB129" s="212"/>
      <c r="BVC129" s="212"/>
      <c r="BVD129" s="212"/>
      <c r="BVE129" s="212"/>
      <c r="BVF129" s="212"/>
      <c r="BVG129" s="212"/>
      <c r="BVH129" s="212"/>
      <c r="BVI129" s="212"/>
      <c r="BVJ129" s="212"/>
      <c r="BVK129" s="212"/>
      <c r="BVL129" s="212"/>
      <c r="BVM129" s="212"/>
      <c r="BVN129" s="212"/>
      <c r="BVO129" s="212"/>
      <c r="BVP129" s="212"/>
      <c r="BVQ129" s="212"/>
      <c r="BVR129" s="212"/>
      <c r="BVS129" s="212"/>
      <c r="BVT129" s="212"/>
      <c r="BVU129" s="212"/>
      <c r="BVV129" s="212"/>
      <c r="BVW129" s="212"/>
      <c r="BVX129" s="212"/>
      <c r="BVY129" s="212"/>
      <c r="BVZ129" s="212"/>
      <c r="BWA129" s="212"/>
      <c r="BWB129" s="212"/>
      <c r="BWC129" s="212"/>
      <c r="BWD129" s="212"/>
      <c r="BWE129" s="212"/>
      <c r="BWF129" s="212"/>
      <c r="BWG129" s="212"/>
      <c r="BWH129" s="212"/>
      <c r="BWI129" s="212"/>
      <c r="BWJ129" s="212"/>
      <c r="BWK129" s="212"/>
      <c r="BWL129" s="212"/>
      <c r="BWM129" s="212"/>
      <c r="BWN129" s="212"/>
      <c r="BWO129" s="212"/>
      <c r="BWP129" s="212"/>
      <c r="BWQ129" s="212"/>
      <c r="BWR129" s="212"/>
      <c r="BWS129" s="212"/>
      <c r="BWT129" s="212"/>
      <c r="BWU129" s="212"/>
      <c r="BWV129" s="212"/>
      <c r="BWW129" s="212"/>
      <c r="BWX129" s="212"/>
      <c r="BWY129" s="212"/>
      <c r="BWZ129" s="212"/>
      <c r="BXA129" s="212"/>
      <c r="BXB129" s="212"/>
      <c r="BXC129" s="212"/>
      <c r="BXD129" s="212"/>
      <c r="BXE129" s="212"/>
      <c r="BXF129" s="212"/>
      <c r="BXG129" s="212"/>
      <c r="BXH129" s="212"/>
      <c r="BXI129" s="212"/>
      <c r="BXJ129" s="212"/>
      <c r="BXK129" s="212"/>
      <c r="BXL129" s="212"/>
      <c r="BXM129" s="212"/>
      <c r="BXN129" s="212"/>
      <c r="BXO129" s="212"/>
      <c r="BXP129" s="212"/>
      <c r="BXQ129" s="212"/>
      <c r="BXR129" s="212"/>
      <c r="BXS129" s="212"/>
      <c r="BXT129" s="212"/>
      <c r="BXU129" s="212"/>
      <c r="BXV129" s="212"/>
      <c r="BXW129" s="212"/>
      <c r="BXX129" s="212"/>
      <c r="BXY129" s="212"/>
      <c r="BXZ129" s="212"/>
      <c r="BYA129" s="212"/>
      <c r="BYB129" s="212"/>
      <c r="BYC129" s="212"/>
      <c r="BYD129" s="212"/>
      <c r="BYE129" s="212"/>
      <c r="BYF129" s="212"/>
      <c r="BYG129" s="212"/>
      <c r="BYH129" s="212"/>
      <c r="BYI129" s="212"/>
      <c r="BYJ129" s="212"/>
      <c r="BYK129" s="212"/>
      <c r="BYL129" s="212"/>
      <c r="BYM129" s="212"/>
      <c r="BYN129" s="212"/>
      <c r="BYO129" s="212"/>
      <c r="BYP129" s="212"/>
      <c r="BYQ129" s="212"/>
      <c r="BYR129" s="212"/>
      <c r="BYS129" s="212"/>
      <c r="BYT129" s="212"/>
      <c r="BYU129" s="212"/>
      <c r="BYV129" s="212"/>
      <c r="BYW129" s="212"/>
      <c r="BYX129" s="212"/>
      <c r="BYY129" s="212"/>
      <c r="BYZ129" s="212"/>
      <c r="BZA129" s="212"/>
      <c r="BZB129" s="212"/>
      <c r="BZC129" s="212"/>
      <c r="BZD129" s="212"/>
      <c r="BZE129" s="212"/>
      <c r="BZF129" s="212"/>
      <c r="BZG129" s="212"/>
      <c r="BZH129" s="212"/>
      <c r="BZI129" s="212"/>
      <c r="BZJ129" s="212"/>
      <c r="BZK129" s="212"/>
      <c r="BZL129" s="212"/>
      <c r="BZM129" s="212"/>
      <c r="BZN129" s="212"/>
      <c r="BZO129" s="212"/>
      <c r="BZP129" s="212"/>
      <c r="BZQ129" s="212"/>
      <c r="BZR129" s="212"/>
      <c r="BZS129" s="212"/>
      <c r="BZT129" s="212"/>
      <c r="BZU129" s="212"/>
      <c r="BZV129" s="212"/>
      <c r="BZW129" s="212"/>
      <c r="BZX129" s="212"/>
      <c r="BZY129" s="212"/>
      <c r="BZZ129" s="212"/>
      <c r="CAA129" s="212"/>
      <c r="CAB129" s="212"/>
      <c r="CAC129" s="212"/>
      <c r="CAD129" s="212"/>
      <c r="CAE129" s="212"/>
      <c r="CAF129" s="212"/>
      <c r="CAG129" s="212"/>
      <c r="CAH129" s="212"/>
      <c r="CAI129" s="212"/>
      <c r="CAJ129" s="212"/>
      <c r="CAK129" s="212"/>
      <c r="CAL129" s="212"/>
      <c r="CAM129" s="212"/>
      <c r="CAN129" s="212"/>
      <c r="CAO129" s="212"/>
      <c r="CAP129" s="212"/>
      <c r="CAQ129" s="212"/>
      <c r="CAR129" s="212"/>
      <c r="CAS129" s="212"/>
      <c r="CAT129" s="212"/>
      <c r="CAU129" s="212"/>
      <c r="CAV129" s="212"/>
      <c r="CAW129" s="212"/>
      <c r="CAX129" s="212"/>
      <c r="CAY129" s="212"/>
      <c r="CAZ129" s="212"/>
      <c r="CBA129" s="212"/>
      <c r="CBB129" s="212"/>
      <c r="CBC129" s="212"/>
      <c r="CBD129" s="212"/>
      <c r="CBE129" s="212"/>
      <c r="CBF129" s="212"/>
      <c r="CBG129" s="212"/>
      <c r="CBH129" s="212"/>
      <c r="CBI129" s="212"/>
      <c r="CBJ129" s="212"/>
      <c r="CBK129" s="212"/>
      <c r="CBL129" s="212"/>
      <c r="CBM129" s="212"/>
      <c r="CBN129" s="212"/>
      <c r="CBO129" s="212"/>
      <c r="CBP129" s="212"/>
      <c r="CBQ129" s="212"/>
      <c r="CBR129" s="212"/>
      <c r="CBS129" s="212"/>
      <c r="CBT129" s="212"/>
      <c r="CBU129" s="212"/>
      <c r="CBV129" s="212"/>
      <c r="CBW129" s="212"/>
      <c r="CBX129" s="212"/>
      <c r="CBY129" s="212"/>
      <c r="CBZ129" s="212"/>
      <c r="CCA129" s="212"/>
      <c r="CCB129" s="212"/>
      <c r="CCC129" s="212"/>
      <c r="CCD129" s="212"/>
      <c r="CCE129" s="212"/>
      <c r="CCF129" s="212"/>
      <c r="CCG129" s="212"/>
      <c r="CCH129" s="212"/>
      <c r="CCI129" s="212"/>
      <c r="CCJ129" s="212"/>
      <c r="CCK129" s="212"/>
      <c r="CCL129" s="212"/>
      <c r="CCM129" s="212"/>
      <c r="CCN129" s="212"/>
      <c r="CCO129" s="212"/>
      <c r="CCP129" s="212"/>
      <c r="CCQ129" s="212"/>
      <c r="CCR129" s="212"/>
      <c r="CCS129" s="212"/>
      <c r="CCT129" s="212"/>
      <c r="CCU129" s="212"/>
      <c r="CCV129" s="212"/>
      <c r="CCW129" s="212"/>
      <c r="CCX129" s="212"/>
      <c r="CCY129" s="212"/>
      <c r="CCZ129" s="212"/>
      <c r="CDA129" s="212"/>
      <c r="CDB129" s="212"/>
      <c r="CDC129" s="212"/>
      <c r="CDD129" s="212"/>
      <c r="CDE129" s="212"/>
      <c r="CDF129" s="212"/>
      <c r="CDG129" s="212"/>
      <c r="CDH129" s="212"/>
      <c r="CDI129" s="212"/>
      <c r="CDJ129" s="212"/>
      <c r="CDK129" s="212"/>
      <c r="CDL129" s="212"/>
      <c r="CDM129" s="212"/>
      <c r="CDN129" s="212"/>
      <c r="CDO129" s="212"/>
      <c r="CDP129" s="212"/>
      <c r="CDQ129" s="212"/>
      <c r="CDR129" s="212"/>
      <c r="CDS129" s="212"/>
      <c r="CDT129" s="212"/>
      <c r="CDU129" s="212"/>
      <c r="CDV129" s="212"/>
      <c r="CDW129" s="212"/>
      <c r="CDX129" s="212"/>
      <c r="CDY129" s="212"/>
      <c r="CDZ129" s="212"/>
      <c r="CEA129" s="212"/>
      <c r="CEB129" s="212"/>
      <c r="CEC129" s="212"/>
      <c r="CED129" s="212"/>
      <c r="CEE129" s="212"/>
      <c r="CEF129" s="212"/>
      <c r="CEG129" s="212"/>
      <c r="CEH129" s="212"/>
      <c r="CEI129" s="212"/>
      <c r="CEJ129" s="212"/>
      <c r="CEK129" s="212"/>
      <c r="CEL129" s="212"/>
      <c r="CEM129" s="212"/>
      <c r="CEN129" s="212"/>
      <c r="CEO129" s="212"/>
      <c r="CEP129" s="212"/>
      <c r="CEQ129" s="212"/>
      <c r="CER129" s="212"/>
      <c r="CES129" s="212"/>
      <c r="CET129" s="212"/>
      <c r="CEU129" s="212"/>
      <c r="CEV129" s="212"/>
      <c r="CEW129" s="212"/>
      <c r="CEX129" s="212"/>
      <c r="CEY129" s="212"/>
      <c r="CEZ129" s="212"/>
      <c r="CFA129" s="212"/>
      <c r="CFB129" s="212"/>
      <c r="CFC129" s="212"/>
      <c r="CFD129" s="212"/>
      <c r="CFE129" s="212"/>
      <c r="CFF129" s="212"/>
      <c r="CFG129" s="212"/>
      <c r="CFH129" s="212"/>
      <c r="CFI129" s="212"/>
      <c r="CFJ129" s="212"/>
      <c r="CFK129" s="212"/>
      <c r="CFL129" s="212"/>
      <c r="CFM129" s="212"/>
      <c r="CFN129" s="212"/>
      <c r="CFO129" s="212"/>
      <c r="CFP129" s="212"/>
      <c r="CFQ129" s="212"/>
      <c r="CFR129" s="212"/>
      <c r="CFS129" s="212"/>
      <c r="CFT129" s="212"/>
      <c r="CFU129" s="212"/>
      <c r="CFV129" s="212"/>
      <c r="CFW129" s="212"/>
      <c r="CFX129" s="212"/>
      <c r="CFY129" s="212"/>
      <c r="CFZ129" s="212"/>
      <c r="CGA129" s="212"/>
      <c r="CGB129" s="212"/>
      <c r="CGC129" s="212"/>
      <c r="CGD129" s="212"/>
      <c r="CGE129" s="212"/>
      <c r="CGF129" s="212"/>
      <c r="CGG129" s="212"/>
      <c r="CGH129" s="212"/>
      <c r="CGI129" s="212"/>
      <c r="CGJ129" s="212"/>
      <c r="CGK129" s="212"/>
      <c r="CGL129" s="212"/>
      <c r="CGM129" s="212"/>
      <c r="CGN129" s="212"/>
      <c r="CGO129" s="212"/>
      <c r="CGP129" s="212"/>
      <c r="CGQ129" s="212"/>
      <c r="CGR129" s="212"/>
      <c r="CGS129" s="212"/>
      <c r="CGT129" s="212"/>
      <c r="CGU129" s="212"/>
      <c r="CGV129" s="212"/>
      <c r="CGW129" s="212"/>
      <c r="CGX129" s="212"/>
      <c r="CGY129" s="212"/>
      <c r="CGZ129" s="212"/>
      <c r="CHA129" s="212"/>
      <c r="CHB129" s="212"/>
      <c r="CHC129" s="212"/>
      <c r="CHD129" s="212"/>
      <c r="CHE129" s="212"/>
      <c r="CHF129" s="212"/>
      <c r="CHG129" s="212"/>
      <c r="CHH129" s="212"/>
      <c r="CHI129" s="212"/>
      <c r="CHJ129" s="212"/>
      <c r="CHK129" s="212"/>
      <c r="CHL129" s="212"/>
      <c r="CHM129" s="212"/>
      <c r="CHN129" s="212"/>
      <c r="CHO129" s="212"/>
      <c r="CHP129" s="212"/>
      <c r="CHQ129" s="212"/>
      <c r="CHR129" s="212"/>
      <c r="CHS129" s="212"/>
      <c r="CHT129" s="212"/>
      <c r="CHU129" s="212"/>
      <c r="CHV129" s="212"/>
      <c r="CHW129" s="212"/>
      <c r="CHX129" s="212"/>
      <c r="CHY129" s="212"/>
      <c r="CHZ129" s="212"/>
      <c r="CIA129" s="212"/>
      <c r="CIB129" s="212"/>
      <c r="CIC129" s="212"/>
      <c r="CID129" s="212"/>
      <c r="CIE129" s="212"/>
      <c r="CIF129" s="212"/>
      <c r="CIG129" s="212"/>
      <c r="CIH129" s="212"/>
      <c r="CII129" s="212"/>
      <c r="CIJ129" s="212"/>
      <c r="CIK129" s="212"/>
      <c r="CIL129" s="212"/>
      <c r="CIM129" s="212"/>
      <c r="CIN129" s="212"/>
      <c r="CIO129" s="212"/>
      <c r="CIP129" s="212"/>
      <c r="CIQ129" s="212"/>
      <c r="CIR129" s="212"/>
      <c r="CIS129" s="212"/>
      <c r="CIT129" s="212"/>
      <c r="CIU129" s="212"/>
      <c r="CIV129" s="212"/>
      <c r="CIW129" s="212"/>
      <c r="CIX129" s="212"/>
      <c r="CIY129" s="212"/>
      <c r="CIZ129" s="212"/>
      <c r="CJA129" s="212"/>
      <c r="CJB129" s="212"/>
      <c r="CJC129" s="212"/>
      <c r="CJD129" s="212"/>
      <c r="CJE129" s="212"/>
      <c r="CJF129" s="212"/>
      <c r="CJG129" s="212"/>
      <c r="CJH129" s="212"/>
      <c r="CJI129" s="212"/>
      <c r="CJJ129" s="212"/>
      <c r="CJK129" s="212"/>
      <c r="CJL129" s="212"/>
      <c r="CJM129" s="212"/>
      <c r="CJN129" s="212"/>
      <c r="CJO129" s="212"/>
      <c r="CJP129" s="212"/>
      <c r="CJQ129" s="212"/>
      <c r="CJR129" s="212"/>
      <c r="CJS129" s="212"/>
      <c r="CJT129" s="212"/>
      <c r="CJU129" s="212"/>
      <c r="CJV129" s="212"/>
      <c r="CJW129" s="212"/>
      <c r="CJX129" s="212"/>
      <c r="CJY129" s="212"/>
      <c r="CJZ129" s="212"/>
      <c r="CKA129" s="212"/>
      <c r="CKB129" s="212"/>
      <c r="CKC129" s="212"/>
      <c r="CKD129" s="212"/>
      <c r="CKE129" s="212"/>
      <c r="CKF129" s="212"/>
      <c r="CKG129" s="212"/>
      <c r="CKH129" s="212"/>
      <c r="CKI129" s="212"/>
      <c r="CKJ129" s="212"/>
      <c r="CKK129" s="212"/>
      <c r="CKL129" s="212"/>
      <c r="CKM129" s="212"/>
      <c r="CKN129" s="212"/>
      <c r="CKO129" s="212"/>
      <c r="CKP129" s="212"/>
      <c r="CKQ129" s="212"/>
      <c r="CKR129" s="212"/>
      <c r="CKS129" s="212"/>
      <c r="CKT129" s="212"/>
      <c r="CKU129" s="212"/>
      <c r="CKV129" s="212"/>
      <c r="CKW129" s="212"/>
      <c r="CKX129" s="212"/>
      <c r="CKY129" s="212"/>
      <c r="CKZ129" s="212"/>
      <c r="CLA129" s="212"/>
      <c r="CLB129" s="212"/>
      <c r="CLC129" s="212"/>
      <c r="CLD129" s="212"/>
      <c r="CLE129" s="212"/>
      <c r="CLF129" s="212"/>
      <c r="CLG129" s="212"/>
      <c r="CLH129" s="212"/>
      <c r="CLI129" s="212"/>
      <c r="CLJ129" s="212"/>
      <c r="CLK129" s="212"/>
      <c r="CLL129" s="212"/>
      <c r="CLM129" s="212"/>
      <c r="CLN129" s="212"/>
      <c r="CLO129" s="212"/>
      <c r="CLP129" s="212"/>
      <c r="CLQ129" s="212"/>
      <c r="CLR129" s="212"/>
      <c r="CLS129" s="212"/>
      <c r="CLT129" s="212"/>
      <c r="CLU129" s="212"/>
      <c r="CLV129" s="212"/>
      <c r="CLW129" s="212"/>
      <c r="CLX129" s="212"/>
      <c r="CLY129" s="212"/>
      <c r="CLZ129" s="212"/>
      <c r="CMA129" s="212"/>
      <c r="CMB129" s="212"/>
      <c r="CMC129" s="212"/>
      <c r="CMD129" s="212"/>
      <c r="CME129" s="212"/>
      <c r="CMF129" s="212"/>
      <c r="CMG129" s="212"/>
      <c r="CMH129" s="212"/>
      <c r="CMI129" s="212"/>
      <c r="CMJ129" s="212"/>
      <c r="CMK129" s="212"/>
      <c r="CML129" s="212"/>
      <c r="CMM129" s="212"/>
      <c r="CMN129" s="212"/>
      <c r="CMO129" s="212"/>
      <c r="CMP129" s="212"/>
      <c r="CMQ129" s="212"/>
      <c r="CMR129" s="212"/>
      <c r="CMS129" s="212"/>
      <c r="CMT129" s="212"/>
      <c r="CMU129" s="212"/>
      <c r="CMV129" s="212"/>
      <c r="CMW129" s="212"/>
      <c r="CMX129" s="212"/>
      <c r="CMY129" s="212"/>
      <c r="CMZ129" s="212"/>
      <c r="CNA129" s="212"/>
      <c r="CNB129" s="212"/>
      <c r="CNC129" s="212"/>
      <c r="CND129" s="212"/>
      <c r="CNE129" s="212"/>
      <c r="CNF129" s="212"/>
      <c r="CNG129" s="212"/>
      <c r="CNH129" s="212"/>
      <c r="CNI129" s="212"/>
      <c r="CNJ129" s="212"/>
      <c r="CNK129" s="212"/>
      <c r="CNL129" s="212"/>
      <c r="CNM129" s="212"/>
      <c r="CNN129" s="212"/>
      <c r="CNO129" s="212"/>
      <c r="CNP129" s="212"/>
      <c r="CNQ129" s="212"/>
      <c r="CNR129" s="212"/>
      <c r="CNS129" s="212"/>
      <c r="CNT129" s="212"/>
      <c r="CNU129" s="212"/>
      <c r="CNV129" s="212"/>
      <c r="CNW129" s="212"/>
      <c r="CNX129" s="212"/>
      <c r="CNY129" s="212"/>
      <c r="CNZ129" s="212"/>
      <c r="COA129" s="212"/>
      <c r="COB129" s="212"/>
      <c r="COC129" s="212"/>
      <c r="COD129" s="212"/>
      <c r="COE129" s="212"/>
      <c r="COF129" s="212"/>
      <c r="COG129" s="212"/>
      <c r="COH129" s="212"/>
      <c r="COI129" s="212"/>
      <c r="COJ129" s="212"/>
      <c r="COK129" s="212"/>
      <c r="COL129" s="212"/>
      <c r="COM129" s="212"/>
      <c r="CON129" s="212"/>
      <c r="COO129" s="212"/>
      <c r="COP129" s="212"/>
      <c r="COQ129" s="212"/>
      <c r="COR129" s="212"/>
      <c r="COS129" s="212"/>
      <c r="COT129" s="212"/>
      <c r="COU129" s="212"/>
      <c r="COV129" s="212"/>
      <c r="COW129" s="212"/>
      <c r="COX129" s="212"/>
      <c r="COY129" s="212"/>
      <c r="COZ129" s="212"/>
      <c r="CPA129" s="212"/>
      <c r="CPB129" s="212"/>
      <c r="CPC129" s="212"/>
      <c r="CPD129" s="212"/>
      <c r="CPE129" s="212"/>
      <c r="CPF129" s="212"/>
      <c r="CPG129" s="212"/>
      <c r="CPH129" s="212"/>
      <c r="CPI129" s="212"/>
      <c r="CPJ129" s="212"/>
      <c r="CPK129" s="212"/>
      <c r="CPL129" s="212"/>
      <c r="CPM129" s="212"/>
      <c r="CPN129" s="212"/>
      <c r="CPO129" s="212"/>
      <c r="CPP129" s="212"/>
      <c r="CPQ129" s="212"/>
      <c r="CPR129" s="212"/>
      <c r="CPS129" s="212"/>
      <c r="CPT129" s="212"/>
      <c r="CPU129" s="212"/>
      <c r="CPV129" s="212"/>
      <c r="CPW129" s="212"/>
      <c r="CPX129" s="212"/>
      <c r="CPY129" s="212"/>
      <c r="CPZ129" s="212"/>
      <c r="CQA129" s="212"/>
      <c r="CQB129" s="212"/>
      <c r="CQC129" s="212"/>
      <c r="CQD129" s="212"/>
      <c r="CQE129" s="212"/>
      <c r="CQF129" s="212"/>
      <c r="CQG129" s="212"/>
      <c r="CQH129" s="212"/>
      <c r="CQI129" s="212"/>
      <c r="CQJ129" s="212"/>
      <c r="CQK129" s="212"/>
      <c r="CQL129" s="212"/>
      <c r="CQM129" s="212"/>
      <c r="CQN129" s="212"/>
      <c r="CQO129" s="212"/>
      <c r="CQP129" s="212"/>
      <c r="CQQ129" s="212"/>
      <c r="CQR129" s="212"/>
      <c r="CQS129" s="212"/>
      <c r="CQT129" s="212"/>
      <c r="CQU129" s="212"/>
      <c r="CQV129" s="212"/>
      <c r="CQW129" s="212"/>
      <c r="CQX129" s="212"/>
      <c r="CQY129" s="212"/>
      <c r="CQZ129" s="212"/>
      <c r="CRA129" s="212"/>
      <c r="CRB129" s="212"/>
      <c r="CRC129" s="212"/>
      <c r="CRD129" s="212"/>
      <c r="CRE129" s="212"/>
      <c r="CRF129" s="212"/>
      <c r="CRG129" s="212"/>
      <c r="CRH129" s="212"/>
      <c r="CRI129" s="212"/>
      <c r="CRJ129" s="212"/>
      <c r="CRK129" s="212"/>
      <c r="CRL129" s="212"/>
      <c r="CRM129" s="212"/>
      <c r="CRN129" s="212"/>
      <c r="CRO129" s="212"/>
      <c r="CRP129" s="212"/>
      <c r="CRQ129" s="212"/>
      <c r="CRR129" s="212"/>
      <c r="CRS129" s="212"/>
      <c r="CRT129" s="212"/>
      <c r="CRU129" s="212"/>
      <c r="CRV129" s="212"/>
      <c r="CRW129" s="212"/>
      <c r="CRX129" s="212"/>
      <c r="CRY129" s="212"/>
      <c r="CRZ129" s="212"/>
      <c r="CSA129" s="212"/>
      <c r="CSB129" s="212"/>
      <c r="CSC129" s="212"/>
      <c r="CSD129" s="212"/>
      <c r="CSE129" s="212"/>
      <c r="CSF129" s="212"/>
      <c r="CSG129" s="212"/>
      <c r="CSH129" s="212"/>
      <c r="CSI129" s="212"/>
      <c r="CSJ129" s="212"/>
      <c r="CSK129" s="212"/>
      <c r="CSL129" s="212"/>
      <c r="CSM129" s="212"/>
      <c r="CSN129" s="212"/>
      <c r="CSO129" s="212"/>
      <c r="CSP129" s="212"/>
      <c r="CSQ129" s="212"/>
      <c r="CSR129" s="212"/>
      <c r="CSS129" s="212"/>
      <c r="CST129" s="212"/>
      <c r="CSU129" s="212"/>
      <c r="CSV129" s="212"/>
      <c r="CSW129" s="212"/>
      <c r="CSX129" s="212"/>
      <c r="CSY129" s="212"/>
      <c r="CSZ129" s="212"/>
      <c r="CTA129" s="212"/>
      <c r="CTB129" s="212"/>
      <c r="CTC129" s="212"/>
      <c r="CTD129" s="212"/>
      <c r="CTE129" s="212"/>
      <c r="CTF129" s="212"/>
      <c r="CTG129" s="212"/>
      <c r="CTH129" s="212"/>
      <c r="CTI129" s="212"/>
      <c r="CTJ129" s="212"/>
      <c r="CTK129" s="212"/>
      <c r="CTL129" s="212"/>
      <c r="CTM129" s="212"/>
      <c r="CTN129" s="212"/>
      <c r="CTO129" s="212"/>
      <c r="CTP129" s="212"/>
      <c r="CTQ129" s="212"/>
      <c r="CTR129" s="212"/>
      <c r="CTS129" s="212"/>
      <c r="CTT129" s="212"/>
      <c r="CTU129" s="212"/>
      <c r="CTV129" s="212"/>
      <c r="CTW129" s="212"/>
      <c r="CTX129" s="212"/>
      <c r="CTY129" s="212"/>
      <c r="CTZ129" s="212"/>
      <c r="CUA129" s="212"/>
      <c r="CUB129" s="212"/>
      <c r="CUC129" s="212"/>
      <c r="CUD129" s="212"/>
      <c r="CUE129" s="212"/>
      <c r="CUF129" s="212"/>
      <c r="CUG129" s="212"/>
      <c r="CUH129" s="212"/>
      <c r="CUI129" s="212"/>
      <c r="CUJ129" s="212"/>
      <c r="CUK129" s="212"/>
      <c r="CUL129" s="212"/>
      <c r="CUM129" s="212"/>
      <c r="CUN129" s="212"/>
      <c r="CUO129" s="212"/>
      <c r="CUP129" s="212"/>
      <c r="CUQ129" s="212"/>
      <c r="CUR129" s="212"/>
      <c r="CUS129" s="212"/>
      <c r="CUT129" s="212"/>
      <c r="CUU129" s="212"/>
      <c r="CUV129" s="212"/>
      <c r="CUW129" s="212"/>
      <c r="CUX129" s="212"/>
      <c r="CUY129" s="212"/>
      <c r="CUZ129" s="212"/>
      <c r="CVA129" s="212"/>
      <c r="CVB129" s="212"/>
      <c r="CVC129" s="212"/>
      <c r="CVD129" s="212"/>
      <c r="CVE129" s="212"/>
      <c r="CVF129" s="212"/>
      <c r="CVG129" s="212"/>
      <c r="CVH129" s="212"/>
      <c r="CVI129" s="212"/>
      <c r="CVJ129" s="212"/>
      <c r="CVK129" s="212"/>
      <c r="CVL129" s="212"/>
      <c r="CVM129" s="212"/>
      <c r="CVN129" s="212"/>
      <c r="CVO129" s="212"/>
      <c r="CVP129" s="212"/>
      <c r="CVQ129" s="212"/>
      <c r="CVR129" s="212"/>
      <c r="CVS129" s="212"/>
      <c r="CVT129" s="212"/>
      <c r="CVU129" s="212"/>
      <c r="CVV129" s="212"/>
      <c r="CVW129" s="212"/>
      <c r="CVX129" s="212"/>
      <c r="CVY129" s="212"/>
      <c r="CVZ129" s="212"/>
      <c r="CWA129" s="212"/>
      <c r="CWB129" s="212"/>
      <c r="CWC129" s="212"/>
      <c r="CWD129" s="212"/>
      <c r="CWE129" s="212"/>
      <c r="CWF129" s="212"/>
      <c r="CWG129" s="212"/>
      <c r="CWH129" s="212"/>
      <c r="CWI129" s="212"/>
      <c r="CWJ129" s="212"/>
      <c r="CWK129" s="212"/>
      <c r="CWL129" s="212"/>
      <c r="CWM129" s="212"/>
      <c r="CWN129" s="212"/>
      <c r="CWO129" s="212"/>
      <c r="CWP129" s="212"/>
      <c r="CWQ129" s="212"/>
      <c r="CWR129" s="212"/>
      <c r="CWS129" s="212"/>
      <c r="CWT129" s="212"/>
      <c r="CWU129" s="212"/>
      <c r="CWV129" s="212"/>
      <c r="CWW129" s="212"/>
      <c r="CWX129" s="212"/>
      <c r="CWY129" s="212"/>
      <c r="CWZ129" s="212"/>
      <c r="CXA129" s="212"/>
      <c r="CXB129" s="212"/>
      <c r="CXC129" s="212"/>
      <c r="CXD129" s="212"/>
      <c r="CXE129" s="212"/>
      <c r="CXF129" s="212"/>
      <c r="CXG129" s="212"/>
      <c r="CXH129" s="212"/>
      <c r="CXI129" s="212"/>
      <c r="CXJ129" s="212"/>
      <c r="CXK129" s="212"/>
      <c r="CXL129" s="212"/>
      <c r="CXM129" s="212"/>
      <c r="CXN129" s="212"/>
      <c r="CXO129" s="212"/>
      <c r="CXP129" s="212"/>
      <c r="CXQ129" s="212"/>
      <c r="CXR129" s="212"/>
      <c r="CXS129" s="212"/>
      <c r="CXT129" s="212"/>
      <c r="CXU129" s="212"/>
      <c r="CXV129" s="212"/>
      <c r="CXW129" s="212"/>
      <c r="CXX129" s="212"/>
      <c r="CXY129" s="212"/>
      <c r="CXZ129" s="212"/>
      <c r="CYA129" s="212"/>
      <c r="CYB129" s="212"/>
      <c r="CYC129" s="212"/>
      <c r="CYD129" s="212"/>
      <c r="CYE129" s="212"/>
      <c r="CYF129" s="212"/>
      <c r="CYG129" s="212"/>
      <c r="CYH129" s="212"/>
      <c r="CYI129" s="212"/>
      <c r="CYJ129" s="212"/>
      <c r="CYK129" s="212"/>
      <c r="CYL129" s="212"/>
      <c r="CYM129" s="212"/>
      <c r="CYN129" s="212"/>
      <c r="CYO129" s="212"/>
      <c r="CYP129" s="212"/>
      <c r="CYQ129" s="212"/>
      <c r="CYR129" s="212"/>
      <c r="CYS129" s="212"/>
      <c r="CYT129" s="212"/>
      <c r="CYU129" s="212"/>
      <c r="CYV129" s="212"/>
      <c r="CYW129" s="212"/>
      <c r="CYX129" s="212"/>
      <c r="CYY129" s="212"/>
      <c r="CYZ129" s="212"/>
      <c r="CZA129" s="212"/>
      <c r="CZB129" s="212"/>
      <c r="CZC129" s="212"/>
      <c r="CZD129" s="212"/>
      <c r="CZE129" s="212"/>
      <c r="CZF129" s="212"/>
      <c r="CZG129" s="212"/>
      <c r="CZH129" s="212"/>
      <c r="CZI129" s="212"/>
      <c r="CZJ129" s="212"/>
      <c r="CZK129" s="212"/>
      <c r="CZL129" s="212"/>
      <c r="CZM129" s="212"/>
      <c r="CZN129" s="212"/>
      <c r="CZO129" s="212"/>
      <c r="CZP129" s="212"/>
      <c r="CZQ129" s="212"/>
      <c r="CZR129" s="212"/>
      <c r="CZS129" s="212"/>
      <c r="CZT129" s="212"/>
      <c r="CZU129" s="212"/>
      <c r="CZV129" s="212"/>
      <c r="CZW129" s="212"/>
      <c r="CZX129" s="212"/>
      <c r="CZY129" s="212"/>
      <c r="CZZ129" s="212"/>
      <c r="DAA129" s="212"/>
      <c r="DAB129" s="212"/>
      <c r="DAC129" s="212"/>
      <c r="DAD129" s="212"/>
      <c r="DAE129" s="212"/>
      <c r="DAF129" s="212"/>
      <c r="DAG129" s="212"/>
      <c r="DAH129" s="212"/>
      <c r="DAI129" s="212"/>
      <c r="DAJ129" s="212"/>
      <c r="DAK129" s="212"/>
      <c r="DAL129" s="212"/>
      <c r="DAM129" s="212"/>
      <c r="DAN129" s="212"/>
      <c r="DAO129" s="212"/>
      <c r="DAP129" s="212"/>
      <c r="DAQ129" s="212"/>
      <c r="DAR129" s="212"/>
      <c r="DAS129" s="212"/>
      <c r="DAT129" s="212"/>
      <c r="DAU129" s="212"/>
      <c r="DAV129" s="212"/>
      <c r="DAW129" s="212"/>
      <c r="DAX129" s="212"/>
      <c r="DAY129" s="212"/>
      <c r="DAZ129" s="212"/>
      <c r="DBA129" s="212"/>
      <c r="DBB129" s="212"/>
      <c r="DBC129" s="212"/>
      <c r="DBD129" s="212"/>
      <c r="DBE129" s="212"/>
      <c r="DBF129" s="212"/>
      <c r="DBG129" s="212"/>
      <c r="DBH129" s="212"/>
      <c r="DBI129" s="212"/>
      <c r="DBJ129" s="212"/>
      <c r="DBK129" s="212"/>
      <c r="DBL129" s="212"/>
      <c r="DBM129" s="212"/>
      <c r="DBN129" s="212"/>
      <c r="DBO129" s="212"/>
      <c r="DBP129" s="212"/>
      <c r="DBQ129" s="212"/>
      <c r="DBR129" s="212"/>
      <c r="DBS129" s="212"/>
      <c r="DBT129" s="212"/>
      <c r="DBU129" s="212"/>
      <c r="DBV129" s="212"/>
      <c r="DBW129" s="212"/>
      <c r="DBX129" s="212"/>
      <c r="DBY129" s="212"/>
      <c r="DBZ129" s="212"/>
      <c r="DCA129" s="212"/>
      <c r="DCB129" s="212"/>
      <c r="DCC129" s="212"/>
      <c r="DCD129" s="212"/>
      <c r="DCE129" s="212"/>
      <c r="DCF129" s="212"/>
      <c r="DCG129" s="212"/>
      <c r="DCH129" s="212"/>
      <c r="DCI129" s="212"/>
      <c r="DCJ129" s="212"/>
      <c r="DCK129" s="212"/>
      <c r="DCL129" s="212"/>
      <c r="DCM129" s="212"/>
      <c r="DCN129" s="212"/>
      <c r="DCO129" s="212"/>
      <c r="DCP129" s="212"/>
      <c r="DCQ129" s="212"/>
      <c r="DCR129" s="212"/>
      <c r="DCS129" s="212"/>
      <c r="DCT129" s="212"/>
      <c r="DCU129" s="212"/>
      <c r="DCV129" s="212"/>
      <c r="DCW129" s="212"/>
      <c r="DCX129" s="212"/>
      <c r="DCY129" s="212"/>
      <c r="DCZ129" s="212"/>
      <c r="DDA129" s="212"/>
      <c r="DDB129" s="212"/>
      <c r="DDC129" s="212"/>
      <c r="DDD129" s="212"/>
      <c r="DDE129" s="212"/>
      <c r="DDF129" s="212"/>
      <c r="DDG129" s="212"/>
      <c r="DDH129" s="212"/>
      <c r="DDI129" s="212"/>
      <c r="DDJ129" s="212"/>
      <c r="DDK129" s="212"/>
      <c r="DDL129" s="212"/>
      <c r="DDM129" s="212"/>
      <c r="DDN129" s="212"/>
      <c r="DDO129" s="212"/>
      <c r="DDP129" s="212"/>
      <c r="DDQ129" s="212"/>
      <c r="DDR129" s="212"/>
      <c r="DDS129" s="212"/>
      <c r="DDT129" s="212"/>
      <c r="DDU129" s="212"/>
      <c r="DDV129" s="212"/>
      <c r="DDW129" s="212"/>
      <c r="DDX129" s="212"/>
      <c r="DDY129" s="212"/>
      <c r="DDZ129" s="212"/>
      <c r="DEA129" s="212"/>
      <c r="DEB129" s="212"/>
      <c r="DEC129" s="212"/>
      <c r="DED129" s="212"/>
      <c r="DEE129" s="212"/>
      <c r="DEF129" s="212"/>
      <c r="DEG129" s="212"/>
      <c r="DEH129" s="212"/>
      <c r="DEI129" s="212"/>
      <c r="DEJ129" s="212"/>
      <c r="DEK129" s="212"/>
      <c r="DEL129" s="212"/>
      <c r="DEM129" s="212"/>
      <c r="DEN129" s="212"/>
      <c r="DEO129" s="212"/>
      <c r="DEP129" s="212"/>
      <c r="DEQ129" s="212"/>
      <c r="DER129" s="212"/>
      <c r="DES129" s="212"/>
      <c r="DET129" s="212"/>
      <c r="DEU129" s="212"/>
      <c r="DEV129" s="212"/>
      <c r="DEW129" s="212"/>
      <c r="DEX129" s="212"/>
      <c r="DEY129" s="212"/>
      <c r="DEZ129" s="212"/>
      <c r="DFA129" s="212"/>
      <c r="DFB129" s="212"/>
      <c r="DFC129" s="212"/>
      <c r="DFD129" s="212"/>
      <c r="DFE129" s="212"/>
      <c r="DFF129" s="212"/>
      <c r="DFG129" s="212"/>
      <c r="DFH129" s="212"/>
      <c r="DFI129" s="212"/>
      <c r="DFJ129" s="212"/>
      <c r="DFK129" s="212"/>
      <c r="DFL129" s="212"/>
      <c r="DFM129" s="212"/>
      <c r="DFN129" s="212"/>
      <c r="DFO129" s="212"/>
      <c r="DFP129" s="212"/>
      <c r="DFQ129" s="212"/>
      <c r="DFR129" s="212"/>
      <c r="DFS129" s="212"/>
      <c r="DFT129" s="212"/>
      <c r="DFU129" s="212"/>
      <c r="DFV129" s="212"/>
      <c r="DFW129" s="212"/>
      <c r="DFX129" s="212"/>
      <c r="DFY129" s="212"/>
      <c r="DFZ129" s="212"/>
      <c r="DGA129" s="212"/>
      <c r="DGB129" s="212"/>
      <c r="DGC129" s="212"/>
      <c r="DGD129" s="212"/>
      <c r="DGE129" s="212"/>
      <c r="DGF129" s="212"/>
      <c r="DGG129" s="212"/>
      <c r="DGH129" s="212"/>
      <c r="DGI129" s="212"/>
      <c r="DGJ129" s="212"/>
      <c r="DGK129" s="212"/>
      <c r="DGL129" s="212"/>
      <c r="DGM129" s="212"/>
      <c r="DGN129" s="212"/>
      <c r="DGO129" s="212"/>
      <c r="DGP129" s="212"/>
      <c r="DGQ129" s="212"/>
      <c r="DGR129" s="212"/>
      <c r="DGS129" s="212"/>
      <c r="DGT129" s="212"/>
      <c r="DGU129" s="212"/>
      <c r="DGV129" s="212"/>
      <c r="DGW129" s="212"/>
      <c r="DGX129" s="212"/>
      <c r="DGY129" s="212"/>
      <c r="DGZ129" s="212"/>
      <c r="DHA129" s="212"/>
      <c r="DHB129" s="212"/>
      <c r="DHC129" s="212"/>
      <c r="DHD129" s="212"/>
      <c r="DHE129" s="212"/>
      <c r="DHF129" s="212"/>
      <c r="DHG129" s="212"/>
      <c r="DHH129" s="212"/>
      <c r="DHI129" s="212"/>
      <c r="DHJ129" s="212"/>
      <c r="DHK129" s="212"/>
      <c r="DHL129" s="212"/>
      <c r="DHM129" s="212"/>
      <c r="DHN129" s="212"/>
      <c r="DHO129" s="212"/>
      <c r="DHP129" s="212"/>
      <c r="DHQ129" s="212"/>
      <c r="DHR129" s="212"/>
      <c r="DHS129" s="212"/>
      <c r="DHT129" s="212"/>
      <c r="DHU129" s="212"/>
      <c r="DHV129" s="212"/>
      <c r="DHW129" s="212"/>
      <c r="DHX129" s="212"/>
      <c r="DHY129" s="212"/>
      <c r="DHZ129" s="212"/>
      <c r="DIA129" s="212"/>
      <c r="DIB129" s="212"/>
      <c r="DIC129" s="212"/>
      <c r="DID129" s="212"/>
      <c r="DIE129" s="212"/>
      <c r="DIF129" s="212"/>
      <c r="DIG129" s="212"/>
      <c r="DIH129" s="212"/>
      <c r="DII129" s="212"/>
      <c r="DIJ129" s="212"/>
      <c r="DIK129" s="212"/>
      <c r="DIL129" s="212"/>
      <c r="DIM129" s="212"/>
      <c r="DIN129" s="212"/>
      <c r="DIO129" s="212"/>
      <c r="DIP129" s="212"/>
      <c r="DIQ129" s="212"/>
      <c r="DIR129" s="212"/>
      <c r="DIS129" s="212"/>
      <c r="DIT129" s="212"/>
      <c r="DIU129" s="212"/>
      <c r="DIV129" s="212"/>
      <c r="DIW129" s="212"/>
      <c r="DIX129" s="212"/>
      <c r="DIY129" s="212"/>
      <c r="DIZ129" s="212"/>
      <c r="DJA129" s="212"/>
      <c r="DJB129" s="212"/>
      <c r="DJC129" s="212"/>
      <c r="DJD129" s="212"/>
      <c r="DJE129" s="212"/>
      <c r="DJF129" s="212"/>
      <c r="DJG129" s="212"/>
      <c r="DJH129" s="212"/>
      <c r="DJI129" s="212"/>
      <c r="DJJ129" s="212"/>
      <c r="DJK129" s="212"/>
      <c r="DJL129" s="212"/>
      <c r="DJM129" s="212"/>
      <c r="DJN129" s="212"/>
      <c r="DJO129" s="212"/>
      <c r="DJP129" s="212"/>
      <c r="DJQ129" s="212"/>
      <c r="DJR129" s="212"/>
      <c r="DJS129" s="212"/>
      <c r="DJT129" s="212"/>
      <c r="DJU129" s="212"/>
      <c r="DJV129" s="212"/>
      <c r="DJW129" s="212"/>
      <c r="DJX129" s="212"/>
      <c r="DJY129" s="212"/>
      <c r="DJZ129" s="212"/>
      <c r="DKA129" s="212"/>
      <c r="DKB129" s="212"/>
      <c r="DKC129" s="212"/>
      <c r="DKD129" s="212"/>
      <c r="DKE129" s="212"/>
      <c r="DKF129" s="212"/>
      <c r="DKG129" s="212"/>
      <c r="DKH129" s="212"/>
      <c r="DKI129" s="212"/>
      <c r="DKJ129" s="212"/>
      <c r="DKK129" s="212"/>
      <c r="DKL129" s="212"/>
      <c r="DKM129" s="212"/>
      <c r="DKN129" s="212"/>
      <c r="DKO129" s="212"/>
      <c r="DKP129" s="212"/>
      <c r="DKQ129" s="212"/>
      <c r="DKR129" s="212"/>
      <c r="DKS129" s="212"/>
      <c r="DKT129" s="212"/>
      <c r="DKU129" s="212"/>
      <c r="DKV129" s="212"/>
      <c r="DKW129" s="212"/>
      <c r="DKX129" s="212"/>
      <c r="DKY129" s="212"/>
      <c r="DKZ129" s="212"/>
      <c r="DLA129" s="212"/>
      <c r="DLB129" s="212"/>
      <c r="DLC129" s="212"/>
      <c r="DLD129" s="212"/>
      <c r="DLE129" s="212"/>
      <c r="DLF129" s="212"/>
      <c r="DLG129" s="212"/>
      <c r="DLH129" s="212"/>
      <c r="DLI129" s="212"/>
      <c r="DLJ129" s="212"/>
      <c r="DLK129" s="212"/>
      <c r="DLL129" s="212"/>
      <c r="DLM129" s="212"/>
      <c r="DLN129" s="212"/>
      <c r="DLO129" s="212"/>
      <c r="DLP129" s="212"/>
      <c r="DLQ129" s="212"/>
      <c r="DLR129" s="212"/>
      <c r="DLS129" s="212"/>
      <c r="DLT129" s="212"/>
      <c r="DLU129" s="212"/>
      <c r="DLV129" s="212"/>
      <c r="DLW129" s="212"/>
      <c r="DLX129" s="212"/>
      <c r="DLY129" s="212"/>
      <c r="DLZ129" s="212"/>
      <c r="DMA129" s="212"/>
      <c r="DMB129" s="212"/>
      <c r="DMC129" s="212"/>
      <c r="DMD129" s="212"/>
      <c r="DME129" s="212"/>
      <c r="DMF129" s="212"/>
      <c r="DMG129" s="212"/>
      <c r="DMH129" s="212"/>
      <c r="DMI129" s="212"/>
      <c r="DMJ129" s="212"/>
      <c r="DMK129" s="212"/>
      <c r="DML129" s="212"/>
      <c r="DMM129" s="212"/>
      <c r="DMN129" s="212"/>
      <c r="DMO129" s="212"/>
      <c r="DMP129" s="212"/>
      <c r="DMQ129" s="212"/>
      <c r="DMR129" s="212"/>
      <c r="DMS129" s="212"/>
      <c r="DMT129" s="212"/>
      <c r="DMU129" s="212"/>
      <c r="DMV129" s="212"/>
      <c r="DMW129" s="212"/>
      <c r="DMX129" s="212"/>
      <c r="DMY129" s="212"/>
      <c r="DMZ129" s="212"/>
      <c r="DNA129" s="212"/>
      <c r="DNB129" s="212"/>
      <c r="DNC129" s="212"/>
      <c r="DND129" s="212"/>
      <c r="DNE129" s="212"/>
      <c r="DNF129" s="212"/>
      <c r="DNG129" s="212"/>
      <c r="DNH129" s="212"/>
      <c r="DNI129" s="212"/>
      <c r="DNJ129" s="212"/>
      <c r="DNK129" s="212"/>
      <c r="DNL129" s="212"/>
      <c r="DNM129" s="212"/>
      <c r="DNN129" s="212"/>
      <c r="DNO129" s="212"/>
      <c r="DNP129" s="212"/>
      <c r="DNQ129" s="212"/>
      <c r="DNR129" s="212"/>
      <c r="DNS129" s="212"/>
      <c r="DNT129" s="212"/>
      <c r="DNU129" s="212"/>
      <c r="DNV129" s="212"/>
      <c r="DNW129" s="212"/>
      <c r="DNX129" s="212"/>
      <c r="DNY129" s="212"/>
      <c r="DNZ129" s="212"/>
      <c r="DOA129" s="212"/>
      <c r="DOB129" s="212"/>
      <c r="DOC129" s="212"/>
      <c r="DOD129" s="212"/>
      <c r="DOE129" s="212"/>
      <c r="DOF129" s="212"/>
      <c r="DOG129" s="212"/>
      <c r="DOH129" s="212"/>
      <c r="DOI129" s="212"/>
      <c r="DOJ129" s="212"/>
      <c r="DOK129" s="212"/>
      <c r="DOL129" s="212"/>
      <c r="DOM129" s="212"/>
      <c r="DON129" s="212"/>
      <c r="DOO129" s="212"/>
      <c r="DOP129" s="212"/>
      <c r="DOQ129" s="212"/>
      <c r="DOR129" s="212"/>
      <c r="DOS129" s="212"/>
      <c r="DOT129" s="212"/>
      <c r="DOU129" s="212"/>
      <c r="DOV129" s="212"/>
      <c r="DOW129" s="212"/>
      <c r="DOX129" s="212"/>
      <c r="DOY129" s="212"/>
      <c r="DOZ129" s="212"/>
      <c r="DPA129" s="212"/>
      <c r="DPB129" s="212"/>
      <c r="DPC129" s="212"/>
      <c r="DPD129" s="212"/>
      <c r="DPE129" s="212"/>
      <c r="DPF129" s="212"/>
      <c r="DPG129" s="212"/>
      <c r="DPH129" s="212"/>
      <c r="DPI129" s="212"/>
      <c r="DPJ129" s="212"/>
      <c r="DPK129" s="212"/>
      <c r="DPL129" s="212"/>
      <c r="DPM129" s="212"/>
      <c r="DPN129" s="212"/>
      <c r="DPO129" s="212"/>
      <c r="DPP129" s="212"/>
      <c r="DPQ129" s="212"/>
      <c r="DPR129" s="212"/>
      <c r="DPS129" s="212"/>
      <c r="DPT129" s="212"/>
      <c r="DPU129" s="212"/>
      <c r="DPV129" s="212"/>
      <c r="DPW129" s="212"/>
      <c r="DPX129" s="212"/>
      <c r="DPY129" s="212"/>
      <c r="DPZ129" s="212"/>
      <c r="DQA129" s="212"/>
      <c r="DQB129" s="212"/>
      <c r="DQC129" s="212"/>
      <c r="DQD129" s="212"/>
      <c r="DQE129" s="212"/>
      <c r="DQF129" s="212"/>
      <c r="DQG129" s="212"/>
      <c r="DQH129" s="212"/>
      <c r="DQI129" s="212"/>
      <c r="DQJ129" s="212"/>
      <c r="DQK129" s="212"/>
      <c r="DQL129" s="212"/>
      <c r="DQM129" s="212"/>
      <c r="DQN129" s="212"/>
      <c r="DQO129" s="212"/>
      <c r="DQP129" s="212"/>
      <c r="DQQ129" s="212"/>
      <c r="DQR129" s="212"/>
      <c r="DQS129" s="212"/>
      <c r="DQT129" s="212"/>
      <c r="DQU129" s="212"/>
      <c r="DQV129" s="212"/>
      <c r="DQW129" s="212"/>
      <c r="DQX129" s="212"/>
      <c r="DQY129" s="212"/>
      <c r="DQZ129" s="212"/>
      <c r="DRA129" s="212"/>
      <c r="DRB129" s="212"/>
      <c r="DRC129" s="212"/>
      <c r="DRD129" s="212"/>
      <c r="DRE129" s="212"/>
      <c r="DRF129" s="212"/>
      <c r="DRG129" s="212"/>
      <c r="DRH129" s="212"/>
      <c r="DRI129" s="212"/>
      <c r="DRJ129" s="212"/>
      <c r="DRK129" s="212"/>
      <c r="DRL129" s="212"/>
      <c r="DRM129" s="212"/>
      <c r="DRN129" s="212"/>
      <c r="DRO129" s="212"/>
      <c r="DRP129" s="212"/>
      <c r="DRQ129" s="212"/>
      <c r="DRR129" s="212"/>
      <c r="DRS129" s="212"/>
      <c r="DRT129" s="212"/>
      <c r="DRU129" s="212"/>
      <c r="DRV129" s="212"/>
      <c r="DRW129" s="212"/>
      <c r="DRX129" s="212"/>
      <c r="DRY129" s="212"/>
      <c r="DRZ129" s="212"/>
      <c r="DSA129" s="212"/>
      <c r="DSB129" s="212"/>
      <c r="DSC129" s="212"/>
      <c r="DSD129" s="212"/>
      <c r="DSE129" s="212"/>
      <c r="DSF129" s="212"/>
      <c r="DSG129" s="212"/>
      <c r="DSH129" s="212"/>
      <c r="DSI129" s="212"/>
      <c r="DSJ129" s="212"/>
      <c r="DSK129" s="212"/>
      <c r="DSL129" s="212"/>
      <c r="DSM129" s="212"/>
      <c r="DSN129" s="212"/>
      <c r="DSO129" s="212"/>
      <c r="DSP129" s="212"/>
      <c r="DSQ129" s="212"/>
      <c r="DSR129" s="212"/>
      <c r="DSS129" s="212"/>
      <c r="DST129" s="212"/>
      <c r="DSU129" s="212"/>
      <c r="DSV129" s="212"/>
      <c r="DSW129" s="212"/>
      <c r="DSX129" s="212"/>
      <c r="DSY129" s="212"/>
      <c r="DSZ129" s="212"/>
      <c r="DTA129" s="212"/>
      <c r="DTB129" s="212"/>
      <c r="DTC129" s="212"/>
      <c r="DTD129" s="212"/>
      <c r="DTE129" s="212"/>
      <c r="DTF129" s="212"/>
      <c r="DTG129" s="212"/>
      <c r="DTH129" s="212"/>
      <c r="DTI129" s="212"/>
      <c r="DTJ129" s="212"/>
      <c r="DTK129" s="212"/>
      <c r="DTL129" s="212"/>
      <c r="DTM129" s="212"/>
      <c r="DTN129" s="212"/>
      <c r="DTO129" s="212"/>
      <c r="DTP129" s="212"/>
      <c r="DTQ129" s="212"/>
      <c r="DTR129" s="212"/>
      <c r="DTS129" s="212"/>
      <c r="DTT129" s="212"/>
      <c r="DTU129" s="212"/>
      <c r="DTV129" s="212"/>
      <c r="DTW129" s="212"/>
      <c r="DTX129" s="212"/>
      <c r="DTY129" s="212"/>
      <c r="DTZ129" s="212"/>
      <c r="DUA129" s="212"/>
      <c r="DUB129" s="212"/>
      <c r="DUC129" s="212"/>
      <c r="DUD129" s="212"/>
      <c r="DUE129" s="212"/>
      <c r="DUF129" s="212"/>
      <c r="DUG129" s="212"/>
      <c r="DUH129" s="212"/>
      <c r="DUI129" s="212"/>
      <c r="DUJ129" s="212"/>
      <c r="DUK129" s="212"/>
      <c r="DUL129" s="212"/>
      <c r="DUM129" s="212"/>
      <c r="DUN129" s="212"/>
      <c r="DUO129" s="212"/>
      <c r="DUP129" s="212"/>
      <c r="DUQ129" s="212"/>
      <c r="DUR129" s="212"/>
      <c r="DUS129" s="212"/>
      <c r="DUT129" s="212"/>
      <c r="DUU129" s="212"/>
      <c r="DUV129" s="212"/>
      <c r="DUW129" s="212"/>
      <c r="DUX129" s="212"/>
      <c r="DUY129" s="212"/>
      <c r="DUZ129" s="212"/>
      <c r="DVA129" s="212"/>
      <c r="DVB129" s="212"/>
      <c r="DVC129" s="212"/>
      <c r="DVD129" s="212"/>
      <c r="DVE129" s="212"/>
      <c r="DVF129" s="212"/>
      <c r="DVG129" s="212"/>
      <c r="DVH129" s="212"/>
      <c r="DVI129" s="212"/>
      <c r="DVJ129" s="212"/>
      <c r="DVK129" s="212"/>
      <c r="DVL129" s="212"/>
      <c r="DVM129" s="212"/>
      <c r="DVN129" s="212"/>
      <c r="DVO129" s="212"/>
      <c r="DVP129" s="212"/>
      <c r="DVQ129" s="212"/>
      <c r="DVR129" s="212"/>
      <c r="DVS129" s="212"/>
      <c r="DVT129" s="212"/>
      <c r="DVU129" s="212"/>
      <c r="DVV129" s="212"/>
      <c r="DVW129" s="212"/>
      <c r="DVX129" s="212"/>
      <c r="DVY129" s="212"/>
      <c r="DVZ129" s="212"/>
      <c r="DWA129" s="212"/>
      <c r="DWB129" s="212"/>
      <c r="DWC129" s="212"/>
      <c r="DWD129" s="212"/>
      <c r="DWE129" s="212"/>
      <c r="DWF129" s="212"/>
      <c r="DWG129" s="212"/>
      <c r="DWH129" s="212"/>
      <c r="DWI129" s="212"/>
      <c r="DWJ129" s="212"/>
      <c r="DWK129" s="212"/>
      <c r="DWL129" s="212"/>
      <c r="DWM129" s="212"/>
      <c r="DWN129" s="212"/>
      <c r="DWO129" s="212"/>
      <c r="DWP129" s="212"/>
      <c r="DWQ129" s="212"/>
      <c r="DWR129" s="212"/>
      <c r="DWS129" s="212"/>
      <c r="DWT129" s="212"/>
      <c r="DWU129" s="212"/>
      <c r="DWV129" s="212"/>
      <c r="DWW129" s="212"/>
      <c r="DWX129" s="212"/>
      <c r="DWY129" s="212"/>
      <c r="DWZ129" s="212"/>
      <c r="DXA129" s="212"/>
      <c r="DXB129" s="212"/>
      <c r="DXC129" s="212"/>
      <c r="DXD129" s="212"/>
      <c r="DXE129" s="212"/>
      <c r="DXF129" s="212"/>
      <c r="DXG129" s="212"/>
      <c r="DXH129" s="212"/>
      <c r="DXI129" s="212"/>
      <c r="DXJ129" s="212"/>
      <c r="DXK129" s="212"/>
      <c r="DXL129" s="212"/>
      <c r="DXM129" s="212"/>
      <c r="DXN129" s="212"/>
      <c r="DXO129" s="212"/>
      <c r="DXP129" s="212"/>
      <c r="DXQ129" s="212"/>
      <c r="DXR129" s="212"/>
      <c r="DXS129" s="212"/>
      <c r="DXT129" s="212"/>
      <c r="DXU129" s="212"/>
      <c r="DXV129" s="212"/>
      <c r="DXW129" s="212"/>
      <c r="DXX129" s="212"/>
      <c r="DXY129" s="212"/>
      <c r="DXZ129" s="212"/>
      <c r="DYA129" s="212"/>
      <c r="DYB129" s="212"/>
      <c r="DYC129" s="212"/>
      <c r="DYD129" s="212"/>
      <c r="DYE129" s="212"/>
      <c r="DYF129" s="212"/>
      <c r="DYG129" s="212"/>
      <c r="DYH129" s="212"/>
      <c r="DYI129" s="212"/>
      <c r="DYJ129" s="212"/>
      <c r="DYK129" s="212"/>
      <c r="DYL129" s="212"/>
      <c r="DYM129" s="212"/>
      <c r="DYN129" s="212"/>
      <c r="DYO129" s="212"/>
      <c r="DYP129" s="212"/>
      <c r="DYQ129" s="212"/>
      <c r="DYR129" s="212"/>
      <c r="DYS129" s="212"/>
      <c r="DYT129" s="212"/>
      <c r="DYU129" s="212"/>
      <c r="DYV129" s="212"/>
      <c r="DYW129" s="212"/>
      <c r="DYX129" s="212"/>
      <c r="DYY129" s="212"/>
      <c r="DYZ129" s="212"/>
      <c r="DZA129" s="212"/>
      <c r="DZB129" s="212"/>
      <c r="DZC129" s="212"/>
      <c r="DZD129" s="212"/>
      <c r="DZE129" s="212"/>
      <c r="DZF129" s="212"/>
      <c r="DZG129" s="212"/>
      <c r="DZH129" s="212"/>
      <c r="DZI129" s="212"/>
      <c r="DZJ129" s="212"/>
      <c r="DZK129" s="212"/>
      <c r="DZL129" s="212"/>
      <c r="DZM129" s="212"/>
      <c r="DZN129" s="212"/>
      <c r="DZO129" s="212"/>
      <c r="DZP129" s="212"/>
      <c r="DZQ129" s="212"/>
      <c r="DZR129" s="212"/>
      <c r="DZS129" s="212"/>
      <c r="DZT129" s="212"/>
      <c r="DZU129" s="212"/>
      <c r="DZV129" s="212"/>
      <c r="DZW129" s="212"/>
      <c r="DZX129" s="212"/>
      <c r="DZY129" s="212"/>
      <c r="DZZ129" s="212"/>
      <c r="EAA129" s="212"/>
      <c r="EAB129" s="212"/>
      <c r="EAC129" s="212"/>
      <c r="EAD129" s="212"/>
      <c r="EAE129" s="212"/>
      <c r="EAF129" s="212"/>
      <c r="EAG129" s="212"/>
      <c r="EAH129" s="212"/>
      <c r="EAI129" s="212"/>
      <c r="EAJ129" s="212"/>
      <c r="EAK129" s="212"/>
      <c r="EAL129" s="212"/>
      <c r="EAM129" s="212"/>
      <c r="EAN129" s="212"/>
      <c r="EAO129" s="212"/>
      <c r="EAP129" s="212"/>
      <c r="EAQ129" s="212"/>
      <c r="EAR129" s="212"/>
      <c r="EAS129" s="212"/>
      <c r="EAT129" s="212"/>
      <c r="EAU129" s="212"/>
      <c r="EAV129" s="212"/>
      <c r="EAW129" s="212"/>
      <c r="EAX129" s="212"/>
      <c r="EAY129" s="212"/>
      <c r="EAZ129" s="212"/>
      <c r="EBA129" s="212"/>
      <c r="EBB129" s="212"/>
      <c r="EBC129" s="212"/>
      <c r="EBD129" s="212"/>
      <c r="EBE129" s="212"/>
      <c r="EBF129" s="212"/>
      <c r="EBG129" s="212"/>
      <c r="EBH129" s="212"/>
      <c r="EBI129" s="212"/>
      <c r="EBJ129" s="212"/>
      <c r="EBK129" s="212"/>
      <c r="EBL129" s="212"/>
      <c r="EBM129" s="212"/>
      <c r="EBN129" s="212"/>
      <c r="EBO129" s="212"/>
      <c r="EBP129" s="212"/>
      <c r="EBQ129" s="212"/>
      <c r="EBR129" s="212"/>
      <c r="EBS129" s="212"/>
      <c r="EBT129" s="212"/>
      <c r="EBU129" s="212"/>
      <c r="EBV129" s="212"/>
      <c r="EBW129" s="212"/>
      <c r="EBX129" s="212"/>
      <c r="EBY129" s="212"/>
      <c r="EBZ129" s="212"/>
      <c r="ECA129" s="212"/>
      <c r="ECB129" s="212"/>
      <c r="ECC129" s="212"/>
      <c r="ECD129" s="212"/>
      <c r="ECE129" s="212"/>
      <c r="ECF129" s="212"/>
      <c r="ECG129" s="212"/>
      <c r="ECH129" s="212"/>
      <c r="ECI129" s="212"/>
      <c r="ECJ129" s="212"/>
      <c r="ECK129" s="212"/>
      <c r="ECL129" s="212"/>
      <c r="ECM129" s="212"/>
      <c r="ECN129" s="212"/>
      <c r="ECO129" s="212"/>
      <c r="ECP129" s="212"/>
      <c r="ECQ129" s="212"/>
      <c r="ECR129" s="212"/>
      <c r="ECS129" s="212"/>
      <c r="ECT129" s="212"/>
      <c r="ECU129" s="212"/>
      <c r="ECV129" s="212"/>
      <c r="ECW129" s="212"/>
      <c r="ECX129" s="212"/>
      <c r="ECY129" s="212"/>
      <c r="ECZ129" s="212"/>
      <c r="EDA129" s="212"/>
      <c r="EDB129" s="212"/>
      <c r="EDC129" s="212"/>
      <c r="EDD129" s="212"/>
      <c r="EDE129" s="212"/>
      <c r="EDF129" s="212"/>
      <c r="EDG129" s="212"/>
      <c r="EDH129" s="212"/>
      <c r="EDI129" s="212"/>
      <c r="EDJ129" s="212"/>
      <c r="EDK129" s="212"/>
      <c r="EDL129" s="212"/>
      <c r="EDM129" s="212"/>
      <c r="EDN129" s="212"/>
      <c r="EDO129" s="212"/>
      <c r="EDP129" s="212"/>
      <c r="EDQ129" s="212"/>
      <c r="EDR129" s="212"/>
      <c r="EDS129" s="212"/>
      <c r="EDT129" s="212"/>
      <c r="EDU129" s="212"/>
      <c r="EDV129" s="212"/>
      <c r="EDW129" s="212"/>
      <c r="EDX129" s="212"/>
      <c r="EDY129" s="212"/>
      <c r="EDZ129" s="212"/>
      <c r="EEA129" s="212"/>
      <c r="EEB129" s="212"/>
      <c r="EEC129" s="212"/>
      <c r="EED129" s="212"/>
      <c r="EEE129" s="212"/>
      <c r="EEF129" s="212"/>
      <c r="EEG129" s="212"/>
      <c r="EEH129" s="212"/>
      <c r="EEI129" s="212"/>
      <c r="EEJ129" s="212"/>
      <c r="EEK129" s="212"/>
      <c r="EEL129" s="212"/>
      <c r="EEM129" s="212"/>
      <c r="EEN129" s="212"/>
      <c r="EEO129" s="212"/>
      <c r="EEP129" s="212"/>
      <c r="EEQ129" s="212"/>
      <c r="EER129" s="212"/>
      <c r="EES129" s="212"/>
      <c r="EET129" s="212"/>
      <c r="EEU129" s="212"/>
      <c r="EEV129" s="212"/>
      <c r="EEW129" s="212"/>
      <c r="EEX129" s="212"/>
      <c r="EEY129" s="212"/>
      <c r="EEZ129" s="212"/>
      <c r="EFA129" s="212"/>
      <c r="EFB129" s="212"/>
      <c r="EFC129" s="212"/>
      <c r="EFD129" s="212"/>
      <c r="EFE129" s="212"/>
      <c r="EFF129" s="212"/>
      <c r="EFG129" s="212"/>
      <c r="EFH129" s="212"/>
      <c r="EFI129" s="212"/>
      <c r="EFJ129" s="212"/>
      <c r="EFK129" s="212"/>
      <c r="EFL129" s="212"/>
      <c r="EFM129" s="212"/>
      <c r="EFN129" s="212"/>
      <c r="EFO129" s="212"/>
      <c r="EFP129" s="212"/>
      <c r="EFQ129" s="212"/>
      <c r="EFR129" s="212"/>
      <c r="EFS129" s="212"/>
      <c r="EFT129" s="212"/>
      <c r="EFU129" s="212"/>
      <c r="EFV129" s="212"/>
      <c r="EFW129" s="212"/>
      <c r="EFX129" s="212"/>
      <c r="EFY129" s="212"/>
      <c r="EFZ129" s="212"/>
      <c r="EGA129" s="212"/>
      <c r="EGB129" s="212"/>
      <c r="EGC129" s="212"/>
      <c r="EGD129" s="212"/>
      <c r="EGE129" s="212"/>
      <c r="EGF129" s="212"/>
      <c r="EGG129" s="212"/>
      <c r="EGH129" s="212"/>
      <c r="EGI129" s="212"/>
      <c r="EGJ129" s="212"/>
      <c r="EGK129" s="212"/>
      <c r="EGL129" s="212"/>
      <c r="EGM129" s="212"/>
      <c r="EGN129" s="212"/>
      <c r="EGO129" s="212"/>
      <c r="EGP129" s="212"/>
      <c r="EGQ129" s="212"/>
      <c r="EGR129" s="212"/>
      <c r="EGS129" s="212"/>
      <c r="EGT129" s="212"/>
      <c r="EGU129" s="212"/>
      <c r="EGV129" s="212"/>
      <c r="EGW129" s="212"/>
      <c r="EGX129" s="212"/>
      <c r="EGY129" s="212"/>
      <c r="EGZ129" s="212"/>
      <c r="EHA129" s="212"/>
      <c r="EHB129" s="212"/>
      <c r="EHC129" s="212"/>
      <c r="EHD129" s="212"/>
      <c r="EHE129" s="212"/>
      <c r="EHF129" s="212"/>
      <c r="EHG129" s="212"/>
      <c r="EHH129" s="212"/>
      <c r="EHI129" s="212"/>
      <c r="EHJ129" s="212"/>
      <c r="EHK129" s="212"/>
      <c r="EHL129" s="212"/>
      <c r="EHM129" s="212"/>
      <c r="EHN129" s="212"/>
      <c r="EHO129" s="212"/>
      <c r="EHP129" s="212"/>
      <c r="EHQ129" s="212"/>
      <c r="EHR129" s="212"/>
      <c r="EHS129" s="212"/>
      <c r="EHT129" s="212"/>
      <c r="EHU129" s="212"/>
      <c r="EHV129" s="212"/>
      <c r="EHW129" s="212"/>
      <c r="EHX129" s="212"/>
      <c r="EHY129" s="212"/>
      <c r="EHZ129" s="212"/>
      <c r="EIA129" s="212"/>
      <c r="EIB129" s="212"/>
      <c r="EIC129" s="212"/>
      <c r="EID129" s="212"/>
      <c r="EIE129" s="212"/>
      <c r="EIF129" s="212"/>
      <c r="EIG129" s="212"/>
      <c r="EIH129" s="212"/>
      <c r="EII129" s="212"/>
      <c r="EIJ129" s="212"/>
      <c r="EIK129" s="212"/>
      <c r="EIL129" s="212"/>
      <c r="EIM129" s="212"/>
      <c r="EIN129" s="212"/>
      <c r="EIO129" s="212"/>
      <c r="EIP129" s="212"/>
      <c r="EIQ129" s="212"/>
      <c r="EIR129" s="212"/>
      <c r="EIS129" s="212"/>
      <c r="EIT129" s="212"/>
      <c r="EIU129" s="212"/>
      <c r="EIV129" s="212"/>
      <c r="EIW129" s="212"/>
      <c r="EIX129" s="212"/>
      <c r="EIY129" s="212"/>
      <c r="EIZ129" s="212"/>
      <c r="EJA129" s="212"/>
      <c r="EJB129" s="212"/>
      <c r="EJC129" s="212"/>
      <c r="EJD129" s="212"/>
      <c r="EJE129" s="212"/>
      <c r="EJF129" s="212"/>
      <c r="EJG129" s="212"/>
      <c r="EJH129" s="212"/>
      <c r="EJI129" s="212"/>
      <c r="EJJ129" s="212"/>
      <c r="EJK129" s="212"/>
      <c r="EJL129" s="212"/>
      <c r="EJM129" s="212"/>
      <c r="EJN129" s="212"/>
      <c r="EJO129" s="212"/>
      <c r="EJP129" s="212"/>
      <c r="EJQ129" s="212"/>
      <c r="EJR129" s="212"/>
      <c r="EJS129" s="212"/>
      <c r="EJT129" s="212"/>
      <c r="EJU129" s="212"/>
      <c r="EJV129" s="212"/>
      <c r="EJW129" s="212"/>
      <c r="EJX129" s="212"/>
      <c r="EJY129" s="212"/>
      <c r="EJZ129" s="212"/>
      <c r="EKA129" s="212"/>
      <c r="EKB129" s="212"/>
      <c r="EKC129" s="212"/>
      <c r="EKD129" s="212"/>
      <c r="EKE129" s="212"/>
      <c r="EKF129" s="212"/>
      <c r="EKG129" s="212"/>
      <c r="EKH129" s="212"/>
      <c r="EKI129" s="212"/>
      <c r="EKJ129" s="212"/>
      <c r="EKK129" s="212"/>
      <c r="EKL129" s="212"/>
      <c r="EKM129" s="212"/>
      <c r="EKN129" s="212"/>
      <c r="EKO129" s="212"/>
      <c r="EKP129" s="212"/>
      <c r="EKQ129" s="212"/>
      <c r="EKR129" s="212"/>
      <c r="EKS129" s="212"/>
      <c r="EKT129" s="212"/>
      <c r="EKU129" s="212"/>
      <c r="EKV129" s="212"/>
      <c r="EKW129" s="212"/>
      <c r="EKX129" s="212"/>
      <c r="EKY129" s="212"/>
      <c r="EKZ129" s="212"/>
      <c r="ELA129" s="212"/>
      <c r="ELB129" s="212"/>
      <c r="ELC129" s="212"/>
      <c r="ELD129" s="212"/>
      <c r="ELE129" s="212"/>
      <c r="ELF129" s="212"/>
      <c r="ELG129" s="212"/>
      <c r="ELH129" s="212"/>
      <c r="ELI129" s="212"/>
      <c r="ELJ129" s="212"/>
      <c r="ELK129" s="212"/>
      <c r="ELL129" s="212"/>
      <c r="ELM129" s="212"/>
      <c r="ELN129" s="212"/>
      <c r="ELO129" s="212"/>
      <c r="ELP129" s="212"/>
      <c r="ELQ129" s="212"/>
      <c r="ELR129" s="212"/>
      <c r="ELS129" s="212"/>
      <c r="ELT129" s="212"/>
      <c r="ELU129" s="212"/>
      <c r="ELV129" s="212"/>
      <c r="ELW129" s="212"/>
      <c r="ELX129" s="212"/>
      <c r="ELY129" s="212"/>
      <c r="ELZ129" s="212"/>
      <c r="EMA129" s="212"/>
      <c r="EMB129" s="212"/>
      <c r="EMC129" s="212"/>
      <c r="EMD129" s="212"/>
      <c r="EME129" s="212"/>
      <c r="EMF129" s="212"/>
      <c r="EMG129" s="212"/>
      <c r="EMH129" s="212"/>
      <c r="EMI129" s="212"/>
      <c r="EMJ129" s="212"/>
      <c r="EMK129" s="212"/>
      <c r="EML129" s="212"/>
      <c r="EMM129" s="212"/>
      <c r="EMN129" s="212"/>
      <c r="EMO129" s="212"/>
      <c r="EMP129" s="212"/>
      <c r="EMQ129" s="212"/>
      <c r="EMR129" s="212"/>
      <c r="EMS129" s="212"/>
      <c r="EMT129" s="212"/>
      <c r="EMU129" s="212"/>
      <c r="EMV129" s="212"/>
      <c r="EMW129" s="212"/>
      <c r="EMX129" s="212"/>
      <c r="EMY129" s="212"/>
      <c r="EMZ129" s="212"/>
      <c r="ENA129" s="212"/>
      <c r="ENB129" s="212"/>
      <c r="ENC129" s="212"/>
      <c r="END129" s="212"/>
      <c r="ENE129" s="212"/>
      <c r="ENF129" s="212"/>
      <c r="ENG129" s="212"/>
      <c r="ENH129" s="212"/>
      <c r="ENI129" s="212"/>
      <c r="ENJ129" s="212"/>
      <c r="ENK129" s="212"/>
      <c r="ENL129" s="212"/>
      <c r="ENM129" s="212"/>
      <c r="ENN129" s="212"/>
      <c r="ENO129" s="212"/>
      <c r="ENP129" s="212"/>
      <c r="ENQ129" s="212"/>
      <c r="ENR129" s="212"/>
      <c r="ENS129" s="212"/>
      <c r="ENT129" s="212"/>
      <c r="ENU129" s="212"/>
      <c r="ENV129" s="212"/>
      <c r="ENW129" s="212"/>
      <c r="ENX129" s="212"/>
      <c r="ENY129" s="212"/>
      <c r="ENZ129" s="212"/>
      <c r="EOA129" s="212"/>
      <c r="EOB129" s="212"/>
      <c r="EOC129" s="212"/>
      <c r="EOD129" s="212"/>
      <c r="EOE129" s="212"/>
      <c r="EOF129" s="212"/>
      <c r="EOG129" s="212"/>
      <c r="EOH129" s="212"/>
      <c r="EOI129" s="212"/>
      <c r="EOJ129" s="212"/>
      <c r="EOK129" s="212"/>
      <c r="EOL129" s="212"/>
      <c r="EOM129" s="212"/>
      <c r="EON129" s="212"/>
      <c r="EOO129" s="212"/>
      <c r="EOP129" s="212"/>
      <c r="EOQ129" s="212"/>
      <c r="EOR129" s="212"/>
      <c r="EOS129" s="212"/>
      <c r="EOT129" s="212"/>
      <c r="EOU129" s="212"/>
      <c r="EOV129" s="212"/>
      <c r="EOW129" s="212"/>
      <c r="EOX129" s="212"/>
      <c r="EOY129" s="212"/>
      <c r="EOZ129" s="212"/>
      <c r="EPA129" s="212"/>
      <c r="EPB129" s="212"/>
      <c r="EPC129" s="212"/>
      <c r="EPD129" s="212"/>
      <c r="EPE129" s="212"/>
      <c r="EPF129" s="212"/>
      <c r="EPG129" s="212"/>
      <c r="EPH129" s="212"/>
      <c r="EPI129" s="212"/>
      <c r="EPJ129" s="212"/>
      <c r="EPK129" s="212"/>
      <c r="EPL129" s="212"/>
      <c r="EPM129" s="212"/>
      <c r="EPN129" s="212"/>
      <c r="EPO129" s="212"/>
      <c r="EPP129" s="212"/>
      <c r="EPQ129" s="212"/>
      <c r="EPR129" s="212"/>
      <c r="EPS129" s="212"/>
      <c r="EPT129" s="212"/>
      <c r="EPU129" s="212"/>
      <c r="EPV129" s="212"/>
      <c r="EPW129" s="212"/>
      <c r="EPX129" s="212"/>
      <c r="EPY129" s="212"/>
      <c r="EPZ129" s="212"/>
      <c r="EQA129" s="212"/>
      <c r="EQB129" s="212"/>
      <c r="EQC129" s="212"/>
      <c r="EQD129" s="212"/>
      <c r="EQE129" s="212"/>
      <c r="EQF129" s="212"/>
      <c r="EQG129" s="212"/>
      <c r="EQH129" s="212"/>
      <c r="EQI129" s="212"/>
      <c r="EQJ129" s="212"/>
      <c r="EQK129" s="212"/>
      <c r="EQL129" s="212"/>
      <c r="EQM129" s="212"/>
      <c r="EQN129" s="212"/>
      <c r="EQO129" s="212"/>
      <c r="EQP129" s="212"/>
      <c r="EQQ129" s="212"/>
      <c r="EQR129" s="212"/>
      <c r="EQS129" s="212"/>
      <c r="EQT129" s="212"/>
      <c r="EQU129" s="212"/>
      <c r="EQV129" s="212"/>
      <c r="EQW129" s="212"/>
      <c r="EQX129" s="212"/>
      <c r="EQY129" s="212"/>
      <c r="EQZ129" s="212"/>
      <c r="ERA129" s="212"/>
      <c r="ERB129" s="212"/>
      <c r="ERC129" s="212"/>
      <c r="ERD129" s="212"/>
      <c r="ERE129" s="212"/>
      <c r="ERF129" s="212"/>
      <c r="ERG129" s="212"/>
      <c r="ERH129" s="212"/>
      <c r="ERI129" s="212"/>
      <c r="ERJ129" s="212"/>
      <c r="ERK129" s="212"/>
      <c r="ERL129" s="212"/>
      <c r="ERM129" s="212"/>
      <c r="ERN129" s="212"/>
      <c r="ERO129" s="212"/>
      <c r="ERP129" s="212"/>
      <c r="ERQ129" s="212"/>
      <c r="ERR129" s="212"/>
      <c r="ERS129" s="212"/>
      <c r="ERT129" s="212"/>
      <c r="ERU129" s="212"/>
      <c r="ERV129" s="212"/>
      <c r="ERW129" s="212"/>
      <c r="ERX129" s="212"/>
      <c r="ERY129" s="212"/>
      <c r="ERZ129" s="212"/>
      <c r="ESA129" s="212"/>
      <c r="ESB129" s="212"/>
      <c r="ESC129" s="212"/>
      <c r="ESD129" s="212"/>
      <c r="ESE129" s="212"/>
      <c r="ESF129" s="212"/>
      <c r="ESG129" s="212"/>
      <c r="ESH129" s="212"/>
      <c r="ESI129" s="212"/>
      <c r="ESJ129" s="212"/>
      <c r="ESK129" s="212"/>
      <c r="ESL129" s="212"/>
      <c r="ESM129" s="212"/>
      <c r="ESN129" s="212"/>
      <c r="ESO129" s="212"/>
      <c r="ESP129" s="212"/>
      <c r="ESQ129" s="212"/>
      <c r="ESR129" s="212"/>
      <c r="ESS129" s="212"/>
      <c r="EST129" s="212"/>
      <c r="ESU129" s="212"/>
      <c r="ESV129" s="212"/>
      <c r="ESW129" s="212"/>
      <c r="ESX129" s="212"/>
      <c r="ESY129" s="212"/>
      <c r="ESZ129" s="212"/>
      <c r="ETA129" s="212"/>
      <c r="ETB129" s="212"/>
      <c r="ETC129" s="212"/>
      <c r="ETD129" s="212"/>
      <c r="ETE129" s="212"/>
      <c r="ETF129" s="212"/>
      <c r="ETG129" s="212"/>
      <c r="ETH129" s="212"/>
      <c r="ETI129" s="212"/>
      <c r="ETJ129" s="212"/>
      <c r="ETK129" s="212"/>
      <c r="ETL129" s="212"/>
      <c r="ETM129" s="212"/>
      <c r="ETN129" s="212"/>
      <c r="ETO129" s="212"/>
      <c r="ETP129" s="212"/>
      <c r="ETQ129" s="212"/>
      <c r="ETR129" s="212"/>
      <c r="ETS129" s="212"/>
      <c r="ETT129" s="212"/>
      <c r="ETU129" s="212"/>
      <c r="ETV129" s="212"/>
      <c r="ETW129" s="212"/>
      <c r="ETX129" s="212"/>
      <c r="ETY129" s="212"/>
      <c r="ETZ129" s="212"/>
      <c r="EUA129" s="212"/>
      <c r="EUB129" s="212"/>
      <c r="EUC129" s="212"/>
      <c r="EUD129" s="212"/>
      <c r="EUE129" s="212"/>
      <c r="EUF129" s="212"/>
      <c r="EUG129" s="212"/>
      <c r="EUH129" s="212"/>
      <c r="EUI129" s="212"/>
      <c r="EUJ129" s="212"/>
      <c r="EUK129" s="212"/>
      <c r="EUL129" s="212"/>
      <c r="EUM129" s="212"/>
      <c r="EUN129" s="212"/>
      <c r="EUO129" s="212"/>
      <c r="EUP129" s="212"/>
      <c r="EUQ129" s="212"/>
      <c r="EUR129" s="212"/>
      <c r="EUS129" s="212"/>
      <c r="EUT129" s="212"/>
      <c r="EUU129" s="212"/>
      <c r="EUV129" s="212"/>
      <c r="EUW129" s="212"/>
      <c r="EUX129" s="212"/>
      <c r="EUY129" s="212"/>
      <c r="EUZ129" s="212"/>
      <c r="EVA129" s="212"/>
      <c r="EVB129" s="212"/>
      <c r="EVC129" s="212"/>
      <c r="EVD129" s="212"/>
      <c r="EVE129" s="212"/>
      <c r="EVF129" s="212"/>
      <c r="EVG129" s="212"/>
      <c r="EVH129" s="212"/>
      <c r="EVI129" s="212"/>
      <c r="EVJ129" s="212"/>
      <c r="EVK129" s="212"/>
      <c r="EVL129" s="212"/>
      <c r="EVM129" s="212"/>
      <c r="EVN129" s="212"/>
      <c r="EVO129" s="212"/>
      <c r="EVP129" s="212"/>
      <c r="EVQ129" s="212"/>
      <c r="EVR129" s="212"/>
      <c r="EVS129" s="212"/>
      <c r="EVT129" s="212"/>
      <c r="EVU129" s="212"/>
      <c r="EVV129" s="212"/>
      <c r="EVW129" s="212"/>
      <c r="EVX129" s="212"/>
      <c r="EVY129" s="212"/>
      <c r="EVZ129" s="212"/>
      <c r="EWA129" s="212"/>
      <c r="EWB129" s="212"/>
      <c r="EWC129" s="212"/>
      <c r="EWD129" s="212"/>
      <c r="EWE129" s="212"/>
      <c r="EWF129" s="212"/>
      <c r="EWG129" s="212"/>
      <c r="EWH129" s="212"/>
      <c r="EWI129" s="212"/>
      <c r="EWJ129" s="212"/>
      <c r="EWK129" s="212"/>
      <c r="EWL129" s="212"/>
      <c r="EWM129" s="212"/>
      <c r="EWN129" s="212"/>
      <c r="EWO129" s="212"/>
      <c r="EWP129" s="212"/>
      <c r="EWQ129" s="212"/>
      <c r="EWR129" s="212"/>
      <c r="EWS129" s="212"/>
      <c r="EWT129" s="212"/>
      <c r="EWU129" s="212"/>
      <c r="EWV129" s="212"/>
      <c r="EWW129" s="212"/>
      <c r="EWX129" s="212"/>
      <c r="EWY129" s="212"/>
      <c r="EWZ129" s="212"/>
      <c r="EXA129" s="212"/>
      <c r="EXB129" s="212"/>
      <c r="EXC129" s="212"/>
      <c r="EXD129" s="212"/>
      <c r="EXE129" s="212"/>
      <c r="EXF129" s="212"/>
      <c r="EXG129" s="212"/>
      <c r="EXH129" s="212"/>
      <c r="EXI129" s="212"/>
      <c r="EXJ129" s="212"/>
      <c r="EXK129" s="212"/>
      <c r="EXL129" s="212"/>
      <c r="EXM129" s="212"/>
      <c r="EXN129" s="212"/>
      <c r="EXO129" s="212"/>
      <c r="EXP129" s="212"/>
      <c r="EXQ129" s="212"/>
      <c r="EXR129" s="212"/>
      <c r="EXS129" s="212"/>
      <c r="EXT129" s="212"/>
      <c r="EXU129" s="212"/>
      <c r="EXV129" s="212"/>
      <c r="EXW129" s="212"/>
      <c r="EXX129" s="212"/>
      <c r="EXY129" s="212"/>
      <c r="EXZ129" s="212"/>
      <c r="EYA129" s="212"/>
      <c r="EYB129" s="212"/>
      <c r="EYC129" s="212"/>
      <c r="EYD129" s="212"/>
      <c r="EYE129" s="212"/>
      <c r="EYF129" s="212"/>
      <c r="EYG129" s="212"/>
      <c r="EYH129" s="212"/>
      <c r="EYI129" s="212"/>
      <c r="EYJ129" s="212"/>
      <c r="EYK129" s="212"/>
      <c r="EYL129" s="212"/>
      <c r="EYM129" s="212"/>
      <c r="EYN129" s="212"/>
      <c r="EYO129" s="212"/>
      <c r="EYP129" s="212"/>
      <c r="EYQ129" s="212"/>
      <c r="EYR129" s="212"/>
      <c r="EYS129" s="212"/>
      <c r="EYT129" s="212"/>
      <c r="EYU129" s="212"/>
      <c r="EYV129" s="212"/>
      <c r="EYW129" s="212"/>
      <c r="EYX129" s="212"/>
      <c r="EYY129" s="212"/>
      <c r="EYZ129" s="212"/>
      <c r="EZA129" s="212"/>
      <c r="EZB129" s="212"/>
      <c r="EZC129" s="212"/>
      <c r="EZD129" s="212"/>
      <c r="EZE129" s="212"/>
      <c r="EZF129" s="212"/>
      <c r="EZG129" s="212"/>
      <c r="EZH129" s="212"/>
      <c r="EZI129" s="212"/>
      <c r="EZJ129" s="212"/>
      <c r="EZK129" s="212"/>
      <c r="EZL129" s="212"/>
      <c r="EZM129" s="212"/>
      <c r="EZN129" s="212"/>
      <c r="EZO129" s="212"/>
      <c r="EZP129" s="212"/>
      <c r="EZQ129" s="212"/>
      <c r="EZR129" s="212"/>
      <c r="EZS129" s="212"/>
      <c r="EZT129" s="212"/>
      <c r="EZU129" s="212"/>
      <c r="EZV129" s="212"/>
      <c r="EZW129" s="212"/>
      <c r="EZX129" s="212"/>
      <c r="EZY129" s="212"/>
      <c r="EZZ129" s="212"/>
      <c r="FAA129" s="212"/>
      <c r="FAB129" s="212"/>
      <c r="FAC129" s="212"/>
      <c r="FAD129" s="212"/>
      <c r="FAE129" s="212"/>
      <c r="FAF129" s="212"/>
      <c r="FAG129" s="212"/>
      <c r="FAH129" s="212"/>
      <c r="FAI129" s="212"/>
      <c r="FAJ129" s="212"/>
      <c r="FAK129" s="212"/>
      <c r="FAL129" s="212"/>
      <c r="FAM129" s="212"/>
      <c r="FAN129" s="212"/>
      <c r="FAO129" s="212"/>
      <c r="FAP129" s="212"/>
      <c r="FAQ129" s="212"/>
      <c r="FAR129" s="212"/>
      <c r="FAS129" s="212"/>
      <c r="FAT129" s="212"/>
      <c r="FAU129" s="212"/>
      <c r="FAV129" s="212"/>
      <c r="FAW129" s="212"/>
      <c r="FAX129" s="212"/>
      <c r="FAY129" s="212"/>
      <c r="FAZ129" s="212"/>
      <c r="FBA129" s="212"/>
      <c r="FBB129" s="212"/>
      <c r="FBC129" s="212"/>
      <c r="FBD129" s="212"/>
      <c r="FBE129" s="212"/>
      <c r="FBF129" s="212"/>
      <c r="FBG129" s="212"/>
      <c r="FBH129" s="212"/>
      <c r="FBI129" s="212"/>
      <c r="FBJ129" s="212"/>
      <c r="FBK129" s="212"/>
      <c r="FBL129" s="212"/>
      <c r="FBM129" s="212"/>
      <c r="FBN129" s="212"/>
      <c r="FBO129" s="212"/>
      <c r="FBP129" s="212"/>
      <c r="FBQ129" s="212"/>
      <c r="FBR129" s="212"/>
      <c r="FBS129" s="212"/>
      <c r="FBT129" s="212"/>
      <c r="FBU129" s="212"/>
      <c r="FBV129" s="212"/>
      <c r="FBW129" s="212"/>
      <c r="FBX129" s="212"/>
      <c r="FBY129" s="212"/>
      <c r="FBZ129" s="212"/>
      <c r="FCA129" s="212"/>
      <c r="FCB129" s="212"/>
      <c r="FCC129" s="212"/>
      <c r="FCD129" s="212"/>
      <c r="FCE129" s="212"/>
      <c r="FCF129" s="212"/>
      <c r="FCG129" s="212"/>
      <c r="FCH129" s="212"/>
      <c r="FCI129" s="212"/>
      <c r="FCJ129" s="212"/>
      <c r="FCK129" s="212"/>
      <c r="FCL129" s="212"/>
      <c r="FCM129" s="212"/>
      <c r="FCN129" s="212"/>
      <c r="FCO129" s="212"/>
      <c r="FCP129" s="212"/>
      <c r="FCQ129" s="212"/>
      <c r="FCR129" s="212"/>
      <c r="FCS129" s="212"/>
      <c r="FCT129" s="212"/>
      <c r="FCU129" s="212"/>
      <c r="FCV129" s="212"/>
      <c r="FCW129" s="212"/>
      <c r="FCX129" s="212"/>
      <c r="FCY129" s="212"/>
      <c r="FCZ129" s="212"/>
      <c r="FDA129" s="212"/>
      <c r="FDB129" s="212"/>
      <c r="FDC129" s="212"/>
      <c r="FDD129" s="212"/>
      <c r="FDE129" s="212"/>
      <c r="FDF129" s="212"/>
      <c r="FDG129" s="212"/>
      <c r="FDH129" s="212"/>
      <c r="FDI129" s="212"/>
      <c r="FDJ129" s="212"/>
      <c r="FDK129" s="212"/>
      <c r="FDL129" s="212"/>
      <c r="FDM129" s="212"/>
      <c r="FDN129" s="212"/>
      <c r="FDO129" s="212"/>
      <c r="FDP129" s="212"/>
      <c r="FDQ129" s="212"/>
      <c r="FDR129" s="212"/>
      <c r="FDS129" s="212"/>
      <c r="FDT129" s="212"/>
      <c r="FDU129" s="212"/>
      <c r="FDV129" s="212"/>
      <c r="FDW129" s="212"/>
      <c r="FDX129" s="212"/>
      <c r="FDY129" s="212"/>
      <c r="FDZ129" s="212"/>
      <c r="FEA129" s="212"/>
      <c r="FEB129" s="212"/>
      <c r="FEC129" s="212"/>
      <c r="FED129" s="212"/>
      <c r="FEE129" s="212"/>
      <c r="FEF129" s="212"/>
      <c r="FEG129" s="212"/>
      <c r="FEH129" s="212"/>
      <c r="FEI129" s="212"/>
      <c r="FEJ129" s="212"/>
      <c r="FEK129" s="212"/>
      <c r="FEL129" s="212"/>
      <c r="FEM129" s="212"/>
      <c r="FEN129" s="212"/>
      <c r="FEO129" s="212"/>
      <c r="FEP129" s="212"/>
      <c r="FEQ129" s="212"/>
      <c r="FER129" s="212"/>
      <c r="FES129" s="212"/>
      <c r="FET129" s="212"/>
      <c r="FEU129" s="212"/>
      <c r="FEV129" s="212"/>
      <c r="FEW129" s="212"/>
      <c r="FEX129" s="212"/>
      <c r="FEY129" s="212"/>
      <c r="FEZ129" s="212"/>
      <c r="FFA129" s="212"/>
      <c r="FFB129" s="212"/>
      <c r="FFC129" s="212"/>
      <c r="FFD129" s="212"/>
      <c r="FFE129" s="212"/>
      <c r="FFF129" s="212"/>
      <c r="FFG129" s="212"/>
      <c r="FFH129" s="212"/>
      <c r="FFI129" s="212"/>
      <c r="FFJ129" s="212"/>
      <c r="FFK129" s="212"/>
      <c r="FFL129" s="212"/>
      <c r="FFM129" s="212"/>
      <c r="FFN129" s="212"/>
      <c r="FFO129" s="212"/>
      <c r="FFP129" s="212"/>
      <c r="FFQ129" s="212"/>
      <c r="FFR129" s="212"/>
      <c r="FFS129" s="212"/>
      <c r="FFT129" s="212"/>
      <c r="FFU129" s="212"/>
      <c r="FFV129" s="212"/>
      <c r="FFW129" s="212"/>
      <c r="FFX129" s="212"/>
      <c r="FFY129" s="212"/>
      <c r="FFZ129" s="212"/>
      <c r="FGA129" s="212"/>
      <c r="FGB129" s="212"/>
      <c r="FGC129" s="212"/>
      <c r="FGD129" s="212"/>
      <c r="FGE129" s="212"/>
      <c r="FGF129" s="212"/>
      <c r="FGG129" s="212"/>
      <c r="FGH129" s="212"/>
      <c r="FGI129" s="212"/>
      <c r="FGJ129" s="212"/>
      <c r="FGK129" s="212"/>
      <c r="FGL129" s="212"/>
      <c r="FGM129" s="212"/>
      <c r="FGN129" s="212"/>
      <c r="FGO129" s="212"/>
      <c r="FGP129" s="212"/>
      <c r="FGQ129" s="212"/>
      <c r="FGR129" s="212"/>
      <c r="FGS129" s="212"/>
      <c r="FGT129" s="212"/>
      <c r="FGU129" s="212"/>
      <c r="FGV129" s="212"/>
      <c r="FGW129" s="212"/>
      <c r="FGX129" s="212"/>
      <c r="FGY129" s="212"/>
      <c r="FGZ129" s="212"/>
      <c r="FHA129" s="212"/>
      <c r="FHB129" s="212"/>
      <c r="FHC129" s="212"/>
      <c r="FHD129" s="212"/>
      <c r="FHE129" s="212"/>
      <c r="FHF129" s="212"/>
      <c r="FHG129" s="212"/>
      <c r="FHH129" s="212"/>
      <c r="FHI129" s="212"/>
      <c r="FHJ129" s="212"/>
      <c r="FHK129" s="212"/>
      <c r="FHL129" s="212"/>
      <c r="FHM129" s="212"/>
      <c r="FHN129" s="212"/>
      <c r="FHO129" s="212"/>
      <c r="FHP129" s="212"/>
      <c r="FHQ129" s="212"/>
      <c r="FHR129" s="212"/>
      <c r="FHS129" s="212"/>
      <c r="FHT129" s="212"/>
      <c r="FHU129" s="212"/>
      <c r="FHV129" s="212"/>
      <c r="FHW129" s="212"/>
      <c r="FHX129" s="212"/>
      <c r="FHY129" s="212"/>
      <c r="FHZ129" s="212"/>
      <c r="FIA129" s="212"/>
      <c r="FIB129" s="212"/>
      <c r="FIC129" s="212"/>
      <c r="FID129" s="212"/>
      <c r="FIE129" s="212"/>
      <c r="FIF129" s="212"/>
      <c r="FIG129" s="212"/>
      <c r="FIH129" s="212"/>
      <c r="FII129" s="212"/>
      <c r="FIJ129" s="212"/>
      <c r="FIK129" s="212"/>
      <c r="FIL129" s="212"/>
      <c r="FIM129" s="212"/>
      <c r="FIN129" s="212"/>
      <c r="FIO129" s="212"/>
      <c r="FIP129" s="212"/>
      <c r="FIQ129" s="212"/>
      <c r="FIR129" s="212"/>
      <c r="FIS129" s="212"/>
      <c r="FIT129" s="212"/>
      <c r="FIU129" s="212"/>
      <c r="FIV129" s="212"/>
      <c r="FIW129" s="212"/>
      <c r="FIX129" s="212"/>
      <c r="FIY129" s="212"/>
      <c r="FIZ129" s="212"/>
      <c r="FJA129" s="212"/>
      <c r="FJB129" s="212"/>
      <c r="FJC129" s="212"/>
      <c r="FJD129" s="212"/>
      <c r="FJE129" s="212"/>
      <c r="FJF129" s="212"/>
      <c r="FJG129" s="212"/>
      <c r="FJH129" s="212"/>
      <c r="FJI129" s="212"/>
      <c r="FJJ129" s="212"/>
      <c r="FJK129" s="212"/>
      <c r="FJL129" s="212"/>
      <c r="FJM129" s="212"/>
      <c r="FJN129" s="212"/>
      <c r="FJO129" s="212"/>
      <c r="FJP129" s="212"/>
      <c r="FJQ129" s="212"/>
      <c r="FJR129" s="212"/>
      <c r="FJS129" s="212"/>
      <c r="FJT129" s="212"/>
      <c r="FJU129" s="212"/>
      <c r="FJV129" s="212"/>
      <c r="FJW129" s="212"/>
      <c r="FJX129" s="212"/>
      <c r="FJY129" s="212"/>
      <c r="FJZ129" s="212"/>
      <c r="FKA129" s="212"/>
      <c r="FKB129" s="212"/>
      <c r="FKC129" s="212"/>
      <c r="FKD129" s="212"/>
      <c r="FKE129" s="212"/>
      <c r="FKF129" s="212"/>
      <c r="FKG129" s="212"/>
      <c r="FKH129" s="212"/>
      <c r="FKI129" s="212"/>
      <c r="FKJ129" s="212"/>
      <c r="FKK129" s="212"/>
      <c r="FKL129" s="212"/>
      <c r="FKM129" s="212"/>
      <c r="FKN129" s="212"/>
      <c r="FKO129" s="212"/>
      <c r="FKP129" s="212"/>
      <c r="FKQ129" s="212"/>
      <c r="FKR129" s="212"/>
      <c r="FKS129" s="212"/>
      <c r="FKT129" s="212"/>
      <c r="FKU129" s="212"/>
      <c r="FKV129" s="212"/>
      <c r="FKW129" s="212"/>
      <c r="FKX129" s="212"/>
      <c r="FKY129" s="212"/>
      <c r="FKZ129" s="212"/>
      <c r="FLA129" s="212"/>
      <c r="FLB129" s="212"/>
      <c r="FLC129" s="212"/>
      <c r="FLD129" s="212"/>
      <c r="FLE129" s="212"/>
      <c r="FLF129" s="212"/>
      <c r="FLG129" s="212"/>
      <c r="FLH129" s="212"/>
      <c r="FLI129" s="212"/>
      <c r="FLJ129" s="212"/>
      <c r="FLK129" s="212"/>
      <c r="FLL129" s="212"/>
      <c r="FLM129" s="212"/>
      <c r="FLN129" s="212"/>
      <c r="FLO129" s="212"/>
      <c r="FLP129" s="212"/>
      <c r="FLQ129" s="212"/>
      <c r="FLR129" s="212"/>
      <c r="FLS129" s="212"/>
      <c r="FLT129" s="212"/>
      <c r="FLU129" s="212"/>
      <c r="FLV129" s="212"/>
      <c r="FLW129" s="212"/>
      <c r="FLX129" s="212"/>
      <c r="FLY129" s="212"/>
      <c r="FLZ129" s="212"/>
      <c r="FMA129" s="212"/>
      <c r="FMB129" s="212"/>
      <c r="FMC129" s="212"/>
      <c r="FMD129" s="212"/>
      <c r="FME129" s="212"/>
      <c r="FMF129" s="212"/>
      <c r="FMG129" s="212"/>
      <c r="FMH129" s="212"/>
      <c r="FMI129" s="212"/>
      <c r="FMJ129" s="212"/>
      <c r="FMK129" s="212"/>
      <c r="FML129" s="212"/>
      <c r="FMM129" s="212"/>
      <c r="FMN129" s="212"/>
      <c r="FMO129" s="212"/>
      <c r="FMP129" s="212"/>
      <c r="FMQ129" s="212"/>
      <c r="FMR129" s="212"/>
      <c r="FMS129" s="212"/>
      <c r="FMT129" s="212"/>
      <c r="FMU129" s="212"/>
      <c r="FMV129" s="212"/>
      <c r="FMW129" s="212"/>
      <c r="FMX129" s="212"/>
      <c r="FMY129" s="212"/>
      <c r="FMZ129" s="212"/>
      <c r="FNA129" s="212"/>
      <c r="FNB129" s="212"/>
      <c r="FNC129" s="212"/>
      <c r="FND129" s="212"/>
      <c r="FNE129" s="212"/>
      <c r="FNF129" s="212"/>
      <c r="FNG129" s="212"/>
      <c r="FNH129" s="212"/>
      <c r="FNI129" s="212"/>
      <c r="FNJ129" s="212"/>
      <c r="FNK129" s="212"/>
      <c r="FNL129" s="212"/>
      <c r="FNM129" s="212"/>
      <c r="FNN129" s="212"/>
      <c r="FNO129" s="212"/>
      <c r="FNP129" s="212"/>
      <c r="FNQ129" s="212"/>
      <c r="FNR129" s="212"/>
      <c r="FNS129" s="212"/>
      <c r="FNT129" s="212"/>
      <c r="FNU129" s="212"/>
      <c r="FNV129" s="212"/>
      <c r="FNW129" s="212"/>
      <c r="FNX129" s="212"/>
      <c r="FNY129" s="212"/>
      <c r="FNZ129" s="212"/>
      <c r="FOA129" s="212"/>
      <c r="FOB129" s="212"/>
      <c r="FOC129" s="212"/>
      <c r="FOD129" s="212"/>
      <c r="FOE129" s="212"/>
      <c r="FOF129" s="212"/>
      <c r="FOG129" s="212"/>
      <c r="FOH129" s="212"/>
      <c r="FOI129" s="212"/>
      <c r="FOJ129" s="212"/>
      <c r="FOK129" s="212"/>
      <c r="FOL129" s="212"/>
      <c r="FOM129" s="212"/>
      <c r="FON129" s="212"/>
      <c r="FOO129" s="212"/>
      <c r="FOP129" s="212"/>
      <c r="FOQ129" s="212"/>
      <c r="FOR129" s="212"/>
      <c r="FOS129" s="212"/>
      <c r="FOT129" s="212"/>
      <c r="FOU129" s="212"/>
      <c r="FOV129" s="212"/>
      <c r="FOW129" s="212"/>
      <c r="FOX129" s="212"/>
      <c r="FOY129" s="212"/>
      <c r="FOZ129" s="212"/>
      <c r="FPA129" s="212"/>
      <c r="FPB129" s="212"/>
      <c r="FPC129" s="212"/>
      <c r="FPD129" s="212"/>
      <c r="FPE129" s="212"/>
      <c r="FPF129" s="212"/>
      <c r="FPG129" s="212"/>
      <c r="FPH129" s="212"/>
      <c r="FPI129" s="212"/>
      <c r="FPJ129" s="212"/>
      <c r="FPK129" s="212"/>
      <c r="FPL129" s="212"/>
      <c r="FPM129" s="212"/>
      <c r="FPN129" s="212"/>
      <c r="FPO129" s="212"/>
      <c r="FPP129" s="212"/>
      <c r="FPQ129" s="212"/>
      <c r="FPR129" s="212"/>
      <c r="FPS129" s="212"/>
      <c r="FPT129" s="212"/>
      <c r="FPU129" s="212"/>
      <c r="FPV129" s="212"/>
      <c r="FPW129" s="212"/>
      <c r="FPX129" s="212"/>
      <c r="FPY129" s="212"/>
      <c r="FPZ129" s="212"/>
      <c r="FQA129" s="212"/>
      <c r="FQB129" s="212"/>
      <c r="FQC129" s="212"/>
      <c r="FQD129" s="212"/>
      <c r="FQE129" s="212"/>
      <c r="FQF129" s="212"/>
      <c r="FQG129" s="212"/>
      <c r="FQH129" s="212"/>
      <c r="FQI129" s="212"/>
      <c r="FQJ129" s="212"/>
      <c r="FQK129" s="212"/>
      <c r="FQL129" s="212"/>
      <c r="FQM129" s="212"/>
      <c r="FQN129" s="212"/>
      <c r="FQO129" s="212"/>
      <c r="FQP129" s="212"/>
      <c r="FQQ129" s="212"/>
      <c r="FQR129" s="212"/>
      <c r="FQS129" s="212"/>
      <c r="FQT129" s="212"/>
      <c r="FQU129" s="212"/>
      <c r="FQV129" s="212"/>
      <c r="FQW129" s="212"/>
      <c r="FQX129" s="212"/>
      <c r="FQY129" s="212"/>
      <c r="FQZ129" s="212"/>
      <c r="FRA129" s="212"/>
      <c r="FRB129" s="212"/>
      <c r="FRC129" s="212"/>
      <c r="FRD129" s="212"/>
      <c r="FRE129" s="212"/>
      <c r="FRF129" s="212"/>
      <c r="FRG129" s="212"/>
      <c r="FRH129" s="212"/>
      <c r="FRI129" s="212"/>
      <c r="FRJ129" s="212"/>
      <c r="FRK129" s="212"/>
      <c r="FRL129" s="212"/>
      <c r="FRM129" s="212"/>
      <c r="FRN129" s="212"/>
      <c r="FRO129" s="212"/>
      <c r="FRP129" s="212"/>
      <c r="FRQ129" s="212"/>
      <c r="FRR129" s="212"/>
      <c r="FRS129" s="212"/>
      <c r="FRT129" s="212"/>
      <c r="FRU129" s="212"/>
      <c r="FRV129" s="212"/>
      <c r="FRW129" s="212"/>
      <c r="FRX129" s="212"/>
      <c r="FRY129" s="212"/>
      <c r="FRZ129" s="212"/>
      <c r="FSA129" s="212"/>
      <c r="FSB129" s="212"/>
      <c r="FSC129" s="212"/>
      <c r="FSD129" s="212"/>
      <c r="FSE129" s="212"/>
      <c r="FSF129" s="212"/>
      <c r="FSG129" s="212"/>
      <c r="FSH129" s="212"/>
      <c r="FSI129" s="212"/>
      <c r="FSJ129" s="212"/>
      <c r="FSK129" s="212"/>
      <c r="FSL129" s="212"/>
      <c r="FSM129" s="212"/>
      <c r="FSN129" s="212"/>
      <c r="FSO129" s="212"/>
      <c r="FSP129" s="212"/>
      <c r="FSQ129" s="212"/>
      <c r="FSR129" s="212"/>
      <c r="FSS129" s="212"/>
      <c r="FST129" s="212"/>
      <c r="FSU129" s="212"/>
      <c r="FSV129" s="212"/>
      <c r="FSW129" s="212"/>
      <c r="FSX129" s="212"/>
      <c r="FSY129" s="212"/>
      <c r="FSZ129" s="212"/>
      <c r="FTA129" s="212"/>
      <c r="FTB129" s="212"/>
      <c r="FTC129" s="212"/>
      <c r="FTD129" s="212"/>
      <c r="FTE129" s="212"/>
      <c r="FTF129" s="212"/>
      <c r="FTG129" s="212"/>
      <c r="FTH129" s="212"/>
      <c r="FTI129" s="212"/>
      <c r="FTJ129" s="212"/>
      <c r="FTK129" s="212"/>
      <c r="FTL129" s="212"/>
      <c r="FTM129" s="212"/>
      <c r="FTN129" s="212"/>
      <c r="FTO129" s="212"/>
      <c r="FTP129" s="212"/>
      <c r="FTQ129" s="212"/>
      <c r="FTR129" s="212"/>
      <c r="FTS129" s="212"/>
      <c r="FTT129" s="212"/>
      <c r="FTU129" s="212"/>
      <c r="FTV129" s="212"/>
      <c r="FTW129" s="212"/>
      <c r="FTX129" s="212"/>
      <c r="FTY129" s="212"/>
      <c r="FTZ129" s="212"/>
      <c r="FUA129" s="212"/>
      <c r="FUB129" s="212"/>
      <c r="FUC129" s="212"/>
      <c r="FUD129" s="212"/>
      <c r="FUE129" s="212"/>
      <c r="FUF129" s="212"/>
      <c r="FUG129" s="212"/>
      <c r="FUH129" s="212"/>
      <c r="FUI129" s="212"/>
      <c r="FUJ129" s="212"/>
      <c r="FUK129" s="212"/>
      <c r="FUL129" s="212"/>
      <c r="FUM129" s="212"/>
      <c r="FUN129" s="212"/>
      <c r="FUO129" s="212"/>
      <c r="FUP129" s="212"/>
      <c r="FUQ129" s="212"/>
      <c r="FUR129" s="212"/>
      <c r="FUS129" s="212"/>
      <c r="FUT129" s="212"/>
      <c r="FUU129" s="212"/>
      <c r="FUV129" s="212"/>
      <c r="FUW129" s="212"/>
      <c r="FUX129" s="212"/>
      <c r="FUY129" s="212"/>
      <c r="FUZ129" s="212"/>
      <c r="FVA129" s="212"/>
      <c r="FVB129" s="212"/>
      <c r="FVC129" s="212"/>
      <c r="FVD129" s="212"/>
      <c r="FVE129" s="212"/>
      <c r="FVF129" s="212"/>
      <c r="FVG129" s="212"/>
      <c r="FVH129" s="212"/>
      <c r="FVI129" s="212"/>
      <c r="FVJ129" s="212"/>
      <c r="FVK129" s="212"/>
      <c r="FVL129" s="212"/>
      <c r="FVM129" s="212"/>
      <c r="FVN129" s="212"/>
      <c r="FVO129" s="212"/>
      <c r="FVP129" s="212"/>
      <c r="FVQ129" s="212"/>
      <c r="FVR129" s="212"/>
      <c r="FVS129" s="212"/>
      <c r="FVT129" s="212"/>
      <c r="FVU129" s="212"/>
      <c r="FVV129" s="212"/>
      <c r="FVW129" s="212"/>
      <c r="FVX129" s="212"/>
      <c r="FVY129" s="212"/>
      <c r="FVZ129" s="212"/>
      <c r="FWA129" s="212"/>
      <c r="FWB129" s="212"/>
      <c r="FWC129" s="212"/>
      <c r="FWD129" s="212"/>
      <c r="FWE129" s="212"/>
      <c r="FWF129" s="212"/>
      <c r="FWG129" s="212"/>
      <c r="FWH129" s="212"/>
      <c r="FWI129" s="212"/>
      <c r="FWJ129" s="212"/>
      <c r="FWK129" s="212"/>
      <c r="FWL129" s="212"/>
      <c r="FWM129" s="212"/>
      <c r="FWN129" s="212"/>
      <c r="FWO129" s="212"/>
      <c r="FWP129" s="212"/>
      <c r="FWQ129" s="212"/>
      <c r="FWR129" s="212"/>
      <c r="FWS129" s="212"/>
      <c r="FWT129" s="212"/>
      <c r="FWU129" s="212"/>
      <c r="FWV129" s="212"/>
      <c r="FWW129" s="212"/>
      <c r="FWX129" s="212"/>
      <c r="FWY129" s="212"/>
      <c r="FWZ129" s="212"/>
      <c r="FXA129" s="212"/>
      <c r="FXB129" s="212"/>
      <c r="FXC129" s="212"/>
      <c r="FXD129" s="212"/>
      <c r="FXE129" s="212"/>
      <c r="FXF129" s="212"/>
      <c r="FXG129" s="212"/>
      <c r="FXH129" s="212"/>
      <c r="FXI129" s="212"/>
      <c r="FXJ129" s="212"/>
      <c r="FXK129" s="212"/>
      <c r="FXL129" s="212"/>
      <c r="FXM129" s="212"/>
      <c r="FXN129" s="212"/>
      <c r="FXO129" s="212"/>
      <c r="FXP129" s="212"/>
      <c r="FXQ129" s="212"/>
      <c r="FXR129" s="212"/>
      <c r="FXS129" s="212"/>
      <c r="FXT129" s="212"/>
      <c r="FXU129" s="212"/>
      <c r="FXV129" s="212"/>
      <c r="FXW129" s="212"/>
      <c r="FXX129" s="212"/>
      <c r="FXY129" s="212"/>
      <c r="FXZ129" s="212"/>
      <c r="FYA129" s="212"/>
      <c r="FYB129" s="212"/>
      <c r="FYC129" s="212"/>
      <c r="FYD129" s="212"/>
      <c r="FYE129" s="212"/>
      <c r="FYF129" s="212"/>
      <c r="FYG129" s="212"/>
      <c r="FYH129" s="212"/>
      <c r="FYI129" s="212"/>
      <c r="FYJ129" s="212"/>
      <c r="FYK129" s="212"/>
      <c r="FYL129" s="212"/>
      <c r="FYM129" s="212"/>
      <c r="FYN129" s="212"/>
      <c r="FYO129" s="212"/>
      <c r="FYP129" s="212"/>
      <c r="FYQ129" s="212"/>
      <c r="FYR129" s="212"/>
      <c r="FYS129" s="212"/>
      <c r="FYT129" s="212"/>
      <c r="FYU129" s="212"/>
      <c r="FYV129" s="212"/>
      <c r="FYW129" s="212"/>
      <c r="FYX129" s="212"/>
      <c r="FYY129" s="212"/>
      <c r="FYZ129" s="212"/>
      <c r="FZA129" s="212"/>
      <c r="FZB129" s="212"/>
      <c r="FZC129" s="212"/>
      <c r="FZD129" s="212"/>
      <c r="FZE129" s="212"/>
      <c r="FZF129" s="212"/>
      <c r="FZG129" s="212"/>
      <c r="FZH129" s="212"/>
      <c r="FZI129" s="212"/>
      <c r="FZJ129" s="212"/>
      <c r="FZK129" s="212"/>
      <c r="FZL129" s="212"/>
      <c r="FZM129" s="212"/>
      <c r="FZN129" s="212"/>
      <c r="FZO129" s="212"/>
      <c r="FZP129" s="212"/>
      <c r="FZQ129" s="212"/>
      <c r="FZR129" s="212"/>
      <c r="FZS129" s="212"/>
      <c r="FZT129" s="212"/>
      <c r="FZU129" s="212"/>
      <c r="FZV129" s="212"/>
      <c r="FZW129" s="212"/>
      <c r="FZX129" s="212"/>
      <c r="FZY129" s="212"/>
      <c r="FZZ129" s="212"/>
      <c r="GAA129" s="212"/>
      <c r="GAB129" s="212"/>
      <c r="GAC129" s="212"/>
      <c r="GAD129" s="212"/>
      <c r="GAE129" s="212"/>
      <c r="GAF129" s="212"/>
      <c r="GAG129" s="212"/>
      <c r="GAH129" s="212"/>
      <c r="GAI129" s="212"/>
      <c r="GAJ129" s="212"/>
      <c r="GAK129" s="212"/>
      <c r="GAL129" s="212"/>
      <c r="GAM129" s="212"/>
      <c r="GAN129" s="212"/>
      <c r="GAO129" s="212"/>
      <c r="GAP129" s="212"/>
      <c r="GAQ129" s="212"/>
      <c r="GAR129" s="212"/>
      <c r="GAS129" s="212"/>
      <c r="GAT129" s="212"/>
      <c r="GAU129" s="212"/>
      <c r="GAV129" s="212"/>
      <c r="GAW129" s="212"/>
      <c r="GAX129" s="212"/>
      <c r="GAY129" s="212"/>
      <c r="GAZ129" s="212"/>
      <c r="GBA129" s="212"/>
      <c r="GBB129" s="212"/>
      <c r="GBC129" s="212"/>
      <c r="GBD129" s="212"/>
      <c r="GBE129" s="212"/>
      <c r="GBF129" s="212"/>
      <c r="GBG129" s="212"/>
      <c r="GBH129" s="212"/>
      <c r="GBI129" s="212"/>
      <c r="GBJ129" s="212"/>
      <c r="GBK129" s="212"/>
      <c r="GBL129" s="212"/>
      <c r="GBM129" s="212"/>
      <c r="GBN129" s="212"/>
      <c r="GBO129" s="212"/>
      <c r="GBP129" s="212"/>
      <c r="GBQ129" s="212"/>
      <c r="GBR129" s="212"/>
      <c r="GBS129" s="212"/>
      <c r="GBT129" s="212"/>
      <c r="GBU129" s="212"/>
      <c r="GBV129" s="212"/>
      <c r="GBW129" s="212"/>
      <c r="GBX129" s="212"/>
      <c r="GBY129" s="212"/>
      <c r="GBZ129" s="212"/>
      <c r="GCA129" s="212"/>
      <c r="GCB129" s="212"/>
      <c r="GCC129" s="212"/>
      <c r="GCD129" s="212"/>
      <c r="GCE129" s="212"/>
      <c r="GCF129" s="212"/>
      <c r="GCG129" s="212"/>
      <c r="GCH129" s="212"/>
      <c r="GCI129" s="212"/>
      <c r="GCJ129" s="212"/>
      <c r="GCK129" s="212"/>
      <c r="GCL129" s="212"/>
      <c r="GCM129" s="212"/>
      <c r="GCN129" s="212"/>
      <c r="GCO129" s="212"/>
      <c r="GCP129" s="212"/>
      <c r="GCQ129" s="212"/>
      <c r="GCR129" s="212"/>
      <c r="GCS129" s="212"/>
      <c r="GCT129" s="212"/>
      <c r="GCU129" s="212"/>
      <c r="GCV129" s="212"/>
      <c r="GCW129" s="212"/>
      <c r="GCX129" s="212"/>
      <c r="GCY129" s="212"/>
      <c r="GCZ129" s="212"/>
      <c r="GDA129" s="212"/>
      <c r="GDB129" s="212"/>
      <c r="GDC129" s="212"/>
      <c r="GDD129" s="212"/>
      <c r="GDE129" s="212"/>
      <c r="GDF129" s="212"/>
      <c r="GDG129" s="212"/>
      <c r="GDH129" s="212"/>
      <c r="GDI129" s="212"/>
      <c r="GDJ129" s="212"/>
      <c r="GDK129" s="212"/>
      <c r="GDL129" s="212"/>
      <c r="GDM129" s="212"/>
      <c r="GDN129" s="212"/>
      <c r="GDO129" s="212"/>
      <c r="GDP129" s="212"/>
      <c r="GDQ129" s="212"/>
      <c r="GDR129" s="212"/>
      <c r="GDS129" s="212"/>
      <c r="GDT129" s="212"/>
      <c r="GDU129" s="212"/>
      <c r="GDV129" s="212"/>
      <c r="GDW129" s="212"/>
      <c r="GDX129" s="212"/>
      <c r="GDY129" s="212"/>
      <c r="GDZ129" s="212"/>
      <c r="GEA129" s="212"/>
      <c r="GEB129" s="212"/>
      <c r="GEC129" s="212"/>
      <c r="GED129" s="212"/>
      <c r="GEE129" s="212"/>
      <c r="GEF129" s="212"/>
      <c r="GEG129" s="212"/>
      <c r="GEH129" s="212"/>
      <c r="GEI129" s="212"/>
      <c r="GEJ129" s="212"/>
      <c r="GEK129" s="212"/>
      <c r="GEL129" s="212"/>
      <c r="GEM129" s="212"/>
      <c r="GEN129" s="212"/>
      <c r="GEO129" s="212"/>
      <c r="GEP129" s="212"/>
      <c r="GEQ129" s="212"/>
      <c r="GER129" s="212"/>
      <c r="GES129" s="212"/>
      <c r="GET129" s="212"/>
      <c r="GEU129" s="212"/>
      <c r="GEV129" s="212"/>
      <c r="GEW129" s="212"/>
      <c r="GEX129" s="212"/>
      <c r="GEY129" s="212"/>
      <c r="GEZ129" s="212"/>
      <c r="GFA129" s="212"/>
      <c r="GFB129" s="212"/>
      <c r="GFC129" s="212"/>
      <c r="GFD129" s="212"/>
      <c r="GFE129" s="212"/>
      <c r="GFF129" s="212"/>
      <c r="GFG129" s="212"/>
      <c r="GFH129" s="212"/>
      <c r="GFI129" s="212"/>
      <c r="GFJ129" s="212"/>
      <c r="GFK129" s="212"/>
      <c r="GFL129" s="212"/>
      <c r="GFM129" s="212"/>
      <c r="GFN129" s="212"/>
      <c r="GFO129" s="212"/>
      <c r="GFP129" s="212"/>
      <c r="GFQ129" s="212"/>
      <c r="GFR129" s="212"/>
      <c r="GFS129" s="212"/>
      <c r="GFT129" s="212"/>
      <c r="GFU129" s="212"/>
      <c r="GFV129" s="212"/>
      <c r="GFW129" s="212"/>
      <c r="GFX129" s="212"/>
      <c r="GFY129" s="212"/>
      <c r="GFZ129" s="212"/>
      <c r="GGA129" s="212"/>
      <c r="GGB129" s="212"/>
      <c r="GGC129" s="212"/>
      <c r="GGD129" s="212"/>
      <c r="GGE129" s="212"/>
      <c r="GGF129" s="212"/>
      <c r="GGG129" s="212"/>
      <c r="GGH129" s="212"/>
      <c r="GGI129" s="212"/>
      <c r="GGJ129" s="212"/>
      <c r="GGK129" s="212"/>
      <c r="GGL129" s="212"/>
      <c r="GGM129" s="212"/>
      <c r="GGN129" s="212"/>
      <c r="GGO129" s="212"/>
      <c r="GGP129" s="212"/>
      <c r="GGQ129" s="212"/>
      <c r="GGR129" s="212"/>
      <c r="GGS129" s="212"/>
      <c r="GGT129" s="212"/>
      <c r="GGU129" s="212"/>
      <c r="GGV129" s="212"/>
      <c r="GGW129" s="212"/>
      <c r="GGX129" s="212"/>
      <c r="GGY129" s="212"/>
      <c r="GGZ129" s="212"/>
      <c r="GHA129" s="212"/>
      <c r="GHB129" s="212"/>
      <c r="GHC129" s="212"/>
      <c r="GHD129" s="212"/>
      <c r="GHE129" s="212"/>
      <c r="GHF129" s="212"/>
      <c r="GHG129" s="212"/>
      <c r="GHH129" s="212"/>
      <c r="GHI129" s="212"/>
      <c r="GHJ129" s="212"/>
      <c r="GHK129" s="212"/>
      <c r="GHL129" s="212"/>
      <c r="GHM129" s="212"/>
      <c r="GHN129" s="212"/>
      <c r="GHO129" s="212"/>
      <c r="GHP129" s="212"/>
      <c r="GHQ129" s="212"/>
      <c r="GHR129" s="212"/>
      <c r="GHS129" s="212"/>
      <c r="GHT129" s="212"/>
      <c r="GHU129" s="212"/>
      <c r="GHV129" s="212"/>
      <c r="GHW129" s="212"/>
      <c r="GHX129" s="212"/>
      <c r="GHY129" s="212"/>
      <c r="GHZ129" s="212"/>
      <c r="GIA129" s="212"/>
      <c r="GIB129" s="212"/>
      <c r="GIC129" s="212"/>
      <c r="GID129" s="212"/>
      <c r="GIE129" s="212"/>
      <c r="GIF129" s="212"/>
      <c r="GIG129" s="212"/>
      <c r="GIH129" s="212"/>
      <c r="GII129" s="212"/>
      <c r="GIJ129" s="212"/>
      <c r="GIK129" s="212"/>
      <c r="GIL129" s="212"/>
      <c r="GIM129" s="212"/>
      <c r="GIN129" s="212"/>
      <c r="GIO129" s="212"/>
      <c r="GIP129" s="212"/>
      <c r="GIQ129" s="212"/>
      <c r="GIR129" s="212"/>
      <c r="GIS129" s="212"/>
      <c r="GIT129" s="212"/>
      <c r="GIU129" s="212"/>
      <c r="GIV129" s="212"/>
      <c r="GIW129" s="212"/>
      <c r="GIX129" s="212"/>
      <c r="GIY129" s="212"/>
      <c r="GIZ129" s="212"/>
      <c r="GJA129" s="212"/>
      <c r="GJB129" s="212"/>
      <c r="GJC129" s="212"/>
      <c r="GJD129" s="212"/>
      <c r="GJE129" s="212"/>
      <c r="GJF129" s="212"/>
      <c r="GJG129" s="212"/>
      <c r="GJH129" s="212"/>
      <c r="GJI129" s="212"/>
      <c r="GJJ129" s="212"/>
      <c r="GJK129" s="212"/>
      <c r="GJL129" s="212"/>
      <c r="GJM129" s="212"/>
      <c r="GJN129" s="212"/>
      <c r="GJO129" s="212"/>
      <c r="GJP129" s="212"/>
      <c r="GJQ129" s="212"/>
      <c r="GJR129" s="212"/>
      <c r="GJS129" s="212"/>
      <c r="GJT129" s="212"/>
      <c r="GJU129" s="212"/>
      <c r="GJV129" s="212"/>
      <c r="GJW129" s="212"/>
      <c r="GJX129" s="212"/>
      <c r="GJY129" s="212"/>
      <c r="GJZ129" s="212"/>
      <c r="GKA129" s="212"/>
      <c r="GKB129" s="212"/>
      <c r="GKC129" s="212"/>
      <c r="GKD129" s="212"/>
      <c r="GKE129" s="212"/>
      <c r="GKF129" s="212"/>
      <c r="GKG129" s="212"/>
      <c r="GKH129" s="212"/>
      <c r="GKI129" s="212"/>
      <c r="GKJ129" s="212"/>
      <c r="GKK129" s="212"/>
      <c r="GKL129" s="212"/>
      <c r="GKM129" s="212"/>
      <c r="GKN129" s="212"/>
      <c r="GKO129" s="212"/>
      <c r="GKP129" s="212"/>
      <c r="GKQ129" s="212"/>
      <c r="GKR129" s="212"/>
      <c r="GKS129" s="212"/>
      <c r="GKT129" s="212"/>
      <c r="GKU129" s="212"/>
      <c r="GKV129" s="212"/>
      <c r="GKW129" s="212"/>
      <c r="GKX129" s="212"/>
      <c r="GKY129" s="212"/>
      <c r="GKZ129" s="212"/>
      <c r="GLA129" s="212"/>
      <c r="GLB129" s="212"/>
      <c r="GLC129" s="212"/>
      <c r="GLD129" s="212"/>
      <c r="GLE129" s="212"/>
      <c r="GLF129" s="212"/>
      <c r="GLG129" s="212"/>
      <c r="GLH129" s="212"/>
      <c r="GLI129" s="212"/>
      <c r="GLJ129" s="212"/>
      <c r="GLK129" s="212"/>
      <c r="GLL129" s="212"/>
      <c r="GLM129" s="212"/>
      <c r="GLN129" s="212"/>
      <c r="GLO129" s="212"/>
      <c r="GLP129" s="212"/>
      <c r="GLQ129" s="212"/>
      <c r="GLR129" s="212"/>
      <c r="GLS129" s="212"/>
      <c r="GLT129" s="212"/>
      <c r="GLU129" s="212"/>
      <c r="GLV129" s="212"/>
      <c r="GLW129" s="212"/>
      <c r="GLX129" s="212"/>
      <c r="GLY129" s="212"/>
      <c r="GLZ129" s="212"/>
      <c r="GMA129" s="212"/>
      <c r="GMB129" s="212"/>
      <c r="GMC129" s="212"/>
      <c r="GMD129" s="212"/>
      <c r="GME129" s="212"/>
      <c r="GMF129" s="212"/>
      <c r="GMG129" s="212"/>
      <c r="GMH129" s="212"/>
      <c r="GMI129" s="212"/>
      <c r="GMJ129" s="212"/>
      <c r="GMK129" s="212"/>
      <c r="GML129" s="212"/>
      <c r="GMM129" s="212"/>
      <c r="GMN129" s="212"/>
      <c r="GMO129" s="212"/>
      <c r="GMP129" s="212"/>
      <c r="GMQ129" s="212"/>
      <c r="GMR129" s="212"/>
      <c r="GMS129" s="212"/>
      <c r="GMT129" s="212"/>
      <c r="GMU129" s="212"/>
      <c r="GMV129" s="212"/>
      <c r="GMW129" s="212"/>
      <c r="GMX129" s="212"/>
      <c r="GMY129" s="212"/>
      <c r="GMZ129" s="212"/>
      <c r="GNA129" s="212"/>
      <c r="GNB129" s="212"/>
      <c r="GNC129" s="212"/>
      <c r="GND129" s="212"/>
      <c r="GNE129" s="212"/>
      <c r="GNF129" s="212"/>
      <c r="GNG129" s="212"/>
      <c r="GNH129" s="212"/>
      <c r="GNI129" s="212"/>
      <c r="GNJ129" s="212"/>
      <c r="GNK129" s="212"/>
      <c r="GNL129" s="212"/>
      <c r="GNM129" s="212"/>
      <c r="GNN129" s="212"/>
      <c r="GNO129" s="212"/>
      <c r="GNP129" s="212"/>
      <c r="GNQ129" s="212"/>
      <c r="GNR129" s="212"/>
      <c r="GNS129" s="212"/>
      <c r="GNT129" s="212"/>
      <c r="GNU129" s="212"/>
      <c r="GNV129" s="212"/>
      <c r="GNW129" s="212"/>
      <c r="GNX129" s="212"/>
      <c r="GNY129" s="212"/>
      <c r="GNZ129" s="212"/>
      <c r="GOA129" s="212"/>
      <c r="GOB129" s="212"/>
      <c r="GOC129" s="212"/>
      <c r="GOD129" s="212"/>
      <c r="GOE129" s="212"/>
      <c r="GOF129" s="212"/>
      <c r="GOG129" s="212"/>
      <c r="GOH129" s="212"/>
      <c r="GOI129" s="212"/>
      <c r="GOJ129" s="212"/>
      <c r="GOK129" s="212"/>
      <c r="GOL129" s="212"/>
      <c r="GOM129" s="212"/>
      <c r="GON129" s="212"/>
      <c r="GOO129" s="212"/>
      <c r="GOP129" s="212"/>
      <c r="GOQ129" s="212"/>
      <c r="GOR129" s="212"/>
      <c r="GOS129" s="212"/>
      <c r="GOT129" s="212"/>
      <c r="GOU129" s="212"/>
      <c r="GOV129" s="212"/>
      <c r="GOW129" s="212"/>
      <c r="GOX129" s="212"/>
      <c r="GOY129" s="212"/>
      <c r="GOZ129" s="212"/>
      <c r="GPA129" s="212"/>
      <c r="GPB129" s="212"/>
      <c r="GPC129" s="212"/>
      <c r="GPD129" s="212"/>
      <c r="GPE129" s="212"/>
      <c r="GPF129" s="212"/>
      <c r="GPG129" s="212"/>
      <c r="GPH129" s="212"/>
      <c r="GPI129" s="212"/>
      <c r="GPJ129" s="212"/>
      <c r="GPK129" s="212"/>
      <c r="GPL129" s="212"/>
      <c r="GPM129" s="212"/>
      <c r="GPN129" s="212"/>
      <c r="GPO129" s="212"/>
      <c r="GPP129" s="212"/>
      <c r="GPQ129" s="212"/>
      <c r="GPR129" s="212"/>
      <c r="GPS129" s="212"/>
      <c r="GPT129" s="212"/>
      <c r="GPU129" s="212"/>
      <c r="GPV129" s="212"/>
      <c r="GPW129" s="212"/>
      <c r="GPX129" s="212"/>
      <c r="GPY129" s="212"/>
      <c r="GPZ129" s="212"/>
      <c r="GQA129" s="212"/>
      <c r="GQB129" s="212"/>
      <c r="GQC129" s="212"/>
      <c r="GQD129" s="212"/>
      <c r="GQE129" s="212"/>
      <c r="GQF129" s="212"/>
      <c r="GQG129" s="212"/>
      <c r="GQH129" s="212"/>
      <c r="GQI129" s="212"/>
      <c r="GQJ129" s="212"/>
      <c r="GQK129" s="212"/>
      <c r="GQL129" s="212"/>
      <c r="GQM129" s="212"/>
      <c r="GQN129" s="212"/>
      <c r="GQO129" s="212"/>
      <c r="GQP129" s="212"/>
      <c r="GQQ129" s="212"/>
      <c r="GQR129" s="212"/>
      <c r="GQS129" s="212"/>
      <c r="GQT129" s="212"/>
      <c r="GQU129" s="212"/>
      <c r="GQV129" s="212"/>
      <c r="GQW129" s="212"/>
      <c r="GQX129" s="212"/>
      <c r="GQY129" s="212"/>
      <c r="GQZ129" s="212"/>
      <c r="GRA129" s="212"/>
      <c r="GRB129" s="212"/>
      <c r="GRC129" s="212"/>
      <c r="GRD129" s="212"/>
      <c r="GRE129" s="212"/>
      <c r="GRF129" s="212"/>
      <c r="GRG129" s="212"/>
      <c r="GRH129" s="212"/>
      <c r="GRI129" s="212"/>
      <c r="GRJ129" s="212"/>
      <c r="GRK129" s="212"/>
      <c r="GRL129" s="212"/>
      <c r="GRM129" s="212"/>
      <c r="GRN129" s="212"/>
      <c r="GRO129" s="212"/>
      <c r="GRP129" s="212"/>
      <c r="GRQ129" s="212"/>
      <c r="GRR129" s="212"/>
      <c r="GRS129" s="212"/>
      <c r="GRT129" s="212"/>
      <c r="GRU129" s="212"/>
      <c r="GRV129" s="212"/>
      <c r="GRW129" s="212"/>
      <c r="GRX129" s="212"/>
      <c r="GRY129" s="212"/>
      <c r="GRZ129" s="212"/>
      <c r="GSA129" s="212"/>
      <c r="GSB129" s="212"/>
      <c r="GSC129" s="212"/>
      <c r="GSD129" s="212"/>
      <c r="GSE129" s="212"/>
      <c r="GSF129" s="212"/>
      <c r="GSG129" s="212"/>
      <c r="GSH129" s="212"/>
      <c r="GSI129" s="212"/>
      <c r="GSJ129" s="212"/>
      <c r="GSK129" s="212"/>
      <c r="GSL129" s="212"/>
      <c r="GSM129" s="212"/>
      <c r="GSN129" s="212"/>
      <c r="GSO129" s="212"/>
      <c r="GSP129" s="212"/>
      <c r="GSQ129" s="212"/>
      <c r="GSR129" s="212"/>
      <c r="GSS129" s="212"/>
      <c r="GST129" s="212"/>
      <c r="GSU129" s="212"/>
      <c r="GSV129" s="212"/>
      <c r="GSW129" s="212"/>
      <c r="GSX129" s="212"/>
      <c r="GSY129" s="212"/>
      <c r="GSZ129" s="212"/>
      <c r="GTA129" s="212"/>
      <c r="GTB129" s="212"/>
      <c r="GTC129" s="212"/>
      <c r="GTD129" s="212"/>
      <c r="GTE129" s="212"/>
      <c r="GTF129" s="212"/>
      <c r="GTG129" s="212"/>
      <c r="GTH129" s="212"/>
      <c r="GTI129" s="212"/>
      <c r="GTJ129" s="212"/>
      <c r="GTK129" s="212"/>
      <c r="GTL129" s="212"/>
      <c r="GTM129" s="212"/>
      <c r="GTN129" s="212"/>
      <c r="GTO129" s="212"/>
      <c r="GTP129" s="212"/>
      <c r="GTQ129" s="212"/>
      <c r="GTR129" s="212"/>
      <c r="GTS129" s="212"/>
      <c r="GTT129" s="212"/>
      <c r="GTU129" s="212"/>
      <c r="GTV129" s="212"/>
      <c r="GTW129" s="212"/>
      <c r="GTX129" s="212"/>
      <c r="GTY129" s="212"/>
      <c r="GTZ129" s="212"/>
      <c r="GUA129" s="212"/>
      <c r="GUB129" s="212"/>
      <c r="GUC129" s="212"/>
      <c r="GUD129" s="212"/>
      <c r="GUE129" s="212"/>
      <c r="GUF129" s="212"/>
      <c r="GUG129" s="212"/>
      <c r="GUH129" s="212"/>
      <c r="GUI129" s="212"/>
      <c r="GUJ129" s="212"/>
      <c r="GUK129" s="212"/>
      <c r="GUL129" s="212"/>
      <c r="GUM129" s="212"/>
      <c r="GUN129" s="212"/>
      <c r="GUO129" s="212"/>
      <c r="GUP129" s="212"/>
      <c r="GUQ129" s="212"/>
      <c r="GUR129" s="212"/>
      <c r="GUS129" s="212"/>
      <c r="GUT129" s="212"/>
      <c r="GUU129" s="212"/>
      <c r="GUV129" s="212"/>
      <c r="GUW129" s="212"/>
      <c r="GUX129" s="212"/>
      <c r="GUY129" s="212"/>
      <c r="GUZ129" s="212"/>
      <c r="GVA129" s="212"/>
      <c r="GVB129" s="212"/>
      <c r="GVC129" s="212"/>
      <c r="GVD129" s="212"/>
      <c r="GVE129" s="212"/>
      <c r="GVF129" s="212"/>
      <c r="GVG129" s="212"/>
      <c r="GVH129" s="212"/>
      <c r="GVI129" s="212"/>
      <c r="GVJ129" s="212"/>
      <c r="GVK129" s="212"/>
      <c r="GVL129" s="212"/>
      <c r="GVM129" s="212"/>
      <c r="GVN129" s="212"/>
      <c r="GVO129" s="212"/>
      <c r="GVP129" s="212"/>
      <c r="GVQ129" s="212"/>
      <c r="GVR129" s="212"/>
      <c r="GVS129" s="212"/>
      <c r="GVT129" s="212"/>
      <c r="GVU129" s="212"/>
      <c r="GVV129" s="212"/>
      <c r="GVW129" s="212"/>
      <c r="GVX129" s="212"/>
      <c r="GVY129" s="212"/>
      <c r="GVZ129" s="212"/>
      <c r="GWA129" s="212"/>
      <c r="GWB129" s="212"/>
      <c r="GWC129" s="212"/>
      <c r="GWD129" s="212"/>
      <c r="GWE129" s="212"/>
      <c r="GWF129" s="212"/>
      <c r="GWG129" s="212"/>
      <c r="GWH129" s="212"/>
      <c r="GWI129" s="212"/>
      <c r="GWJ129" s="212"/>
      <c r="GWK129" s="212"/>
      <c r="GWL129" s="212"/>
      <c r="GWM129" s="212"/>
      <c r="GWN129" s="212"/>
      <c r="GWO129" s="212"/>
      <c r="GWP129" s="212"/>
      <c r="GWQ129" s="212"/>
      <c r="GWR129" s="212"/>
      <c r="GWS129" s="212"/>
      <c r="GWT129" s="212"/>
      <c r="GWU129" s="212"/>
      <c r="GWV129" s="212"/>
      <c r="GWW129" s="212"/>
      <c r="GWX129" s="212"/>
      <c r="GWY129" s="212"/>
      <c r="GWZ129" s="212"/>
      <c r="GXA129" s="212"/>
      <c r="GXB129" s="212"/>
      <c r="GXC129" s="212"/>
      <c r="GXD129" s="212"/>
      <c r="GXE129" s="212"/>
      <c r="GXF129" s="212"/>
      <c r="GXG129" s="212"/>
      <c r="GXH129" s="212"/>
      <c r="GXI129" s="212"/>
      <c r="GXJ129" s="212"/>
      <c r="GXK129" s="212"/>
      <c r="GXL129" s="212"/>
      <c r="GXM129" s="212"/>
      <c r="GXN129" s="212"/>
      <c r="GXO129" s="212"/>
      <c r="GXP129" s="212"/>
      <c r="GXQ129" s="212"/>
      <c r="GXR129" s="212"/>
      <c r="GXS129" s="212"/>
      <c r="GXT129" s="212"/>
      <c r="GXU129" s="212"/>
      <c r="GXV129" s="212"/>
      <c r="GXW129" s="212"/>
      <c r="GXX129" s="212"/>
      <c r="GXY129" s="212"/>
      <c r="GXZ129" s="212"/>
      <c r="GYA129" s="212"/>
      <c r="GYB129" s="212"/>
      <c r="GYC129" s="212"/>
      <c r="GYD129" s="212"/>
      <c r="GYE129" s="212"/>
      <c r="GYF129" s="212"/>
      <c r="GYG129" s="212"/>
      <c r="GYH129" s="212"/>
      <c r="GYI129" s="212"/>
      <c r="GYJ129" s="212"/>
      <c r="GYK129" s="212"/>
      <c r="GYL129" s="212"/>
      <c r="GYM129" s="212"/>
      <c r="GYN129" s="212"/>
      <c r="GYO129" s="212"/>
      <c r="GYP129" s="212"/>
      <c r="GYQ129" s="212"/>
      <c r="GYR129" s="212"/>
      <c r="GYS129" s="212"/>
      <c r="GYT129" s="212"/>
      <c r="GYU129" s="212"/>
      <c r="GYV129" s="212"/>
      <c r="GYW129" s="212"/>
      <c r="GYX129" s="212"/>
      <c r="GYY129" s="212"/>
      <c r="GYZ129" s="212"/>
      <c r="GZA129" s="212"/>
      <c r="GZB129" s="212"/>
      <c r="GZC129" s="212"/>
      <c r="GZD129" s="212"/>
      <c r="GZE129" s="212"/>
      <c r="GZF129" s="212"/>
      <c r="GZG129" s="212"/>
      <c r="GZH129" s="212"/>
      <c r="GZI129" s="212"/>
      <c r="GZJ129" s="212"/>
      <c r="GZK129" s="212"/>
      <c r="GZL129" s="212"/>
      <c r="GZM129" s="212"/>
      <c r="GZN129" s="212"/>
      <c r="GZO129" s="212"/>
      <c r="GZP129" s="212"/>
      <c r="GZQ129" s="212"/>
      <c r="GZR129" s="212"/>
      <c r="GZS129" s="212"/>
      <c r="GZT129" s="212"/>
      <c r="GZU129" s="212"/>
      <c r="GZV129" s="212"/>
      <c r="GZW129" s="212"/>
      <c r="GZX129" s="212"/>
      <c r="GZY129" s="212"/>
      <c r="GZZ129" s="212"/>
      <c r="HAA129" s="212"/>
      <c r="HAB129" s="212"/>
      <c r="HAC129" s="212"/>
      <c r="HAD129" s="212"/>
      <c r="HAE129" s="212"/>
      <c r="HAF129" s="212"/>
      <c r="HAG129" s="212"/>
      <c r="HAH129" s="212"/>
      <c r="HAI129" s="212"/>
      <c r="HAJ129" s="212"/>
      <c r="HAK129" s="212"/>
      <c r="HAL129" s="212"/>
      <c r="HAM129" s="212"/>
      <c r="HAN129" s="212"/>
      <c r="HAO129" s="212"/>
      <c r="HAP129" s="212"/>
      <c r="HAQ129" s="212"/>
      <c r="HAR129" s="212"/>
      <c r="HAS129" s="212"/>
      <c r="HAT129" s="212"/>
      <c r="HAU129" s="212"/>
      <c r="HAV129" s="212"/>
      <c r="HAW129" s="212"/>
      <c r="HAX129" s="212"/>
      <c r="HAY129" s="212"/>
      <c r="HAZ129" s="212"/>
      <c r="HBA129" s="212"/>
      <c r="HBB129" s="212"/>
      <c r="HBC129" s="212"/>
      <c r="HBD129" s="212"/>
      <c r="HBE129" s="212"/>
      <c r="HBF129" s="212"/>
      <c r="HBG129" s="212"/>
      <c r="HBH129" s="212"/>
      <c r="HBI129" s="212"/>
      <c r="HBJ129" s="212"/>
      <c r="HBK129" s="212"/>
      <c r="HBL129" s="212"/>
      <c r="HBM129" s="212"/>
      <c r="HBN129" s="212"/>
      <c r="HBO129" s="212"/>
      <c r="HBP129" s="212"/>
      <c r="HBQ129" s="212"/>
      <c r="HBR129" s="212"/>
      <c r="HBS129" s="212"/>
      <c r="HBT129" s="212"/>
      <c r="HBU129" s="212"/>
      <c r="HBV129" s="212"/>
      <c r="HBW129" s="212"/>
      <c r="HBX129" s="212"/>
      <c r="HBY129" s="212"/>
      <c r="HBZ129" s="212"/>
      <c r="HCA129" s="212"/>
      <c r="HCB129" s="212"/>
      <c r="HCC129" s="212"/>
      <c r="HCD129" s="212"/>
      <c r="HCE129" s="212"/>
      <c r="HCF129" s="212"/>
      <c r="HCG129" s="212"/>
      <c r="HCH129" s="212"/>
      <c r="HCI129" s="212"/>
      <c r="HCJ129" s="212"/>
      <c r="HCK129" s="212"/>
      <c r="HCL129" s="212"/>
      <c r="HCM129" s="212"/>
      <c r="HCN129" s="212"/>
      <c r="HCO129" s="212"/>
      <c r="HCP129" s="212"/>
      <c r="HCQ129" s="212"/>
      <c r="HCR129" s="212"/>
      <c r="HCS129" s="212"/>
      <c r="HCT129" s="212"/>
      <c r="HCU129" s="212"/>
      <c r="HCV129" s="212"/>
      <c r="HCW129" s="212"/>
      <c r="HCX129" s="212"/>
      <c r="HCY129" s="212"/>
      <c r="HCZ129" s="212"/>
      <c r="HDA129" s="212"/>
      <c r="HDB129" s="212"/>
      <c r="HDC129" s="212"/>
      <c r="HDD129" s="212"/>
      <c r="HDE129" s="212"/>
      <c r="HDF129" s="212"/>
      <c r="HDG129" s="212"/>
      <c r="HDH129" s="212"/>
      <c r="HDI129" s="212"/>
      <c r="HDJ129" s="212"/>
      <c r="HDK129" s="212"/>
      <c r="HDL129" s="212"/>
      <c r="HDM129" s="212"/>
      <c r="HDN129" s="212"/>
      <c r="HDO129" s="212"/>
      <c r="HDP129" s="212"/>
      <c r="HDQ129" s="212"/>
      <c r="HDR129" s="212"/>
      <c r="HDS129" s="212"/>
      <c r="HDT129" s="212"/>
      <c r="HDU129" s="212"/>
      <c r="HDV129" s="212"/>
      <c r="HDW129" s="212"/>
      <c r="HDX129" s="212"/>
      <c r="HDY129" s="212"/>
      <c r="HDZ129" s="212"/>
      <c r="HEA129" s="212"/>
      <c r="HEB129" s="212"/>
      <c r="HEC129" s="212"/>
      <c r="HED129" s="212"/>
      <c r="HEE129" s="212"/>
      <c r="HEF129" s="212"/>
      <c r="HEG129" s="212"/>
      <c r="HEH129" s="212"/>
      <c r="HEI129" s="212"/>
      <c r="HEJ129" s="212"/>
      <c r="HEK129" s="212"/>
      <c r="HEL129" s="212"/>
      <c r="HEM129" s="212"/>
      <c r="HEN129" s="212"/>
      <c r="HEO129" s="212"/>
      <c r="HEP129" s="212"/>
      <c r="HEQ129" s="212"/>
      <c r="HER129" s="212"/>
      <c r="HES129" s="212"/>
      <c r="HET129" s="212"/>
      <c r="HEU129" s="212"/>
      <c r="HEV129" s="212"/>
      <c r="HEW129" s="212"/>
      <c r="HEX129" s="212"/>
      <c r="HEY129" s="212"/>
      <c r="HEZ129" s="212"/>
      <c r="HFA129" s="212"/>
      <c r="HFB129" s="212"/>
      <c r="HFC129" s="212"/>
      <c r="HFD129" s="212"/>
      <c r="HFE129" s="212"/>
      <c r="HFF129" s="212"/>
      <c r="HFG129" s="212"/>
      <c r="HFH129" s="212"/>
      <c r="HFI129" s="212"/>
      <c r="HFJ129" s="212"/>
      <c r="HFK129" s="212"/>
      <c r="HFL129" s="212"/>
      <c r="HFM129" s="212"/>
      <c r="HFN129" s="212"/>
      <c r="HFO129" s="212"/>
      <c r="HFP129" s="212"/>
      <c r="HFQ129" s="212"/>
      <c r="HFR129" s="212"/>
      <c r="HFS129" s="212"/>
      <c r="HFT129" s="212"/>
      <c r="HFU129" s="212"/>
      <c r="HFV129" s="212"/>
      <c r="HFW129" s="212"/>
      <c r="HFX129" s="212"/>
      <c r="HFY129" s="212"/>
      <c r="HFZ129" s="212"/>
      <c r="HGA129" s="212"/>
      <c r="HGB129" s="212"/>
      <c r="HGC129" s="212"/>
      <c r="HGD129" s="212"/>
      <c r="HGE129" s="212"/>
      <c r="HGF129" s="212"/>
      <c r="HGG129" s="212"/>
      <c r="HGH129" s="212"/>
      <c r="HGI129" s="212"/>
      <c r="HGJ129" s="212"/>
      <c r="HGK129" s="212"/>
      <c r="HGL129" s="212"/>
      <c r="HGM129" s="212"/>
      <c r="HGN129" s="212"/>
      <c r="HGO129" s="212"/>
      <c r="HGP129" s="212"/>
      <c r="HGQ129" s="212"/>
      <c r="HGR129" s="212"/>
      <c r="HGS129" s="212"/>
      <c r="HGT129" s="212"/>
      <c r="HGU129" s="212"/>
      <c r="HGV129" s="212"/>
      <c r="HGW129" s="212"/>
      <c r="HGX129" s="212"/>
      <c r="HGY129" s="212"/>
      <c r="HGZ129" s="212"/>
      <c r="HHA129" s="212"/>
      <c r="HHB129" s="212"/>
      <c r="HHC129" s="212"/>
      <c r="HHD129" s="212"/>
      <c r="HHE129" s="212"/>
      <c r="HHF129" s="212"/>
      <c r="HHG129" s="212"/>
      <c r="HHH129" s="212"/>
      <c r="HHI129" s="212"/>
      <c r="HHJ129" s="212"/>
      <c r="HHK129" s="212"/>
      <c r="HHL129" s="212"/>
      <c r="HHM129" s="212"/>
      <c r="HHN129" s="212"/>
      <c r="HHO129" s="212"/>
      <c r="HHP129" s="212"/>
      <c r="HHQ129" s="212"/>
      <c r="HHR129" s="212"/>
      <c r="HHS129" s="212"/>
      <c r="HHT129" s="212"/>
      <c r="HHU129" s="212"/>
      <c r="HHV129" s="212"/>
      <c r="HHW129" s="212"/>
      <c r="HHX129" s="212"/>
      <c r="HHY129" s="212"/>
      <c r="HHZ129" s="212"/>
      <c r="HIA129" s="212"/>
      <c r="HIB129" s="212"/>
      <c r="HIC129" s="212"/>
      <c r="HID129" s="212"/>
      <c r="HIE129" s="212"/>
      <c r="HIF129" s="212"/>
      <c r="HIG129" s="212"/>
      <c r="HIH129" s="212"/>
      <c r="HII129" s="212"/>
      <c r="HIJ129" s="212"/>
      <c r="HIK129" s="212"/>
      <c r="HIL129" s="212"/>
      <c r="HIM129" s="212"/>
      <c r="HIN129" s="212"/>
      <c r="HIO129" s="212"/>
      <c r="HIP129" s="212"/>
      <c r="HIQ129" s="212"/>
      <c r="HIR129" s="212"/>
      <c r="HIS129" s="212"/>
      <c r="HIT129" s="212"/>
      <c r="HIU129" s="212"/>
      <c r="HIV129" s="212"/>
      <c r="HIW129" s="212"/>
      <c r="HIX129" s="212"/>
      <c r="HIY129" s="212"/>
      <c r="HIZ129" s="212"/>
      <c r="HJA129" s="212"/>
      <c r="HJB129" s="212"/>
      <c r="HJC129" s="212"/>
      <c r="HJD129" s="212"/>
      <c r="HJE129" s="212"/>
      <c r="HJF129" s="212"/>
      <c r="HJG129" s="212"/>
      <c r="HJH129" s="212"/>
      <c r="HJI129" s="212"/>
      <c r="HJJ129" s="212"/>
      <c r="HJK129" s="212"/>
      <c r="HJL129" s="212"/>
      <c r="HJM129" s="212"/>
      <c r="HJN129" s="212"/>
      <c r="HJO129" s="212"/>
      <c r="HJP129" s="212"/>
      <c r="HJQ129" s="212"/>
      <c r="HJR129" s="212"/>
      <c r="HJS129" s="212"/>
      <c r="HJT129" s="212"/>
      <c r="HJU129" s="212"/>
      <c r="HJV129" s="212"/>
      <c r="HJW129" s="212"/>
      <c r="HJX129" s="212"/>
      <c r="HJY129" s="212"/>
      <c r="HJZ129" s="212"/>
      <c r="HKA129" s="212"/>
      <c r="HKB129" s="212"/>
      <c r="HKC129" s="212"/>
      <c r="HKD129" s="212"/>
      <c r="HKE129" s="212"/>
      <c r="HKF129" s="212"/>
      <c r="HKG129" s="212"/>
      <c r="HKH129" s="212"/>
      <c r="HKI129" s="212"/>
      <c r="HKJ129" s="212"/>
      <c r="HKK129" s="212"/>
      <c r="HKL129" s="212"/>
      <c r="HKM129" s="212"/>
      <c r="HKN129" s="212"/>
      <c r="HKO129" s="212"/>
      <c r="HKP129" s="212"/>
      <c r="HKQ129" s="212"/>
      <c r="HKR129" s="212"/>
      <c r="HKS129" s="212"/>
      <c r="HKT129" s="212"/>
      <c r="HKU129" s="212"/>
      <c r="HKV129" s="212"/>
      <c r="HKW129" s="212"/>
      <c r="HKX129" s="212"/>
      <c r="HKY129" s="212"/>
      <c r="HKZ129" s="212"/>
      <c r="HLA129" s="212"/>
      <c r="HLB129" s="212"/>
      <c r="HLC129" s="212"/>
      <c r="HLD129" s="212"/>
      <c r="HLE129" s="212"/>
      <c r="HLF129" s="212"/>
      <c r="HLG129" s="212"/>
      <c r="HLH129" s="212"/>
      <c r="HLI129" s="212"/>
      <c r="HLJ129" s="212"/>
      <c r="HLK129" s="212"/>
      <c r="HLL129" s="212"/>
      <c r="HLM129" s="212"/>
      <c r="HLN129" s="212"/>
      <c r="HLO129" s="212"/>
      <c r="HLP129" s="212"/>
      <c r="HLQ129" s="212"/>
      <c r="HLR129" s="212"/>
      <c r="HLS129" s="212"/>
      <c r="HLT129" s="212"/>
      <c r="HLU129" s="212"/>
      <c r="HLV129" s="212"/>
      <c r="HLW129" s="212"/>
      <c r="HLX129" s="212"/>
      <c r="HLY129" s="212"/>
      <c r="HLZ129" s="212"/>
      <c r="HMA129" s="212"/>
      <c r="HMB129" s="212"/>
      <c r="HMC129" s="212"/>
      <c r="HMD129" s="212"/>
      <c r="HME129" s="212"/>
      <c r="HMF129" s="212"/>
      <c r="HMG129" s="212"/>
      <c r="HMH129" s="212"/>
      <c r="HMI129" s="212"/>
      <c r="HMJ129" s="212"/>
      <c r="HMK129" s="212"/>
      <c r="HML129" s="212"/>
      <c r="HMM129" s="212"/>
      <c r="HMN129" s="212"/>
      <c r="HMO129" s="212"/>
      <c r="HMP129" s="212"/>
      <c r="HMQ129" s="212"/>
      <c r="HMR129" s="212"/>
      <c r="HMS129" s="212"/>
      <c r="HMT129" s="212"/>
      <c r="HMU129" s="212"/>
      <c r="HMV129" s="212"/>
      <c r="HMW129" s="212"/>
      <c r="HMX129" s="212"/>
      <c r="HMY129" s="212"/>
      <c r="HMZ129" s="212"/>
      <c r="HNA129" s="212"/>
      <c r="HNB129" s="212"/>
      <c r="HNC129" s="212"/>
      <c r="HND129" s="212"/>
      <c r="HNE129" s="212"/>
      <c r="HNF129" s="212"/>
      <c r="HNG129" s="212"/>
      <c r="HNH129" s="212"/>
      <c r="HNI129" s="212"/>
      <c r="HNJ129" s="212"/>
      <c r="HNK129" s="212"/>
      <c r="HNL129" s="212"/>
      <c r="HNM129" s="212"/>
      <c r="HNN129" s="212"/>
      <c r="HNO129" s="212"/>
      <c r="HNP129" s="212"/>
      <c r="HNQ129" s="212"/>
      <c r="HNR129" s="212"/>
      <c r="HNS129" s="212"/>
      <c r="HNT129" s="212"/>
      <c r="HNU129" s="212"/>
      <c r="HNV129" s="212"/>
      <c r="HNW129" s="212"/>
      <c r="HNX129" s="212"/>
      <c r="HNY129" s="212"/>
      <c r="HNZ129" s="212"/>
      <c r="HOA129" s="212"/>
      <c r="HOB129" s="212"/>
      <c r="HOC129" s="212"/>
      <c r="HOD129" s="212"/>
      <c r="HOE129" s="212"/>
      <c r="HOF129" s="212"/>
      <c r="HOG129" s="212"/>
      <c r="HOH129" s="212"/>
      <c r="HOI129" s="212"/>
      <c r="HOJ129" s="212"/>
      <c r="HOK129" s="212"/>
      <c r="HOL129" s="212"/>
      <c r="HOM129" s="212"/>
      <c r="HON129" s="212"/>
      <c r="HOO129" s="212"/>
      <c r="HOP129" s="212"/>
      <c r="HOQ129" s="212"/>
      <c r="HOR129" s="212"/>
      <c r="HOS129" s="212"/>
      <c r="HOT129" s="212"/>
      <c r="HOU129" s="212"/>
      <c r="HOV129" s="212"/>
      <c r="HOW129" s="212"/>
      <c r="HOX129" s="212"/>
      <c r="HOY129" s="212"/>
      <c r="HOZ129" s="212"/>
      <c r="HPA129" s="212"/>
      <c r="HPB129" s="212"/>
      <c r="HPC129" s="212"/>
      <c r="HPD129" s="212"/>
      <c r="HPE129" s="212"/>
      <c r="HPF129" s="212"/>
      <c r="HPG129" s="212"/>
      <c r="HPH129" s="212"/>
      <c r="HPI129" s="212"/>
      <c r="HPJ129" s="212"/>
      <c r="HPK129" s="212"/>
      <c r="HPL129" s="212"/>
      <c r="HPM129" s="212"/>
      <c r="HPN129" s="212"/>
      <c r="HPO129" s="212"/>
      <c r="HPP129" s="212"/>
      <c r="HPQ129" s="212"/>
      <c r="HPR129" s="212"/>
      <c r="HPS129" s="212"/>
      <c r="HPT129" s="212"/>
      <c r="HPU129" s="212"/>
      <c r="HPV129" s="212"/>
      <c r="HPW129" s="212"/>
      <c r="HPX129" s="212"/>
      <c r="HPY129" s="212"/>
      <c r="HPZ129" s="212"/>
      <c r="HQA129" s="212"/>
      <c r="HQB129" s="212"/>
      <c r="HQC129" s="212"/>
      <c r="HQD129" s="212"/>
      <c r="HQE129" s="212"/>
      <c r="HQF129" s="212"/>
      <c r="HQG129" s="212"/>
      <c r="HQH129" s="212"/>
      <c r="HQI129" s="212"/>
      <c r="HQJ129" s="212"/>
      <c r="HQK129" s="212"/>
      <c r="HQL129" s="212"/>
      <c r="HQM129" s="212"/>
      <c r="HQN129" s="212"/>
      <c r="HQO129" s="212"/>
      <c r="HQP129" s="212"/>
      <c r="HQQ129" s="212"/>
      <c r="HQR129" s="212"/>
      <c r="HQS129" s="212"/>
      <c r="HQT129" s="212"/>
      <c r="HQU129" s="212"/>
      <c r="HQV129" s="212"/>
      <c r="HQW129" s="212"/>
      <c r="HQX129" s="212"/>
      <c r="HQY129" s="212"/>
      <c r="HQZ129" s="212"/>
      <c r="HRA129" s="212"/>
      <c r="HRB129" s="212"/>
      <c r="HRC129" s="212"/>
      <c r="HRD129" s="212"/>
      <c r="HRE129" s="212"/>
      <c r="HRF129" s="212"/>
      <c r="HRG129" s="212"/>
      <c r="HRH129" s="212"/>
      <c r="HRI129" s="212"/>
      <c r="HRJ129" s="212"/>
      <c r="HRK129" s="212"/>
      <c r="HRL129" s="212"/>
      <c r="HRM129" s="212"/>
      <c r="HRN129" s="212"/>
      <c r="HRO129" s="212"/>
      <c r="HRP129" s="212"/>
      <c r="HRQ129" s="212"/>
      <c r="HRR129" s="212"/>
      <c r="HRS129" s="212"/>
      <c r="HRT129" s="212"/>
      <c r="HRU129" s="212"/>
      <c r="HRV129" s="212"/>
      <c r="HRW129" s="212"/>
      <c r="HRX129" s="212"/>
      <c r="HRY129" s="212"/>
      <c r="HRZ129" s="212"/>
      <c r="HSA129" s="212"/>
      <c r="HSB129" s="212"/>
      <c r="HSC129" s="212"/>
      <c r="HSD129" s="212"/>
      <c r="HSE129" s="212"/>
      <c r="HSF129" s="212"/>
      <c r="HSG129" s="212"/>
      <c r="HSH129" s="212"/>
      <c r="HSI129" s="212"/>
      <c r="HSJ129" s="212"/>
      <c r="HSK129" s="212"/>
      <c r="HSL129" s="212"/>
      <c r="HSM129" s="212"/>
      <c r="HSN129" s="212"/>
      <c r="HSO129" s="212"/>
      <c r="HSP129" s="212"/>
      <c r="HSQ129" s="212"/>
      <c r="HSR129" s="212"/>
      <c r="HSS129" s="212"/>
      <c r="HST129" s="212"/>
      <c r="HSU129" s="212"/>
      <c r="HSV129" s="212"/>
      <c r="HSW129" s="212"/>
      <c r="HSX129" s="212"/>
      <c r="HSY129" s="212"/>
      <c r="HSZ129" s="212"/>
      <c r="HTA129" s="212"/>
      <c r="HTB129" s="212"/>
      <c r="HTC129" s="212"/>
      <c r="HTD129" s="212"/>
      <c r="HTE129" s="212"/>
      <c r="HTF129" s="212"/>
      <c r="HTG129" s="212"/>
      <c r="HTH129" s="212"/>
      <c r="HTI129" s="212"/>
      <c r="HTJ129" s="212"/>
      <c r="HTK129" s="212"/>
      <c r="HTL129" s="212"/>
      <c r="HTM129" s="212"/>
      <c r="HTN129" s="212"/>
      <c r="HTO129" s="212"/>
      <c r="HTP129" s="212"/>
      <c r="HTQ129" s="212"/>
      <c r="HTR129" s="212"/>
      <c r="HTS129" s="212"/>
      <c r="HTT129" s="212"/>
      <c r="HTU129" s="212"/>
      <c r="HTV129" s="212"/>
      <c r="HTW129" s="212"/>
      <c r="HTX129" s="212"/>
      <c r="HTY129" s="212"/>
      <c r="HTZ129" s="212"/>
      <c r="HUA129" s="212"/>
      <c r="HUB129" s="212"/>
      <c r="HUC129" s="212"/>
      <c r="HUD129" s="212"/>
      <c r="HUE129" s="212"/>
      <c r="HUF129" s="212"/>
      <c r="HUG129" s="212"/>
      <c r="HUH129" s="212"/>
      <c r="HUI129" s="212"/>
      <c r="HUJ129" s="212"/>
      <c r="HUK129" s="212"/>
      <c r="HUL129" s="212"/>
      <c r="HUM129" s="212"/>
      <c r="HUN129" s="212"/>
      <c r="HUO129" s="212"/>
      <c r="HUP129" s="212"/>
      <c r="HUQ129" s="212"/>
      <c r="HUR129" s="212"/>
      <c r="HUS129" s="212"/>
      <c r="HUT129" s="212"/>
      <c r="HUU129" s="212"/>
      <c r="HUV129" s="212"/>
      <c r="HUW129" s="212"/>
      <c r="HUX129" s="212"/>
      <c r="HUY129" s="212"/>
      <c r="HUZ129" s="212"/>
      <c r="HVA129" s="212"/>
      <c r="HVB129" s="212"/>
      <c r="HVC129" s="212"/>
      <c r="HVD129" s="212"/>
      <c r="HVE129" s="212"/>
      <c r="HVF129" s="212"/>
      <c r="HVG129" s="212"/>
      <c r="HVH129" s="212"/>
      <c r="HVI129" s="212"/>
      <c r="HVJ129" s="212"/>
      <c r="HVK129" s="212"/>
      <c r="HVL129" s="212"/>
      <c r="HVM129" s="212"/>
      <c r="HVN129" s="212"/>
      <c r="HVO129" s="212"/>
      <c r="HVP129" s="212"/>
      <c r="HVQ129" s="212"/>
      <c r="HVR129" s="212"/>
      <c r="HVS129" s="212"/>
      <c r="HVT129" s="212"/>
      <c r="HVU129" s="212"/>
      <c r="HVV129" s="212"/>
      <c r="HVW129" s="212"/>
      <c r="HVX129" s="212"/>
      <c r="HVY129" s="212"/>
      <c r="HVZ129" s="212"/>
      <c r="HWA129" s="212"/>
      <c r="HWB129" s="212"/>
      <c r="HWC129" s="212"/>
      <c r="HWD129" s="212"/>
      <c r="HWE129" s="212"/>
      <c r="HWF129" s="212"/>
      <c r="HWG129" s="212"/>
      <c r="HWH129" s="212"/>
      <c r="HWI129" s="212"/>
      <c r="HWJ129" s="212"/>
      <c r="HWK129" s="212"/>
      <c r="HWL129" s="212"/>
      <c r="HWM129" s="212"/>
      <c r="HWN129" s="212"/>
      <c r="HWO129" s="212"/>
      <c r="HWP129" s="212"/>
      <c r="HWQ129" s="212"/>
      <c r="HWR129" s="212"/>
      <c r="HWS129" s="212"/>
      <c r="HWT129" s="212"/>
      <c r="HWU129" s="212"/>
      <c r="HWV129" s="212"/>
      <c r="HWW129" s="212"/>
      <c r="HWX129" s="212"/>
      <c r="HWY129" s="212"/>
      <c r="HWZ129" s="212"/>
      <c r="HXA129" s="212"/>
      <c r="HXB129" s="212"/>
      <c r="HXC129" s="212"/>
      <c r="HXD129" s="212"/>
      <c r="HXE129" s="212"/>
      <c r="HXF129" s="212"/>
      <c r="HXG129" s="212"/>
      <c r="HXH129" s="212"/>
      <c r="HXI129" s="212"/>
      <c r="HXJ129" s="212"/>
      <c r="HXK129" s="212"/>
      <c r="HXL129" s="212"/>
      <c r="HXM129" s="212"/>
      <c r="HXN129" s="212"/>
      <c r="HXO129" s="212"/>
      <c r="HXP129" s="212"/>
      <c r="HXQ129" s="212"/>
      <c r="HXR129" s="212"/>
      <c r="HXS129" s="212"/>
      <c r="HXT129" s="212"/>
      <c r="HXU129" s="212"/>
      <c r="HXV129" s="212"/>
      <c r="HXW129" s="212"/>
      <c r="HXX129" s="212"/>
      <c r="HXY129" s="212"/>
      <c r="HXZ129" s="212"/>
      <c r="HYA129" s="212"/>
      <c r="HYB129" s="212"/>
      <c r="HYC129" s="212"/>
      <c r="HYD129" s="212"/>
      <c r="HYE129" s="212"/>
      <c r="HYF129" s="212"/>
      <c r="HYG129" s="212"/>
      <c r="HYH129" s="212"/>
      <c r="HYI129" s="212"/>
      <c r="HYJ129" s="212"/>
      <c r="HYK129" s="212"/>
      <c r="HYL129" s="212"/>
      <c r="HYM129" s="212"/>
      <c r="HYN129" s="212"/>
      <c r="HYO129" s="212"/>
      <c r="HYP129" s="212"/>
      <c r="HYQ129" s="212"/>
      <c r="HYR129" s="212"/>
      <c r="HYS129" s="212"/>
      <c r="HYT129" s="212"/>
      <c r="HYU129" s="212"/>
      <c r="HYV129" s="212"/>
      <c r="HYW129" s="212"/>
      <c r="HYX129" s="212"/>
      <c r="HYY129" s="212"/>
      <c r="HYZ129" s="212"/>
      <c r="HZA129" s="212"/>
      <c r="HZB129" s="212"/>
      <c r="HZC129" s="212"/>
      <c r="HZD129" s="212"/>
      <c r="HZE129" s="212"/>
      <c r="HZF129" s="212"/>
      <c r="HZG129" s="212"/>
      <c r="HZH129" s="212"/>
      <c r="HZI129" s="212"/>
      <c r="HZJ129" s="212"/>
      <c r="HZK129" s="212"/>
      <c r="HZL129" s="212"/>
      <c r="HZM129" s="212"/>
      <c r="HZN129" s="212"/>
      <c r="HZO129" s="212"/>
      <c r="HZP129" s="212"/>
      <c r="HZQ129" s="212"/>
      <c r="HZR129" s="212"/>
      <c r="HZS129" s="212"/>
      <c r="HZT129" s="212"/>
      <c r="HZU129" s="212"/>
      <c r="HZV129" s="212"/>
      <c r="HZW129" s="212"/>
      <c r="HZX129" s="212"/>
      <c r="HZY129" s="212"/>
      <c r="HZZ129" s="212"/>
      <c r="IAA129" s="212"/>
      <c r="IAB129" s="212"/>
      <c r="IAC129" s="212"/>
      <c r="IAD129" s="212"/>
      <c r="IAE129" s="212"/>
      <c r="IAF129" s="212"/>
      <c r="IAG129" s="212"/>
      <c r="IAH129" s="212"/>
      <c r="IAI129" s="212"/>
      <c r="IAJ129" s="212"/>
      <c r="IAK129" s="212"/>
      <c r="IAL129" s="212"/>
      <c r="IAM129" s="212"/>
      <c r="IAN129" s="212"/>
      <c r="IAO129" s="212"/>
      <c r="IAP129" s="212"/>
      <c r="IAQ129" s="212"/>
      <c r="IAR129" s="212"/>
      <c r="IAS129" s="212"/>
      <c r="IAT129" s="212"/>
      <c r="IAU129" s="212"/>
      <c r="IAV129" s="212"/>
      <c r="IAW129" s="212"/>
      <c r="IAX129" s="212"/>
      <c r="IAY129" s="212"/>
      <c r="IAZ129" s="212"/>
      <c r="IBA129" s="212"/>
      <c r="IBB129" s="212"/>
      <c r="IBC129" s="212"/>
      <c r="IBD129" s="212"/>
      <c r="IBE129" s="212"/>
      <c r="IBF129" s="212"/>
      <c r="IBG129" s="212"/>
      <c r="IBH129" s="212"/>
      <c r="IBI129" s="212"/>
      <c r="IBJ129" s="212"/>
      <c r="IBK129" s="212"/>
      <c r="IBL129" s="212"/>
      <c r="IBM129" s="212"/>
      <c r="IBN129" s="212"/>
      <c r="IBO129" s="212"/>
      <c r="IBP129" s="212"/>
      <c r="IBQ129" s="212"/>
      <c r="IBR129" s="212"/>
      <c r="IBS129" s="212"/>
      <c r="IBT129" s="212"/>
      <c r="IBU129" s="212"/>
      <c r="IBV129" s="212"/>
      <c r="IBW129" s="212"/>
      <c r="IBX129" s="212"/>
      <c r="IBY129" s="212"/>
      <c r="IBZ129" s="212"/>
      <c r="ICA129" s="212"/>
      <c r="ICB129" s="212"/>
      <c r="ICC129" s="212"/>
      <c r="ICD129" s="212"/>
      <c r="ICE129" s="212"/>
      <c r="ICF129" s="212"/>
      <c r="ICG129" s="212"/>
      <c r="ICH129" s="212"/>
      <c r="ICI129" s="212"/>
      <c r="ICJ129" s="212"/>
      <c r="ICK129" s="212"/>
      <c r="ICL129" s="212"/>
      <c r="ICM129" s="212"/>
      <c r="ICN129" s="212"/>
      <c r="ICO129" s="212"/>
      <c r="ICP129" s="212"/>
      <c r="ICQ129" s="212"/>
      <c r="ICR129" s="212"/>
      <c r="ICS129" s="212"/>
      <c r="ICT129" s="212"/>
      <c r="ICU129" s="212"/>
      <c r="ICV129" s="212"/>
      <c r="ICW129" s="212"/>
      <c r="ICX129" s="212"/>
      <c r="ICY129" s="212"/>
      <c r="ICZ129" s="212"/>
      <c r="IDA129" s="212"/>
      <c r="IDB129" s="212"/>
      <c r="IDC129" s="212"/>
      <c r="IDD129" s="212"/>
      <c r="IDE129" s="212"/>
      <c r="IDF129" s="212"/>
      <c r="IDG129" s="212"/>
      <c r="IDH129" s="212"/>
      <c r="IDI129" s="212"/>
      <c r="IDJ129" s="212"/>
      <c r="IDK129" s="212"/>
      <c r="IDL129" s="212"/>
      <c r="IDM129" s="212"/>
      <c r="IDN129" s="212"/>
      <c r="IDO129" s="212"/>
      <c r="IDP129" s="212"/>
      <c r="IDQ129" s="212"/>
      <c r="IDR129" s="212"/>
      <c r="IDS129" s="212"/>
      <c r="IDT129" s="212"/>
      <c r="IDU129" s="212"/>
      <c r="IDV129" s="212"/>
      <c r="IDW129" s="212"/>
      <c r="IDX129" s="212"/>
      <c r="IDY129" s="212"/>
      <c r="IDZ129" s="212"/>
      <c r="IEA129" s="212"/>
      <c r="IEB129" s="212"/>
      <c r="IEC129" s="212"/>
      <c r="IED129" s="212"/>
      <c r="IEE129" s="212"/>
      <c r="IEF129" s="212"/>
      <c r="IEG129" s="212"/>
      <c r="IEH129" s="212"/>
      <c r="IEI129" s="212"/>
      <c r="IEJ129" s="212"/>
      <c r="IEK129" s="212"/>
      <c r="IEL129" s="212"/>
      <c r="IEM129" s="212"/>
      <c r="IEN129" s="212"/>
      <c r="IEO129" s="212"/>
      <c r="IEP129" s="212"/>
      <c r="IEQ129" s="212"/>
      <c r="IER129" s="212"/>
      <c r="IES129" s="212"/>
      <c r="IET129" s="212"/>
      <c r="IEU129" s="212"/>
      <c r="IEV129" s="212"/>
      <c r="IEW129" s="212"/>
      <c r="IEX129" s="212"/>
      <c r="IEY129" s="212"/>
      <c r="IEZ129" s="212"/>
      <c r="IFA129" s="212"/>
      <c r="IFB129" s="212"/>
      <c r="IFC129" s="212"/>
      <c r="IFD129" s="212"/>
      <c r="IFE129" s="212"/>
      <c r="IFF129" s="212"/>
      <c r="IFG129" s="212"/>
      <c r="IFH129" s="212"/>
      <c r="IFI129" s="212"/>
      <c r="IFJ129" s="212"/>
      <c r="IFK129" s="212"/>
      <c r="IFL129" s="212"/>
      <c r="IFM129" s="212"/>
      <c r="IFN129" s="212"/>
      <c r="IFO129" s="212"/>
      <c r="IFP129" s="212"/>
      <c r="IFQ129" s="212"/>
      <c r="IFR129" s="212"/>
      <c r="IFS129" s="212"/>
      <c r="IFT129" s="212"/>
      <c r="IFU129" s="212"/>
      <c r="IFV129" s="212"/>
      <c r="IFW129" s="212"/>
      <c r="IFX129" s="212"/>
      <c r="IFY129" s="212"/>
      <c r="IFZ129" s="212"/>
      <c r="IGA129" s="212"/>
      <c r="IGB129" s="212"/>
      <c r="IGC129" s="212"/>
      <c r="IGD129" s="212"/>
      <c r="IGE129" s="212"/>
      <c r="IGF129" s="212"/>
      <c r="IGG129" s="212"/>
      <c r="IGH129" s="212"/>
      <c r="IGI129" s="212"/>
      <c r="IGJ129" s="212"/>
      <c r="IGK129" s="212"/>
      <c r="IGL129" s="212"/>
      <c r="IGM129" s="212"/>
      <c r="IGN129" s="212"/>
      <c r="IGO129" s="212"/>
      <c r="IGP129" s="212"/>
      <c r="IGQ129" s="212"/>
      <c r="IGR129" s="212"/>
      <c r="IGS129" s="212"/>
      <c r="IGT129" s="212"/>
      <c r="IGU129" s="212"/>
      <c r="IGV129" s="212"/>
      <c r="IGW129" s="212"/>
      <c r="IGX129" s="212"/>
      <c r="IGY129" s="212"/>
      <c r="IGZ129" s="212"/>
      <c r="IHA129" s="212"/>
      <c r="IHB129" s="212"/>
      <c r="IHC129" s="212"/>
      <c r="IHD129" s="212"/>
      <c r="IHE129" s="212"/>
      <c r="IHF129" s="212"/>
      <c r="IHG129" s="212"/>
      <c r="IHH129" s="212"/>
      <c r="IHI129" s="212"/>
      <c r="IHJ129" s="212"/>
      <c r="IHK129" s="212"/>
      <c r="IHL129" s="212"/>
      <c r="IHM129" s="212"/>
      <c r="IHN129" s="212"/>
      <c r="IHO129" s="212"/>
      <c r="IHP129" s="212"/>
      <c r="IHQ129" s="212"/>
      <c r="IHR129" s="212"/>
      <c r="IHS129" s="212"/>
      <c r="IHT129" s="212"/>
      <c r="IHU129" s="212"/>
      <c r="IHV129" s="212"/>
      <c r="IHW129" s="212"/>
      <c r="IHX129" s="212"/>
      <c r="IHY129" s="212"/>
      <c r="IHZ129" s="212"/>
      <c r="IIA129" s="212"/>
      <c r="IIB129" s="212"/>
      <c r="IIC129" s="212"/>
      <c r="IID129" s="212"/>
      <c r="IIE129" s="212"/>
      <c r="IIF129" s="212"/>
      <c r="IIG129" s="212"/>
      <c r="IIH129" s="212"/>
      <c r="III129" s="212"/>
      <c r="IIJ129" s="212"/>
      <c r="IIK129" s="212"/>
      <c r="IIL129" s="212"/>
      <c r="IIM129" s="212"/>
      <c r="IIN129" s="212"/>
      <c r="IIO129" s="212"/>
      <c r="IIP129" s="212"/>
      <c r="IIQ129" s="212"/>
      <c r="IIR129" s="212"/>
      <c r="IIS129" s="212"/>
      <c r="IIT129" s="212"/>
      <c r="IIU129" s="212"/>
      <c r="IIV129" s="212"/>
      <c r="IIW129" s="212"/>
      <c r="IIX129" s="212"/>
      <c r="IIY129" s="212"/>
      <c r="IIZ129" s="212"/>
      <c r="IJA129" s="212"/>
      <c r="IJB129" s="212"/>
      <c r="IJC129" s="212"/>
      <c r="IJD129" s="212"/>
      <c r="IJE129" s="212"/>
      <c r="IJF129" s="212"/>
      <c r="IJG129" s="212"/>
      <c r="IJH129" s="212"/>
      <c r="IJI129" s="212"/>
      <c r="IJJ129" s="212"/>
      <c r="IJK129" s="212"/>
      <c r="IJL129" s="212"/>
      <c r="IJM129" s="212"/>
      <c r="IJN129" s="212"/>
      <c r="IJO129" s="212"/>
      <c r="IJP129" s="212"/>
      <c r="IJQ129" s="212"/>
      <c r="IJR129" s="212"/>
      <c r="IJS129" s="212"/>
      <c r="IJT129" s="212"/>
      <c r="IJU129" s="212"/>
      <c r="IJV129" s="212"/>
      <c r="IJW129" s="212"/>
      <c r="IJX129" s="212"/>
      <c r="IJY129" s="212"/>
      <c r="IJZ129" s="212"/>
      <c r="IKA129" s="212"/>
      <c r="IKB129" s="212"/>
      <c r="IKC129" s="212"/>
      <c r="IKD129" s="212"/>
      <c r="IKE129" s="212"/>
      <c r="IKF129" s="212"/>
      <c r="IKG129" s="212"/>
      <c r="IKH129" s="212"/>
      <c r="IKI129" s="212"/>
      <c r="IKJ129" s="212"/>
      <c r="IKK129" s="212"/>
      <c r="IKL129" s="212"/>
      <c r="IKM129" s="212"/>
      <c r="IKN129" s="212"/>
      <c r="IKO129" s="212"/>
      <c r="IKP129" s="212"/>
      <c r="IKQ129" s="212"/>
      <c r="IKR129" s="212"/>
      <c r="IKS129" s="212"/>
      <c r="IKT129" s="212"/>
      <c r="IKU129" s="212"/>
      <c r="IKV129" s="212"/>
      <c r="IKW129" s="212"/>
      <c r="IKX129" s="212"/>
      <c r="IKY129" s="212"/>
      <c r="IKZ129" s="212"/>
      <c r="ILA129" s="212"/>
      <c r="ILB129" s="212"/>
      <c r="ILC129" s="212"/>
      <c r="ILD129" s="212"/>
      <c r="ILE129" s="212"/>
      <c r="ILF129" s="212"/>
      <c r="ILG129" s="212"/>
      <c r="ILH129" s="212"/>
      <c r="ILI129" s="212"/>
      <c r="ILJ129" s="212"/>
      <c r="ILK129" s="212"/>
      <c r="ILL129" s="212"/>
      <c r="ILM129" s="212"/>
      <c r="ILN129" s="212"/>
      <c r="ILO129" s="212"/>
      <c r="ILP129" s="212"/>
      <c r="ILQ129" s="212"/>
      <c r="ILR129" s="212"/>
      <c r="ILS129" s="212"/>
      <c r="ILT129" s="212"/>
      <c r="ILU129" s="212"/>
      <c r="ILV129" s="212"/>
      <c r="ILW129" s="212"/>
      <c r="ILX129" s="212"/>
      <c r="ILY129" s="212"/>
      <c r="ILZ129" s="212"/>
      <c r="IMA129" s="212"/>
      <c r="IMB129" s="212"/>
      <c r="IMC129" s="212"/>
      <c r="IMD129" s="212"/>
      <c r="IME129" s="212"/>
      <c r="IMF129" s="212"/>
      <c r="IMG129" s="212"/>
      <c r="IMH129" s="212"/>
      <c r="IMI129" s="212"/>
      <c r="IMJ129" s="212"/>
      <c r="IMK129" s="212"/>
      <c r="IML129" s="212"/>
      <c r="IMM129" s="212"/>
      <c r="IMN129" s="212"/>
      <c r="IMO129" s="212"/>
      <c r="IMP129" s="212"/>
      <c r="IMQ129" s="212"/>
      <c r="IMR129" s="212"/>
      <c r="IMS129" s="212"/>
      <c r="IMT129" s="212"/>
      <c r="IMU129" s="212"/>
      <c r="IMV129" s="212"/>
      <c r="IMW129" s="212"/>
      <c r="IMX129" s="212"/>
      <c r="IMY129" s="212"/>
      <c r="IMZ129" s="212"/>
      <c r="INA129" s="212"/>
      <c r="INB129" s="212"/>
      <c r="INC129" s="212"/>
      <c r="IND129" s="212"/>
      <c r="INE129" s="212"/>
      <c r="INF129" s="212"/>
      <c r="ING129" s="212"/>
      <c r="INH129" s="212"/>
      <c r="INI129" s="212"/>
      <c r="INJ129" s="212"/>
      <c r="INK129" s="212"/>
      <c r="INL129" s="212"/>
      <c r="INM129" s="212"/>
      <c r="INN129" s="212"/>
      <c r="INO129" s="212"/>
      <c r="INP129" s="212"/>
      <c r="INQ129" s="212"/>
      <c r="INR129" s="212"/>
      <c r="INS129" s="212"/>
      <c r="INT129" s="212"/>
      <c r="INU129" s="212"/>
      <c r="INV129" s="212"/>
      <c r="INW129" s="212"/>
      <c r="INX129" s="212"/>
      <c r="INY129" s="212"/>
      <c r="INZ129" s="212"/>
      <c r="IOA129" s="212"/>
      <c r="IOB129" s="212"/>
      <c r="IOC129" s="212"/>
      <c r="IOD129" s="212"/>
      <c r="IOE129" s="212"/>
      <c r="IOF129" s="212"/>
      <c r="IOG129" s="212"/>
      <c r="IOH129" s="212"/>
      <c r="IOI129" s="212"/>
      <c r="IOJ129" s="212"/>
      <c r="IOK129" s="212"/>
      <c r="IOL129" s="212"/>
      <c r="IOM129" s="212"/>
      <c r="ION129" s="212"/>
      <c r="IOO129" s="212"/>
      <c r="IOP129" s="212"/>
      <c r="IOQ129" s="212"/>
      <c r="IOR129" s="212"/>
      <c r="IOS129" s="212"/>
      <c r="IOT129" s="212"/>
      <c r="IOU129" s="212"/>
      <c r="IOV129" s="212"/>
      <c r="IOW129" s="212"/>
      <c r="IOX129" s="212"/>
      <c r="IOY129" s="212"/>
      <c r="IOZ129" s="212"/>
      <c r="IPA129" s="212"/>
      <c r="IPB129" s="212"/>
      <c r="IPC129" s="212"/>
      <c r="IPD129" s="212"/>
      <c r="IPE129" s="212"/>
      <c r="IPF129" s="212"/>
      <c r="IPG129" s="212"/>
      <c r="IPH129" s="212"/>
      <c r="IPI129" s="212"/>
      <c r="IPJ129" s="212"/>
      <c r="IPK129" s="212"/>
      <c r="IPL129" s="212"/>
      <c r="IPM129" s="212"/>
      <c r="IPN129" s="212"/>
      <c r="IPO129" s="212"/>
      <c r="IPP129" s="212"/>
      <c r="IPQ129" s="212"/>
      <c r="IPR129" s="212"/>
      <c r="IPS129" s="212"/>
      <c r="IPT129" s="212"/>
      <c r="IPU129" s="212"/>
      <c r="IPV129" s="212"/>
      <c r="IPW129" s="212"/>
      <c r="IPX129" s="212"/>
      <c r="IPY129" s="212"/>
      <c r="IPZ129" s="212"/>
      <c r="IQA129" s="212"/>
      <c r="IQB129" s="212"/>
      <c r="IQC129" s="212"/>
      <c r="IQD129" s="212"/>
      <c r="IQE129" s="212"/>
      <c r="IQF129" s="212"/>
      <c r="IQG129" s="212"/>
      <c r="IQH129" s="212"/>
      <c r="IQI129" s="212"/>
      <c r="IQJ129" s="212"/>
      <c r="IQK129" s="212"/>
      <c r="IQL129" s="212"/>
      <c r="IQM129" s="212"/>
      <c r="IQN129" s="212"/>
      <c r="IQO129" s="212"/>
      <c r="IQP129" s="212"/>
      <c r="IQQ129" s="212"/>
      <c r="IQR129" s="212"/>
      <c r="IQS129" s="212"/>
      <c r="IQT129" s="212"/>
      <c r="IQU129" s="212"/>
      <c r="IQV129" s="212"/>
      <c r="IQW129" s="212"/>
      <c r="IQX129" s="212"/>
      <c r="IQY129" s="212"/>
      <c r="IQZ129" s="212"/>
      <c r="IRA129" s="212"/>
      <c r="IRB129" s="212"/>
      <c r="IRC129" s="212"/>
      <c r="IRD129" s="212"/>
      <c r="IRE129" s="212"/>
      <c r="IRF129" s="212"/>
      <c r="IRG129" s="212"/>
      <c r="IRH129" s="212"/>
      <c r="IRI129" s="212"/>
      <c r="IRJ129" s="212"/>
      <c r="IRK129" s="212"/>
      <c r="IRL129" s="212"/>
      <c r="IRM129" s="212"/>
      <c r="IRN129" s="212"/>
      <c r="IRO129" s="212"/>
      <c r="IRP129" s="212"/>
      <c r="IRQ129" s="212"/>
      <c r="IRR129" s="212"/>
      <c r="IRS129" s="212"/>
      <c r="IRT129" s="212"/>
      <c r="IRU129" s="212"/>
      <c r="IRV129" s="212"/>
      <c r="IRW129" s="212"/>
      <c r="IRX129" s="212"/>
      <c r="IRY129" s="212"/>
      <c r="IRZ129" s="212"/>
      <c r="ISA129" s="212"/>
      <c r="ISB129" s="212"/>
      <c r="ISC129" s="212"/>
      <c r="ISD129" s="212"/>
      <c r="ISE129" s="212"/>
      <c r="ISF129" s="212"/>
      <c r="ISG129" s="212"/>
      <c r="ISH129" s="212"/>
      <c r="ISI129" s="212"/>
      <c r="ISJ129" s="212"/>
      <c r="ISK129" s="212"/>
      <c r="ISL129" s="212"/>
      <c r="ISM129" s="212"/>
      <c r="ISN129" s="212"/>
      <c r="ISO129" s="212"/>
      <c r="ISP129" s="212"/>
      <c r="ISQ129" s="212"/>
      <c r="ISR129" s="212"/>
      <c r="ISS129" s="212"/>
      <c r="IST129" s="212"/>
      <c r="ISU129" s="212"/>
      <c r="ISV129" s="212"/>
      <c r="ISW129" s="212"/>
      <c r="ISX129" s="212"/>
      <c r="ISY129" s="212"/>
      <c r="ISZ129" s="212"/>
      <c r="ITA129" s="212"/>
      <c r="ITB129" s="212"/>
      <c r="ITC129" s="212"/>
      <c r="ITD129" s="212"/>
      <c r="ITE129" s="212"/>
      <c r="ITF129" s="212"/>
      <c r="ITG129" s="212"/>
      <c r="ITH129" s="212"/>
      <c r="ITI129" s="212"/>
      <c r="ITJ129" s="212"/>
      <c r="ITK129" s="212"/>
      <c r="ITL129" s="212"/>
      <c r="ITM129" s="212"/>
      <c r="ITN129" s="212"/>
      <c r="ITO129" s="212"/>
      <c r="ITP129" s="212"/>
      <c r="ITQ129" s="212"/>
      <c r="ITR129" s="212"/>
      <c r="ITS129" s="212"/>
      <c r="ITT129" s="212"/>
      <c r="ITU129" s="212"/>
      <c r="ITV129" s="212"/>
      <c r="ITW129" s="212"/>
      <c r="ITX129" s="212"/>
      <c r="ITY129" s="212"/>
      <c r="ITZ129" s="212"/>
      <c r="IUA129" s="212"/>
      <c r="IUB129" s="212"/>
      <c r="IUC129" s="212"/>
      <c r="IUD129" s="212"/>
      <c r="IUE129" s="212"/>
      <c r="IUF129" s="212"/>
      <c r="IUG129" s="212"/>
      <c r="IUH129" s="212"/>
      <c r="IUI129" s="212"/>
      <c r="IUJ129" s="212"/>
      <c r="IUK129" s="212"/>
      <c r="IUL129" s="212"/>
      <c r="IUM129" s="212"/>
      <c r="IUN129" s="212"/>
      <c r="IUO129" s="212"/>
      <c r="IUP129" s="212"/>
      <c r="IUQ129" s="212"/>
      <c r="IUR129" s="212"/>
      <c r="IUS129" s="212"/>
      <c r="IUT129" s="212"/>
      <c r="IUU129" s="212"/>
      <c r="IUV129" s="212"/>
      <c r="IUW129" s="212"/>
      <c r="IUX129" s="212"/>
      <c r="IUY129" s="212"/>
      <c r="IUZ129" s="212"/>
      <c r="IVA129" s="212"/>
      <c r="IVB129" s="212"/>
      <c r="IVC129" s="212"/>
      <c r="IVD129" s="212"/>
      <c r="IVE129" s="212"/>
      <c r="IVF129" s="212"/>
      <c r="IVG129" s="212"/>
      <c r="IVH129" s="212"/>
      <c r="IVI129" s="212"/>
      <c r="IVJ129" s="212"/>
      <c r="IVK129" s="212"/>
      <c r="IVL129" s="212"/>
      <c r="IVM129" s="212"/>
      <c r="IVN129" s="212"/>
      <c r="IVO129" s="212"/>
      <c r="IVP129" s="212"/>
      <c r="IVQ129" s="212"/>
      <c r="IVR129" s="212"/>
      <c r="IVS129" s="212"/>
      <c r="IVT129" s="212"/>
      <c r="IVU129" s="212"/>
      <c r="IVV129" s="212"/>
      <c r="IVW129" s="212"/>
      <c r="IVX129" s="212"/>
      <c r="IVY129" s="212"/>
      <c r="IVZ129" s="212"/>
      <c r="IWA129" s="212"/>
      <c r="IWB129" s="212"/>
      <c r="IWC129" s="212"/>
      <c r="IWD129" s="212"/>
      <c r="IWE129" s="212"/>
      <c r="IWF129" s="212"/>
      <c r="IWG129" s="212"/>
      <c r="IWH129" s="212"/>
      <c r="IWI129" s="212"/>
      <c r="IWJ129" s="212"/>
      <c r="IWK129" s="212"/>
      <c r="IWL129" s="212"/>
      <c r="IWM129" s="212"/>
      <c r="IWN129" s="212"/>
      <c r="IWO129" s="212"/>
      <c r="IWP129" s="212"/>
      <c r="IWQ129" s="212"/>
      <c r="IWR129" s="212"/>
      <c r="IWS129" s="212"/>
      <c r="IWT129" s="212"/>
      <c r="IWU129" s="212"/>
      <c r="IWV129" s="212"/>
      <c r="IWW129" s="212"/>
      <c r="IWX129" s="212"/>
      <c r="IWY129" s="212"/>
      <c r="IWZ129" s="212"/>
      <c r="IXA129" s="212"/>
      <c r="IXB129" s="212"/>
      <c r="IXC129" s="212"/>
      <c r="IXD129" s="212"/>
      <c r="IXE129" s="212"/>
      <c r="IXF129" s="212"/>
      <c r="IXG129" s="212"/>
      <c r="IXH129" s="212"/>
      <c r="IXI129" s="212"/>
      <c r="IXJ129" s="212"/>
      <c r="IXK129" s="212"/>
      <c r="IXL129" s="212"/>
      <c r="IXM129" s="212"/>
      <c r="IXN129" s="212"/>
      <c r="IXO129" s="212"/>
      <c r="IXP129" s="212"/>
      <c r="IXQ129" s="212"/>
      <c r="IXR129" s="212"/>
      <c r="IXS129" s="212"/>
      <c r="IXT129" s="212"/>
      <c r="IXU129" s="212"/>
      <c r="IXV129" s="212"/>
      <c r="IXW129" s="212"/>
      <c r="IXX129" s="212"/>
      <c r="IXY129" s="212"/>
      <c r="IXZ129" s="212"/>
      <c r="IYA129" s="212"/>
      <c r="IYB129" s="212"/>
      <c r="IYC129" s="212"/>
      <c r="IYD129" s="212"/>
      <c r="IYE129" s="212"/>
      <c r="IYF129" s="212"/>
      <c r="IYG129" s="212"/>
      <c r="IYH129" s="212"/>
      <c r="IYI129" s="212"/>
      <c r="IYJ129" s="212"/>
      <c r="IYK129" s="212"/>
      <c r="IYL129" s="212"/>
      <c r="IYM129" s="212"/>
      <c r="IYN129" s="212"/>
      <c r="IYO129" s="212"/>
      <c r="IYP129" s="212"/>
      <c r="IYQ129" s="212"/>
      <c r="IYR129" s="212"/>
      <c r="IYS129" s="212"/>
      <c r="IYT129" s="212"/>
      <c r="IYU129" s="212"/>
      <c r="IYV129" s="212"/>
      <c r="IYW129" s="212"/>
      <c r="IYX129" s="212"/>
      <c r="IYY129" s="212"/>
      <c r="IYZ129" s="212"/>
      <c r="IZA129" s="212"/>
      <c r="IZB129" s="212"/>
      <c r="IZC129" s="212"/>
      <c r="IZD129" s="212"/>
      <c r="IZE129" s="212"/>
      <c r="IZF129" s="212"/>
      <c r="IZG129" s="212"/>
      <c r="IZH129" s="212"/>
      <c r="IZI129" s="212"/>
      <c r="IZJ129" s="212"/>
      <c r="IZK129" s="212"/>
      <c r="IZL129" s="212"/>
      <c r="IZM129" s="212"/>
      <c r="IZN129" s="212"/>
      <c r="IZO129" s="212"/>
      <c r="IZP129" s="212"/>
      <c r="IZQ129" s="212"/>
      <c r="IZR129" s="212"/>
      <c r="IZS129" s="212"/>
      <c r="IZT129" s="212"/>
      <c r="IZU129" s="212"/>
      <c r="IZV129" s="212"/>
      <c r="IZW129" s="212"/>
      <c r="IZX129" s="212"/>
      <c r="IZY129" s="212"/>
      <c r="IZZ129" s="212"/>
      <c r="JAA129" s="212"/>
      <c r="JAB129" s="212"/>
      <c r="JAC129" s="212"/>
      <c r="JAD129" s="212"/>
      <c r="JAE129" s="212"/>
      <c r="JAF129" s="212"/>
      <c r="JAG129" s="212"/>
      <c r="JAH129" s="212"/>
      <c r="JAI129" s="212"/>
      <c r="JAJ129" s="212"/>
      <c r="JAK129" s="212"/>
      <c r="JAL129" s="212"/>
      <c r="JAM129" s="212"/>
      <c r="JAN129" s="212"/>
      <c r="JAO129" s="212"/>
      <c r="JAP129" s="212"/>
      <c r="JAQ129" s="212"/>
      <c r="JAR129" s="212"/>
      <c r="JAS129" s="212"/>
      <c r="JAT129" s="212"/>
      <c r="JAU129" s="212"/>
      <c r="JAV129" s="212"/>
      <c r="JAW129" s="212"/>
      <c r="JAX129" s="212"/>
      <c r="JAY129" s="212"/>
      <c r="JAZ129" s="212"/>
      <c r="JBA129" s="212"/>
      <c r="JBB129" s="212"/>
      <c r="JBC129" s="212"/>
      <c r="JBD129" s="212"/>
      <c r="JBE129" s="212"/>
      <c r="JBF129" s="212"/>
      <c r="JBG129" s="212"/>
      <c r="JBH129" s="212"/>
      <c r="JBI129" s="212"/>
      <c r="JBJ129" s="212"/>
      <c r="JBK129" s="212"/>
      <c r="JBL129" s="212"/>
      <c r="JBM129" s="212"/>
      <c r="JBN129" s="212"/>
      <c r="JBO129" s="212"/>
      <c r="JBP129" s="212"/>
      <c r="JBQ129" s="212"/>
      <c r="JBR129" s="212"/>
      <c r="JBS129" s="212"/>
      <c r="JBT129" s="212"/>
      <c r="JBU129" s="212"/>
      <c r="JBV129" s="212"/>
      <c r="JBW129" s="212"/>
      <c r="JBX129" s="212"/>
      <c r="JBY129" s="212"/>
      <c r="JBZ129" s="212"/>
      <c r="JCA129" s="212"/>
      <c r="JCB129" s="212"/>
      <c r="JCC129" s="212"/>
      <c r="JCD129" s="212"/>
      <c r="JCE129" s="212"/>
      <c r="JCF129" s="212"/>
      <c r="JCG129" s="212"/>
      <c r="JCH129" s="212"/>
      <c r="JCI129" s="212"/>
      <c r="JCJ129" s="212"/>
      <c r="JCK129" s="212"/>
      <c r="JCL129" s="212"/>
      <c r="JCM129" s="212"/>
      <c r="JCN129" s="212"/>
      <c r="JCO129" s="212"/>
      <c r="JCP129" s="212"/>
      <c r="JCQ129" s="212"/>
      <c r="JCR129" s="212"/>
      <c r="JCS129" s="212"/>
      <c r="JCT129" s="212"/>
      <c r="JCU129" s="212"/>
      <c r="JCV129" s="212"/>
      <c r="JCW129" s="212"/>
      <c r="JCX129" s="212"/>
      <c r="JCY129" s="212"/>
      <c r="JCZ129" s="212"/>
      <c r="JDA129" s="212"/>
      <c r="JDB129" s="212"/>
      <c r="JDC129" s="212"/>
      <c r="JDD129" s="212"/>
      <c r="JDE129" s="212"/>
      <c r="JDF129" s="212"/>
      <c r="JDG129" s="212"/>
      <c r="JDH129" s="212"/>
      <c r="JDI129" s="212"/>
      <c r="JDJ129" s="212"/>
      <c r="JDK129" s="212"/>
      <c r="JDL129" s="212"/>
      <c r="JDM129" s="212"/>
      <c r="JDN129" s="212"/>
      <c r="JDO129" s="212"/>
      <c r="JDP129" s="212"/>
      <c r="JDQ129" s="212"/>
      <c r="JDR129" s="212"/>
      <c r="JDS129" s="212"/>
      <c r="JDT129" s="212"/>
      <c r="JDU129" s="212"/>
      <c r="JDV129" s="212"/>
      <c r="JDW129" s="212"/>
      <c r="JDX129" s="212"/>
      <c r="JDY129" s="212"/>
      <c r="JDZ129" s="212"/>
      <c r="JEA129" s="212"/>
      <c r="JEB129" s="212"/>
      <c r="JEC129" s="212"/>
      <c r="JED129" s="212"/>
      <c r="JEE129" s="212"/>
      <c r="JEF129" s="212"/>
      <c r="JEG129" s="212"/>
      <c r="JEH129" s="212"/>
      <c r="JEI129" s="212"/>
      <c r="JEJ129" s="212"/>
      <c r="JEK129" s="212"/>
      <c r="JEL129" s="212"/>
      <c r="JEM129" s="212"/>
      <c r="JEN129" s="212"/>
      <c r="JEO129" s="212"/>
      <c r="JEP129" s="212"/>
      <c r="JEQ129" s="212"/>
      <c r="JER129" s="212"/>
      <c r="JES129" s="212"/>
      <c r="JET129" s="212"/>
      <c r="JEU129" s="212"/>
      <c r="JEV129" s="212"/>
      <c r="JEW129" s="212"/>
      <c r="JEX129" s="212"/>
      <c r="JEY129" s="212"/>
      <c r="JEZ129" s="212"/>
      <c r="JFA129" s="212"/>
      <c r="JFB129" s="212"/>
      <c r="JFC129" s="212"/>
      <c r="JFD129" s="212"/>
      <c r="JFE129" s="212"/>
      <c r="JFF129" s="212"/>
      <c r="JFG129" s="212"/>
      <c r="JFH129" s="212"/>
      <c r="JFI129" s="212"/>
      <c r="JFJ129" s="212"/>
      <c r="JFK129" s="212"/>
      <c r="JFL129" s="212"/>
      <c r="JFM129" s="212"/>
      <c r="JFN129" s="212"/>
      <c r="JFO129" s="212"/>
      <c r="JFP129" s="212"/>
      <c r="JFQ129" s="212"/>
      <c r="JFR129" s="212"/>
      <c r="JFS129" s="212"/>
      <c r="JFT129" s="212"/>
      <c r="JFU129" s="212"/>
      <c r="JFV129" s="212"/>
      <c r="JFW129" s="212"/>
      <c r="JFX129" s="212"/>
      <c r="JFY129" s="212"/>
      <c r="JFZ129" s="212"/>
      <c r="JGA129" s="212"/>
      <c r="JGB129" s="212"/>
      <c r="JGC129" s="212"/>
      <c r="JGD129" s="212"/>
      <c r="JGE129" s="212"/>
      <c r="JGF129" s="212"/>
      <c r="JGG129" s="212"/>
      <c r="JGH129" s="212"/>
      <c r="JGI129" s="212"/>
      <c r="JGJ129" s="212"/>
      <c r="JGK129" s="212"/>
      <c r="JGL129" s="212"/>
      <c r="JGM129" s="212"/>
      <c r="JGN129" s="212"/>
      <c r="JGO129" s="212"/>
      <c r="JGP129" s="212"/>
      <c r="JGQ129" s="212"/>
      <c r="JGR129" s="212"/>
      <c r="JGS129" s="212"/>
      <c r="JGT129" s="212"/>
      <c r="JGU129" s="212"/>
      <c r="JGV129" s="212"/>
      <c r="JGW129" s="212"/>
      <c r="JGX129" s="212"/>
      <c r="JGY129" s="212"/>
      <c r="JGZ129" s="212"/>
      <c r="JHA129" s="212"/>
      <c r="JHB129" s="212"/>
      <c r="JHC129" s="212"/>
      <c r="JHD129" s="212"/>
      <c r="JHE129" s="212"/>
      <c r="JHF129" s="212"/>
      <c r="JHG129" s="212"/>
      <c r="JHH129" s="212"/>
      <c r="JHI129" s="212"/>
      <c r="JHJ129" s="212"/>
      <c r="JHK129" s="212"/>
      <c r="JHL129" s="212"/>
      <c r="JHM129" s="212"/>
      <c r="JHN129" s="212"/>
      <c r="JHO129" s="212"/>
      <c r="JHP129" s="212"/>
      <c r="JHQ129" s="212"/>
      <c r="JHR129" s="212"/>
      <c r="JHS129" s="212"/>
      <c r="JHT129" s="212"/>
      <c r="JHU129" s="212"/>
      <c r="JHV129" s="212"/>
      <c r="JHW129" s="212"/>
      <c r="JHX129" s="212"/>
      <c r="JHY129" s="212"/>
      <c r="JHZ129" s="212"/>
      <c r="JIA129" s="212"/>
      <c r="JIB129" s="212"/>
      <c r="JIC129" s="212"/>
      <c r="JID129" s="212"/>
      <c r="JIE129" s="212"/>
      <c r="JIF129" s="212"/>
      <c r="JIG129" s="212"/>
      <c r="JIH129" s="212"/>
      <c r="JII129" s="212"/>
      <c r="JIJ129" s="212"/>
      <c r="JIK129" s="212"/>
      <c r="JIL129" s="212"/>
      <c r="JIM129" s="212"/>
      <c r="JIN129" s="212"/>
      <c r="JIO129" s="212"/>
      <c r="JIP129" s="212"/>
      <c r="JIQ129" s="212"/>
      <c r="JIR129" s="212"/>
      <c r="JIS129" s="212"/>
      <c r="JIT129" s="212"/>
      <c r="JIU129" s="212"/>
      <c r="JIV129" s="212"/>
      <c r="JIW129" s="212"/>
      <c r="JIX129" s="212"/>
      <c r="JIY129" s="212"/>
      <c r="JIZ129" s="212"/>
      <c r="JJA129" s="212"/>
      <c r="JJB129" s="212"/>
      <c r="JJC129" s="212"/>
      <c r="JJD129" s="212"/>
      <c r="JJE129" s="212"/>
      <c r="JJF129" s="212"/>
      <c r="JJG129" s="212"/>
      <c r="JJH129" s="212"/>
      <c r="JJI129" s="212"/>
      <c r="JJJ129" s="212"/>
      <c r="JJK129" s="212"/>
      <c r="JJL129" s="212"/>
      <c r="JJM129" s="212"/>
      <c r="JJN129" s="212"/>
      <c r="JJO129" s="212"/>
      <c r="JJP129" s="212"/>
      <c r="JJQ129" s="212"/>
      <c r="JJR129" s="212"/>
      <c r="JJS129" s="212"/>
      <c r="JJT129" s="212"/>
      <c r="JJU129" s="212"/>
      <c r="JJV129" s="212"/>
      <c r="JJW129" s="212"/>
      <c r="JJX129" s="212"/>
      <c r="JJY129" s="212"/>
      <c r="JJZ129" s="212"/>
      <c r="JKA129" s="212"/>
      <c r="JKB129" s="212"/>
      <c r="JKC129" s="212"/>
      <c r="JKD129" s="212"/>
      <c r="JKE129" s="212"/>
      <c r="JKF129" s="212"/>
      <c r="JKG129" s="212"/>
      <c r="JKH129" s="212"/>
      <c r="JKI129" s="212"/>
      <c r="JKJ129" s="212"/>
      <c r="JKK129" s="212"/>
      <c r="JKL129" s="212"/>
      <c r="JKM129" s="212"/>
      <c r="JKN129" s="212"/>
      <c r="JKO129" s="212"/>
      <c r="JKP129" s="212"/>
      <c r="JKQ129" s="212"/>
      <c r="JKR129" s="212"/>
      <c r="JKS129" s="212"/>
      <c r="JKT129" s="212"/>
      <c r="JKU129" s="212"/>
      <c r="JKV129" s="212"/>
      <c r="JKW129" s="212"/>
      <c r="JKX129" s="212"/>
      <c r="JKY129" s="212"/>
      <c r="JKZ129" s="212"/>
      <c r="JLA129" s="212"/>
      <c r="JLB129" s="212"/>
      <c r="JLC129" s="212"/>
      <c r="JLD129" s="212"/>
      <c r="JLE129" s="212"/>
      <c r="JLF129" s="212"/>
      <c r="JLG129" s="212"/>
      <c r="JLH129" s="212"/>
      <c r="JLI129" s="212"/>
      <c r="JLJ129" s="212"/>
      <c r="JLK129" s="212"/>
      <c r="JLL129" s="212"/>
      <c r="JLM129" s="212"/>
      <c r="JLN129" s="212"/>
      <c r="JLO129" s="212"/>
      <c r="JLP129" s="212"/>
      <c r="JLQ129" s="212"/>
      <c r="JLR129" s="212"/>
      <c r="JLS129" s="212"/>
      <c r="JLT129" s="212"/>
      <c r="JLU129" s="212"/>
      <c r="JLV129" s="212"/>
      <c r="JLW129" s="212"/>
      <c r="JLX129" s="212"/>
      <c r="JLY129" s="212"/>
      <c r="JLZ129" s="212"/>
      <c r="JMA129" s="212"/>
      <c r="JMB129" s="212"/>
      <c r="JMC129" s="212"/>
      <c r="JMD129" s="212"/>
      <c r="JME129" s="212"/>
      <c r="JMF129" s="212"/>
      <c r="JMG129" s="212"/>
      <c r="JMH129" s="212"/>
      <c r="JMI129" s="212"/>
      <c r="JMJ129" s="212"/>
      <c r="JMK129" s="212"/>
      <c r="JML129" s="212"/>
      <c r="JMM129" s="212"/>
      <c r="JMN129" s="212"/>
      <c r="JMO129" s="212"/>
      <c r="JMP129" s="212"/>
      <c r="JMQ129" s="212"/>
      <c r="JMR129" s="212"/>
      <c r="JMS129" s="212"/>
      <c r="JMT129" s="212"/>
      <c r="JMU129" s="212"/>
      <c r="JMV129" s="212"/>
      <c r="JMW129" s="212"/>
      <c r="JMX129" s="212"/>
      <c r="JMY129" s="212"/>
      <c r="JMZ129" s="212"/>
      <c r="JNA129" s="212"/>
      <c r="JNB129" s="212"/>
      <c r="JNC129" s="212"/>
      <c r="JND129" s="212"/>
      <c r="JNE129" s="212"/>
      <c r="JNF129" s="212"/>
      <c r="JNG129" s="212"/>
      <c r="JNH129" s="212"/>
      <c r="JNI129" s="212"/>
      <c r="JNJ129" s="212"/>
      <c r="JNK129" s="212"/>
      <c r="JNL129" s="212"/>
      <c r="JNM129" s="212"/>
      <c r="JNN129" s="212"/>
      <c r="JNO129" s="212"/>
      <c r="JNP129" s="212"/>
      <c r="JNQ129" s="212"/>
      <c r="JNR129" s="212"/>
      <c r="JNS129" s="212"/>
      <c r="JNT129" s="212"/>
      <c r="JNU129" s="212"/>
      <c r="JNV129" s="212"/>
      <c r="JNW129" s="212"/>
      <c r="JNX129" s="212"/>
      <c r="JNY129" s="212"/>
      <c r="JNZ129" s="212"/>
      <c r="JOA129" s="212"/>
      <c r="JOB129" s="212"/>
      <c r="JOC129" s="212"/>
      <c r="JOD129" s="212"/>
      <c r="JOE129" s="212"/>
      <c r="JOF129" s="212"/>
      <c r="JOG129" s="212"/>
      <c r="JOH129" s="212"/>
      <c r="JOI129" s="212"/>
      <c r="JOJ129" s="212"/>
      <c r="JOK129" s="212"/>
      <c r="JOL129" s="212"/>
      <c r="JOM129" s="212"/>
      <c r="JON129" s="212"/>
      <c r="JOO129" s="212"/>
      <c r="JOP129" s="212"/>
      <c r="JOQ129" s="212"/>
      <c r="JOR129" s="212"/>
      <c r="JOS129" s="212"/>
      <c r="JOT129" s="212"/>
      <c r="JOU129" s="212"/>
      <c r="JOV129" s="212"/>
      <c r="JOW129" s="212"/>
      <c r="JOX129" s="212"/>
      <c r="JOY129" s="212"/>
      <c r="JOZ129" s="212"/>
      <c r="JPA129" s="212"/>
      <c r="JPB129" s="212"/>
      <c r="JPC129" s="212"/>
      <c r="JPD129" s="212"/>
      <c r="JPE129" s="212"/>
      <c r="JPF129" s="212"/>
      <c r="JPG129" s="212"/>
      <c r="JPH129" s="212"/>
      <c r="JPI129" s="212"/>
      <c r="JPJ129" s="212"/>
      <c r="JPK129" s="212"/>
      <c r="JPL129" s="212"/>
      <c r="JPM129" s="212"/>
      <c r="JPN129" s="212"/>
      <c r="JPO129" s="212"/>
      <c r="JPP129" s="212"/>
      <c r="JPQ129" s="212"/>
      <c r="JPR129" s="212"/>
      <c r="JPS129" s="212"/>
      <c r="JPT129" s="212"/>
      <c r="JPU129" s="212"/>
      <c r="JPV129" s="212"/>
      <c r="JPW129" s="212"/>
      <c r="JPX129" s="212"/>
      <c r="JPY129" s="212"/>
      <c r="JPZ129" s="212"/>
      <c r="JQA129" s="212"/>
      <c r="JQB129" s="212"/>
      <c r="JQC129" s="212"/>
      <c r="JQD129" s="212"/>
      <c r="JQE129" s="212"/>
      <c r="JQF129" s="212"/>
      <c r="JQG129" s="212"/>
      <c r="JQH129" s="212"/>
      <c r="JQI129" s="212"/>
      <c r="JQJ129" s="212"/>
      <c r="JQK129" s="212"/>
      <c r="JQL129" s="212"/>
      <c r="JQM129" s="212"/>
      <c r="JQN129" s="212"/>
      <c r="JQO129" s="212"/>
      <c r="JQP129" s="212"/>
      <c r="JQQ129" s="212"/>
      <c r="JQR129" s="212"/>
      <c r="JQS129" s="212"/>
      <c r="JQT129" s="212"/>
      <c r="JQU129" s="212"/>
      <c r="JQV129" s="212"/>
      <c r="JQW129" s="212"/>
      <c r="JQX129" s="212"/>
      <c r="JQY129" s="212"/>
      <c r="JQZ129" s="212"/>
      <c r="JRA129" s="212"/>
      <c r="JRB129" s="212"/>
      <c r="JRC129" s="212"/>
      <c r="JRD129" s="212"/>
      <c r="JRE129" s="212"/>
      <c r="JRF129" s="212"/>
      <c r="JRG129" s="212"/>
      <c r="JRH129" s="212"/>
      <c r="JRI129" s="212"/>
      <c r="JRJ129" s="212"/>
      <c r="JRK129" s="212"/>
      <c r="JRL129" s="212"/>
      <c r="JRM129" s="212"/>
      <c r="JRN129" s="212"/>
      <c r="JRO129" s="212"/>
      <c r="JRP129" s="212"/>
      <c r="JRQ129" s="212"/>
      <c r="JRR129" s="212"/>
      <c r="JRS129" s="212"/>
      <c r="JRT129" s="212"/>
      <c r="JRU129" s="212"/>
      <c r="JRV129" s="212"/>
      <c r="JRW129" s="212"/>
      <c r="JRX129" s="212"/>
      <c r="JRY129" s="212"/>
      <c r="JRZ129" s="212"/>
      <c r="JSA129" s="212"/>
      <c r="JSB129" s="212"/>
      <c r="JSC129" s="212"/>
      <c r="JSD129" s="212"/>
      <c r="JSE129" s="212"/>
      <c r="JSF129" s="212"/>
      <c r="JSG129" s="212"/>
      <c r="JSH129" s="212"/>
      <c r="JSI129" s="212"/>
      <c r="JSJ129" s="212"/>
      <c r="JSK129" s="212"/>
      <c r="JSL129" s="212"/>
      <c r="JSM129" s="212"/>
      <c r="JSN129" s="212"/>
      <c r="JSO129" s="212"/>
      <c r="JSP129" s="212"/>
      <c r="JSQ129" s="212"/>
      <c r="JSR129" s="212"/>
      <c r="JSS129" s="212"/>
      <c r="JST129" s="212"/>
      <c r="JSU129" s="212"/>
      <c r="JSV129" s="212"/>
      <c r="JSW129" s="212"/>
      <c r="JSX129" s="212"/>
      <c r="JSY129" s="212"/>
      <c r="JSZ129" s="212"/>
      <c r="JTA129" s="212"/>
      <c r="JTB129" s="212"/>
      <c r="JTC129" s="212"/>
      <c r="JTD129" s="212"/>
      <c r="JTE129" s="212"/>
      <c r="JTF129" s="212"/>
      <c r="JTG129" s="212"/>
      <c r="JTH129" s="212"/>
      <c r="JTI129" s="212"/>
      <c r="JTJ129" s="212"/>
      <c r="JTK129" s="212"/>
      <c r="JTL129" s="212"/>
      <c r="JTM129" s="212"/>
      <c r="JTN129" s="212"/>
      <c r="JTO129" s="212"/>
      <c r="JTP129" s="212"/>
      <c r="JTQ129" s="212"/>
      <c r="JTR129" s="212"/>
      <c r="JTS129" s="212"/>
      <c r="JTT129" s="212"/>
      <c r="JTU129" s="212"/>
      <c r="JTV129" s="212"/>
      <c r="JTW129" s="212"/>
      <c r="JTX129" s="212"/>
      <c r="JTY129" s="212"/>
      <c r="JTZ129" s="212"/>
      <c r="JUA129" s="212"/>
      <c r="JUB129" s="212"/>
      <c r="JUC129" s="212"/>
      <c r="JUD129" s="212"/>
      <c r="JUE129" s="212"/>
      <c r="JUF129" s="212"/>
      <c r="JUG129" s="212"/>
      <c r="JUH129" s="212"/>
      <c r="JUI129" s="212"/>
      <c r="JUJ129" s="212"/>
      <c r="JUK129" s="212"/>
      <c r="JUL129" s="212"/>
      <c r="JUM129" s="212"/>
      <c r="JUN129" s="212"/>
      <c r="JUO129" s="212"/>
      <c r="JUP129" s="212"/>
      <c r="JUQ129" s="212"/>
      <c r="JUR129" s="212"/>
      <c r="JUS129" s="212"/>
      <c r="JUT129" s="212"/>
      <c r="JUU129" s="212"/>
      <c r="JUV129" s="212"/>
      <c r="JUW129" s="212"/>
      <c r="JUX129" s="212"/>
      <c r="JUY129" s="212"/>
      <c r="JUZ129" s="212"/>
      <c r="JVA129" s="212"/>
      <c r="JVB129" s="212"/>
      <c r="JVC129" s="212"/>
      <c r="JVD129" s="212"/>
      <c r="JVE129" s="212"/>
      <c r="JVF129" s="212"/>
      <c r="JVG129" s="212"/>
      <c r="JVH129" s="212"/>
      <c r="JVI129" s="212"/>
      <c r="JVJ129" s="212"/>
      <c r="JVK129" s="212"/>
      <c r="JVL129" s="212"/>
      <c r="JVM129" s="212"/>
      <c r="JVN129" s="212"/>
      <c r="JVO129" s="212"/>
      <c r="JVP129" s="212"/>
      <c r="JVQ129" s="212"/>
      <c r="JVR129" s="212"/>
      <c r="JVS129" s="212"/>
      <c r="JVT129" s="212"/>
      <c r="JVU129" s="212"/>
      <c r="JVV129" s="212"/>
      <c r="JVW129" s="212"/>
      <c r="JVX129" s="212"/>
      <c r="JVY129" s="212"/>
      <c r="JVZ129" s="212"/>
      <c r="JWA129" s="212"/>
      <c r="JWB129" s="212"/>
      <c r="JWC129" s="212"/>
      <c r="JWD129" s="212"/>
      <c r="JWE129" s="212"/>
      <c r="JWF129" s="212"/>
      <c r="JWG129" s="212"/>
      <c r="JWH129" s="212"/>
      <c r="JWI129" s="212"/>
      <c r="JWJ129" s="212"/>
      <c r="JWK129" s="212"/>
      <c r="JWL129" s="212"/>
      <c r="JWM129" s="212"/>
      <c r="JWN129" s="212"/>
      <c r="JWO129" s="212"/>
      <c r="JWP129" s="212"/>
      <c r="JWQ129" s="212"/>
      <c r="JWR129" s="212"/>
      <c r="JWS129" s="212"/>
      <c r="JWT129" s="212"/>
      <c r="JWU129" s="212"/>
      <c r="JWV129" s="212"/>
      <c r="JWW129" s="212"/>
      <c r="JWX129" s="212"/>
      <c r="JWY129" s="212"/>
      <c r="JWZ129" s="212"/>
      <c r="JXA129" s="212"/>
      <c r="JXB129" s="212"/>
      <c r="JXC129" s="212"/>
      <c r="JXD129" s="212"/>
      <c r="JXE129" s="212"/>
      <c r="JXF129" s="212"/>
      <c r="JXG129" s="212"/>
      <c r="JXH129" s="212"/>
      <c r="JXI129" s="212"/>
      <c r="JXJ129" s="212"/>
      <c r="JXK129" s="212"/>
      <c r="JXL129" s="212"/>
      <c r="JXM129" s="212"/>
      <c r="JXN129" s="212"/>
      <c r="JXO129" s="212"/>
      <c r="JXP129" s="212"/>
      <c r="JXQ129" s="212"/>
      <c r="JXR129" s="212"/>
      <c r="JXS129" s="212"/>
      <c r="JXT129" s="212"/>
      <c r="JXU129" s="212"/>
      <c r="JXV129" s="212"/>
      <c r="JXW129" s="212"/>
      <c r="JXX129" s="212"/>
      <c r="JXY129" s="212"/>
      <c r="JXZ129" s="212"/>
      <c r="JYA129" s="212"/>
      <c r="JYB129" s="212"/>
      <c r="JYC129" s="212"/>
      <c r="JYD129" s="212"/>
      <c r="JYE129" s="212"/>
      <c r="JYF129" s="212"/>
      <c r="JYG129" s="212"/>
      <c r="JYH129" s="212"/>
      <c r="JYI129" s="212"/>
      <c r="JYJ129" s="212"/>
      <c r="JYK129" s="212"/>
      <c r="JYL129" s="212"/>
      <c r="JYM129" s="212"/>
      <c r="JYN129" s="212"/>
      <c r="JYO129" s="212"/>
      <c r="JYP129" s="212"/>
      <c r="JYQ129" s="212"/>
      <c r="JYR129" s="212"/>
      <c r="JYS129" s="212"/>
      <c r="JYT129" s="212"/>
      <c r="JYU129" s="212"/>
      <c r="JYV129" s="212"/>
      <c r="JYW129" s="212"/>
      <c r="JYX129" s="212"/>
      <c r="JYY129" s="212"/>
      <c r="JYZ129" s="212"/>
      <c r="JZA129" s="212"/>
      <c r="JZB129" s="212"/>
      <c r="JZC129" s="212"/>
      <c r="JZD129" s="212"/>
      <c r="JZE129" s="212"/>
      <c r="JZF129" s="212"/>
      <c r="JZG129" s="212"/>
      <c r="JZH129" s="212"/>
      <c r="JZI129" s="212"/>
      <c r="JZJ129" s="212"/>
      <c r="JZK129" s="212"/>
      <c r="JZL129" s="212"/>
      <c r="JZM129" s="212"/>
      <c r="JZN129" s="212"/>
      <c r="JZO129" s="212"/>
      <c r="JZP129" s="212"/>
      <c r="JZQ129" s="212"/>
      <c r="JZR129" s="212"/>
      <c r="JZS129" s="212"/>
      <c r="JZT129" s="212"/>
      <c r="JZU129" s="212"/>
      <c r="JZV129" s="212"/>
      <c r="JZW129" s="212"/>
      <c r="JZX129" s="212"/>
      <c r="JZY129" s="212"/>
      <c r="JZZ129" s="212"/>
      <c r="KAA129" s="212"/>
      <c r="KAB129" s="212"/>
      <c r="KAC129" s="212"/>
      <c r="KAD129" s="212"/>
      <c r="KAE129" s="212"/>
      <c r="KAF129" s="212"/>
      <c r="KAG129" s="212"/>
      <c r="KAH129" s="212"/>
      <c r="KAI129" s="212"/>
      <c r="KAJ129" s="212"/>
      <c r="KAK129" s="212"/>
      <c r="KAL129" s="212"/>
      <c r="KAM129" s="212"/>
      <c r="KAN129" s="212"/>
      <c r="KAO129" s="212"/>
      <c r="KAP129" s="212"/>
      <c r="KAQ129" s="212"/>
      <c r="KAR129" s="212"/>
      <c r="KAS129" s="212"/>
      <c r="KAT129" s="212"/>
      <c r="KAU129" s="212"/>
      <c r="KAV129" s="212"/>
      <c r="KAW129" s="212"/>
      <c r="KAX129" s="212"/>
      <c r="KAY129" s="212"/>
      <c r="KAZ129" s="212"/>
      <c r="KBA129" s="212"/>
      <c r="KBB129" s="212"/>
      <c r="KBC129" s="212"/>
      <c r="KBD129" s="212"/>
      <c r="KBE129" s="212"/>
      <c r="KBF129" s="212"/>
      <c r="KBG129" s="212"/>
      <c r="KBH129" s="212"/>
      <c r="KBI129" s="212"/>
      <c r="KBJ129" s="212"/>
      <c r="KBK129" s="212"/>
      <c r="KBL129" s="212"/>
      <c r="KBM129" s="212"/>
      <c r="KBN129" s="212"/>
      <c r="KBO129" s="212"/>
      <c r="KBP129" s="212"/>
      <c r="KBQ129" s="212"/>
      <c r="KBR129" s="212"/>
      <c r="KBS129" s="212"/>
      <c r="KBT129" s="212"/>
      <c r="KBU129" s="212"/>
      <c r="KBV129" s="212"/>
      <c r="KBW129" s="212"/>
      <c r="KBX129" s="212"/>
      <c r="KBY129" s="212"/>
      <c r="KBZ129" s="212"/>
      <c r="KCA129" s="212"/>
      <c r="KCB129" s="212"/>
      <c r="KCC129" s="212"/>
      <c r="KCD129" s="212"/>
      <c r="KCE129" s="212"/>
      <c r="KCF129" s="212"/>
      <c r="KCG129" s="212"/>
      <c r="KCH129" s="212"/>
      <c r="KCI129" s="212"/>
      <c r="KCJ129" s="212"/>
      <c r="KCK129" s="212"/>
      <c r="KCL129" s="212"/>
      <c r="KCM129" s="212"/>
      <c r="KCN129" s="212"/>
      <c r="KCO129" s="212"/>
      <c r="KCP129" s="212"/>
      <c r="KCQ129" s="212"/>
      <c r="KCR129" s="212"/>
      <c r="KCS129" s="212"/>
      <c r="KCT129" s="212"/>
      <c r="KCU129" s="212"/>
      <c r="KCV129" s="212"/>
      <c r="KCW129" s="212"/>
      <c r="KCX129" s="212"/>
      <c r="KCY129" s="212"/>
      <c r="KCZ129" s="212"/>
      <c r="KDA129" s="212"/>
      <c r="KDB129" s="212"/>
      <c r="KDC129" s="212"/>
      <c r="KDD129" s="212"/>
      <c r="KDE129" s="212"/>
      <c r="KDF129" s="212"/>
      <c r="KDG129" s="212"/>
      <c r="KDH129" s="212"/>
      <c r="KDI129" s="212"/>
      <c r="KDJ129" s="212"/>
      <c r="KDK129" s="212"/>
      <c r="KDL129" s="212"/>
      <c r="KDM129" s="212"/>
      <c r="KDN129" s="212"/>
      <c r="KDO129" s="212"/>
      <c r="KDP129" s="212"/>
      <c r="KDQ129" s="212"/>
      <c r="KDR129" s="212"/>
      <c r="KDS129" s="212"/>
      <c r="KDT129" s="212"/>
      <c r="KDU129" s="212"/>
      <c r="KDV129" s="212"/>
      <c r="KDW129" s="212"/>
      <c r="KDX129" s="212"/>
      <c r="KDY129" s="212"/>
      <c r="KDZ129" s="212"/>
      <c r="KEA129" s="212"/>
      <c r="KEB129" s="212"/>
      <c r="KEC129" s="212"/>
      <c r="KED129" s="212"/>
      <c r="KEE129" s="212"/>
      <c r="KEF129" s="212"/>
      <c r="KEG129" s="212"/>
      <c r="KEH129" s="212"/>
      <c r="KEI129" s="212"/>
      <c r="KEJ129" s="212"/>
      <c r="KEK129" s="212"/>
      <c r="KEL129" s="212"/>
      <c r="KEM129" s="212"/>
      <c r="KEN129" s="212"/>
      <c r="KEO129" s="212"/>
      <c r="KEP129" s="212"/>
      <c r="KEQ129" s="212"/>
      <c r="KER129" s="212"/>
      <c r="KES129" s="212"/>
      <c r="KET129" s="212"/>
      <c r="KEU129" s="212"/>
      <c r="KEV129" s="212"/>
      <c r="KEW129" s="212"/>
      <c r="KEX129" s="212"/>
      <c r="KEY129" s="212"/>
      <c r="KEZ129" s="212"/>
      <c r="KFA129" s="212"/>
      <c r="KFB129" s="212"/>
      <c r="KFC129" s="212"/>
      <c r="KFD129" s="212"/>
      <c r="KFE129" s="212"/>
      <c r="KFF129" s="212"/>
      <c r="KFG129" s="212"/>
      <c r="KFH129" s="212"/>
      <c r="KFI129" s="212"/>
      <c r="KFJ129" s="212"/>
      <c r="KFK129" s="212"/>
      <c r="KFL129" s="212"/>
      <c r="KFM129" s="212"/>
      <c r="KFN129" s="212"/>
      <c r="KFO129" s="212"/>
      <c r="KFP129" s="212"/>
      <c r="KFQ129" s="212"/>
      <c r="KFR129" s="212"/>
      <c r="KFS129" s="212"/>
      <c r="KFT129" s="212"/>
      <c r="KFU129" s="212"/>
      <c r="KFV129" s="212"/>
      <c r="KFW129" s="212"/>
      <c r="KFX129" s="212"/>
      <c r="KFY129" s="212"/>
      <c r="KFZ129" s="212"/>
      <c r="KGA129" s="212"/>
      <c r="KGB129" s="212"/>
      <c r="KGC129" s="212"/>
      <c r="KGD129" s="212"/>
      <c r="KGE129" s="212"/>
      <c r="KGF129" s="212"/>
      <c r="KGG129" s="212"/>
      <c r="KGH129" s="212"/>
      <c r="KGI129" s="212"/>
      <c r="KGJ129" s="212"/>
      <c r="KGK129" s="212"/>
      <c r="KGL129" s="212"/>
      <c r="KGM129" s="212"/>
      <c r="KGN129" s="212"/>
      <c r="KGO129" s="212"/>
      <c r="KGP129" s="212"/>
      <c r="KGQ129" s="212"/>
      <c r="KGR129" s="212"/>
      <c r="KGS129" s="212"/>
      <c r="KGT129" s="212"/>
      <c r="KGU129" s="212"/>
      <c r="KGV129" s="212"/>
      <c r="KGW129" s="212"/>
      <c r="KGX129" s="212"/>
      <c r="KGY129" s="212"/>
      <c r="KGZ129" s="212"/>
      <c r="KHA129" s="212"/>
      <c r="KHB129" s="212"/>
      <c r="KHC129" s="212"/>
      <c r="KHD129" s="212"/>
      <c r="KHE129" s="212"/>
      <c r="KHF129" s="212"/>
      <c r="KHG129" s="212"/>
      <c r="KHH129" s="212"/>
      <c r="KHI129" s="212"/>
      <c r="KHJ129" s="212"/>
      <c r="KHK129" s="212"/>
      <c r="KHL129" s="212"/>
      <c r="KHM129" s="212"/>
      <c r="KHN129" s="212"/>
      <c r="KHO129" s="212"/>
      <c r="KHP129" s="212"/>
      <c r="KHQ129" s="212"/>
      <c r="KHR129" s="212"/>
      <c r="KHS129" s="212"/>
      <c r="KHT129" s="212"/>
      <c r="KHU129" s="212"/>
      <c r="KHV129" s="212"/>
      <c r="KHW129" s="212"/>
      <c r="KHX129" s="212"/>
      <c r="KHY129" s="212"/>
      <c r="KHZ129" s="212"/>
      <c r="KIA129" s="212"/>
      <c r="KIB129" s="212"/>
      <c r="KIC129" s="212"/>
      <c r="KID129" s="212"/>
      <c r="KIE129" s="212"/>
      <c r="KIF129" s="212"/>
      <c r="KIG129" s="212"/>
      <c r="KIH129" s="212"/>
      <c r="KII129" s="212"/>
      <c r="KIJ129" s="212"/>
      <c r="KIK129" s="212"/>
      <c r="KIL129" s="212"/>
      <c r="KIM129" s="212"/>
      <c r="KIN129" s="212"/>
      <c r="KIO129" s="212"/>
      <c r="KIP129" s="212"/>
      <c r="KIQ129" s="212"/>
      <c r="KIR129" s="212"/>
      <c r="KIS129" s="212"/>
      <c r="KIT129" s="212"/>
      <c r="KIU129" s="212"/>
      <c r="KIV129" s="212"/>
      <c r="KIW129" s="212"/>
      <c r="KIX129" s="212"/>
      <c r="KIY129" s="212"/>
      <c r="KIZ129" s="212"/>
      <c r="KJA129" s="212"/>
      <c r="KJB129" s="212"/>
      <c r="KJC129" s="212"/>
      <c r="KJD129" s="212"/>
      <c r="KJE129" s="212"/>
      <c r="KJF129" s="212"/>
      <c r="KJG129" s="212"/>
      <c r="KJH129" s="212"/>
      <c r="KJI129" s="212"/>
      <c r="KJJ129" s="212"/>
      <c r="KJK129" s="212"/>
      <c r="KJL129" s="212"/>
      <c r="KJM129" s="212"/>
      <c r="KJN129" s="212"/>
      <c r="KJO129" s="212"/>
      <c r="KJP129" s="212"/>
      <c r="KJQ129" s="212"/>
      <c r="KJR129" s="212"/>
      <c r="KJS129" s="212"/>
      <c r="KJT129" s="212"/>
      <c r="KJU129" s="212"/>
      <c r="KJV129" s="212"/>
      <c r="KJW129" s="212"/>
      <c r="KJX129" s="212"/>
      <c r="KJY129" s="212"/>
      <c r="KJZ129" s="212"/>
      <c r="KKA129" s="212"/>
      <c r="KKB129" s="212"/>
      <c r="KKC129" s="212"/>
      <c r="KKD129" s="212"/>
      <c r="KKE129" s="212"/>
      <c r="KKF129" s="212"/>
      <c r="KKG129" s="212"/>
      <c r="KKH129" s="212"/>
      <c r="KKI129" s="212"/>
      <c r="KKJ129" s="212"/>
      <c r="KKK129" s="212"/>
      <c r="KKL129" s="212"/>
      <c r="KKM129" s="212"/>
      <c r="KKN129" s="212"/>
      <c r="KKO129" s="212"/>
      <c r="KKP129" s="212"/>
      <c r="KKQ129" s="212"/>
      <c r="KKR129" s="212"/>
      <c r="KKS129" s="212"/>
      <c r="KKT129" s="212"/>
      <c r="KKU129" s="212"/>
      <c r="KKV129" s="212"/>
      <c r="KKW129" s="212"/>
      <c r="KKX129" s="212"/>
      <c r="KKY129" s="212"/>
      <c r="KKZ129" s="212"/>
      <c r="KLA129" s="212"/>
      <c r="KLB129" s="212"/>
      <c r="KLC129" s="212"/>
      <c r="KLD129" s="212"/>
      <c r="KLE129" s="212"/>
      <c r="KLF129" s="212"/>
      <c r="KLG129" s="212"/>
      <c r="KLH129" s="212"/>
      <c r="KLI129" s="212"/>
      <c r="KLJ129" s="212"/>
      <c r="KLK129" s="212"/>
      <c r="KLL129" s="212"/>
      <c r="KLM129" s="212"/>
      <c r="KLN129" s="212"/>
      <c r="KLO129" s="212"/>
      <c r="KLP129" s="212"/>
      <c r="KLQ129" s="212"/>
      <c r="KLR129" s="212"/>
      <c r="KLS129" s="212"/>
      <c r="KLT129" s="212"/>
      <c r="KLU129" s="212"/>
      <c r="KLV129" s="212"/>
      <c r="KLW129" s="212"/>
      <c r="KLX129" s="212"/>
      <c r="KLY129" s="212"/>
      <c r="KLZ129" s="212"/>
      <c r="KMA129" s="212"/>
      <c r="KMB129" s="212"/>
      <c r="KMC129" s="212"/>
      <c r="KMD129" s="212"/>
      <c r="KME129" s="212"/>
      <c r="KMF129" s="212"/>
      <c r="KMG129" s="212"/>
      <c r="KMH129" s="212"/>
      <c r="KMI129" s="212"/>
      <c r="KMJ129" s="212"/>
      <c r="KMK129" s="212"/>
      <c r="KML129" s="212"/>
      <c r="KMM129" s="212"/>
      <c r="KMN129" s="212"/>
      <c r="KMO129" s="212"/>
      <c r="KMP129" s="212"/>
      <c r="KMQ129" s="212"/>
      <c r="KMR129" s="212"/>
      <c r="KMS129" s="212"/>
      <c r="KMT129" s="212"/>
      <c r="KMU129" s="212"/>
      <c r="KMV129" s="212"/>
      <c r="KMW129" s="212"/>
      <c r="KMX129" s="212"/>
      <c r="KMY129" s="212"/>
      <c r="KMZ129" s="212"/>
      <c r="KNA129" s="212"/>
      <c r="KNB129" s="212"/>
      <c r="KNC129" s="212"/>
      <c r="KND129" s="212"/>
      <c r="KNE129" s="212"/>
      <c r="KNF129" s="212"/>
      <c r="KNG129" s="212"/>
      <c r="KNH129" s="212"/>
      <c r="KNI129" s="212"/>
      <c r="KNJ129" s="212"/>
      <c r="KNK129" s="212"/>
      <c r="KNL129" s="212"/>
      <c r="KNM129" s="212"/>
      <c r="KNN129" s="212"/>
      <c r="KNO129" s="212"/>
      <c r="KNP129" s="212"/>
      <c r="KNQ129" s="212"/>
      <c r="KNR129" s="212"/>
      <c r="KNS129" s="212"/>
      <c r="KNT129" s="212"/>
      <c r="KNU129" s="212"/>
      <c r="KNV129" s="212"/>
      <c r="KNW129" s="212"/>
      <c r="KNX129" s="212"/>
      <c r="KNY129" s="212"/>
      <c r="KNZ129" s="212"/>
      <c r="KOA129" s="212"/>
      <c r="KOB129" s="212"/>
      <c r="KOC129" s="212"/>
      <c r="KOD129" s="212"/>
      <c r="KOE129" s="212"/>
      <c r="KOF129" s="212"/>
      <c r="KOG129" s="212"/>
      <c r="KOH129" s="212"/>
      <c r="KOI129" s="212"/>
      <c r="KOJ129" s="212"/>
      <c r="KOK129" s="212"/>
      <c r="KOL129" s="212"/>
      <c r="KOM129" s="212"/>
      <c r="KON129" s="212"/>
      <c r="KOO129" s="212"/>
      <c r="KOP129" s="212"/>
      <c r="KOQ129" s="212"/>
      <c r="KOR129" s="212"/>
      <c r="KOS129" s="212"/>
      <c r="KOT129" s="212"/>
      <c r="KOU129" s="212"/>
      <c r="KOV129" s="212"/>
      <c r="KOW129" s="212"/>
      <c r="KOX129" s="212"/>
      <c r="KOY129" s="212"/>
      <c r="KOZ129" s="212"/>
      <c r="KPA129" s="212"/>
      <c r="KPB129" s="212"/>
      <c r="KPC129" s="212"/>
      <c r="KPD129" s="212"/>
      <c r="KPE129" s="212"/>
      <c r="KPF129" s="212"/>
      <c r="KPG129" s="212"/>
      <c r="KPH129" s="212"/>
      <c r="KPI129" s="212"/>
      <c r="KPJ129" s="212"/>
      <c r="KPK129" s="212"/>
      <c r="KPL129" s="212"/>
      <c r="KPM129" s="212"/>
      <c r="KPN129" s="212"/>
      <c r="KPO129" s="212"/>
      <c r="KPP129" s="212"/>
      <c r="KPQ129" s="212"/>
      <c r="KPR129" s="212"/>
      <c r="KPS129" s="212"/>
      <c r="KPT129" s="212"/>
      <c r="KPU129" s="212"/>
      <c r="KPV129" s="212"/>
      <c r="KPW129" s="212"/>
      <c r="KPX129" s="212"/>
      <c r="KPY129" s="212"/>
      <c r="KPZ129" s="212"/>
      <c r="KQA129" s="212"/>
      <c r="KQB129" s="212"/>
      <c r="KQC129" s="212"/>
      <c r="KQD129" s="212"/>
      <c r="KQE129" s="212"/>
      <c r="KQF129" s="212"/>
      <c r="KQG129" s="212"/>
      <c r="KQH129" s="212"/>
      <c r="KQI129" s="212"/>
      <c r="KQJ129" s="212"/>
      <c r="KQK129" s="212"/>
      <c r="KQL129" s="212"/>
      <c r="KQM129" s="212"/>
      <c r="KQN129" s="212"/>
      <c r="KQO129" s="212"/>
      <c r="KQP129" s="212"/>
      <c r="KQQ129" s="212"/>
      <c r="KQR129" s="212"/>
      <c r="KQS129" s="212"/>
      <c r="KQT129" s="212"/>
      <c r="KQU129" s="212"/>
      <c r="KQV129" s="212"/>
      <c r="KQW129" s="212"/>
      <c r="KQX129" s="212"/>
      <c r="KQY129" s="212"/>
      <c r="KQZ129" s="212"/>
      <c r="KRA129" s="212"/>
      <c r="KRB129" s="212"/>
      <c r="KRC129" s="212"/>
      <c r="KRD129" s="212"/>
      <c r="KRE129" s="212"/>
      <c r="KRF129" s="212"/>
      <c r="KRG129" s="212"/>
      <c r="KRH129" s="212"/>
      <c r="KRI129" s="212"/>
      <c r="KRJ129" s="212"/>
      <c r="KRK129" s="212"/>
      <c r="KRL129" s="212"/>
      <c r="KRM129" s="212"/>
      <c r="KRN129" s="212"/>
      <c r="KRO129" s="212"/>
      <c r="KRP129" s="212"/>
      <c r="KRQ129" s="212"/>
      <c r="KRR129" s="212"/>
      <c r="KRS129" s="212"/>
      <c r="KRT129" s="212"/>
      <c r="KRU129" s="212"/>
      <c r="KRV129" s="212"/>
      <c r="KRW129" s="212"/>
      <c r="KRX129" s="212"/>
      <c r="KRY129" s="212"/>
      <c r="KRZ129" s="212"/>
      <c r="KSA129" s="212"/>
      <c r="KSB129" s="212"/>
      <c r="KSC129" s="212"/>
      <c r="KSD129" s="212"/>
      <c r="KSE129" s="212"/>
      <c r="KSF129" s="212"/>
      <c r="KSG129" s="212"/>
      <c r="KSH129" s="212"/>
      <c r="KSI129" s="212"/>
      <c r="KSJ129" s="212"/>
      <c r="KSK129" s="212"/>
      <c r="KSL129" s="212"/>
      <c r="KSM129" s="212"/>
      <c r="KSN129" s="212"/>
      <c r="KSO129" s="212"/>
      <c r="KSP129" s="212"/>
      <c r="KSQ129" s="212"/>
      <c r="KSR129" s="212"/>
      <c r="KSS129" s="212"/>
      <c r="KST129" s="212"/>
      <c r="KSU129" s="212"/>
      <c r="KSV129" s="212"/>
      <c r="KSW129" s="212"/>
      <c r="KSX129" s="212"/>
      <c r="KSY129" s="212"/>
      <c r="KSZ129" s="212"/>
      <c r="KTA129" s="212"/>
      <c r="KTB129" s="212"/>
      <c r="KTC129" s="212"/>
      <c r="KTD129" s="212"/>
      <c r="KTE129" s="212"/>
      <c r="KTF129" s="212"/>
      <c r="KTG129" s="212"/>
      <c r="KTH129" s="212"/>
      <c r="KTI129" s="212"/>
      <c r="KTJ129" s="212"/>
      <c r="KTK129" s="212"/>
      <c r="KTL129" s="212"/>
      <c r="KTM129" s="212"/>
      <c r="KTN129" s="212"/>
      <c r="KTO129" s="212"/>
      <c r="KTP129" s="212"/>
      <c r="KTQ129" s="212"/>
      <c r="KTR129" s="212"/>
      <c r="KTS129" s="212"/>
      <c r="KTT129" s="212"/>
      <c r="KTU129" s="212"/>
      <c r="KTV129" s="212"/>
      <c r="KTW129" s="212"/>
      <c r="KTX129" s="212"/>
      <c r="KTY129" s="212"/>
      <c r="KTZ129" s="212"/>
      <c r="KUA129" s="212"/>
      <c r="KUB129" s="212"/>
      <c r="KUC129" s="212"/>
      <c r="KUD129" s="212"/>
      <c r="KUE129" s="212"/>
      <c r="KUF129" s="212"/>
      <c r="KUG129" s="212"/>
      <c r="KUH129" s="212"/>
      <c r="KUI129" s="212"/>
      <c r="KUJ129" s="212"/>
      <c r="KUK129" s="212"/>
      <c r="KUL129" s="212"/>
      <c r="KUM129" s="212"/>
      <c r="KUN129" s="212"/>
      <c r="KUO129" s="212"/>
      <c r="KUP129" s="212"/>
      <c r="KUQ129" s="212"/>
      <c r="KUR129" s="212"/>
      <c r="KUS129" s="212"/>
      <c r="KUT129" s="212"/>
      <c r="KUU129" s="212"/>
      <c r="KUV129" s="212"/>
      <c r="KUW129" s="212"/>
      <c r="KUX129" s="212"/>
      <c r="KUY129" s="212"/>
      <c r="KUZ129" s="212"/>
      <c r="KVA129" s="212"/>
      <c r="KVB129" s="212"/>
      <c r="KVC129" s="212"/>
      <c r="KVD129" s="212"/>
      <c r="KVE129" s="212"/>
      <c r="KVF129" s="212"/>
      <c r="KVG129" s="212"/>
      <c r="KVH129" s="212"/>
      <c r="KVI129" s="212"/>
      <c r="KVJ129" s="212"/>
      <c r="KVK129" s="212"/>
      <c r="KVL129" s="212"/>
      <c r="KVM129" s="212"/>
      <c r="KVN129" s="212"/>
      <c r="KVO129" s="212"/>
      <c r="KVP129" s="212"/>
      <c r="KVQ129" s="212"/>
      <c r="KVR129" s="212"/>
      <c r="KVS129" s="212"/>
      <c r="KVT129" s="212"/>
      <c r="KVU129" s="212"/>
      <c r="KVV129" s="212"/>
      <c r="KVW129" s="212"/>
      <c r="KVX129" s="212"/>
      <c r="KVY129" s="212"/>
      <c r="KVZ129" s="212"/>
      <c r="KWA129" s="212"/>
      <c r="KWB129" s="212"/>
      <c r="KWC129" s="212"/>
      <c r="KWD129" s="212"/>
      <c r="KWE129" s="212"/>
      <c r="KWF129" s="212"/>
      <c r="KWG129" s="212"/>
      <c r="KWH129" s="212"/>
      <c r="KWI129" s="212"/>
      <c r="KWJ129" s="212"/>
      <c r="KWK129" s="212"/>
      <c r="KWL129" s="212"/>
      <c r="KWM129" s="212"/>
      <c r="KWN129" s="212"/>
      <c r="KWO129" s="212"/>
      <c r="KWP129" s="212"/>
      <c r="KWQ129" s="212"/>
      <c r="KWR129" s="212"/>
      <c r="KWS129" s="212"/>
      <c r="KWT129" s="212"/>
      <c r="KWU129" s="212"/>
      <c r="KWV129" s="212"/>
      <c r="KWW129" s="212"/>
      <c r="KWX129" s="212"/>
      <c r="KWY129" s="212"/>
      <c r="KWZ129" s="212"/>
      <c r="KXA129" s="212"/>
      <c r="KXB129" s="212"/>
      <c r="KXC129" s="212"/>
      <c r="KXD129" s="212"/>
      <c r="KXE129" s="212"/>
      <c r="KXF129" s="212"/>
      <c r="KXG129" s="212"/>
      <c r="KXH129" s="212"/>
      <c r="KXI129" s="212"/>
      <c r="KXJ129" s="212"/>
      <c r="KXK129" s="212"/>
      <c r="KXL129" s="212"/>
      <c r="KXM129" s="212"/>
      <c r="KXN129" s="212"/>
      <c r="KXO129" s="212"/>
      <c r="KXP129" s="212"/>
      <c r="KXQ129" s="212"/>
      <c r="KXR129" s="212"/>
      <c r="KXS129" s="212"/>
      <c r="KXT129" s="212"/>
      <c r="KXU129" s="212"/>
      <c r="KXV129" s="212"/>
      <c r="KXW129" s="212"/>
      <c r="KXX129" s="212"/>
      <c r="KXY129" s="212"/>
      <c r="KXZ129" s="212"/>
      <c r="KYA129" s="212"/>
      <c r="KYB129" s="212"/>
      <c r="KYC129" s="212"/>
      <c r="KYD129" s="212"/>
      <c r="KYE129" s="212"/>
      <c r="KYF129" s="212"/>
      <c r="KYG129" s="212"/>
      <c r="KYH129" s="212"/>
      <c r="KYI129" s="212"/>
      <c r="KYJ129" s="212"/>
      <c r="KYK129" s="212"/>
      <c r="KYL129" s="212"/>
      <c r="KYM129" s="212"/>
      <c r="KYN129" s="212"/>
      <c r="KYO129" s="212"/>
      <c r="KYP129" s="212"/>
      <c r="KYQ129" s="212"/>
      <c r="KYR129" s="212"/>
      <c r="KYS129" s="212"/>
      <c r="KYT129" s="212"/>
      <c r="KYU129" s="212"/>
      <c r="KYV129" s="212"/>
      <c r="KYW129" s="212"/>
      <c r="KYX129" s="212"/>
      <c r="KYY129" s="212"/>
      <c r="KYZ129" s="212"/>
      <c r="KZA129" s="212"/>
      <c r="KZB129" s="212"/>
      <c r="KZC129" s="212"/>
      <c r="KZD129" s="212"/>
      <c r="KZE129" s="212"/>
      <c r="KZF129" s="212"/>
      <c r="KZG129" s="212"/>
      <c r="KZH129" s="212"/>
      <c r="KZI129" s="212"/>
      <c r="KZJ129" s="212"/>
      <c r="KZK129" s="212"/>
      <c r="KZL129" s="212"/>
      <c r="KZM129" s="212"/>
      <c r="KZN129" s="212"/>
      <c r="KZO129" s="212"/>
      <c r="KZP129" s="212"/>
      <c r="KZQ129" s="212"/>
      <c r="KZR129" s="212"/>
      <c r="KZS129" s="212"/>
      <c r="KZT129" s="212"/>
      <c r="KZU129" s="212"/>
      <c r="KZV129" s="212"/>
      <c r="KZW129" s="212"/>
      <c r="KZX129" s="212"/>
      <c r="KZY129" s="212"/>
      <c r="KZZ129" s="212"/>
      <c r="LAA129" s="212"/>
      <c r="LAB129" s="212"/>
      <c r="LAC129" s="212"/>
      <c r="LAD129" s="212"/>
      <c r="LAE129" s="212"/>
      <c r="LAF129" s="212"/>
      <c r="LAG129" s="212"/>
      <c r="LAH129" s="212"/>
      <c r="LAI129" s="212"/>
      <c r="LAJ129" s="212"/>
      <c r="LAK129" s="212"/>
      <c r="LAL129" s="212"/>
      <c r="LAM129" s="212"/>
      <c r="LAN129" s="212"/>
      <c r="LAO129" s="212"/>
      <c r="LAP129" s="212"/>
      <c r="LAQ129" s="212"/>
      <c r="LAR129" s="212"/>
      <c r="LAS129" s="212"/>
      <c r="LAT129" s="212"/>
      <c r="LAU129" s="212"/>
      <c r="LAV129" s="212"/>
      <c r="LAW129" s="212"/>
      <c r="LAX129" s="212"/>
      <c r="LAY129" s="212"/>
      <c r="LAZ129" s="212"/>
      <c r="LBA129" s="212"/>
      <c r="LBB129" s="212"/>
      <c r="LBC129" s="212"/>
      <c r="LBD129" s="212"/>
      <c r="LBE129" s="212"/>
      <c r="LBF129" s="212"/>
      <c r="LBG129" s="212"/>
      <c r="LBH129" s="212"/>
      <c r="LBI129" s="212"/>
      <c r="LBJ129" s="212"/>
      <c r="LBK129" s="212"/>
      <c r="LBL129" s="212"/>
      <c r="LBM129" s="212"/>
      <c r="LBN129" s="212"/>
      <c r="LBO129" s="212"/>
      <c r="LBP129" s="212"/>
      <c r="LBQ129" s="212"/>
      <c r="LBR129" s="212"/>
      <c r="LBS129" s="212"/>
      <c r="LBT129" s="212"/>
      <c r="LBU129" s="212"/>
      <c r="LBV129" s="212"/>
      <c r="LBW129" s="212"/>
      <c r="LBX129" s="212"/>
      <c r="LBY129" s="212"/>
      <c r="LBZ129" s="212"/>
      <c r="LCA129" s="212"/>
      <c r="LCB129" s="212"/>
      <c r="LCC129" s="212"/>
      <c r="LCD129" s="212"/>
      <c r="LCE129" s="212"/>
      <c r="LCF129" s="212"/>
      <c r="LCG129" s="212"/>
      <c r="LCH129" s="212"/>
      <c r="LCI129" s="212"/>
      <c r="LCJ129" s="212"/>
      <c r="LCK129" s="212"/>
      <c r="LCL129" s="212"/>
      <c r="LCM129" s="212"/>
      <c r="LCN129" s="212"/>
      <c r="LCO129" s="212"/>
      <c r="LCP129" s="212"/>
      <c r="LCQ129" s="212"/>
      <c r="LCR129" s="212"/>
      <c r="LCS129" s="212"/>
      <c r="LCT129" s="212"/>
      <c r="LCU129" s="212"/>
      <c r="LCV129" s="212"/>
      <c r="LCW129" s="212"/>
      <c r="LCX129" s="212"/>
      <c r="LCY129" s="212"/>
      <c r="LCZ129" s="212"/>
      <c r="LDA129" s="212"/>
      <c r="LDB129" s="212"/>
      <c r="LDC129" s="212"/>
      <c r="LDD129" s="212"/>
      <c r="LDE129" s="212"/>
      <c r="LDF129" s="212"/>
      <c r="LDG129" s="212"/>
      <c r="LDH129" s="212"/>
      <c r="LDI129" s="212"/>
      <c r="LDJ129" s="212"/>
      <c r="LDK129" s="212"/>
      <c r="LDL129" s="212"/>
      <c r="LDM129" s="212"/>
      <c r="LDN129" s="212"/>
      <c r="LDO129" s="212"/>
      <c r="LDP129" s="212"/>
      <c r="LDQ129" s="212"/>
      <c r="LDR129" s="212"/>
      <c r="LDS129" s="212"/>
      <c r="LDT129" s="212"/>
      <c r="LDU129" s="212"/>
      <c r="LDV129" s="212"/>
      <c r="LDW129" s="212"/>
      <c r="LDX129" s="212"/>
      <c r="LDY129" s="212"/>
      <c r="LDZ129" s="212"/>
      <c r="LEA129" s="212"/>
      <c r="LEB129" s="212"/>
      <c r="LEC129" s="212"/>
      <c r="LED129" s="212"/>
      <c r="LEE129" s="212"/>
      <c r="LEF129" s="212"/>
      <c r="LEG129" s="212"/>
      <c r="LEH129" s="212"/>
      <c r="LEI129" s="212"/>
      <c r="LEJ129" s="212"/>
      <c r="LEK129" s="212"/>
      <c r="LEL129" s="212"/>
      <c r="LEM129" s="212"/>
      <c r="LEN129" s="212"/>
      <c r="LEO129" s="212"/>
      <c r="LEP129" s="212"/>
      <c r="LEQ129" s="212"/>
      <c r="LER129" s="212"/>
      <c r="LES129" s="212"/>
      <c r="LET129" s="212"/>
      <c r="LEU129" s="212"/>
      <c r="LEV129" s="212"/>
      <c r="LEW129" s="212"/>
      <c r="LEX129" s="212"/>
      <c r="LEY129" s="212"/>
      <c r="LEZ129" s="212"/>
      <c r="LFA129" s="212"/>
      <c r="LFB129" s="212"/>
      <c r="LFC129" s="212"/>
      <c r="LFD129" s="212"/>
      <c r="LFE129" s="212"/>
      <c r="LFF129" s="212"/>
      <c r="LFG129" s="212"/>
      <c r="LFH129" s="212"/>
      <c r="LFI129" s="212"/>
      <c r="LFJ129" s="212"/>
      <c r="LFK129" s="212"/>
      <c r="LFL129" s="212"/>
      <c r="LFM129" s="212"/>
      <c r="LFN129" s="212"/>
      <c r="LFO129" s="212"/>
      <c r="LFP129" s="212"/>
      <c r="LFQ129" s="212"/>
      <c r="LFR129" s="212"/>
      <c r="LFS129" s="212"/>
      <c r="LFT129" s="212"/>
      <c r="LFU129" s="212"/>
      <c r="LFV129" s="212"/>
      <c r="LFW129" s="212"/>
      <c r="LFX129" s="212"/>
      <c r="LFY129" s="212"/>
      <c r="LFZ129" s="212"/>
      <c r="LGA129" s="212"/>
      <c r="LGB129" s="212"/>
      <c r="LGC129" s="212"/>
      <c r="LGD129" s="212"/>
      <c r="LGE129" s="212"/>
      <c r="LGF129" s="212"/>
      <c r="LGG129" s="212"/>
      <c r="LGH129" s="212"/>
      <c r="LGI129" s="212"/>
      <c r="LGJ129" s="212"/>
      <c r="LGK129" s="212"/>
      <c r="LGL129" s="212"/>
      <c r="LGM129" s="212"/>
      <c r="LGN129" s="212"/>
      <c r="LGO129" s="212"/>
      <c r="LGP129" s="212"/>
      <c r="LGQ129" s="212"/>
      <c r="LGR129" s="212"/>
      <c r="LGS129" s="212"/>
      <c r="LGT129" s="212"/>
      <c r="LGU129" s="212"/>
      <c r="LGV129" s="212"/>
      <c r="LGW129" s="212"/>
      <c r="LGX129" s="212"/>
      <c r="LGY129" s="212"/>
      <c r="LGZ129" s="212"/>
      <c r="LHA129" s="212"/>
      <c r="LHB129" s="212"/>
      <c r="LHC129" s="212"/>
      <c r="LHD129" s="212"/>
      <c r="LHE129" s="212"/>
      <c r="LHF129" s="212"/>
      <c r="LHG129" s="212"/>
      <c r="LHH129" s="212"/>
      <c r="LHI129" s="212"/>
      <c r="LHJ129" s="212"/>
      <c r="LHK129" s="212"/>
      <c r="LHL129" s="212"/>
      <c r="LHM129" s="212"/>
      <c r="LHN129" s="212"/>
      <c r="LHO129" s="212"/>
      <c r="LHP129" s="212"/>
      <c r="LHQ129" s="212"/>
      <c r="LHR129" s="212"/>
      <c r="LHS129" s="212"/>
      <c r="LHT129" s="212"/>
      <c r="LHU129" s="212"/>
      <c r="LHV129" s="212"/>
      <c r="LHW129" s="212"/>
      <c r="LHX129" s="212"/>
      <c r="LHY129" s="212"/>
      <c r="LHZ129" s="212"/>
      <c r="LIA129" s="212"/>
      <c r="LIB129" s="212"/>
      <c r="LIC129" s="212"/>
      <c r="LID129" s="212"/>
      <c r="LIE129" s="212"/>
      <c r="LIF129" s="212"/>
      <c r="LIG129" s="212"/>
      <c r="LIH129" s="212"/>
      <c r="LII129" s="212"/>
      <c r="LIJ129" s="212"/>
      <c r="LIK129" s="212"/>
      <c r="LIL129" s="212"/>
      <c r="LIM129" s="212"/>
      <c r="LIN129" s="212"/>
      <c r="LIO129" s="212"/>
      <c r="LIP129" s="212"/>
      <c r="LIQ129" s="212"/>
      <c r="LIR129" s="212"/>
      <c r="LIS129" s="212"/>
      <c r="LIT129" s="212"/>
      <c r="LIU129" s="212"/>
      <c r="LIV129" s="212"/>
      <c r="LIW129" s="212"/>
      <c r="LIX129" s="212"/>
      <c r="LIY129" s="212"/>
      <c r="LIZ129" s="212"/>
      <c r="LJA129" s="212"/>
      <c r="LJB129" s="212"/>
      <c r="LJC129" s="212"/>
      <c r="LJD129" s="212"/>
      <c r="LJE129" s="212"/>
      <c r="LJF129" s="212"/>
      <c r="LJG129" s="212"/>
      <c r="LJH129" s="212"/>
      <c r="LJI129" s="212"/>
      <c r="LJJ129" s="212"/>
      <c r="LJK129" s="212"/>
      <c r="LJL129" s="212"/>
      <c r="LJM129" s="212"/>
      <c r="LJN129" s="212"/>
      <c r="LJO129" s="212"/>
      <c r="LJP129" s="212"/>
      <c r="LJQ129" s="212"/>
      <c r="LJR129" s="212"/>
      <c r="LJS129" s="212"/>
      <c r="LJT129" s="212"/>
      <c r="LJU129" s="212"/>
      <c r="LJV129" s="212"/>
      <c r="LJW129" s="212"/>
      <c r="LJX129" s="212"/>
      <c r="LJY129" s="212"/>
      <c r="LJZ129" s="212"/>
      <c r="LKA129" s="212"/>
      <c r="LKB129" s="212"/>
      <c r="LKC129" s="212"/>
      <c r="LKD129" s="212"/>
      <c r="LKE129" s="212"/>
      <c r="LKF129" s="212"/>
      <c r="LKG129" s="212"/>
      <c r="LKH129" s="212"/>
      <c r="LKI129" s="212"/>
      <c r="LKJ129" s="212"/>
      <c r="LKK129" s="212"/>
      <c r="LKL129" s="212"/>
      <c r="LKM129" s="212"/>
      <c r="LKN129" s="212"/>
      <c r="LKO129" s="212"/>
      <c r="LKP129" s="212"/>
      <c r="LKQ129" s="212"/>
      <c r="LKR129" s="212"/>
      <c r="LKS129" s="212"/>
      <c r="LKT129" s="212"/>
      <c r="LKU129" s="212"/>
      <c r="LKV129" s="212"/>
      <c r="LKW129" s="212"/>
      <c r="LKX129" s="212"/>
      <c r="LKY129" s="212"/>
      <c r="LKZ129" s="212"/>
      <c r="LLA129" s="212"/>
      <c r="LLB129" s="212"/>
      <c r="LLC129" s="212"/>
      <c r="LLD129" s="212"/>
      <c r="LLE129" s="212"/>
      <c r="LLF129" s="212"/>
      <c r="LLG129" s="212"/>
      <c r="LLH129" s="212"/>
      <c r="LLI129" s="212"/>
      <c r="LLJ129" s="212"/>
      <c r="LLK129" s="212"/>
      <c r="LLL129" s="212"/>
      <c r="LLM129" s="212"/>
      <c r="LLN129" s="212"/>
      <c r="LLO129" s="212"/>
      <c r="LLP129" s="212"/>
      <c r="LLQ129" s="212"/>
      <c r="LLR129" s="212"/>
      <c r="LLS129" s="212"/>
      <c r="LLT129" s="212"/>
      <c r="LLU129" s="212"/>
      <c r="LLV129" s="212"/>
      <c r="LLW129" s="212"/>
      <c r="LLX129" s="212"/>
      <c r="LLY129" s="212"/>
      <c r="LLZ129" s="212"/>
      <c r="LMA129" s="212"/>
      <c r="LMB129" s="212"/>
      <c r="LMC129" s="212"/>
      <c r="LMD129" s="212"/>
      <c r="LME129" s="212"/>
      <c r="LMF129" s="212"/>
      <c r="LMG129" s="212"/>
      <c r="LMH129" s="212"/>
      <c r="LMI129" s="212"/>
      <c r="LMJ129" s="212"/>
      <c r="LMK129" s="212"/>
      <c r="LML129" s="212"/>
      <c r="LMM129" s="212"/>
      <c r="LMN129" s="212"/>
      <c r="LMO129" s="212"/>
      <c r="LMP129" s="212"/>
      <c r="LMQ129" s="212"/>
      <c r="LMR129" s="212"/>
      <c r="LMS129" s="212"/>
      <c r="LMT129" s="212"/>
      <c r="LMU129" s="212"/>
      <c r="LMV129" s="212"/>
      <c r="LMW129" s="212"/>
      <c r="LMX129" s="212"/>
      <c r="LMY129" s="212"/>
      <c r="LMZ129" s="212"/>
      <c r="LNA129" s="212"/>
      <c r="LNB129" s="212"/>
      <c r="LNC129" s="212"/>
      <c r="LND129" s="212"/>
      <c r="LNE129" s="212"/>
      <c r="LNF129" s="212"/>
      <c r="LNG129" s="212"/>
      <c r="LNH129" s="212"/>
      <c r="LNI129" s="212"/>
      <c r="LNJ129" s="212"/>
      <c r="LNK129" s="212"/>
      <c r="LNL129" s="212"/>
      <c r="LNM129" s="212"/>
      <c r="LNN129" s="212"/>
      <c r="LNO129" s="212"/>
      <c r="LNP129" s="212"/>
      <c r="LNQ129" s="212"/>
      <c r="LNR129" s="212"/>
      <c r="LNS129" s="212"/>
      <c r="LNT129" s="212"/>
      <c r="LNU129" s="212"/>
      <c r="LNV129" s="212"/>
      <c r="LNW129" s="212"/>
      <c r="LNX129" s="212"/>
      <c r="LNY129" s="212"/>
      <c r="LNZ129" s="212"/>
      <c r="LOA129" s="212"/>
      <c r="LOB129" s="212"/>
      <c r="LOC129" s="212"/>
      <c r="LOD129" s="212"/>
      <c r="LOE129" s="212"/>
      <c r="LOF129" s="212"/>
      <c r="LOG129" s="212"/>
      <c r="LOH129" s="212"/>
      <c r="LOI129" s="212"/>
      <c r="LOJ129" s="212"/>
      <c r="LOK129" s="212"/>
      <c r="LOL129" s="212"/>
      <c r="LOM129" s="212"/>
      <c r="LON129" s="212"/>
      <c r="LOO129" s="212"/>
      <c r="LOP129" s="212"/>
      <c r="LOQ129" s="212"/>
      <c r="LOR129" s="212"/>
      <c r="LOS129" s="212"/>
      <c r="LOT129" s="212"/>
      <c r="LOU129" s="212"/>
      <c r="LOV129" s="212"/>
      <c r="LOW129" s="212"/>
      <c r="LOX129" s="212"/>
      <c r="LOY129" s="212"/>
      <c r="LOZ129" s="212"/>
      <c r="LPA129" s="212"/>
      <c r="LPB129" s="212"/>
      <c r="LPC129" s="212"/>
      <c r="LPD129" s="212"/>
      <c r="LPE129" s="212"/>
      <c r="LPF129" s="212"/>
      <c r="LPG129" s="212"/>
      <c r="LPH129" s="212"/>
      <c r="LPI129" s="212"/>
      <c r="LPJ129" s="212"/>
      <c r="LPK129" s="212"/>
      <c r="LPL129" s="212"/>
      <c r="LPM129" s="212"/>
      <c r="LPN129" s="212"/>
      <c r="LPO129" s="212"/>
      <c r="LPP129" s="212"/>
      <c r="LPQ129" s="212"/>
      <c r="LPR129" s="212"/>
      <c r="LPS129" s="212"/>
      <c r="LPT129" s="212"/>
      <c r="LPU129" s="212"/>
      <c r="LPV129" s="212"/>
      <c r="LPW129" s="212"/>
      <c r="LPX129" s="212"/>
      <c r="LPY129" s="212"/>
      <c r="LPZ129" s="212"/>
      <c r="LQA129" s="212"/>
      <c r="LQB129" s="212"/>
      <c r="LQC129" s="212"/>
      <c r="LQD129" s="212"/>
      <c r="LQE129" s="212"/>
      <c r="LQF129" s="212"/>
      <c r="LQG129" s="212"/>
      <c r="LQH129" s="212"/>
      <c r="LQI129" s="212"/>
      <c r="LQJ129" s="212"/>
      <c r="LQK129" s="212"/>
      <c r="LQL129" s="212"/>
      <c r="LQM129" s="212"/>
      <c r="LQN129" s="212"/>
      <c r="LQO129" s="212"/>
      <c r="LQP129" s="212"/>
      <c r="LQQ129" s="212"/>
      <c r="LQR129" s="212"/>
      <c r="LQS129" s="212"/>
      <c r="LQT129" s="212"/>
      <c r="LQU129" s="212"/>
      <c r="LQV129" s="212"/>
      <c r="LQW129" s="212"/>
      <c r="LQX129" s="212"/>
      <c r="LQY129" s="212"/>
      <c r="LQZ129" s="212"/>
      <c r="LRA129" s="212"/>
      <c r="LRB129" s="212"/>
      <c r="LRC129" s="212"/>
      <c r="LRD129" s="212"/>
      <c r="LRE129" s="212"/>
      <c r="LRF129" s="212"/>
      <c r="LRG129" s="212"/>
      <c r="LRH129" s="212"/>
      <c r="LRI129" s="212"/>
      <c r="LRJ129" s="212"/>
      <c r="LRK129" s="212"/>
      <c r="LRL129" s="212"/>
      <c r="LRM129" s="212"/>
      <c r="LRN129" s="212"/>
      <c r="LRO129" s="212"/>
      <c r="LRP129" s="212"/>
      <c r="LRQ129" s="212"/>
      <c r="LRR129" s="212"/>
      <c r="LRS129" s="212"/>
      <c r="LRT129" s="212"/>
      <c r="LRU129" s="212"/>
      <c r="LRV129" s="212"/>
      <c r="LRW129" s="212"/>
      <c r="LRX129" s="212"/>
      <c r="LRY129" s="212"/>
      <c r="LRZ129" s="212"/>
      <c r="LSA129" s="212"/>
      <c r="LSB129" s="212"/>
      <c r="LSC129" s="212"/>
      <c r="LSD129" s="212"/>
      <c r="LSE129" s="212"/>
      <c r="LSF129" s="212"/>
      <c r="LSG129" s="212"/>
      <c r="LSH129" s="212"/>
      <c r="LSI129" s="212"/>
      <c r="LSJ129" s="212"/>
      <c r="LSK129" s="212"/>
      <c r="LSL129" s="212"/>
      <c r="LSM129" s="212"/>
      <c r="LSN129" s="212"/>
      <c r="LSO129" s="212"/>
      <c r="LSP129" s="212"/>
      <c r="LSQ129" s="212"/>
      <c r="LSR129" s="212"/>
      <c r="LSS129" s="212"/>
      <c r="LST129" s="212"/>
      <c r="LSU129" s="212"/>
      <c r="LSV129" s="212"/>
      <c r="LSW129" s="212"/>
      <c r="LSX129" s="212"/>
      <c r="LSY129" s="212"/>
      <c r="LSZ129" s="212"/>
      <c r="LTA129" s="212"/>
      <c r="LTB129" s="212"/>
      <c r="LTC129" s="212"/>
      <c r="LTD129" s="212"/>
      <c r="LTE129" s="212"/>
      <c r="LTF129" s="212"/>
      <c r="LTG129" s="212"/>
      <c r="LTH129" s="212"/>
      <c r="LTI129" s="212"/>
      <c r="LTJ129" s="212"/>
      <c r="LTK129" s="212"/>
      <c r="LTL129" s="212"/>
      <c r="LTM129" s="212"/>
      <c r="LTN129" s="212"/>
      <c r="LTO129" s="212"/>
      <c r="LTP129" s="212"/>
      <c r="LTQ129" s="212"/>
      <c r="LTR129" s="212"/>
      <c r="LTS129" s="212"/>
      <c r="LTT129" s="212"/>
      <c r="LTU129" s="212"/>
      <c r="LTV129" s="212"/>
      <c r="LTW129" s="212"/>
      <c r="LTX129" s="212"/>
      <c r="LTY129" s="212"/>
      <c r="LTZ129" s="212"/>
      <c r="LUA129" s="212"/>
      <c r="LUB129" s="212"/>
      <c r="LUC129" s="212"/>
      <c r="LUD129" s="212"/>
      <c r="LUE129" s="212"/>
      <c r="LUF129" s="212"/>
      <c r="LUG129" s="212"/>
      <c r="LUH129" s="212"/>
      <c r="LUI129" s="212"/>
      <c r="LUJ129" s="212"/>
      <c r="LUK129" s="212"/>
      <c r="LUL129" s="212"/>
      <c r="LUM129" s="212"/>
      <c r="LUN129" s="212"/>
      <c r="LUO129" s="212"/>
      <c r="LUP129" s="212"/>
      <c r="LUQ129" s="212"/>
      <c r="LUR129" s="212"/>
      <c r="LUS129" s="212"/>
      <c r="LUT129" s="212"/>
      <c r="LUU129" s="212"/>
      <c r="LUV129" s="212"/>
      <c r="LUW129" s="212"/>
      <c r="LUX129" s="212"/>
      <c r="LUY129" s="212"/>
      <c r="LUZ129" s="212"/>
      <c r="LVA129" s="212"/>
      <c r="LVB129" s="212"/>
      <c r="LVC129" s="212"/>
      <c r="LVD129" s="212"/>
      <c r="LVE129" s="212"/>
      <c r="LVF129" s="212"/>
      <c r="LVG129" s="212"/>
      <c r="LVH129" s="212"/>
      <c r="LVI129" s="212"/>
      <c r="LVJ129" s="212"/>
      <c r="LVK129" s="212"/>
      <c r="LVL129" s="212"/>
      <c r="LVM129" s="212"/>
      <c r="LVN129" s="212"/>
      <c r="LVO129" s="212"/>
      <c r="LVP129" s="212"/>
      <c r="LVQ129" s="212"/>
      <c r="LVR129" s="212"/>
      <c r="LVS129" s="212"/>
      <c r="LVT129" s="212"/>
      <c r="LVU129" s="212"/>
      <c r="LVV129" s="212"/>
      <c r="LVW129" s="212"/>
      <c r="LVX129" s="212"/>
      <c r="LVY129" s="212"/>
      <c r="LVZ129" s="212"/>
      <c r="LWA129" s="212"/>
      <c r="LWB129" s="212"/>
      <c r="LWC129" s="212"/>
      <c r="LWD129" s="212"/>
      <c r="LWE129" s="212"/>
      <c r="LWF129" s="212"/>
      <c r="LWG129" s="212"/>
      <c r="LWH129" s="212"/>
      <c r="LWI129" s="212"/>
      <c r="LWJ129" s="212"/>
      <c r="LWK129" s="212"/>
      <c r="LWL129" s="212"/>
      <c r="LWM129" s="212"/>
      <c r="LWN129" s="212"/>
      <c r="LWO129" s="212"/>
      <c r="LWP129" s="212"/>
      <c r="LWQ129" s="212"/>
      <c r="LWR129" s="212"/>
      <c r="LWS129" s="212"/>
      <c r="LWT129" s="212"/>
      <c r="LWU129" s="212"/>
      <c r="LWV129" s="212"/>
      <c r="LWW129" s="212"/>
      <c r="LWX129" s="212"/>
      <c r="LWY129" s="212"/>
      <c r="LWZ129" s="212"/>
      <c r="LXA129" s="212"/>
      <c r="LXB129" s="212"/>
      <c r="LXC129" s="212"/>
      <c r="LXD129" s="212"/>
      <c r="LXE129" s="212"/>
      <c r="LXF129" s="212"/>
      <c r="LXG129" s="212"/>
      <c r="LXH129" s="212"/>
      <c r="LXI129" s="212"/>
      <c r="LXJ129" s="212"/>
      <c r="LXK129" s="212"/>
      <c r="LXL129" s="212"/>
      <c r="LXM129" s="212"/>
      <c r="LXN129" s="212"/>
      <c r="LXO129" s="212"/>
      <c r="LXP129" s="212"/>
      <c r="LXQ129" s="212"/>
      <c r="LXR129" s="212"/>
      <c r="LXS129" s="212"/>
      <c r="LXT129" s="212"/>
      <c r="LXU129" s="212"/>
      <c r="LXV129" s="212"/>
      <c r="LXW129" s="212"/>
      <c r="LXX129" s="212"/>
      <c r="LXY129" s="212"/>
      <c r="LXZ129" s="212"/>
      <c r="LYA129" s="212"/>
      <c r="LYB129" s="212"/>
      <c r="LYC129" s="212"/>
      <c r="LYD129" s="212"/>
      <c r="LYE129" s="212"/>
      <c r="LYF129" s="212"/>
      <c r="LYG129" s="212"/>
      <c r="LYH129" s="212"/>
      <c r="LYI129" s="212"/>
      <c r="LYJ129" s="212"/>
      <c r="LYK129" s="212"/>
      <c r="LYL129" s="212"/>
      <c r="LYM129" s="212"/>
      <c r="LYN129" s="212"/>
      <c r="LYO129" s="212"/>
      <c r="LYP129" s="212"/>
      <c r="LYQ129" s="212"/>
      <c r="LYR129" s="212"/>
      <c r="LYS129" s="212"/>
      <c r="LYT129" s="212"/>
      <c r="LYU129" s="212"/>
      <c r="LYV129" s="212"/>
      <c r="LYW129" s="212"/>
      <c r="LYX129" s="212"/>
      <c r="LYY129" s="212"/>
      <c r="LYZ129" s="212"/>
      <c r="LZA129" s="212"/>
      <c r="LZB129" s="212"/>
      <c r="LZC129" s="212"/>
      <c r="LZD129" s="212"/>
      <c r="LZE129" s="212"/>
      <c r="LZF129" s="212"/>
      <c r="LZG129" s="212"/>
      <c r="LZH129" s="212"/>
      <c r="LZI129" s="212"/>
      <c r="LZJ129" s="212"/>
      <c r="LZK129" s="212"/>
      <c r="LZL129" s="212"/>
      <c r="LZM129" s="212"/>
      <c r="LZN129" s="212"/>
      <c r="LZO129" s="212"/>
      <c r="LZP129" s="212"/>
      <c r="LZQ129" s="212"/>
      <c r="LZR129" s="212"/>
      <c r="LZS129" s="212"/>
      <c r="LZT129" s="212"/>
      <c r="LZU129" s="212"/>
      <c r="LZV129" s="212"/>
      <c r="LZW129" s="212"/>
      <c r="LZX129" s="212"/>
      <c r="LZY129" s="212"/>
      <c r="LZZ129" s="212"/>
      <c r="MAA129" s="212"/>
      <c r="MAB129" s="212"/>
      <c r="MAC129" s="212"/>
      <c r="MAD129" s="212"/>
      <c r="MAE129" s="212"/>
      <c r="MAF129" s="212"/>
      <c r="MAG129" s="212"/>
      <c r="MAH129" s="212"/>
      <c r="MAI129" s="212"/>
      <c r="MAJ129" s="212"/>
      <c r="MAK129" s="212"/>
      <c r="MAL129" s="212"/>
      <c r="MAM129" s="212"/>
      <c r="MAN129" s="212"/>
      <c r="MAO129" s="212"/>
      <c r="MAP129" s="212"/>
      <c r="MAQ129" s="212"/>
      <c r="MAR129" s="212"/>
      <c r="MAS129" s="212"/>
      <c r="MAT129" s="212"/>
      <c r="MAU129" s="212"/>
      <c r="MAV129" s="212"/>
      <c r="MAW129" s="212"/>
      <c r="MAX129" s="212"/>
      <c r="MAY129" s="212"/>
      <c r="MAZ129" s="212"/>
      <c r="MBA129" s="212"/>
      <c r="MBB129" s="212"/>
      <c r="MBC129" s="212"/>
      <c r="MBD129" s="212"/>
      <c r="MBE129" s="212"/>
      <c r="MBF129" s="212"/>
      <c r="MBG129" s="212"/>
      <c r="MBH129" s="212"/>
      <c r="MBI129" s="212"/>
      <c r="MBJ129" s="212"/>
      <c r="MBK129" s="212"/>
      <c r="MBL129" s="212"/>
      <c r="MBM129" s="212"/>
      <c r="MBN129" s="212"/>
      <c r="MBO129" s="212"/>
      <c r="MBP129" s="212"/>
      <c r="MBQ129" s="212"/>
      <c r="MBR129" s="212"/>
      <c r="MBS129" s="212"/>
      <c r="MBT129" s="212"/>
      <c r="MBU129" s="212"/>
      <c r="MBV129" s="212"/>
      <c r="MBW129" s="212"/>
      <c r="MBX129" s="212"/>
      <c r="MBY129" s="212"/>
      <c r="MBZ129" s="212"/>
      <c r="MCA129" s="212"/>
      <c r="MCB129" s="212"/>
      <c r="MCC129" s="212"/>
      <c r="MCD129" s="212"/>
      <c r="MCE129" s="212"/>
      <c r="MCF129" s="212"/>
      <c r="MCG129" s="212"/>
      <c r="MCH129" s="212"/>
      <c r="MCI129" s="212"/>
      <c r="MCJ129" s="212"/>
      <c r="MCK129" s="212"/>
      <c r="MCL129" s="212"/>
      <c r="MCM129" s="212"/>
      <c r="MCN129" s="212"/>
      <c r="MCO129" s="212"/>
      <c r="MCP129" s="212"/>
      <c r="MCQ129" s="212"/>
      <c r="MCR129" s="212"/>
      <c r="MCS129" s="212"/>
      <c r="MCT129" s="212"/>
      <c r="MCU129" s="212"/>
      <c r="MCV129" s="212"/>
      <c r="MCW129" s="212"/>
      <c r="MCX129" s="212"/>
      <c r="MCY129" s="212"/>
      <c r="MCZ129" s="212"/>
      <c r="MDA129" s="212"/>
      <c r="MDB129" s="212"/>
      <c r="MDC129" s="212"/>
      <c r="MDD129" s="212"/>
      <c r="MDE129" s="212"/>
      <c r="MDF129" s="212"/>
      <c r="MDG129" s="212"/>
      <c r="MDH129" s="212"/>
      <c r="MDI129" s="212"/>
      <c r="MDJ129" s="212"/>
      <c r="MDK129" s="212"/>
      <c r="MDL129" s="212"/>
      <c r="MDM129" s="212"/>
      <c r="MDN129" s="212"/>
      <c r="MDO129" s="212"/>
      <c r="MDP129" s="212"/>
      <c r="MDQ129" s="212"/>
      <c r="MDR129" s="212"/>
      <c r="MDS129" s="212"/>
      <c r="MDT129" s="212"/>
      <c r="MDU129" s="212"/>
      <c r="MDV129" s="212"/>
      <c r="MDW129" s="212"/>
      <c r="MDX129" s="212"/>
      <c r="MDY129" s="212"/>
      <c r="MDZ129" s="212"/>
      <c r="MEA129" s="212"/>
      <c r="MEB129" s="212"/>
      <c r="MEC129" s="212"/>
      <c r="MED129" s="212"/>
      <c r="MEE129" s="212"/>
      <c r="MEF129" s="212"/>
      <c r="MEG129" s="212"/>
      <c r="MEH129" s="212"/>
      <c r="MEI129" s="212"/>
      <c r="MEJ129" s="212"/>
      <c r="MEK129" s="212"/>
      <c r="MEL129" s="212"/>
      <c r="MEM129" s="212"/>
      <c r="MEN129" s="212"/>
      <c r="MEO129" s="212"/>
      <c r="MEP129" s="212"/>
      <c r="MEQ129" s="212"/>
      <c r="MER129" s="212"/>
      <c r="MES129" s="212"/>
      <c r="MET129" s="212"/>
      <c r="MEU129" s="212"/>
      <c r="MEV129" s="212"/>
      <c r="MEW129" s="212"/>
      <c r="MEX129" s="212"/>
      <c r="MEY129" s="212"/>
      <c r="MEZ129" s="212"/>
      <c r="MFA129" s="212"/>
      <c r="MFB129" s="212"/>
      <c r="MFC129" s="212"/>
      <c r="MFD129" s="212"/>
      <c r="MFE129" s="212"/>
      <c r="MFF129" s="212"/>
      <c r="MFG129" s="212"/>
      <c r="MFH129" s="212"/>
      <c r="MFI129" s="212"/>
      <c r="MFJ129" s="212"/>
      <c r="MFK129" s="212"/>
      <c r="MFL129" s="212"/>
      <c r="MFM129" s="212"/>
      <c r="MFN129" s="212"/>
      <c r="MFO129" s="212"/>
      <c r="MFP129" s="212"/>
      <c r="MFQ129" s="212"/>
      <c r="MFR129" s="212"/>
      <c r="MFS129" s="212"/>
      <c r="MFT129" s="212"/>
      <c r="MFU129" s="212"/>
      <c r="MFV129" s="212"/>
      <c r="MFW129" s="212"/>
      <c r="MFX129" s="212"/>
      <c r="MFY129" s="212"/>
      <c r="MFZ129" s="212"/>
      <c r="MGA129" s="212"/>
      <c r="MGB129" s="212"/>
      <c r="MGC129" s="212"/>
      <c r="MGD129" s="212"/>
      <c r="MGE129" s="212"/>
      <c r="MGF129" s="212"/>
      <c r="MGG129" s="212"/>
      <c r="MGH129" s="212"/>
      <c r="MGI129" s="212"/>
      <c r="MGJ129" s="212"/>
      <c r="MGK129" s="212"/>
      <c r="MGL129" s="212"/>
      <c r="MGM129" s="212"/>
      <c r="MGN129" s="212"/>
      <c r="MGO129" s="212"/>
      <c r="MGP129" s="212"/>
      <c r="MGQ129" s="212"/>
      <c r="MGR129" s="212"/>
      <c r="MGS129" s="212"/>
      <c r="MGT129" s="212"/>
      <c r="MGU129" s="212"/>
      <c r="MGV129" s="212"/>
      <c r="MGW129" s="212"/>
      <c r="MGX129" s="212"/>
      <c r="MGY129" s="212"/>
      <c r="MGZ129" s="212"/>
      <c r="MHA129" s="212"/>
      <c r="MHB129" s="212"/>
      <c r="MHC129" s="212"/>
      <c r="MHD129" s="212"/>
      <c r="MHE129" s="212"/>
      <c r="MHF129" s="212"/>
      <c r="MHG129" s="212"/>
      <c r="MHH129" s="212"/>
      <c r="MHI129" s="212"/>
      <c r="MHJ129" s="212"/>
      <c r="MHK129" s="212"/>
      <c r="MHL129" s="212"/>
      <c r="MHM129" s="212"/>
      <c r="MHN129" s="212"/>
      <c r="MHO129" s="212"/>
      <c r="MHP129" s="212"/>
      <c r="MHQ129" s="212"/>
      <c r="MHR129" s="212"/>
      <c r="MHS129" s="212"/>
      <c r="MHT129" s="212"/>
      <c r="MHU129" s="212"/>
      <c r="MHV129" s="212"/>
      <c r="MHW129" s="212"/>
      <c r="MHX129" s="212"/>
      <c r="MHY129" s="212"/>
      <c r="MHZ129" s="212"/>
      <c r="MIA129" s="212"/>
      <c r="MIB129" s="212"/>
      <c r="MIC129" s="212"/>
      <c r="MID129" s="212"/>
      <c r="MIE129" s="212"/>
      <c r="MIF129" s="212"/>
      <c r="MIG129" s="212"/>
      <c r="MIH129" s="212"/>
      <c r="MII129" s="212"/>
      <c r="MIJ129" s="212"/>
      <c r="MIK129" s="212"/>
      <c r="MIL129" s="212"/>
      <c r="MIM129" s="212"/>
      <c r="MIN129" s="212"/>
      <c r="MIO129" s="212"/>
      <c r="MIP129" s="212"/>
      <c r="MIQ129" s="212"/>
      <c r="MIR129" s="212"/>
      <c r="MIS129" s="212"/>
      <c r="MIT129" s="212"/>
      <c r="MIU129" s="212"/>
      <c r="MIV129" s="212"/>
      <c r="MIW129" s="212"/>
      <c r="MIX129" s="212"/>
      <c r="MIY129" s="212"/>
      <c r="MIZ129" s="212"/>
      <c r="MJA129" s="212"/>
      <c r="MJB129" s="212"/>
      <c r="MJC129" s="212"/>
      <c r="MJD129" s="212"/>
      <c r="MJE129" s="212"/>
      <c r="MJF129" s="212"/>
      <c r="MJG129" s="212"/>
      <c r="MJH129" s="212"/>
      <c r="MJI129" s="212"/>
      <c r="MJJ129" s="212"/>
      <c r="MJK129" s="212"/>
      <c r="MJL129" s="212"/>
      <c r="MJM129" s="212"/>
      <c r="MJN129" s="212"/>
      <c r="MJO129" s="212"/>
      <c r="MJP129" s="212"/>
      <c r="MJQ129" s="212"/>
      <c r="MJR129" s="212"/>
      <c r="MJS129" s="212"/>
      <c r="MJT129" s="212"/>
      <c r="MJU129" s="212"/>
      <c r="MJV129" s="212"/>
      <c r="MJW129" s="212"/>
      <c r="MJX129" s="212"/>
      <c r="MJY129" s="212"/>
      <c r="MJZ129" s="212"/>
      <c r="MKA129" s="212"/>
      <c r="MKB129" s="212"/>
      <c r="MKC129" s="212"/>
      <c r="MKD129" s="212"/>
      <c r="MKE129" s="212"/>
      <c r="MKF129" s="212"/>
      <c r="MKG129" s="212"/>
      <c r="MKH129" s="212"/>
      <c r="MKI129" s="212"/>
      <c r="MKJ129" s="212"/>
      <c r="MKK129" s="212"/>
      <c r="MKL129" s="212"/>
      <c r="MKM129" s="212"/>
      <c r="MKN129" s="212"/>
      <c r="MKO129" s="212"/>
      <c r="MKP129" s="212"/>
      <c r="MKQ129" s="212"/>
      <c r="MKR129" s="212"/>
      <c r="MKS129" s="212"/>
      <c r="MKT129" s="212"/>
      <c r="MKU129" s="212"/>
      <c r="MKV129" s="212"/>
      <c r="MKW129" s="212"/>
      <c r="MKX129" s="212"/>
      <c r="MKY129" s="212"/>
      <c r="MKZ129" s="212"/>
      <c r="MLA129" s="212"/>
      <c r="MLB129" s="212"/>
      <c r="MLC129" s="212"/>
      <c r="MLD129" s="212"/>
      <c r="MLE129" s="212"/>
      <c r="MLF129" s="212"/>
      <c r="MLG129" s="212"/>
      <c r="MLH129" s="212"/>
      <c r="MLI129" s="212"/>
      <c r="MLJ129" s="212"/>
      <c r="MLK129" s="212"/>
      <c r="MLL129" s="212"/>
      <c r="MLM129" s="212"/>
      <c r="MLN129" s="212"/>
      <c r="MLO129" s="212"/>
      <c r="MLP129" s="212"/>
      <c r="MLQ129" s="212"/>
      <c r="MLR129" s="212"/>
      <c r="MLS129" s="212"/>
      <c r="MLT129" s="212"/>
      <c r="MLU129" s="212"/>
      <c r="MLV129" s="212"/>
      <c r="MLW129" s="212"/>
      <c r="MLX129" s="212"/>
      <c r="MLY129" s="212"/>
      <c r="MLZ129" s="212"/>
      <c r="MMA129" s="212"/>
      <c r="MMB129" s="212"/>
      <c r="MMC129" s="212"/>
      <c r="MMD129" s="212"/>
      <c r="MME129" s="212"/>
      <c r="MMF129" s="212"/>
      <c r="MMG129" s="212"/>
      <c r="MMH129" s="212"/>
      <c r="MMI129" s="212"/>
      <c r="MMJ129" s="212"/>
      <c r="MMK129" s="212"/>
      <c r="MML129" s="212"/>
      <c r="MMM129" s="212"/>
      <c r="MMN129" s="212"/>
      <c r="MMO129" s="212"/>
      <c r="MMP129" s="212"/>
      <c r="MMQ129" s="212"/>
      <c r="MMR129" s="212"/>
      <c r="MMS129" s="212"/>
      <c r="MMT129" s="212"/>
      <c r="MMU129" s="212"/>
      <c r="MMV129" s="212"/>
      <c r="MMW129" s="212"/>
      <c r="MMX129" s="212"/>
      <c r="MMY129" s="212"/>
      <c r="MMZ129" s="212"/>
      <c r="MNA129" s="212"/>
      <c r="MNB129" s="212"/>
      <c r="MNC129" s="212"/>
      <c r="MND129" s="212"/>
      <c r="MNE129" s="212"/>
      <c r="MNF129" s="212"/>
      <c r="MNG129" s="212"/>
      <c r="MNH129" s="212"/>
      <c r="MNI129" s="212"/>
      <c r="MNJ129" s="212"/>
      <c r="MNK129" s="212"/>
      <c r="MNL129" s="212"/>
      <c r="MNM129" s="212"/>
      <c r="MNN129" s="212"/>
      <c r="MNO129" s="212"/>
      <c r="MNP129" s="212"/>
      <c r="MNQ129" s="212"/>
      <c r="MNR129" s="212"/>
      <c r="MNS129" s="212"/>
      <c r="MNT129" s="212"/>
      <c r="MNU129" s="212"/>
      <c r="MNV129" s="212"/>
      <c r="MNW129" s="212"/>
      <c r="MNX129" s="212"/>
      <c r="MNY129" s="212"/>
      <c r="MNZ129" s="212"/>
      <c r="MOA129" s="212"/>
      <c r="MOB129" s="212"/>
      <c r="MOC129" s="212"/>
      <c r="MOD129" s="212"/>
      <c r="MOE129" s="212"/>
      <c r="MOF129" s="212"/>
      <c r="MOG129" s="212"/>
      <c r="MOH129" s="212"/>
      <c r="MOI129" s="212"/>
      <c r="MOJ129" s="212"/>
      <c r="MOK129" s="212"/>
      <c r="MOL129" s="212"/>
      <c r="MOM129" s="212"/>
      <c r="MON129" s="212"/>
      <c r="MOO129" s="212"/>
      <c r="MOP129" s="212"/>
      <c r="MOQ129" s="212"/>
      <c r="MOR129" s="212"/>
      <c r="MOS129" s="212"/>
      <c r="MOT129" s="212"/>
      <c r="MOU129" s="212"/>
      <c r="MOV129" s="212"/>
      <c r="MOW129" s="212"/>
      <c r="MOX129" s="212"/>
      <c r="MOY129" s="212"/>
      <c r="MOZ129" s="212"/>
      <c r="MPA129" s="212"/>
      <c r="MPB129" s="212"/>
      <c r="MPC129" s="212"/>
      <c r="MPD129" s="212"/>
      <c r="MPE129" s="212"/>
      <c r="MPF129" s="212"/>
      <c r="MPG129" s="212"/>
      <c r="MPH129" s="212"/>
      <c r="MPI129" s="212"/>
      <c r="MPJ129" s="212"/>
      <c r="MPK129" s="212"/>
      <c r="MPL129" s="212"/>
      <c r="MPM129" s="212"/>
      <c r="MPN129" s="212"/>
      <c r="MPO129" s="212"/>
      <c r="MPP129" s="212"/>
      <c r="MPQ129" s="212"/>
      <c r="MPR129" s="212"/>
      <c r="MPS129" s="212"/>
      <c r="MPT129" s="212"/>
      <c r="MPU129" s="212"/>
      <c r="MPV129" s="212"/>
      <c r="MPW129" s="212"/>
      <c r="MPX129" s="212"/>
      <c r="MPY129" s="212"/>
      <c r="MPZ129" s="212"/>
      <c r="MQA129" s="212"/>
      <c r="MQB129" s="212"/>
      <c r="MQC129" s="212"/>
      <c r="MQD129" s="212"/>
      <c r="MQE129" s="212"/>
      <c r="MQF129" s="212"/>
      <c r="MQG129" s="212"/>
      <c r="MQH129" s="212"/>
      <c r="MQI129" s="212"/>
      <c r="MQJ129" s="212"/>
      <c r="MQK129" s="212"/>
      <c r="MQL129" s="212"/>
      <c r="MQM129" s="212"/>
      <c r="MQN129" s="212"/>
      <c r="MQO129" s="212"/>
      <c r="MQP129" s="212"/>
      <c r="MQQ129" s="212"/>
      <c r="MQR129" s="212"/>
      <c r="MQS129" s="212"/>
      <c r="MQT129" s="212"/>
      <c r="MQU129" s="212"/>
      <c r="MQV129" s="212"/>
      <c r="MQW129" s="212"/>
      <c r="MQX129" s="212"/>
      <c r="MQY129" s="212"/>
      <c r="MQZ129" s="212"/>
      <c r="MRA129" s="212"/>
      <c r="MRB129" s="212"/>
      <c r="MRC129" s="212"/>
      <c r="MRD129" s="212"/>
      <c r="MRE129" s="212"/>
      <c r="MRF129" s="212"/>
      <c r="MRG129" s="212"/>
      <c r="MRH129" s="212"/>
      <c r="MRI129" s="212"/>
      <c r="MRJ129" s="212"/>
      <c r="MRK129" s="212"/>
      <c r="MRL129" s="212"/>
      <c r="MRM129" s="212"/>
      <c r="MRN129" s="212"/>
      <c r="MRO129" s="212"/>
      <c r="MRP129" s="212"/>
      <c r="MRQ129" s="212"/>
      <c r="MRR129" s="212"/>
      <c r="MRS129" s="212"/>
      <c r="MRT129" s="212"/>
      <c r="MRU129" s="212"/>
      <c r="MRV129" s="212"/>
      <c r="MRW129" s="212"/>
      <c r="MRX129" s="212"/>
      <c r="MRY129" s="212"/>
      <c r="MRZ129" s="212"/>
      <c r="MSA129" s="212"/>
      <c r="MSB129" s="212"/>
      <c r="MSC129" s="212"/>
      <c r="MSD129" s="212"/>
      <c r="MSE129" s="212"/>
      <c r="MSF129" s="212"/>
      <c r="MSG129" s="212"/>
      <c r="MSH129" s="212"/>
      <c r="MSI129" s="212"/>
      <c r="MSJ129" s="212"/>
      <c r="MSK129" s="212"/>
      <c r="MSL129" s="212"/>
      <c r="MSM129" s="212"/>
      <c r="MSN129" s="212"/>
      <c r="MSO129" s="212"/>
      <c r="MSP129" s="212"/>
      <c r="MSQ129" s="212"/>
      <c r="MSR129" s="212"/>
      <c r="MSS129" s="212"/>
      <c r="MST129" s="212"/>
      <c r="MSU129" s="212"/>
      <c r="MSV129" s="212"/>
      <c r="MSW129" s="212"/>
      <c r="MSX129" s="212"/>
      <c r="MSY129" s="212"/>
      <c r="MSZ129" s="212"/>
      <c r="MTA129" s="212"/>
      <c r="MTB129" s="212"/>
      <c r="MTC129" s="212"/>
      <c r="MTD129" s="212"/>
      <c r="MTE129" s="212"/>
      <c r="MTF129" s="212"/>
      <c r="MTG129" s="212"/>
      <c r="MTH129" s="212"/>
      <c r="MTI129" s="212"/>
      <c r="MTJ129" s="212"/>
      <c r="MTK129" s="212"/>
      <c r="MTL129" s="212"/>
      <c r="MTM129" s="212"/>
      <c r="MTN129" s="212"/>
      <c r="MTO129" s="212"/>
      <c r="MTP129" s="212"/>
      <c r="MTQ129" s="212"/>
      <c r="MTR129" s="212"/>
      <c r="MTS129" s="212"/>
      <c r="MTT129" s="212"/>
      <c r="MTU129" s="212"/>
      <c r="MTV129" s="212"/>
      <c r="MTW129" s="212"/>
      <c r="MTX129" s="212"/>
      <c r="MTY129" s="212"/>
      <c r="MTZ129" s="212"/>
      <c r="MUA129" s="212"/>
      <c r="MUB129" s="212"/>
      <c r="MUC129" s="212"/>
      <c r="MUD129" s="212"/>
      <c r="MUE129" s="212"/>
      <c r="MUF129" s="212"/>
      <c r="MUG129" s="212"/>
      <c r="MUH129" s="212"/>
      <c r="MUI129" s="212"/>
      <c r="MUJ129" s="212"/>
      <c r="MUK129" s="212"/>
      <c r="MUL129" s="212"/>
      <c r="MUM129" s="212"/>
      <c r="MUN129" s="212"/>
      <c r="MUO129" s="212"/>
      <c r="MUP129" s="212"/>
      <c r="MUQ129" s="212"/>
      <c r="MUR129" s="212"/>
      <c r="MUS129" s="212"/>
      <c r="MUT129" s="212"/>
      <c r="MUU129" s="212"/>
      <c r="MUV129" s="212"/>
      <c r="MUW129" s="212"/>
      <c r="MUX129" s="212"/>
      <c r="MUY129" s="212"/>
      <c r="MUZ129" s="212"/>
      <c r="MVA129" s="212"/>
      <c r="MVB129" s="212"/>
      <c r="MVC129" s="212"/>
      <c r="MVD129" s="212"/>
      <c r="MVE129" s="212"/>
      <c r="MVF129" s="212"/>
      <c r="MVG129" s="212"/>
      <c r="MVH129" s="212"/>
      <c r="MVI129" s="212"/>
      <c r="MVJ129" s="212"/>
      <c r="MVK129" s="212"/>
      <c r="MVL129" s="212"/>
      <c r="MVM129" s="212"/>
      <c r="MVN129" s="212"/>
      <c r="MVO129" s="212"/>
      <c r="MVP129" s="212"/>
      <c r="MVQ129" s="212"/>
      <c r="MVR129" s="212"/>
      <c r="MVS129" s="212"/>
      <c r="MVT129" s="212"/>
      <c r="MVU129" s="212"/>
      <c r="MVV129" s="212"/>
      <c r="MVW129" s="212"/>
      <c r="MVX129" s="212"/>
      <c r="MVY129" s="212"/>
      <c r="MVZ129" s="212"/>
      <c r="MWA129" s="212"/>
      <c r="MWB129" s="212"/>
      <c r="MWC129" s="212"/>
      <c r="MWD129" s="212"/>
      <c r="MWE129" s="212"/>
      <c r="MWF129" s="212"/>
      <c r="MWG129" s="212"/>
      <c r="MWH129" s="212"/>
      <c r="MWI129" s="212"/>
      <c r="MWJ129" s="212"/>
      <c r="MWK129" s="212"/>
      <c r="MWL129" s="212"/>
      <c r="MWM129" s="212"/>
      <c r="MWN129" s="212"/>
      <c r="MWO129" s="212"/>
      <c r="MWP129" s="212"/>
      <c r="MWQ129" s="212"/>
      <c r="MWR129" s="212"/>
      <c r="MWS129" s="212"/>
      <c r="MWT129" s="212"/>
      <c r="MWU129" s="212"/>
      <c r="MWV129" s="212"/>
      <c r="MWW129" s="212"/>
      <c r="MWX129" s="212"/>
      <c r="MWY129" s="212"/>
      <c r="MWZ129" s="212"/>
      <c r="MXA129" s="212"/>
      <c r="MXB129" s="212"/>
      <c r="MXC129" s="212"/>
      <c r="MXD129" s="212"/>
      <c r="MXE129" s="212"/>
      <c r="MXF129" s="212"/>
      <c r="MXG129" s="212"/>
      <c r="MXH129" s="212"/>
      <c r="MXI129" s="212"/>
      <c r="MXJ129" s="212"/>
      <c r="MXK129" s="212"/>
      <c r="MXL129" s="212"/>
      <c r="MXM129" s="212"/>
      <c r="MXN129" s="212"/>
      <c r="MXO129" s="212"/>
      <c r="MXP129" s="212"/>
      <c r="MXQ129" s="212"/>
      <c r="MXR129" s="212"/>
      <c r="MXS129" s="212"/>
      <c r="MXT129" s="212"/>
      <c r="MXU129" s="212"/>
      <c r="MXV129" s="212"/>
      <c r="MXW129" s="212"/>
      <c r="MXX129" s="212"/>
      <c r="MXY129" s="212"/>
      <c r="MXZ129" s="212"/>
      <c r="MYA129" s="212"/>
      <c r="MYB129" s="212"/>
      <c r="MYC129" s="212"/>
      <c r="MYD129" s="212"/>
      <c r="MYE129" s="212"/>
      <c r="MYF129" s="212"/>
      <c r="MYG129" s="212"/>
      <c r="MYH129" s="212"/>
      <c r="MYI129" s="212"/>
      <c r="MYJ129" s="212"/>
      <c r="MYK129" s="212"/>
      <c r="MYL129" s="212"/>
      <c r="MYM129" s="212"/>
      <c r="MYN129" s="212"/>
      <c r="MYO129" s="212"/>
      <c r="MYP129" s="212"/>
      <c r="MYQ129" s="212"/>
      <c r="MYR129" s="212"/>
      <c r="MYS129" s="212"/>
      <c r="MYT129" s="212"/>
      <c r="MYU129" s="212"/>
      <c r="MYV129" s="212"/>
      <c r="MYW129" s="212"/>
      <c r="MYX129" s="212"/>
      <c r="MYY129" s="212"/>
      <c r="MYZ129" s="212"/>
      <c r="MZA129" s="212"/>
      <c r="MZB129" s="212"/>
      <c r="MZC129" s="212"/>
      <c r="MZD129" s="212"/>
      <c r="MZE129" s="212"/>
      <c r="MZF129" s="212"/>
      <c r="MZG129" s="212"/>
      <c r="MZH129" s="212"/>
      <c r="MZI129" s="212"/>
      <c r="MZJ129" s="212"/>
      <c r="MZK129" s="212"/>
      <c r="MZL129" s="212"/>
      <c r="MZM129" s="212"/>
      <c r="MZN129" s="212"/>
      <c r="MZO129" s="212"/>
      <c r="MZP129" s="212"/>
      <c r="MZQ129" s="212"/>
      <c r="MZR129" s="212"/>
      <c r="MZS129" s="212"/>
      <c r="MZT129" s="212"/>
      <c r="MZU129" s="212"/>
      <c r="MZV129" s="212"/>
      <c r="MZW129" s="212"/>
      <c r="MZX129" s="212"/>
      <c r="MZY129" s="212"/>
      <c r="MZZ129" s="212"/>
      <c r="NAA129" s="212"/>
      <c r="NAB129" s="212"/>
      <c r="NAC129" s="212"/>
      <c r="NAD129" s="212"/>
      <c r="NAE129" s="212"/>
      <c r="NAF129" s="212"/>
      <c r="NAG129" s="212"/>
      <c r="NAH129" s="212"/>
      <c r="NAI129" s="212"/>
      <c r="NAJ129" s="212"/>
      <c r="NAK129" s="212"/>
      <c r="NAL129" s="212"/>
      <c r="NAM129" s="212"/>
      <c r="NAN129" s="212"/>
      <c r="NAO129" s="212"/>
      <c r="NAP129" s="212"/>
      <c r="NAQ129" s="212"/>
      <c r="NAR129" s="212"/>
      <c r="NAS129" s="212"/>
      <c r="NAT129" s="212"/>
      <c r="NAU129" s="212"/>
      <c r="NAV129" s="212"/>
      <c r="NAW129" s="212"/>
      <c r="NAX129" s="212"/>
      <c r="NAY129" s="212"/>
      <c r="NAZ129" s="212"/>
      <c r="NBA129" s="212"/>
      <c r="NBB129" s="212"/>
      <c r="NBC129" s="212"/>
      <c r="NBD129" s="212"/>
      <c r="NBE129" s="212"/>
      <c r="NBF129" s="212"/>
      <c r="NBG129" s="212"/>
      <c r="NBH129" s="212"/>
      <c r="NBI129" s="212"/>
      <c r="NBJ129" s="212"/>
      <c r="NBK129" s="212"/>
      <c r="NBL129" s="212"/>
      <c r="NBM129" s="212"/>
      <c r="NBN129" s="212"/>
      <c r="NBO129" s="212"/>
      <c r="NBP129" s="212"/>
      <c r="NBQ129" s="212"/>
      <c r="NBR129" s="212"/>
      <c r="NBS129" s="212"/>
      <c r="NBT129" s="212"/>
      <c r="NBU129" s="212"/>
      <c r="NBV129" s="212"/>
      <c r="NBW129" s="212"/>
      <c r="NBX129" s="212"/>
      <c r="NBY129" s="212"/>
      <c r="NBZ129" s="212"/>
      <c r="NCA129" s="212"/>
      <c r="NCB129" s="212"/>
      <c r="NCC129" s="212"/>
      <c r="NCD129" s="212"/>
      <c r="NCE129" s="212"/>
      <c r="NCF129" s="212"/>
      <c r="NCG129" s="212"/>
      <c r="NCH129" s="212"/>
      <c r="NCI129" s="212"/>
      <c r="NCJ129" s="212"/>
      <c r="NCK129" s="212"/>
      <c r="NCL129" s="212"/>
      <c r="NCM129" s="212"/>
      <c r="NCN129" s="212"/>
      <c r="NCO129" s="212"/>
      <c r="NCP129" s="212"/>
      <c r="NCQ129" s="212"/>
      <c r="NCR129" s="212"/>
      <c r="NCS129" s="212"/>
      <c r="NCT129" s="212"/>
      <c r="NCU129" s="212"/>
      <c r="NCV129" s="212"/>
      <c r="NCW129" s="212"/>
      <c r="NCX129" s="212"/>
      <c r="NCY129" s="212"/>
      <c r="NCZ129" s="212"/>
      <c r="NDA129" s="212"/>
      <c r="NDB129" s="212"/>
      <c r="NDC129" s="212"/>
      <c r="NDD129" s="212"/>
      <c r="NDE129" s="212"/>
      <c r="NDF129" s="212"/>
      <c r="NDG129" s="212"/>
      <c r="NDH129" s="212"/>
      <c r="NDI129" s="212"/>
      <c r="NDJ129" s="212"/>
      <c r="NDK129" s="212"/>
      <c r="NDL129" s="212"/>
      <c r="NDM129" s="212"/>
      <c r="NDN129" s="212"/>
      <c r="NDO129" s="212"/>
      <c r="NDP129" s="212"/>
      <c r="NDQ129" s="212"/>
      <c r="NDR129" s="212"/>
      <c r="NDS129" s="212"/>
      <c r="NDT129" s="212"/>
      <c r="NDU129" s="212"/>
      <c r="NDV129" s="212"/>
      <c r="NDW129" s="212"/>
      <c r="NDX129" s="212"/>
      <c r="NDY129" s="212"/>
      <c r="NDZ129" s="212"/>
      <c r="NEA129" s="212"/>
      <c r="NEB129" s="212"/>
      <c r="NEC129" s="212"/>
      <c r="NED129" s="212"/>
      <c r="NEE129" s="212"/>
      <c r="NEF129" s="212"/>
      <c r="NEG129" s="212"/>
      <c r="NEH129" s="212"/>
      <c r="NEI129" s="212"/>
      <c r="NEJ129" s="212"/>
      <c r="NEK129" s="212"/>
      <c r="NEL129" s="212"/>
      <c r="NEM129" s="212"/>
      <c r="NEN129" s="212"/>
      <c r="NEO129" s="212"/>
      <c r="NEP129" s="212"/>
      <c r="NEQ129" s="212"/>
      <c r="NER129" s="212"/>
      <c r="NES129" s="212"/>
      <c r="NET129" s="212"/>
      <c r="NEU129" s="212"/>
      <c r="NEV129" s="212"/>
      <c r="NEW129" s="212"/>
      <c r="NEX129" s="212"/>
      <c r="NEY129" s="212"/>
      <c r="NEZ129" s="212"/>
      <c r="NFA129" s="212"/>
      <c r="NFB129" s="212"/>
      <c r="NFC129" s="212"/>
      <c r="NFD129" s="212"/>
      <c r="NFE129" s="212"/>
      <c r="NFF129" s="212"/>
      <c r="NFG129" s="212"/>
      <c r="NFH129" s="212"/>
      <c r="NFI129" s="212"/>
      <c r="NFJ129" s="212"/>
      <c r="NFK129" s="212"/>
      <c r="NFL129" s="212"/>
      <c r="NFM129" s="212"/>
      <c r="NFN129" s="212"/>
      <c r="NFO129" s="212"/>
      <c r="NFP129" s="212"/>
      <c r="NFQ129" s="212"/>
      <c r="NFR129" s="212"/>
      <c r="NFS129" s="212"/>
      <c r="NFT129" s="212"/>
      <c r="NFU129" s="212"/>
      <c r="NFV129" s="212"/>
      <c r="NFW129" s="212"/>
      <c r="NFX129" s="212"/>
      <c r="NFY129" s="212"/>
      <c r="NFZ129" s="212"/>
      <c r="NGA129" s="212"/>
      <c r="NGB129" s="212"/>
      <c r="NGC129" s="212"/>
      <c r="NGD129" s="212"/>
      <c r="NGE129" s="212"/>
      <c r="NGF129" s="212"/>
      <c r="NGG129" s="212"/>
      <c r="NGH129" s="212"/>
      <c r="NGI129" s="212"/>
      <c r="NGJ129" s="212"/>
      <c r="NGK129" s="212"/>
      <c r="NGL129" s="212"/>
      <c r="NGM129" s="212"/>
      <c r="NGN129" s="212"/>
      <c r="NGO129" s="212"/>
      <c r="NGP129" s="212"/>
      <c r="NGQ129" s="212"/>
      <c r="NGR129" s="212"/>
      <c r="NGS129" s="212"/>
      <c r="NGT129" s="212"/>
      <c r="NGU129" s="212"/>
      <c r="NGV129" s="212"/>
      <c r="NGW129" s="212"/>
      <c r="NGX129" s="212"/>
      <c r="NGY129" s="212"/>
      <c r="NGZ129" s="212"/>
      <c r="NHA129" s="212"/>
      <c r="NHB129" s="212"/>
      <c r="NHC129" s="212"/>
      <c r="NHD129" s="212"/>
      <c r="NHE129" s="212"/>
      <c r="NHF129" s="212"/>
      <c r="NHG129" s="212"/>
      <c r="NHH129" s="212"/>
      <c r="NHI129" s="212"/>
      <c r="NHJ129" s="212"/>
      <c r="NHK129" s="212"/>
      <c r="NHL129" s="212"/>
      <c r="NHM129" s="212"/>
      <c r="NHN129" s="212"/>
      <c r="NHO129" s="212"/>
      <c r="NHP129" s="212"/>
      <c r="NHQ129" s="212"/>
      <c r="NHR129" s="212"/>
      <c r="NHS129" s="212"/>
      <c r="NHT129" s="212"/>
      <c r="NHU129" s="212"/>
      <c r="NHV129" s="212"/>
      <c r="NHW129" s="212"/>
      <c r="NHX129" s="212"/>
      <c r="NHY129" s="212"/>
      <c r="NHZ129" s="212"/>
      <c r="NIA129" s="212"/>
      <c r="NIB129" s="212"/>
      <c r="NIC129" s="212"/>
      <c r="NID129" s="212"/>
      <c r="NIE129" s="212"/>
      <c r="NIF129" s="212"/>
      <c r="NIG129" s="212"/>
      <c r="NIH129" s="212"/>
      <c r="NII129" s="212"/>
      <c r="NIJ129" s="212"/>
      <c r="NIK129" s="212"/>
      <c r="NIL129" s="212"/>
      <c r="NIM129" s="212"/>
      <c r="NIN129" s="212"/>
      <c r="NIO129" s="212"/>
      <c r="NIP129" s="212"/>
      <c r="NIQ129" s="212"/>
      <c r="NIR129" s="212"/>
      <c r="NIS129" s="212"/>
      <c r="NIT129" s="212"/>
      <c r="NIU129" s="212"/>
      <c r="NIV129" s="212"/>
      <c r="NIW129" s="212"/>
      <c r="NIX129" s="212"/>
      <c r="NIY129" s="212"/>
      <c r="NIZ129" s="212"/>
      <c r="NJA129" s="212"/>
      <c r="NJB129" s="212"/>
      <c r="NJC129" s="212"/>
      <c r="NJD129" s="212"/>
      <c r="NJE129" s="212"/>
      <c r="NJF129" s="212"/>
      <c r="NJG129" s="212"/>
      <c r="NJH129" s="212"/>
      <c r="NJI129" s="212"/>
      <c r="NJJ129" s="212"/>
      <c r="NJK129" s="212"/>
      <c r="NJL129" s="212"/>
      <c r="NJM129" s="212"/>
      <c r="NJN129" s="212"/>
      <c r="NJO129" s="212"/>
      <c r="NJP129" s="212"/>
      <c r="NJQ129" s="212"/>
      <c r="NJR129" s="212"/>
      <c r="NJS129" s="212"/>
      <c r="NJT129" s="212"/>
      <c r="NJU129" s="212"/>
      <c r="NJV129" s="212"/>
      <c r="NJW129" s="212"/>
      <c r="NJX129" s="212"/>
      <c r="NJY129" s="212"/>
      <c r="NJZ129" s="212"/>
      <c r="NKA129" s="212"/>
      <c r="NKB129" s="212"/>
      <c r="NKC129" s="212"/>
      <c r="NKD129" s="212"/>
      <c r="NKE129" s="212"/>
      <c r="NKF129" s="212"/>
      <c r="NKG129" s="212"/>
      <c r="NKH129" s="212"/>
      <c r="NKI129" s="212"/>
      <c r="NKJ129" s="212"/>
      <c r="NKK129" s="212"/>
      <c r="NKL129" s="212"/>
      <c r="NKM129" s="212"/>
      <c r="NKN129" s="212"/>
      <c r="NKO129" s="212"/>
      <c r="NKP129" s="212"/>
      <c r="NKQ129" s="212"/>
      <c r="NKR129" s="212"/>
      <c r="NKS129" s="212"/>
      <c r="NKT129" s="212"/>
      <c r="NKU129" s="212"/>
      <c r="NKV129" s="212"/>
      <c r="NKW129" s="212"/>
      <c r="NKX129" s="212"/>
      <c r="NKY129" s="212"/>
      <c r="NKZ129" s="212"/>
      <c r="NLA129" s="212"/>
      <c r="NLB129" s="212"/>
      <c r="NLC129" s="212"/>
      <c r="NLD129" s="212"/>
      <c r="NLE129" s="212"/>
      <c r="NLF129" s="212"/>
      <c r="NLG129" s="212"/>
      <c r="NLH129" s="212"/>
      <c r="NLI129" s="212"/>
      <c r="NLJ129" s="212"/>
      <c r="NLK129" s="212"/>
      <c r="NLL129" s="212"/>
      <c r="NLM129" s="212"/>
      <c r="NLN129" s="212"/>
      <c r="NLO129" s="212"/>
      <c r="NLP129" s="212"/>
      <c r="NLQ129" s="212"/>
      <c r="NLR129" s="212"/>
      <c r="NLS129" s="212"/>
      <c r="NLT129" s="212"/>
      <c r="NLU129" s="212"/>
      <c r="NLV129" s="212"/>
      <c r="NLW129" s="212"/>
      <c r="NLX129" s="212"/>
      <c r="NLY129" s="212"/>
      <c r="NLZ129" s="212"/>
      <c r="NMA129" s="212"/>
      <c r="NMB129" s="212"/>
      <c r="NMC129" s="212"/>
      <c r="NMD129" s="212"/>
      <c r="NME129" s="212"/>
      <c r="NMF129" s="212"/>
      <c r="NMG129" s="212"/>
      <c r="NMH129" s="212"/>
      <c r="NMI129" s="212"/>
      <c r="NMJ129" s="212"/>
      <c r="NMK129" s="212"/>
      <c r="NML129" s="212"/>
      <c r="NMM129" s="212"/>
      <c r="NMN129" s="212"/>
      <c r="NMO129" s="212"/>
      <c r="NMP129" s="212"/>
      <c r="NMQ129" s="212"/>
      <c r="NMR129" s="212"/>
      <c r="NMS129" s="212"/>
      <c r="NMT129" s="212"/>
      <c r="NMU129" s="212"/>
      <c r="NMV129" s="212"/>
      <c r="NMW129" s="212"/>
      <c r="NMX129" s="212"/>
      <c r="NMY129" s="212"/>
      <c r="NMZ129" s="212"/>
      <c r="NNA129" s="212"/>
      <c r="NNB129" s="212"/>
      <c r="NNC129" s="212"/>
      <c r="NND129" s="212"/>
      <c r="NNE129" s="212"/>
      <c r="NNF129" s="212"/>
      <c r="NNG129" s="212"/>
      <c r="NNH129" s="212"/>
      <c r="NNI129" s="212"/>
      <c r="NNJ129" s="212"/>
      <c r="NNK129" s="212"/>
      <c r="NNL129" s="212"/>
      <c r="NNM129" s="212"/>
      <c r="NNN129" s="212"/>
      <c r="NNO129" s="212"/>
      <c r="NNP129" s="212"/>
      <c r="NNQ129" s="212"/>
      <c r="NNR129" s="212"/>
      <c r="NNS129" s="212"/>
      <c r="NNT129" s="212"/>
      <c r="NNU129" s="212"/>
      <c r="NNV129" s="212"/>
      <c r="NNW129" s="212"/>
      <c r="NNX129" s="212"/>
      <c r="NNY129" s="212"/>
      <c r="NNZ129" s="212"/>
      <c r="NOA129" s="212"/>
      <c r="NOB129" s="212"/>
      <c r="NOC129" s="212"/>
      <c r="NOD129" s="212"/>
      <c r="NOE129" s="212"/>
      <c r="NOF129" s="212"/>
      <c r="NOG129" s="212"/>
      <c r="NOH129" s="212"/>
      <c r="NOI129" s="212"/>
      <c r="NOJ129" s="212"/>
      <c r="NOK129" s="212"/>
      <c r="NOL129" s="212"/>
      <c r="NOM129" s="212"/>
      <c r="NON129" s="212"/>
      <c r="NOO129" s="212"/>
      <c r="NOP129" s="212"/>
      <c r="NOQ129" s="212"/>
      <c r="NOR129" s="212"/>
      <c r="NOS129" s="212"/>
      <c r="NOT129" s="212"/>
      <c r="NOU129" s="212"/>
      <c r="NOV129" s="212"/>
      <c r="NOW129" s="212"/>
      <c r="NOX129" s="212"/>
      <c r="NOY129" s="212"/>
      <c r="NOZ129" s="212"/>
      <c r="NPA129" s="212"/>
      <c r="NPB129" s="212"/>
      <c r="NPC129" s="212"/>
      <c r="NPD129" s="212"/>
      <c r="NPE129" s="212"/>
      <c r="NPF129" s="212"/>
      <c r="NPG129" s="212"/>
      <c r="NPH129" s="212"/>
      <c r="NPI129" s="212"/>
      <c r="NPJ129" s="212"/>
      <c r="NPK129" s="212"/>
      <c r="NPL129" s="212"/>
      <c r="NPM129" s="212"/>
      <c r="NPN129" s="212"/>
      <c r="NPO129" s="212"/>
      <c r="NPP129" s="212"/>
      <c r="NPQ129" s="212"/>
      <c r="NPR129" s="212"/>
      <c r="NPS129" s="212"/>
      <c r="NPT129" s="212"/>
      <c r="NPU129" s="212"/>
      <c r="NPV129" s="212"/>
      <c r="NPW129" s="212"/>
      <c r="NPX129" s="212"/>
      <c r="NPY129" s="212"/>
      <c r="NPZ129" s="212"/>
      <c r="NQA129" s="212"/>
      <c r="NQB129" s="212"/>
      <c r="NQC129" s="212"/>
      <c r="NQD129" s="212"/>
      <c r="NQE129" s="212"/>
      <c r="NQF129" s="212"/>
      <c r="NQG129" s="212"/>
      <c r="NQH129" s="212"/>
      <c r="NQI129" s="212"/>
      <c r="NQJ129" s="212"/>
      <c r="NQK129" s="212"/>
      <c r="NQL129" s="212"/>
      <c r="NQM129" s="212"/>
      <c r="NQN129" s="212"/>
      <c r="NQO129" s="212"/>
      <c r="NQP129" s="212"/>
      <c r="NQQ129" s="212"/>
      <c r="NQR129" s="212"/>
      <c r="NQS129" s="212"/>
      <c r="NQT129" s="212"/>
      <c r="NQU129" s="212"/>
      <c r="NQV129" s="212"/>
      <c r="NQW129" s="212"/>
      <c r="NQX129" s="212"/>
      <c r="NQY129" s="212"/>
      <c r="NQZ129" s="212"/>
      <c r="NRA129" s="212"/>
      <c r="NRB129" s="212"/>
      <c r="NRC129" s="212"/>
      <c r="NRD129" s="212"/>
      <c r="NRE129" s="212"/>
      <c r="NRF129" s="212"/>
      <c r="NRG129" s="212"/>
      <c r="NRH129" s="212"/>
      <c r="NRI129" s="212"/>
      <c r="NRJ129" s="212"/>
      <c r="NRK129" s="212"/>
      <c r="NRL129" s="212"/>
      <c r="NRM129" s="212"/>
      <c r="NRN129" s="212"/>
      <c r="NRO129" s="212"/>
      <c r="NRP129" s="212"/>
      <c r="NRQ129" s="212"/>
      <c r="NRR129" s="212"/>
      <c r="NRS129" s="212"/>
      <c r="NRT129" s="212"/>
      <c r="NRU129" s="212"/>
      <c r="NRV129" s="212"/>
      <c r="NRW129" s="212"/>
      <c r="NRX129" s="212"/>
      <c r="NRY129" s="212"/>
      <c r="NRZ129" s="212"/>
      <c r="NSA129" s="212"/>
      <c r="NSB129" s="212"/>
      <c r="NSC129" s="212"/>
      <c r="NSD129" s="212"/>
      <c r="NSE129" s="212"/>
      <c r="NSF129" s="212"/>
      <c r="NSG129" s="212"/>
      <c r="NSH129" s="212"/>
      <c r="NSI129" s="212"/>
      <c r="NSJ129" s="212"/>
      <c r="NSK129" s="212"/>
      <c r="NSL129" s="212"/>
      <c r="NSM129" s="212"/>
      <c r="NSN129" s="212"/>
      <c r="NSO129" s="212"/>
      <c r="NSP129" s="212"/>
      <c r="NSQ129" s="212"/>
      <c r="NSR129" s="212"/>
      <c r="NSS129" s="212"/>
      <c r="NST129" s="212"/>
      <c r="NSU129" s="212"/>
      <c r="NSV129" s="212"/>
      <c r="NSW129" s="212"/>
      <c r="NSX129" s="212"/>
      <c r="NSY129" s="212"/>
      <c r="NSZ129" s="212"/>
      <c r="NTA129" s="212"/>
      <c r="NTB129" s="212"/>
      <c r="NTC129" s="212"/>
      <c r="NTD129" s="212"/>
      <c r="NTE129" s="212"/>
      <c r="NTF129" s="212"/>
      <c r="NTG129" s="212"/>
      <c r="NTH129" s="212"/>
      <c r="NTI129" s="212"/>
      <c r="NTJ129" s="212"/>
      <c r="NTK129" s="212"/>
      <c r="NTL129" s="212"/>
      <c r="NTM129" s="212"/>
      <c r="NTN129" s="212"/>
      <c r="NTO129" s="212"/>
      <c r="NTP129" s="212"/>
      <c r="NTQ129" s="212"/>
      <c r="NTR129" s="212"/>
      <c r="NTS129" s="212"/>
      <c r="NTT129" s="212"/>
      <c r="NTU129" s="212"/>
      <c r="NTV129" s="212"/>
      <c r="NTW129" s="212"/>
      <c r="NTX129" s="212"/>
      <c r="NTY129" s="212"/>
      <c r="NTZ129" s="212"/>
      <c r="NUA129" s="212"/>
      <c r="NUB129" s="212"/>
      <c r="NUC129" s="212"/>
      <c r="NUD129" s="212"/>
      <c r="NUE129" s="212"/>
      <c r="NUF129" s="212"/>
      <c r="NUG129" s="212"/>
      <c r="NUH129" s="212"/>
      <c r="NUI129" s="212"/>
      <c r="NUJ129" s="212"/>
      <c r="NUK129" s="212"/>
      <c r="NUL129" s="212"/>
      <c r="NUM129" s="212"/>
      <c r="NUN129" s="212"/>
      <c r="NUO129" s="212"/>
      <c r="NUP129" s="212"/>
      <c r="NUQ129" s="212"/>
      <c r="NUR129" s="212"/>
      <c r="NUS129" s="212"/>
      <c r="NUT129" s="212"/>
      <c r="NUU129" s="212"/>
      <c r="NUV129" s="212"/>
      <c r="NUW129" s="212"/>
      <c r="NUX129" s="212"/>
      <c r="NUY129" s="212"/>
      <c r="NUZ129" s="212"/>
      <c r="NVA129" s="212"/>
      <c r="NVB129" s="212"/>
      <c r="NVC129" s="212"/>
      <c r="NVD129" s="212"/>
      <c r="NVE129" s="212"/>
      <c r="NVF129" s="212"/>
      <c r="NVG129" s="212"/>
      <c r="NVH129" s="212"/>
      <c r="NVI129" s="212"/>
      <c r="NVJ129" s="212"/>
      <c r="NVK129" s="212"/>
      <c r="NVL129" s="212"/>
      <c r="NVM129" s="212"/>
      <c r="NVN129" s="212"/>
      <c r="NVO129" s="212"/>
      <c r="NVP129" s="212"/>
      <c r="NVQ129" s="212"/>
      <c r="NVR129" s="212"/>
      <c r="NVS129" s="212"/>
      <c r="NVT129" s="212"/>
      <c r="NVU129" s="212"/>
      <c r="NVV129" s="212"/>
      <c r="NVW129" s="212"/>
      <c r="NVX129" s="212"/>
      <c r="NVY129" s="212"/>
      <c r="NVZ129" s="212"/>
      <c r="NWA129" s="212"/>
      <c r="NWB129" s="212"/>
      <c r="NWC129" s="212"/>
      <c r="NWD129" s="212"/>
      <c r="NWE129" s="212"/>
      <c r="NWF129" s="212"/>
      <c r="NWG129" s="212"/>
      <c r="NWH129" s="212"/>
      <c r="NWI129" s="212"/>
      <c r="NWJ129" s="212"/>
      <c r="NWK129" s="212"/>
      <c r="NWL129" s="212"/>
      <c r="NWM129" s="212"/>
      <c r="NWN129" s="212"/>
      <c r="NWO129" s="212"/>
      <c r="NWP129" s="212"/>
      <c r="NWQ129" s="212"/>
      <c r="NWR129" s="212"/>
      <c r="NWS129" s="212"/>
      <c r="NWT129" s="212"/>
      <c r="NWU129" s="212"/>
      <c r="NWV129" s="212"/>
      <c r="NWW129" s="212"/>
      <c r="NWX129" s="212"/>
      <c r="NWY129" s="212"/>
      <c r="NWZ129" s="212"/>
      <c r="NXA129" s="212"/>
      <c r="NXB129" s="212"/>
      <c r="NXC129" s="212"/>
      <c r="NXD129" s="212"/>
      <c r="NXE129" s="212"/>
      <c r="NXF129" s="212"/>
      <c r="NXG129" s="212"/>
      <c r="NXH129" s="212"/>
      <c r="NXI129" s="212"/>
      <c r="NXJ129" s="212"/>
      <c r="NXK129" s="212"/>
      <c r="NXL129" s="212"/>
      <c r="NXM129" s="212"/>
      <c r="NXN129" s="212"/>
      <c r="NXO129" s="212"/>
      <c r="NXP129" s="212"/>
      <c r="NXQ129" s="212"/>
      <c r="NXR129" s="212"/>
      <c r="NXS129" s="212"/>
      <c r="NXT129" s="212"/>
      <c r="NXU129" s="212"/>
      <c r="NXV129" s="212"/>
      <c r="NXW129" s="212"/>
      <c r="NXX129" s="212"/>
      <c r="NXY129" s="212"/>
      <c r="NXZ129" s="212"/>
      <c r="NYA129" s="212"/>
      <c r="NYB129" s="212"/>
      <c r="NYC129" s="212"/>
      <c r="NYD129" s="212"/>
      <c r="NYE129" s="212"/>
      <c r="NYF129" s="212"/>
      <c r="NYG129" s="212"/>
      <c r="NYH129" s="212"/>
      <c r="NYI129" s="212"/>
      <c r="NYJ129" s="212"/>
      <c r="NYK129" s="212"/>
      <c r="NYL129" s="212"/>
      <c r="NYM129" s="212"/>
      <c r="NYN129" s="212"/>
      <c r="NYO129" s="212"/>
      <c r="NYP129" s="212"/>
      <c r="NYQ129" s="212"/>
      <c r="NYR129" s="212"/>
      <c r="NYS129" s="212"/>
      <c r="NYT129" s="212"/>
      <c r="NYU129" s="212"/>
      <c r="NYV129" s="212"/>
      <c r="NYW129" s="212"/>
      <c r="NYX129" s="212"/>
      <c r="NYY129" s="212"/>
      <c r="NYZ129" s="212"/>
      <c r="NZA129" s="212"/>
      <c r="NZB129" s="212"/>
      <c r="NZC129" s="212"/>
      <c r="NZD129" s="212"/>
      <c r="NZE129" s="212"/>
      <c r="NZF129" s="212"/>
      <c r="NZG129" s="212"/>
      <c r="NZH129" s="212"/>
      <c r="NZI129" s="212"/>
      <c r="NZJ129" s="212"/>
      <c r="NZK129" s="212"/>
      <c r="NZL129" s="212"/>
      <c r="NZM129" s="212"/>
      <c r="NZN129" s="212"/>
      <c r="NZO129" s="212"/>
      <c r="NZP129" s="212"/>
      <c r="NZQ129" s="212"/>
      <c r="NZR129" s="212"/>
      <c r="NZS129" s="212"/>
      <c r="NZT129" s="212"/>
      <c r="NZU129" s="212"/>
      <c r="NZV129" s="212"/>
      <c r="NZW129" s="212"/>
      <c r="NZX129" s="212"/>
      <c r="NZY129" s="212"/>
      <c r="NZZ129" s="212"/>
      <c r="OAA129" s="212"/>
      <c r="OAB129" s="212"/>
      <c r="OAC129" s="212"/>
      <c r="OAD129" s="212"/>
      <c r="OAE129" s="212"/>
      <c r="OAF129" s="212"/>
      <c r="OAG129" s="212"/>
      <c r="OAH129" s="212"/>
      <c r="OAI129" s="212"/>
      <c r="OAJ129" s="212"/>
      <c r="OAK129" s="212"/>
      <c r="OAL129" s="212"/>
      <c r="OAM129" s="212"/>
      <c r="OAN129" s="212"/>
      <c r="OAO129" s="212"/>
      <c r="OAP129" s="212"/>
      <c r="OAQ129" s="212"/>
      <c r="OAR129" s="212"/>
      <c r="OAS129" s="212"/>
      <c r="OAT129" s="212"/>
      <c r="OAU129" s="212"/>
      <c r="OAV129" s="212"/>
      <c r="OAW129" s="212"/>
      <c r="OAX129" s="212"/>
      <c r="OAY129" s="212"/>
      <c r="OAZ129" s="212"/>
      <c r="OBA129" s="212"/>
      <c r="OBB129" s="212"/>
      <c r="OBC129" s="212"/>
      <c r="OBD129" s="212"/>
      <c r="OBE129" s="212"/>
      <c r="OBF129" s="212"/>
      <c r="OBG129" s="212"/>
      <c r="OBH129" s="212"/>
      <c r="OBI129" s="212"/>
      <c r="OBJ129" s="212"/>
      <c r="OBK129" s="212"/>
      <c r="OBL129" s="212"/>
      <c r="OBM129" s="212"/>
      <c r="OBN129" s="212"/>
      <c r="OBO129" s="212"/>
      <c r="OBP129" s="212"/>
      <c r="OBQ129" s="212"/>
      <c r="OBR129" s="212"/>
      <c r="OBS129" s="212"/>
      <c r="OBT129" s="212"/>
      <c r="OBU129" s="212"/>
      <c r="OBV129" s="212"/>
      <c r="OBW129" s="212"/>
      <c r="OBX129" s="212"/>
      <c r="OBY129" s="212"/>
      <c r="OBZ129" s="212"/>
      <c r="OCA129" s="212"/>
      <c r="OCB129" s="212"/>
      <c r="OCC129" s="212"/>
      <c r="OCD129" s="212"/>
      <c r="OCE129" s="212"/>
      <c r="OCF129" s="212"/>
      <c r="OCG129" s="212"/>
      <c r="OCH129" s="212"/>
      <c r="OCI129" s="212"/>
      <c r="OCJ129" s="212"/>
      <c r="OCK129" s="212"/>
      <c r="OCL129" s="212"/>
      <c r="OCM129" s="212"/>
      <c r="OCN129" s="212"/>
      <c r="OCO129" s="212"/>
      <c r="OCP129" s="212"/>
      <c r="OCQ129" s="212"/>
      <c r="OCR129" s="212"/>
      <c r="OCS129" s="212"/>
      <c r="OCT129" s="212"/>
      <c r="OCU129" s="212"/>
      <c r="OCV129" s="212"/>
      <c r="OCW129" s="212"/>
      <c r="OCX129" s="212"/>
      <c r="OCY129" s="212"/>
      <c r="OCZ129" s="212"/>
      <c r="ODA129" s="212"/>
      <c r="ODB129" s="212"/>
      <c r="ODC129" s="212"/>
      <c r="ODD129" s="212"/>
      <c r="ODE129" s="212"/>
      <c r="ODF129" s="212"/>
      <c r="ODG129" s="212"/>
      <c r="ODH129" s="212"/>
      <c r="ODI129" s="212"/>
      <c r="ODJ129" s="212"/>
      <c r="ODK129" s="212"/>
      <c r="ODL129" s="212"/>
      <c r="ODM129" s="212"/>
      <c r="ODN129" s="212"/>
      <c r="ODO129" s="212"/>
      <c r="ODP129" s="212"/>
      <c r="ODQ129" s="212"/>
      <c r="ODR129" s="212"/>
      <c r="ODS129" s="212"/>
      <c r="ODT129" s="212"/>
      <c r="ODU129" s="212"/>
      <c r="ODV129" s="212"/>
      <c r="ODW129" s="212"/>
      <c r="ODX129" s="212"/>
      <c r="ODY129" s="212"/>
      <c r="ODZ129" s="212"/>
      <c r="OEA129" s="212"/>
      <c r="OEB129" s="212"/>
      <c r="OEC129" s="212"/>
      <c r="OED129" s="212"/>
      <c r="OEE129" s="212"/>
      <c r="OEF129" s="212"/>
      <c r="OEG129" s="212"/>
      <c r="OEH129" s="212"/>
      <c r="OEI129" s="212"/>
      <c r="OEJ129" s="212"/>
      <c r="OEK129" s="212"/>
      <c r="OEL129" s="212"/>
      <c r="OEM129" s="212"/>
      <c r="OEN129" s="212"/>
      <c r="OEO129" s="212"/>
      <c r="OEP129" s="212"/>
      <c r="OEQ129" s="212"/>
      <c r="OER129" s="212"/>
      <c r="OES129" s="212"/>
      <c r="OET129" s="212"/>
      <c r="OEU129" s="212"/>
      <c r="OEV129" s="212"/>
      <c r="OEW129" s="212"/>
      <c r="OEX129" s="212"/>
      <c r="OEY129" s="212"/>
      <c r="OEZ129" s="212"/>
      <c r="OFA129" s="212"/>
      <c r="OFB129" s="212"/>
      <c r="OFC129" s="212"/>
      <c r="OFD129" s="212"/>
      <c r="OFE129" s="212"/>
      <c r="OFF129" s="212"/>
      <c r="OFG129" s="212"/>
      <c r="OFH129" s="212"/>
      <c r="OFI129" s="212"/>
      <c r="OFJ129" s="212"/>
      <c r="OFK129" s="212"/>
      <c r="OFL129" s="212"/>
      <c r="OFM129" s="212"/>
      <c r="OFN129" s="212"/>
      <c r="OFO129" s="212"/>
      <c r="OFP129" s="212"/>
      <c r="OFQ129" s="212"/>
      <c r="OFR129" s="212"/>
      <c r="OFS129" s="212"/>
      <c r="OFT129" s="212"/>
      <c r="OFU129" s="212"/>
      <c r="OFV129" s="212"/>
      <c r="OFW129" s="212"/>
      <c r="OFX129" s="212"/>
      <c r="OFY129" s="212"/>
      <c r="OFZ129" s="212"/>
      <c r="OGA129" s="212"/>
      <c r="OGB129" s="212"/>
      <c r="OGC129" s="212"/>
      <c r="OGD129" s="212"/>
      <c r="OGE129" s="212"/>
      <c r="OGF129" s="212"/>
      <c r="OGG129" s="212"/>
      <c r="OGH129" s="212"/>
      <c r="OGI129" s="212"/>
      <c r="OGJ129" s="212"/>
      <c r="OGK129" s="212"/>
      <c r="OGL129" s="212"/>
      <c r="OGM129" s="212"/>
      <c r="OGN129" s="212"/>
      <c r="OGO129" s="212"/>
      <c r="OGP129" s="212"/>
      <c r="OGQ129" s="212"/>
      <c r="OGR129" s="212"/>
      <c r="OGS129" s="212"/>
      <c r="OGT129" s="212"/>
      <c r="OGU129" s="212"/>
      <c r="OGV129" s="212"/>
      <c r="OGW129" s="212"/>
      <c r="OGX129" s="212"/>
      <c r="OGY129" s="212"/>
      <c r="OGZ129" s="212"/>
      <c r="OHA129" s="212"/>
      <c r="OHB129" s="212"/>
      <c r="OHC129" s="212"/>
      <c r="OHD129" s="212"/>
      <c r="OHE129" s="212"/>
      <c r="OHF129" s="212"/>
      <c r="OHG129" s="212"/>
      <c r="OHH129" s="212"/>
      <c r="OHI129" s="212"/>
      <c r="OHJ129" s="212"/>
      <c r="OHK129" s="212"/>
      <c r="OHL129" s="212"/>
      <c r="OHM129" s="212"/>
      <c r="OHN129" s="212"/>
      <c r="OHO129" s="212"/>
      <c r="OHP129" s="212"/>
      <c r="OHQ129" s="212"/>
      <c r="OHR129" s="212"/>
      <c r="OHS129" s="212"/>
      <c r="OHT129" s="212"/>
      <c r="OHU129" s="212"/>
      <c r="OHV129" s="212"/>
      <c r="OHW129" s="212"/>
      <c r="OHX129" s="212"/>
      <c r="OHY129" s="212"/>
      <c r="OHZ129" s="212"/>
      <c r="OIA129" s="212"/>
      <c r="OIB129" s="212"/>
      <c r="OIC129" s="212"/>
      <c r="OID129" s="212"/>
      <c r="OIE129" s="212"/>
      <c r="OIF129" s="212"/>
      <c r="OIG129" s="212"/>
      <c r="OIH129" s="212"/>
      <c r="OII129" s="212"/>
      <c r="OIJ129" s="212"/>
      <c r="OIK129" s="212"/>
      <c r="OIL129" s="212"/>
      <c r="OIM129" s="212"/>
      <c r="OIN129" s="212"/>
      <c r="OIO129" s="212"/>
      <c r="OIP129" s="212"/>
      <c r="OIQ129" s="212"/>
      <c r="OIR129" s="212"/>
      <c r="OIS129" s="212"/>
      <c r="OIT129" s="212"/>
      <c r="OIU129" s="212"/>
      <c r="OIV129" s="212"/>
      <c r="OIW129" s="212"/>
      <c r="OIX129" s="212"/>
      <c r="OIY129" s="212"/>
      <c r="OIZ129" s="212"/>
      <c r="OJA129" s="212"/>
      <c r="OJB129" s="212"/>
      <c r="OJC129" s="212"/>
      <c r="OJD129" s="212"/>
      <c r="OJE129" s="212"/>
      <c r="OJF129" s="212"/>
      <c r="OJG129" s="212"/>
      <c r="OJH129" s="212"/>
      <c r="OJI129" s="212"/>
      <c r="OJJ129" s="212"/>
      <c r="OJK129" s="212"/>
      <c r="OJL129" s="212"/>
      <c r="OJM129" s="212"/>
      <c r="OJN129" s="212"/>
      <c r="OJO129" s="212"/>
      <c r="OJP129" s="212"/>
      <c r="OJQ129" s="212"/>
      <c r="OJR129" s="212"/>
      <c r="OJS129" s="212"/>
      <c r="OJT129" s="212"/>
      <c r="OJU129" s="212"/>
      <c r="OJV129" s="212"/>
      <c r="OJW129" s="212"/>
      <c r="OJX129" s="212"/>
      <c r="OJY129" s="212"/>
      <c r="OJZ129" s="212"/>
      <c r="OKA129" s="212"/>
      <c r="OKB129" s="212"/>
      <c r="OKC129" s="212"/>
      <c r="OKD129" s="212"/>
      <c r="OKE129" s="212"/>
      <c r="OKF129" s="212"/>
      <c r="OKG129" s="212"/>
      <c r="OKH129" s="212"/>
      <c r="OKI129" s="212"/>
      <c r="OKJ129" s="212"/>
      <c r="OKK129" s="212"/>
      <c r="OKL129" s="212"/>
      <c r="OKM129" s="212"/>
      <c r="OKN129" s="212"/>
      <c r="OKO129" s="212"/>
      <c r="OKP129" s="212"/>
      <c r="OKQ129" s="212"/>
      <c r="OKR129" s="212"/>
      <c r="OKS129" s="212"/>
      <c r="OKT129" s="212"/>
      <c r="OKU129" s="212"/>
      <c r="OKV129" s="212"/>
      <c r="OKW129" s="212"/>
      <c r="OKX129" s="212"/>
      <c r="OKY129" s="212"/>
      <c r="OKZ129" s="212"/>
      <c r="OLA129" s="212"/>
      <c r="OLB129" s="212"/>
      <c r="OLC129" s="212"/>
      <c r="OLD129" s="212"/>
      <c r="OLE129" s="212"/>
      <c r="OLF129" s="212"/>
      <c r="OLG129" s="212"/>
      <c r="OLH129" s="212"/>
      <c r="OLI129" s="212"/>
      <c r="OLJ129" s="212"/>
      <c r="OLK129" s="212"/>
      <c r="OLL129" s="212"/>
      <c r="OLM129" s="212"/>
      <c r="OLN129" s="212"/>
      <c r="OLO129" s="212"/>
      <c r="OLP129" s="212"/>
      <c r="OLQ129" s="212"/>
      <c r="OLR129" s="212"/>
      <c r="OLS129" s="212"/>
      <c r="OLT129" s="212"/>
      <c r="OLU129" s="212"/>
      <c r="OLV129" s="212"/>
      <c r="OLW129" s="212"/>
      <c r="OLX129" s="212"/>
      <c r="OLY129" s="212"/>
      <c r="OLZ129" s="212"/>
      <c r="OMA129" s="212"/>
      <c r="OMB129" s="212"/>
      <c r="OMC129" s="212"/>
      <c r="OMD129" s="212"/>
      <c r="OME129" s="212"/>
      <c r="OMF129" s="212"/>
      <c r="OMG129" s="212"/>
      <c r="OMH129" s="212"/>
      <c r="OMI129" s="212"/>
      <c r="OMJ129" s="212"/>
      <c r="OMK129" s="212"/>
      <c r="OML129" s="212"/>
      <c r="OMM129" s="212"/>
      <c r="OMN129" s="212"/>
      <c r="OMO129" s="212"/>
      <c r="OMP129" s="212"/>
      <c r="OMQ129" s="212"/>
      <c r="OMR129" s="212"/>
      <c r="OMS129" s="212"/>
      <c r="OMT129" s="212"/>
      <c r="OMU129" s="212"/>
      <c r="OMV129" s="212"/>
      <c r="OMW129" s="212"/>
      <c r="OMX129" s="212"/>
      <c r="OMY129" s="212"/>
      <c r="OMZ129" s="212"/>
      <c r="ONA129" s="212"/>
      <c r="ONB129" s="212"/>
      <c r="ONC129" s="212"/>
      <c r="OND129" s="212"/>
      <c r="ONE129" s="212"/>
      <c r="ONF129" s="212"/>
      <c r="ONG129" s="212"/>
      <c r="ONH129" s="212"/>
      <c r="ONI129" s="212"/>
      <c r="ONJ129" s="212"/>
      <c r="ONK129" s="212"/>
      <c r="ONL129" s="212"/>
      <c r="ONM129" s="212"/>
      <c r="ONN129" s="212"/>
      <c r="ONO129" s="212"/>
      <c r="ONP129" s="212"/>
      <c r="ONQ129" s="212"/>
      <c r="ONR129" s="212"/>
      <c r="ONS129" s="212"/>
      <c r="ONT129" s="212"/>
      <c r="ONU129" s="212"/>
      <c r="ONV129" s="212"/>
      <c r="ONW129" s="212"/>
      <c r="ONX129" s="212"/>
      <c r="ONY129" s="212"/>
      <c r="ONZ129" s="212"/>
      <c r="OOA129" s="212"/>
      <c r="OOB129" s="212"/>
      <c r="OOC129" s="212"/>
      <c r="OOD129" s="212"/>
      <c r="OOE129" s="212"/>
      <c r="OOF129" s="212"/>
      <c r="OOG129" s="212"/>
      <c r="OOH129" s="212"/>
      <c r="OOI129" s="212"/>
      <c r="OOJ129" s="212"/>
      <c r="OOK129" s="212"/>
      <c r="OOL129" s="212"/>
      <c r="OOM129" s="212"/>
      <c r="OON129" s="212"/>
      <c r="OOO129" s="212"/>
      <c r="OOP129" s="212"/>
      <c r="OOQ129" s="212"/>
      <c r="OOR129" s="212"/>
      <c r="OOS129" s="212"/>
      <c r="OOT129" s="212"/>
      <c r="OOU129" s="212"/>
      <c r="OOV129" s="212"/>
      <c r="OOW129" s="212"/>
      <c r="OOX129" s="212"/>
      <c r="OOY129" s="212"/>
      <c r="OOZ129" s="212"/>
      <c r="OPA129" s="212"/>
      <c r="OPB129" s="212"/>
      <c r="OPC129" s="212"/>
      <c r="OPD129" s="212"/>
      <c r="OPE129" s="212"/>
      <c r="OPF129" s="212"/>
      <c r="OPG129" s="212"/>
      <c r="OPH129" s="212"/>
      <c r="OPI129" s="212"/>
      <c r="OPJ129" s="212"/>
      <c r="OPK129" s="212"/>
      <c r="OPL129" s="212"/>
      <c r="OPM129" s="212"/>
      <c r="OPN129" s="212"/>
      <c r="OPO129" s="212"/>
      <c r="OPP129" s="212"/>
      <c r="OPQ129" s="212"/>
      <c r="OPR129" s="212"/>
      <c r="OPS129" s="212"/>
      <c r="OPT129" s="212"/>
      <c r="OPU129" s="212"/>
      <c r="OPV129" s="212"/>
      <c r="OPW129" s="212"/>
      <c r="OPX129" s="212"/>
      <c r="OPY129" s="212"/>
      <c r="OPZ129" s="212"/>
      <c r="OQA129" s="212"/>
      <c r="OQB129" s="212"/>
      <c r="OQC129" s="212"/>
      <c r="OQD129" s="212"/>
      <c r="OQE129" s="212"/>
      <c r="OQF129" s="212"/>
      <c r="OQG129" s="212"/>
      <c r="OQH129" s="212"/>
      <c r="OQI129" s="212"/>
      <c r="OQJ129" s="212"/>
      <c r="OQK129" s="212"/>
      <c r="OQL129" s="212"/>
      <c r="OQM129" s="212"/>
      <c r="OQN129" s="212"/>
      <c r="OQO129" s="212"/>
      <c r="OQP129" s="212"/>
      <c r="OQQ129" s="212"/>
      <c r="OQR129" s="212"/>
      <c r="OQS129" s="212"/>
      <c r="OQT129" s="212"/>
      <c r="OQU129" s="212"/>
      <c r="OQV129" s="212"/>
      <c r="OQW129" s="212"/>
      <c r="OQX129" s="212"/>
      <c r="OQY129" s="212"/>
      <c r="OQZ129" s="212"/>
      <c r="ORA129" s="212"/>
      <c r="ORB129" s="212"/>
      <c r="ORC129" s="212"/>
      <c r="ORD129" s="212"/>
      <c r="ORE129" s="212"/>
      <c r="ORF129" s="212"/>
      <c r="ORG129" s="212"/>
      <c r="ORH129" s="212"/>
      <c r="ORI129" s="212"/>
      <c r="ORJ129" s="212"/>
      <c r="ORK129" s="212"/>
      <c r="ORL129" s="212"/>
      <c r="ORM129" s="212"/>
      <c r="ORN129" s="212"/>
      <c r="ORO129" s="212"/>
      <c r="ORP129" s="212"/>
      <c r="ORQ129" s="212"/>
      <c r="ORR129" s="212"/>
      <c r="ORS129" s="212"/>
      <c r="ORT129" s="212"/>
      <c r="ORU129" s="212"/>
      <c r="ORV129" s="212"/>
      <c r="ORW129" s="212"/>
      <c r="ORX129" s="212"/>
      <c r="ORY129" s="212"/>
      <c r="ORZ129" s="212"/>
      <c r="OSA129" s="212"/>
      <c r="OSB129" s="212"/>
      <c r="OSC129" s="212"/>
      <c r="OSD129" s="212"/>
      <c r="OSE129" s="212"/>
      <c r="OSF129" s="212"/>
      <c r="OSG129" s="212"/>
      <c r="OSH129" s="212"/>
      <c r="OSI129" s="212"/>
      <c r="OSJ129" s="212"/>
      <c r="OSK129" s="212"/>
      <c r="OSL129" s="212"/>
      <c r="OSM129" s="212"/>
      <c r="OSN129" s="212"/>
      <c r="OSO129" s="212"/>
      <c r="OSP129" s="212"/>
      <c r="OSQ129" s="212"/>
      <c r="OSR129" s="212"/>
      <c r="OSS129" s="212"/>
      <c r="OST129" s="212"/>
      <c r="OSU129" s="212"/>
      <c r="OSV129" s="212"/>
      <c r="OSW129" s="212"/>
      <c r="OSX129" s="212"/>
      <c r="OSY129" s="212"/>
      <c r="OSZ129" s="212"/>
      <c r="OTA129" s="212"/>
      <c r="OTB129" s="212"/>
      <c r="OTC129" s="212"/>
      <c r="OTD129" s="212"/>
      <c r="OTE129" s="212"/>
      <c r="OTF129" s="212"/>
      <c r="OTG129" s="212"/>
      <c r="OTH129" s="212"/>
      <c r="OTI129" s="212"/>
      <c r="OTJ129" s="212"/>
      <c r="OTK129" s="212"/>
      <c r="OTL129" s="212"/>
      <c r="OTM129" s="212"/>
      <c r="OTN129" s="212"/>
      <c r="OTO129" s="212"/>
      <c r="OTP129" s="212"/>
      <c r="OTQ129" s="212"/>
      <c r="OTR129" s="212"/>
      <c r="OTS129" s="212"/>
      <c r="OTT129" s="212"/>
      <c r="OTU129" s="212"/>
      <c r="OTV129" s="212"/>
      <c r="OTW129" s="212"/>
      <c r="OTX129" s="212"/>
      <c r="OTY129" s="212"/>
      <c r="OTZ129" s="212"/>
      <c r="OUA129" s="212"/>
      <c r="OUB129" s="212"/>
      <c r="OUC129" s="212"/>
      <c r="OUD129" s="212"/>
      <c r="OUE129" s="212"/>
      <c r="OUF129" s="212"/>
      <c r="OUG129" s="212"/>
      <c r="OUH129" s="212"/>
      <c r="OUI129" s="212"/>
      <c r="OUJ129" s="212"/>
      <c r="OUK129" s="212"/>
      <c r="OUL129" s="212"/>
      <c r="OUM129" s="212"/>
      <c r="OUN129" s="212"/>
      <c r="OUO129" s="212"/>
      <c r="OUP129" s="212"/>
      <c r="OUQ129" s="212"/>
      <c r="OUR129" s="212"/>
      <c r="OUS129" s="212"/>
      <c r="OUT129" s="212"/>
      <c r="OUU129" s="212"/>
      <c r="OUV129" s="212"/>
      <c r="OUW129" s="212"/>
      <c r="OUX129" s="212"/>
      <c r="OUY129" s="212"/>
      <c r="OUZ129" s="212"/>
      <c r="OVA129" s="212"/>
      <c r="OVB129" s="212"/>
      <c r="OVC129" s="212"/>
      <c r="OVD129" s="212"/>
      <c r="OVE129" s="212"/>
      <c r="OVF129" s="212"/>
      <c r="OVG129" s="212"/>
      <c r="OVH129" s="212"/>
      <c r="OVI129" s="212"/>
      <c r="OVJ129" s="212"/>
      <c r="OVK129" s="212"/>
      <c r="OVL129" s="212"/>
      <c r="OVM129" s="212"/>
      <c r="OVN129" s="212"/>
      <c r="OVO129" s="212"/>
      <c r="OVP129" s="212"/>
      <c r="OVQ129" s="212"/>
      <c r="OVR129" s="212"/>
      <c r="OVS129" s="212"/>
      <c r="OVT129" s="212"/>
      <c r="OVU129" s="212"/>
      <c r="OVV129" s="212"/>
      <c r="OVW129" s="212"/>
      <c r="OVX129" s="212"/>
      <c r="OVY129" s="212"/>
      <c r="OVZ129" s="212"/>
      <c r="OWA129" s="212"/>
      <c r="OWB129" s="212"/>
      <c r="OWC129" s="212"/>
      <c r="OWD129" s="212"/>
      <c r="OWE129" s="212"/>
      <c r="OWF129" s="212"/>
      <c r="OWG129" s="212"/>
      <c r="OWH129" s="212"/>
      <c r="OWI129" s="212"/>
      <c r="OWJ129" s="212"/>
      <c r="OWK129" s="212"/>
      <c r="OWL129" s="212"/>
      <c r="OWM129" s="212"/>
      <c r="OWN129" s="212"/>
      <c r="OWO129" s="212"/>
      <c r="OWP129" s="212"/>
      <c r="OWQ129" s="212"/>
      <c r="OWR129" s="212"/>
      <c r="OWS129" s="212"/>
      <c r="OWT129" s="212"/>
      <c r="OWU129" s="212"/>
      <c r="OWV129" s="212"/>
      <c r="OWW129" s="212"/>
      <c r="OWX129" s="212"/>
      <c r="OWY129" s="212"/>
      <c r="OWZ129" s="212"/>
      <c r="OXA129" s="212"/>
      <c r="OXB129" s="212"/>
      <c r="OXC129" s="212"/>
      <c r="OXD129" s="212"/>
      <c r="OXE129" s="212"/>
      <c r="OXF129" s="212"/>
      <c r="OXG129" s="212"/>
      <c r="OXH129" s="212"/>
      <c r="OXI129" s="212"/>
      <c r="OXJ129" s="212"/>
      <c r="OXK129" s="212"/>
      <c r="OXL129" s="212"/>
      <c r="OXM129" s="212"/>
      <c r="OXN129" s="212"/>
      <c r="OXO129" s="212"/>
      <c r="OXP129" s="212"/>
      <c r="OXQ129" s="212"/>
      <c r="OXR129" s="212"/>
      <c r="OXS129" s="212"/>
      <c r="OXT129" s="212"/>
      <c r="OXU129" s="212"/>
      <c r="OXV129" s="212"/>
      <c r="OXW129" s="212"/>
      <c r="OXX129" s="212"/>
      <c r="OXY129" s="212"/>
      <c r="OXZ129" s="212"/>
      <c r="OYA129" s="212"/>
      <c r="OYB129" s="212"/>
      <c r="OYC129" s="212"/>
      <c r="OYD129" s="212"/>
      <c r="OYE129" s="212"/>
      <c r="OYF129" s="212"/>
      <c r="OYG129" s="212"/>
      <c r="OYH129" s="212"/>
      <c r="OYI129" s="212"/>
      <c r="OYJ129" s="212"/>
      <c r="OYK129" s="212"/>
      <c r="OYL129" s="212"/>
      <c r="OYM129" s="212"/>
      <c r="OYN129" s="212"/>
      <c r="OYO129" s="212"/>
      <c r="OYP129" s="212"/>
      <c r="OYQ129" s="212"/>
      <c r="OYR129" s="212"/>
      <c r="OYS129" s="212"/>
      <c r="OYT129" s="212"/>
      <c r="OYU129" s="212"/>
      <c r="OYV129" s="212"/>
      <c r="OYW129" s="212"/>
      <c r="OYX129" s="212"/>
      <c r="OYY129" s="212"/>
      <c r="OYZ129" s="212"/>
      <c r="OZA129" s="212"/>
      <c r="OZB129" s="212"/>
      <c r="OZC129" s="212"/>
      <c r="OZD129" s="212"/>
      <c r="OZE129" s="212"/>
      <c r="OZF129" s="212"/>
      <c r="OZG129" s="212"/>
      <c r="OZH129" s="212"/>
      <c r="OZI129" s="212"/>
      <c r="OZJ129" s="212"/>
      <c r="OZK129" s="212"/>
      <c r="OZL129" s="212"/>
      <c r="OZM129" s="212"/>
      <c r="OZN129" s="212"/>
      <c r="OZO129" s="212"/>
      <c r="OZP129" s="212"/>
      <c r="OZQ129" s="212"/>
      <c r="OZR129" s="212"/>
      <c r="OZS129" s="212"/>
      <c r="OZT129" s="212"/>
      <c r="OZU129" s="212"/>
      <c r="OZV129" s="212"/>
      <c r="OZW129" s="212"/>
      <c r="OZX129" s="212"/>
      <c r="OZY129" s="212"/>
      <c r="OZZ129" s="212"/>
      <c r="PAA129" s="212"/>
      <c r="PAB129" s="212"/>
      <c r="PAC129" s="212"/>
      <c r="PAD129" s="212"/>
      <c r="PAE129" s="212"/>
      <c r="PAF129" s="212"/>
      <c r="PAG129" s="212"/>
      <c r="PAH129" s="212"/>
      <c r="PAI129" s="212"/>
      <c r="PAJ129" s="212"/>
      <c r="PAK129" s="212"/>
      <c r="PAL129" s="212"/>
      <c r="PAM129" s="212"/>
      <c r="PAN129" s="212"/>
      <c r="PAO129" s="212"/>
      <c r="PAP129" s="212"/>
      <c r="PAQ129" s="212"/>
      <c r="PAR129" s="212"/>
      <c r="PAS129" s="212"/>
      <c r="PAT129" s="212"/>
      <c r="PAU129" s="212"/>
      <c r="PAV129" s="212"/>
      <c r="PAW129" s="212"/>
      <c r="PAX129" s="212"/>
      <c r="PAY129" s="212"/>
      <c r="PAZ129" s="212"/>
      <c r="PBA129" s="212"/>
      <c r="PBB129" s="212"/>
      <c r="PBC129" s="212"/>
      <c r="PBD129" s="212"/>
      <c r="PBE129" s="212"/>
      <c r="PBF129" s="212"/>
      <c r="PBG129" s="212"/>
      <c r="PBH129" s="212"/>
      <c r="PBI129" s="212"/>
      <c r="PBJ129" s="212"/>
      <c r="PBK129" s="212"/>
      <c r="PBL129" s="212"/>
      <c r="PBM129" s="212"/>
      <c r="PBN129" s="212"/>
      <c r="PBO129" s="212"/>
      <c r="PBP129" s="212"/>
      <c r="PBQ129" s="212"/>
      <c r="PBR129" s="212"/>
      <c r="PBS129" s="212"/>
      <c r="PBT129" s="212"/>
      <c r="PBU129" s="212"/>
      <c r="PBV129" s="212"/>
      <c r="PBW129" s="212"/>
      <c r="PBX129" s="212"/>
      <c r="PBY129" s="212"/>
      <c r="PBZ129" s="212"/>
      <c r="PCA129" s="212"/>
      <c r="PCB129" s="212"/>
      <c r="PCC129" s="212"/>
      <c r="PCD129" s="212"/>
      <c r="PCE129" s="212"/>
      <c r="PCF129" s="212"/>
      <c r="PCG129" s="212"/>
      <c r="PCH129" s="212"/>
      <c r="PCI129" s="212"/>
      <c r="PCJ129" s="212"/>
      <c r="PCK129" s="212"/>
      <c r="PCL129" s="212"/>
      <c r="PCM129" s="212"/>
      <c r="PCN129" s="212"/>
      <c r="PCO129" s="212"/>
      <c r="PCP129" s="212"/>
      <c r="PCQ129" s="212"/>
      <c r="PCR129" s="212"/>
      <c r="PCS129" s="212"/>
      <c r="PCT129" s="212"/>
      <c r="PCU129" s="212"/>
      <c r="PCV129" s="212"/>
      <c r="PCW129" s="212"/>
      <c r="PCX129" s="212"/>
      <c r="PCY129" s="212"/>
      <c r="PCZ129" s="212"/>
      <c r="PDA129" s="212"/>
      <c r="PDB129" s="212"/>
      <c r="PDC129" s="212"/>
      <c r="PDD129" s="212"/>
      <c r="PDE129" s="212"/>
      <c r="PDF129" s="212"/>
      <c r="PDG129" s="212"/>
      <c r="PDH129" s="212"/>
      <c r="PDI129" s="212"/>
      <c r="PDJ129" s="212"/>
      <c r="PDK129" s="212"/>
      <c r="PDL129" s="212"/>
      <c r="PDM129" s="212"/>
      <c r="PDN129" s="212"/>
      <c r="PDO129" s="212"/>
      <c r="PDP129" s="212"/>
      <c r="PDQ129" s="212"/>
      <c r="PDR129" s="212"/>
      <c r="PDS129" s="212"/>
      <c r="PDT129" s="212"/>
      <c r="PDU129" s="212"/>
      <c r="PDV129" s="212"/>
      <c r="PDW129" s="212"/>
      <c r="PDX129" s="212"/>
      <c r="PDY129" s="212"/>
      <c r="PDZ129" s="212"/>
      <c r="PEA129" s="212"/>
      <c r="PEB129" s="212"/>
      <c r="PEC129" s="212"/>
      <c r="PED129" s="212"/>
      <c r="PEE129" s="212"/>
      <c r="PEF129" s="212"/>
      <c r="PEG129" s="212"/>
      <c r="PEH129" s="212"/>
      <c r="PEI129" s="212"/>
      <c r="PEJ129" s="212"/>
      <c r="PEK129" s="212"/>
      <c r="PEL129" s="212"/>
      <c r="PEM129" s="212"/>
      <c r="PEN129" s="212"/>
      <c r="PEO129" s="212"/>
      <c r="PEP129" s="212"/>
      <c r="PEQ129" s="212"/>
      <c r="PER129" s="212"/>
      <c r="PES129" s="212"/>
      <c r="PET129" s="212"/>
      <c r="PEU129" s="212"/>
      <c r="PEV129" s="212"/>
      <c r="PEW129" s="212"/>
      <c r="PEX129" s="212"/>
      <c r="PEY129" s="212"/>
      <c r="PEZ129" s="212"/>
      <c r="PFA129" s="212"/>
      <c r="PFB129" s="212"/>
      <c r="PFC129" s="212"/>
      <c r="PFD129" s="212"/>
      <c r="PFE129" s="212"/>
      <c r="PFF129" s="212"/>
      <c r="PFG129" s="212"/>
      <c r="PFH129" s="212"/>
      <c r="PFI129" s="212"/>
      <c r="PFJ129" s="212"/>
      <c r="PFK129" s="212"/>
      <c r="PFL129" s="212"/>
      <c r="PFM129" s="212"/>
      <c r="PFN129" s="212"/>
      <c r="PFO129" s="212"/>
      <c r="PFP129" s="212"/>
      <c r="PFQ129" s="212"/>
      <c r="PFR129" s="212"/>
      <c r="PFS129" s="212"/>
      <c r="PFT129" s="212"/>
      <c r="PFU129" s="212"/>
      <c r="PFV129" s="212"/>
      <c r="PFW129" s="212"/>
      <c r="PFX129" s="212"/>
      <c r="PFY129" s="212"/>
      <c r="PFZ129" s="212"/>
      <c r="PGA129" s="212"/>
      <c r="PGB129" s="212"/>
      <c r="PGC129" s="212"/>
      <c r="PGD129" s="212"/>
      <c r="PGE129" s="212"/>
      <c r="PGF129" s="212"/>
      <c r="PGG129" s="212"/>
      <c r="PGH129" s="212"/>
      <c r="PGI129" s="212"/>
      <c r="PGJ129" s="212"/>
      <c r="PGK129" s="212"/>
      <c r="PGL129" s="212"/>
      <c r="PGM129" s="212"/>
      <c r="PGN129" s="212"/>
      <c r="PGO129" s="212"/>
      <c r="PGP129" s="212"/>
      <c r="PGQ129" s="212"/>
      <c r="PGR129" s="212"/>
      <c r="PGS129" s="212"/>
      <c r="PGT129" s="212"/>
      <c r="PGU129" s="212"/>
      <c r="PGV129" s="212"/>
      <c r="PGW129" s="212"/>
      <c r="PGX129" s="212"/>
      <c r="PGY129" s="212"/>
      <c r="PGZ129" s="212"/>
      <c r="PHA129" s="212"/>
      <c r="PHB129" s="212"/>
      <c r="PHC129" s="212"/>
      <c r="PHD129" s="212"/>
      <c r="PHE129" s="212"/>
      <c r="PHF129" s="212"/>
      <c r="PHG129" s="212"/>
      <c r="PHH129" s="212"/>
      <c r="PHI129" s="212"/>
      <c r="PHJ129" s="212"/>
      <c r="PHK129" s="212"/>
      <c r="PHL129" s="212"/>
      <c r="PHM129" s="212"/>
      <c r="PHN129" s="212"/>
      <c r="PHO129" s="212"/>
      <c r="PHP129" s="212"/>
      <c r="PHQ129" s="212"/>
      <c r="PHR129" s="212"/>
      <c r="PHS129" s="212"/>
      <c r="PHT129" s="212"/>
      <c r="PHU129" s="212"/>
      <c r="PHV129" s="212"/>
      <c r="PHW129" s="212"/>
      <c r="PHX129" s="212"/>
      <c r="PHY129" s="212"/>
      <c r="PHZ129" s="212"/>
      <c r="PIA129" s="212"/>
      <c r="PIB129" s="212"/>
      <c r="PIC129" s="212"/>
      <c r="PID129" s="212"/>
      <c r="PIE129" s="212"/>
      <c r="PIF129" s="212"/>
      <c r="PIG129" s="212"/>
      <c r="PIH129" s="212"/>
      <c r="PII129" s="212"/>
      <c r="PIJ129" s="212"/>
      <c r="PIK129" s="212"/>
      <c r="PIL129" s="212"/>
      <c r="PIM129" s="212"/>
      <c r="PIN129" s="212"/>
      <c r="PIO129" s="212"/>
      <c r="PIP129" s="212"/>
      <c r="PIQ129" s="212"/>
      <c r="PIR129" s="212"/>
      <c r="PIS129" s="212"/>
      <c r="PIT129" s="212"/>
      <c r="PIU129" s="212"/>
      <c r="PIV129" s="212"/>
      <c r="PIW129" s="212"/>
      <c r="PIX129" s="212"/>
      <c r="PIY129" s="212"/>
      <c r="PIZ129" s="212"/>
      <c r="PJA129" s="212"/>
      <c r="PJB129" s="212"/>
      <c r="PJC129" s="212"/>
      <c r="PJD129" s="212"/>
      <c r="PJE129" s="212"/>
      <c r="PJF129" s="212"/>
      <c r="PJG129" s="212"/>
      <c r="PJH129" s="212"/>
      <c r="PJI129" s="212"/>
      <c r="PJJ129" s="212"/>
      <c r="PJK129" s="212"/>
      <c r="PJL129" s="212"/>
      <c r="PJM129" s="212"/>
      <c r="PJN129" s="212"/>
      <c r="PJO129" s="212"/>
      <c r="PJP129" s="212"/>
      <c r="PJQ129" s="212"/>
      <c r="PJR129" s="212"/>
      <c r="PJS129" s="212"/>
      <c r="PJT129" s="212"/>
      <c r="PJU129" s="212"/>
      <c r="PJV129" s="212"/>
      <c r="PJW129" s="212"/>
      <c r="PJX129" s="212"/>
      <c r="PJY129" s="212"/>
      <c r="PJZ129" s="212"/>
      <c r="PKA129" s="212"/>
      <c r="PKB129" s="212"/>
      <c r="PKC129" s="212"/>
      <c r="PKD129" s="212"/>
      <c r="PKE129" s="212"/>
      <c r="PKF129" s="212"/>
      <c r="PKG129" s="212"/>
      <c r="PKH129" s="212"/>
      <c r="PKI129" s="212"/>
      <c r="PKJ129" s="212"/>
      <c r="PKK129" s="212"/>
      <c r="PKL129" s="212"/>
      <c r="PKM129" s="212"/>
      <c r="PKN129" s="212"/>
      <c r="PKO129" s="212"/>
      <c r="PKP129" s="212"/>
      <c r="PKQ129" s="212"/>
      <c r="PKR129" s="212"/>
      <c r="PKS129" s="212"/>
      <c r="PKT129" s="212"/>
      <c r="PKU129" s="212"/>
      <c r="PKV129" s="212"/>
      <c r="PKW129" s="212"/>
      <c r="PKX129" s="212"/>
      <c r="PKY129" s="212"/>
      <c r="PKZ129" s="212"/>
      <c r="PLA129" s="212"/>
      <c r="PLB129" s="212"/>
      <c r="PLC129" s="212"/>
      <c r="PLD129" s="212"/>
      <c r="PLE129" s="212"/>
      <c r="PLF129" s="212"/>
      <c r="PLG129" s="212"/>
      <c r="PLH129" s="212"/>
      <c r="PLI129" s="212"/>
      <c r="PLJ129" s="212"/>
      <c r="PLK129" s="212"/>
      <c r="PLL129" s="212"/>
      <c r="PLM129" s="212"/>
      <c r="PLN129" s="212"/>
      <c r="PLO129" s="212"/>
      <c r="PLP129" s="212"/>
      <c r="PLQ129" s="212"/>
      <c r="PLR129" s="212"/>
      <c r="PLS129" s="212"/>
      <c r="PLT129" s="212"/>
      <c r="PLU129" s="212"/>
      <c r="PLV129" s="212"/>
      <c r="PLW129" s="212"/>
      <c r="PLX129" s="212"/>
      <c r="PLY129" s="212"/>
      <c r="PLZ129" s="212"/>
      <c r="PMA129" s="212"/>
      <c r="PMB129" s="212"/>
      <c r="PMC129" s="212"/>
      <c r="PMD129" s="212"/>
      <c r="PME129" s="212"/>
      <c r="PMF129" s="212"/>
      <c r="PMG129" s="212"/>
      <c r="PMH129" s="212"/>
      <c r="PMI129" s="212"/>
      <c r="PMJ129" s="212"/>
      <c r="PMK129" s="212"/>
      <c r="PML129" s="212"/>
      <c r="PMM129" s="212"/>
      <c r="PMN129" s="212"/>
      <c r="PMO129" s="212"/>
      <c r="PMP129" s="212"/>
      <c r="PMQ129" s="212"/>
      <c r="PMR129" s="212"/>
      <c r="PMS129" s="212"/>
      <c r="PMT129" s="212"/>
      <c r="PMU129" s="212"/>
      <c r="PMV129" s="212"/>
      <c r="PMW129" s="212"/>
      <c r="PMX129" s="212"/>
      <c r="PMY129" s="212"/>
      <c r="PMZ129" s="212"/>
      <c r="PNA129" s="212"/>
      <c r="PNB129" s="212"/>
      <c r="PNC129" s="212"/>
      <c r="PND129" s="212"/>
      <c r="PNE129" s="212"/>
      <c r="PNF129" s="212"/>
      <c r="PNG129" s="212"/>
      <c r="PNH129" s="212"/>
      <c r="PNI129" s="212"/>
      <c r="PNJ129" s="212"/>
      <c r="PNK129" s="212"/>
      <c r="PNL129" s="212"/>
      <c r="PNM129" s="212"/>
      <c r="PNN129" s="212"/>
      <c r="PNO129" s="212"/>
      <c r="PNP129" s="212"/>
      <c r="PNQ129" s="212"/>
      <c r="PNR129" s="212"/>
      <c r="PNS129" s="212"/>
      <c r="PNT129" s="212"/>
      <c r="PNU129" s="212"/>
      <c r="PNV129" s="212"/>
      <c r="PNW129" s="212"/>
      <c r="PNX129" s="212"/>
      <c r="PNY129" s="212"/>
      <c r="PNZ129" s="212"/>
      <c r="POA129" s="212"/>
      <c r="POB129" s="212"/>
      <c r="POC129" s="212"/>
      <c r="POD129" s="212"/>
      <c r="POE129" s="212"/>
      <c r="POF129" s="212"/>
      <c r="POG129" s="212"/>
      <c r="POH129" s="212"/>
      <c r="POI129" s="212"/>
      <c r="POJ129" s="212"/>
      <c r="POK129" s="212"/>
      <c r="POL129" s="212"/>
      <c r="POM129" s="212"/>
      <c r="PON129" s="212"/>
      <c r="POO129" s="212"/>
      <c r="POP129" s="212"/>
      <c r="POQ129" s="212"/>
      <c r="POR129" s="212"/>
      <c r="POS129" s="212"/>
      <c r="POT129" s="212"/>
      <c r="POU129" s="212"/>
      <c r="POV129" s="212"/>
      <c r="POW129" s="212"/>
      <c r="POX129" s="212"/>
      <c r="POY129" s="212"/>
      <c r="POZ129" s="212"/>
      <c r="PPA129" s="212"/>
      <c r="PPB129" s="212"/>
      <c r="PPC129" s="212"/>
      <c r="PPD129" s="212"/>
      <c r="PPE129" s="212"/>
      <c r="PPF129" s="212"/>
      <c r="PPG129" s="212"/>
      <c r="PPH129" s="212"/>
      <c r="PPI129" s="212"/>
      <c r="PPJ129" s="212"/>
      <c r="PPK129" s="212"/>
      <c r="PPL129" s="212"/>
      <c r="PPM129" s="212"/>
      <c r="PPN129" s="212"/>
      <c r="PPO129" s="212"/>
      <c r="PPP129" s="212"/>
      <c r="PPQ129" s="212"/>
      <c r="PPR129" s="212"/>
      <c r="PPS129" s="212"/>
      <c r="PPT129" s="212"/>
      <c r="PPU129" s="212"/>
      <c r="PPV129" s="212"/>
      <c r="PPW129" s="212"/>
      <c r="PPX129" s="212"/>
      <c r="PPY129" s="212"/>
      <c r="PPZ129" s="212"/>
      <c r="PQA129" s="212"/>
      <c r="PQB129" s="212"/>
      <c r="PQC129" s="212"/>
      <c r="PQD129" s="212"/>
      <c r="PQE129" s="212"/>
      <c r="PQF129" s="212"/>
      <c r="PQG129" s="212"/>
      <c r="PQH129" s="212"/>
      <c r="PQI129" s="212"/>
      <c r="PQJ129" s="212"/>
      <c r="PQK129" s="212"/>
      <c r="PQL129" s="212"/>
      <c r="PQM129" s="212"/>
      <c r="PQN129" s="212"/>
      <c r="PQO129" s="212"/>
      <c r="PQP129" s="212"/>
      <c r="PQQ129" s="212"/>
      <c r="PQR129" s="212"/>
      <c r="PQS129" s="212"/>
      <c r="PQT129" s="212"/>
      <c r="PQU129" s="212"/>
      <c r="PQV129" s="212"/>
      <c r="PQW129" s="212"/>
      <c r="PQX129" s="212"/>
      <c r="PQY129" s="212"/>
      <c r="PQZ129" s="212"/>
      <c r="PRA129" s="212"/>
      <c r="PRB129" s="212"/>
      <c r="PRC129" s="212"/>
      <c r="PRD129" s="212"/>
      <c r="PRE129" s="212"/>
      <c r="PRF129" s="212"/>
      <c r="PRG129" s="212"/>
      <c r="PRH129" s="212"/>
      <c r="PRI129" s="212"/>
      <c r="PRJ129" s="212"/>
      <c r="PRK129" s="212"/>
      <c r="PRL129" s="212"/>
      <c r="PRM129" s="212"/>
      <c r="PRN129" s="212"/>
      <c r="PRO129" s="212"/>
      <c r="PRP129" s="212"/>
      <c r="PRQ129" s="212"/>
      <c r="PRR129" s="212"/>
      <c r="PRS129" s="212"/>
      <c r="PRT129" s="212"/>
      <c r="PRU129" s="212"/>
      <c r="PRV129" s="212"/>
      <c r="PRW129" s="212"/>
      <c r="PRX129" s="212"/>
      <c r="PRY129" s="212"/>
      <c r="PRZ129" s="212"/>
      <c r="PSA129" s="212"/>
      <c r="PSB129" s="212"/>
      <c r="PSC129" s="212"/>
      <c r="PSD129" s="212"/>
      <c r="PSE129" s="212"/>
      <c r="PSF129" s="212"/>
      <c r="PSG129" s="212"/>
      <c r="PSH129" s="212"/>
      <c r="PSI129" s="212"/>
      <c r="PSJ129" s="212"/>
      <c r="PSK129" s="212"/>
      <c r="PSL129" s="212"/>
      <c r="PSM129" s="212"/>
      <c r="PSN129" s="212"/>
      <c r="PSO129" s="212"/>
      <c r="PSP129" s="212"/>
      <c r="PSQ129" s="212"/>
      <c r="PSR129" s="212"/>
      <c r="PSS129" s="212"/>
      <c r="PST129" s="212"/>
      <c r="PSU129" s="212"/>
      <c r="PSV129" s="212"/>
      <c r="PSW129" s="212"/>
      <c r="PSX129" s="212"/>
      <c r="PSY129" s="212"/>
      <c r="PSZ129" s="212"/>
      <c r="PTA129" s="212"/>
      <c r="PTB129" s="212"/>
      <c r="PTC129" s="212"/>
      <c r="PTD129" s="212"/>
      <c r="PTE129" s="212"/>
      <c r="PTF129" s="212"/>
      <c r="PTG129" s="212"/>
      <c r="PTH129" s="212"/>
      <c r="PTI129" s="212"/>
      <c r="PTJ129" s="212"/>
      <c r="PTK129" s="212"/>
      <c r="PTL129" s="212"/>
      <c r="PTM129" s="212"/>
      <c r="PTN129" s="212"/>
      <c r="PTO129" s="212"/>
      <c r="PTP129" s="212"/>
      <c r="PTQ129" s="212"/>
      <c r="PTR129" s="212"/>
      <c r="PTS129" s="212"/>
      <c r="PTT129" s="212"/>
      <c r="PTU129" s="212"/>
      <c r="PTV129" s="212"/>
      <c r="PTW129" s="212"/>
      <c r="PTX129" s="212"/>
      <c r="PTY129" s="212"/>
      <c r="PTZ129" s="212"/>
      <c r="PUA129" s="212"/>
      <c r="PUB129" s="212"/>
      <c r="PUC129" s="212"/>
      <c r="PUD129" s="212"/>
      <c r="PUE129" s="212"/>
      <c r="PUF129" s="212"/>
      <c r="PUG129" s="212"/>
      <c r="PUH129" s="212"/>
      <c r="PUI129" s="212"/>
      <c r="PUJ129" s="212"/>
      <c r="PUK129" s="212"/>
      <c r="PUL129" s="212"/>
      <c r="PUM129" s="212"/>
      <c r="PUN129" s="212"/>
      <c r="PUO129" s="212"/>
      <c r="PUP129" s="212"/>
      <c r="PUQ129" s="212"/>
      <c r="PUR129" s="212"/>
      <c r="PUS129" s="212"/>
      <c r="PUT129" s="212"/>
      <c r="PUU129" s="212"/>
      <c r="PUV129" s="212"/>
      <c r="PUW129" s="212"/>
      <c r="PUX129" s="212"/>
      <c r="PUY129" s="212"/>
      <c r="PUZ129" s="212"/>
      <c r="PVA129" s="212"/>
      <c r="PVB129" s="212"/>
      <c r="PVC129" s="212"/>
      <c r="PVD129" s="212"/>
      <c r="PVE129" s="212"/>
      <c r="PVF129" s="212"/>
      <c r="PVG129" s="212"/>
      <c r="PVH129" s="212"/>
      <c r="PVI129" s="212"/>
      <c r="PVJ129" s="212"/>
      <c r="PVK129" s="212"/>
      <c r="PVL129" s="212"/>
      <c r="PVM129" s="212"/>
      <c r="PVN129" s="212"/>
      <c r="PVO129" s="212"/>
      <c r="PVP129" s="212"/>
      <c r="PVQ129" s="212"/>
      <c r="PVR129" s="212"/>
      <c r="PVS129" s="212"/>
      <c r="PVT129" s="212"/>
      <c r="PVU129" s="212"/>
      <c r="PVV129" s="212"/>
      <c r="PVW129" s="212"/>
      <c r="PVX129" s="212"/>
      <c r="PVY129" s="212"/>
      <c r="PVZ129" s="212"/>
      <c r="PWA129" s="212"/>
      <c r="PWB129" s="212"/>
      <c r="PWC129" s="212"/>
      <c r="PWD129" s="212"/>
      <c r="PWE129" s="212"/>
      <c r="PWF129" s="212"/>
      <c r="PWG129" s="212"/>
      <c r="PWH129" s="212"/>
      <c r="PWI129" s="212"/>
      <c r="PWJ129" s="212"/>
      <c r="PWK129" s="212"/>
      <c r="PWL129" s="212"/>
      <c r="PWM129" s="212"/>
      <c r="PWN129" s="212"/>
      <c r="PWO129" s="212"/>
      <c r="PWP129" s="212"/>
      <c r="PWQ129" s="212"/>
      <c r="PWR129" s="212"/>
      <c r="PWS129" s="212"/>
      <c r="PWT129" s="212"/>
      <c r="PWU129" s="212"/>
      <c r="PWV129" s="212"/>
      <c r="PWW129" s="212"/>
      <c r="PWX129" s="212"/>
      <c r="PWY129" s="212"/>
      <c r="PWZ129" s="212"/>
      <c r="PXA129" s="212"/>
      <c r="PXB129" s="212"/>
      <c r="PXC129" s="212"/>
      <c r="PXD129" s="212"/>
      <c r="PXE129" s="212"/>
      <c r="PXF129" s="212"/>
      <c r="PXG129" s="212"/>
      <c r="PXH129" s="212"/>
      <c r="PXI129" s="212"/>
      <c r="PXJ129" s="212"/>
      <c r="PXK129" s="212"/>
      <c r="PXL129" s="212"/>
      <c r="PXM129" s="212"/>
      <c r="PXN129" s="212"/>
      <c r="PXO129" s="212"/>
      <c r="PXP129" s="212"/>
      <c r="PXQ129" s="212"/>
      <c r="PXR129" s="212"/>
      <c r="PXS129" s="212"/>
      <c r="PXT129" s="212"/>
      <c r="PXU129" s="212"/>
      <c r="PXV129" s="212"/>
      <c r="PXW129" s="212"/>
      <c r="PXX129" s="212"/>
      <c r="PXY129" s="212"/>
      <c r="PXZ129" s="212"/>
      <c r="PYA129" s="212"/>
      <c r="PYB129" s="212"/>
      <c r="PYC129" s="212"/>
      <c r="PYD129" s="212"/>
      <c r="PYE129" s="212"/>
      <c r="PYF129" s="212"/>
      <c r="PYG129" s="212"/>
      <c r="PYH129" s="212"/>
      <c r="PYI129" s="212"/>
      <c r="PYJ129" s="212"/>
      <c r="PYK129" s="212"/>
      <c r="PYL129" s="212"/>
      <c r="PYM129" s="212"/>
      <c r="PYN129" s="212"/>
      <c r="PYO129" s="212"/>
      <c r="PYP129" s="212"/>
      <c r="PYQ129" s="212"/>
      <c r="PYR129" s="212"/>
      <c r="PYS129" s="212"/>
      <c r="PYT129" s="212"/>
      <c r="PYU129" s="212"/>
      <c r="PYV129" s="212"/>
      <c r="PYW129" s="212"/>
      <c r="PYX129" s="212"/>
      <c r="PYY129" s="212"/>
      <c r="PYZ129" s="212"/>
      <c r="PZA129" s="212"/>
      <c r="PZB129" s="212"/>
      <c r="PZC129" s="212"/>
      <c r="PZD129" s="212"/>
      <c r="PZE129" s="212"/>
      <c r="PZF129" s="212"/>
      <c r="PZG129" s="212"/>
      <c r="PZH129" s="212"/>
      <c r="PZI129" s="212"/>
      <c r="PZJ129" s="212"/>
      <c r="PZK129" s="212"/>
      <c r="PZL129" s="212"/>
      <c r="PZM129" s="212"/>
      <c r="PZN129" s="212"/>
      <c r="PZO129" s="212"/>
      <c r="PZP129" s="212"/>
      <c r="PZQ129" s="212"/>
      <c r="PZR129" s="212"/>
      <c r="PZS129" s="212"/>
      <c r="PZT129" s="212"/>
      <c r="PZU129" s="212"/>
      <c r="PZV129" s="212"/>
      <c r="PZW129" s="212"/>
      <c r="PZX129" s="212"/>
      <c r="PZY129" s="212"/>
      <c r="PZZ129" s="212"/>
      <c r="QAA129" s="212"/>
      <c r="QAB129" s="212"/>
      <c r="QAC129" s="212"/>
      <c r="QAD129" s="212"/>
      <c r="QAE129" s="212"/>
      <c r="QAF129" s="212"/>
      <c r="QAG129" s="212"/>
      <c r="QAH129" s="212"/>
      <c r="QAI129" s="212"/>
      <c r="QAJ129" s="212"/>
      <c r="QAK129" s="212"/>
      <c r="QAL129" s="212"/>
      <c r="QAM129" s="212"/>
      <c r="QAN129" s="212"/>
      <c r="QAO129" s="212"/>
      <c r="QAP129" s="212"/>
      <c r="QAQ129" s="212"/>
      <c r="QAR129" s="212"/>
      <c r="QAS129" s="212"/>
      <c r="QAT129" s="212"/>
      <c r="QAU129" s="212"/>
      <c r="QAV129" s="212"/>
      <c r="QAW129" s="212"/>
      <c r="QAX129" s="212"/>
      <c r="QAY129" s="212"/>
      <c r="QAZ129" s="212"/>
      <c r="QBA129" s="212"/>
      <c r="QBB129" s="212"/>
      <c r="QBC129" s="212"/>
      <c r="QBD129" s="212"/>
      <c r="QBE129" s="212"/>
      <c r="QBF129" s="212"/>
      <c r="QBG129" s="212"/>
      <c r="QBH129" s="212"/>
      <c r="QBI129" s="212"/>
      <c r="QBJ129" s="212"/>
      <c r="QBK129" s="212"/>
      <c r="QBL129" s="212"/>
      <c r="QBM129" s="212"/>
      <c r="QBN129" s="212"/>
      <c r="QBO129" s="212"/>
      <c r="QBP129" s="212"/>
      <c r="QBQ129" s="212"/>
      <c r="QBR129" s="212"/>
      <c r="QBS129" s="212"/>
      <c r="QBT129" s="212"/>
      <c r="QBU129" s="212"/>
      <c r="QBV129" s="212"/>
      <c r="QBW129" s="212"/>
      <c r="QBX129" s="212"/>
      <c r="QBY129" s="212"/>
      <c r="QBZ129" s="212"/>
      <c r="QCA129" s="212"/>
      <c r="QCB129" s="212"/>
      <c r="QCC129" s="212"/>
      <c r="QCD129" s="212"/>
      <c r="QCE129" s="212"/>
      <c r="QCF129" s="212"/>
      <c r="QCG129" s="212"/>
      <c r="QCH129" s="212"/>
      <c r="QCI129" s="212"/>
      <c r="QCJ129" s="212"/>
      <c r="QCK129" s="212"/>
      <c r="QCL129" s="212"/>
      <c r="QCM129" s="212"/>
      <c r="QCN129" s="212"/>
      <c r="QCO129" s="212"/>
      <c r="QCP129" s="212"/>
      <c r="QCQ129" s="212"/>
      <c r="QCR129" s="212"/>
      <c r="QCS129" s="212"/>
      <c r="QCT129" s="212"/>
      <c r="QCU129" s="212"/>
      <c r="QCV129" s="212"/>
      <c r="QCW129" s="212"/>
      <c r="QCX129" s="212"/>
      <c r="QCY129" s="212"/>
      <c r="QCZ129" s="212"/>
      <c r="QDA129" s="212"/>
      <c r="QDB129" s="212"/>
      <c r="QDC129" s="212"/>
      <c r="QDD129" s="212"/>
      <c r="QDE129" s="212"/>
      <c r="QDF129" s="212"/>
      <c r="QDG129" s="212"/>
      <c r="QDH129" s="212"/>
      <c r="QDI129" s="212"/>
      <c r="QDJ129" s="212"/>
      <c r="QDK129" s="212"/>
      <c r="QDL129" s="212"/>
      <c r="QDM129" s="212"/>
      <c r="QDN129" s="212"/>
      <c r="QDO129" s="212"/>
      <c r="QDP129" s="212"/>
      <c r="QDQ129" s="212"/>
      <c r="QDR129" s="212"/>
      <c r="QDS129" s="212"/>
      <c r="QDT129" s="212"/>
      <c r="QDU129" s="212"/>
      <c r="QDV129" s="212"/>
      <c r="QDW129" s="212"/>
      <c r="QDX129" s="212"/>
      <c r="QDY129" s="212"/>
      <c r="QDZ129" s="212"/>
      <c r="QEA129" s="212"/>
      <c r="QEB129" s="212"/>
      <c r="QEC129" s="212"/>
      <c r="QED129" s="212"/>
      <c r="QEE129" s="212"/>
      <c r="QEF129" s="212"/>
      <c r="QEG129" s="212"/>
      <c r="QEH129" s="212"/>
      <c r="QEI129" s="212"/>
      <c r="QEJ129" s="212"/>
      <c r="QEK129" s="212"/>
      <c r="QEL129" s="212"/>
      <c r="QEM129" s="212"/>
      <c r="QEN129" s="212"/>
      <c r="QEO129" s="212"/>
      <c r="QEP129" s="212"/>
      <c r="QEQ129" s="212"/>
      <c r="QER129" s="212"/>
      <c r="QES129" s="212"/>
      <c r="QET129" s="212"/>
      <c r="QEU129" s="212"/>
      <c r="QEV129" s="212"/>
      <c r="QEW129" s="212"/>
      <c r="QEX129" s="212"/>
      <c r="QEY129" s="212"/>
      <c r="QEZ129" s="212"/>
      <c r="QFA129" s="212"/>
      <c r="QFB129" s="212"/>
      <c r="QFC129" s="212"/>
      <c r="QFD129" s="212"/>
      <c r="QFE129" s="212"/>
      <c r="QFF129" s="212"/>
      <c r="QFG129" s="212"/>
      <c r="QFH129" s="212"/>
      <c r="QFI129" s="212"/>
      <c r="QFJ129" s="212"/>
      <c r="QFK129" s="212"/>
      <c r="QFL129" s="212"/>
      <c r="QFM129" s="212"/>
      <c r="QFN129" s="212"/>
      <c r="QFO129" s="212"/>
      <c r="QFP129" s="212"/>
      <c r="QFQ129" s="212"/>
      <c r="QFR129" s="212"/>
      <c r="QFS129" s="212"/>
      <c r="QFT129" s="212"/>
      <c r="QFU129" s="212"/>
      <c r="QFV129" s="212"/>
      <c r="QFW129" s="212"/>
      <c r="QFX129" s="212"/>
      <c r="QFY129" s="212"/>
      <c r="QFZ129" s="212"/>
      <c r="QGA129" s="212"/>
      <c r="QGB129" s="212"/>
      <c r="QGC129" s="212"/>
      <c r="QGD129" s="212"/>
      <c r="QGE129" s="212"/>
      <c r="QGF129" s="212"/>
      <c r="QGG129" s="212"/>
      <c r="QGH129" s="212"/>
      <c r="QGI129" s="212"/>
      <c r="QGJ129" s="212"/>
      <c r="QGK129" s="212"/>
      <c r="QGL129" s="212"/>
      <c r="QGM129" s="212"/>
      <c r="QGN129" s="212"/>
      <c r="QGO129" s="212"/>
      <c r="QGP129" s="212"/>
      <c r="QGQ129" s="212"/>
      <c r="QGR129" s="212"/>
      <c r="QGS129" s="212"/>
      <c r="QGT129" s="212"/>
      <c r="QGU129" s="212"/>
      <c r="QGV129" s="212"/>
      <c r="QGW129" s="212"/>
      <c r="QGX129" s="212"/>
      <c r="QGY129" s="212"/>
      <c r="QGZ129" s="212"/>
      <c r="QHA129" s="212"/>
      <c r="QHB129" s="212"/>
      <c r="QHC129" s="212"/>
      <c r="QHD129" s="212"/>
      <c r="QHE129" s="212"/>
      <c r="QHF129" s="212"/>
      <c r="QHG129" s="212"/>
      <c r="QHH129" s="212"/>
      <c r="QHI129" s="212"/>
      <c r="QHJ129" s="212"/>
      <c r="QHK129" s="212"/>
      <c r="QHL129" s="212"/>
      <c r="QHM129" s="212"/>
      <c r="QHN129" s="212"/>
      <c r="QHO129" s="212"/>
      <c r="QHP129" s="212"/>
      <c r="QHQ129" s="212"/>
      <c r="QHR129" s="212"/>
      <c r="QHS129" s="212"/>
      <c r="QHT129" s="212"/>
      <c r="QHU129" s="212"/>
      <c r="QHV129" s="212"/>
      <c r="QHW129" s="212"/>
      <c r="QHX129" s="212"/>
      <c r="QHY129" s="212"/>
      <c r="QHZ129" s="212"/>
      <c r="QIA129" s="212"/>
      <c r="QIB129" s="212"/>
      <c r="QIC129" s="212"/>
      <c r="QID129" s="212"/>
      <c r="QIE129" s="212"/>
      <c r="QIF129" s="212"/>
      <c r="QIG129" s="212"/>
      <c r="QIH129" s="212"/>
      <c r="QII129" s="212"/>
      <c r="QIJ129" s="212"/>
      <c r="QIK129" s="212"/>
      <c r="QIL129" s="212"/>
      <c r="QIM129" s="212"/>
      <c r="QIN129" s="212"/>
      <c r="QIO129" s="212"/>
      <c r="QIP129" s="212"/>
      <c r="QIQ129" s="212"/>
      <c r="QIR129" s="212"/>
      <c r="QIS129" s="212"/>
      <c r="QIT129" s="212"/>
      <c r="QIU129" s="212"/>
      <c r="QIV129" s="212"/>
      <c r="QIW129" s="212"/>
      <c r="QIX129" s="212"/>
      <c r="QIY129" s="212"/>
      <c r="QIZ129" s="212"/>
      <c r="QJA129" s="212"/>
      <c r="QJB129" s="212"/>
      <c r="QJC129" s="212"/>
      <c r="QJD129" s="212"/>
      <c r="QJE129" s="212"/>
      <c r="QJF129" s="212"/>
      <c r="QJG129" s="212"/>
      <c r="QJH129" s="212"/>
      <c r="QJI129" s="212"/>
      <c r="QJJ129" s="212"/>
      <c r="QJK129" s="212"/>
      <c r="QJL129" s="212"/>
      <c r="QJM129" s="212"/>
      <c r="QJN129" s="212"/>
      <c r="QJO129" s="212"/>
      <c r="QJP129" s="212"/>
      <c r="QJQ129" s="212"/>
      <c r="QJR129" s="212"/>
      <c r="QJS129" s="212"/>
      <c r="QJT129" s="212"/>
      <c r="QJU129" s="212"/>
      <c r="QJV129" s="212"/>
      <c r="QJW129" s="212"/>
      <c r="QJX129" s="212"/>
      <c r="QJY129" s="212"/>
      <c r="QJZ129" s="212"/>
      <c r="QKA129" s="212"/>
      <c r="QKB129" s="212"/>
      <c r="QKC129" s="212"/>
      <c r="QKD129" s="212"/>
      <c r="QKE129" s="212"/>
      <c r="QKF129" s="212"/>
      <c r="QKG129" s="212"/>
      <c r="QKH129" s="212"/>
      <c r="QKI129" s="212"/>
      <c r="QKJ129" s="212"/>
      <c r="QKK129" s="212"/>
      <c r="QKL129" s="212"/>
      <c r="QKM129" s="212"/>
      <c r="QKN129" s="212"/>
      <c r="QKO129" s="212"/>
      <c r="QKP129" s="212"/>
      <c r="QKQ129" s="212"/>
      <c r="QKR129" s="212"/>
      <c r="QKS129" s="212"/>
      <c r="QKT129" s="212"/>
      <c r="QKU129" s="212"/>
      <c r="QKV129" s="212"/>
      <c r="QKW129" s="212"/>
      <c r="QKX129" s="212"/>
      <c r="QKY129" s="212"/>
      <c r="QKZ129" s="212"/>
      <c r="QLA129" s="212"/>
      <c r="QLB129" s="212"/>
      <c r="QLC129" s="212"/>
      <c r="QLD129" s="212"/>
      <c r="QLE129" s="212"/>
      <c r="QLF129" s="212"/>
      <c r="QLG129" s="212"/>
      <c r="QLH129" s="212"/>
      <c r="QLI129" s="212"/>
      <c r="QLJ129" s="212"/>
      <c r="QLK129" s="212"/>
      <c r="QLL129" s="212"/>
      <c r="QLM129" s="212"/>
      <c r="QLN129" s="212"/>
      <c r="QLO129" s="212"/>
      <c r="QLP129" s="212"/>
      <c r="QLQ129" s="212"/>
      <c r="QLR129" s="212"/>
      <c r="QLS129" s="212"/>
      <c r="QLT129" s="212"/>
      <c r="QLU129" s="212"/>
      <c r="QLV129" s="212"/>
      <c r="QLW129" s="212"/>
      <c r="QLX129" s="212"/>
      <c r="QLY129" s="212"/>
      <c r="QLZ129" s="212"/>
      <c r="QMA129" s="212"/>
      <c r="QMB129" s="212"/>
      <c r="QMC129" s="212"/>
      <c r="QMD129" s="212"/>
      <c r="QME129" s="212"/>
      <c r="QMF129" s="212"/>
      <c r="QMG129" s="212"/>
      <c r="QMH129" s="212"/>
      <c r="QMI129" s="212"/>
      <c r="QMJ129" s="212"/>
      <c r="QMK129" s="212"/>
      <c r="QML129" s="212"/>
      <c r="QMM129" s="212"/>
      <c r="QMN129" s="212"/>
      <c r="QMO129" s="212"/>
      <c r="QMP129" s="212"/>
      <c r="QMQ129" s="212"/>
      <c r="QMR129" s="212"/>
      <c r="QMS129" s="212"/>
      <c r="QMT129" s="212"/>
      <c r="QMU129" s="212"/>
      <c r="QMV129" s="212"/>
      <c r="QMW129" s="212"/>
      <c r="QMX129" s="212"/>
      <c r="QMY129" s="212"/>
      <c r="QMZ129" s="212"/>
      <c r="QNA129" s="212"/>
      <c r="QNB129" s="212"/>
      <c r="QNC129" s="212"/>
      <c r="QND129" s="212"/>
      <c r="QNE129" s="212"/>
      <c r="QNF129" s="212"/>
      <c r="QNG129" s="212"/>
      <c r="QNH129" s="212"/>
      <c r="QNI129" s="212"/>
      <c r="QNJ129" s="212"/>
      <c r="QNK129" s="212"/>
      <c r="QNL129" s="212"/>
      <c r="QNM129" s="212"/>
      <c r="QNN129" s="212"/>
      <c r="QNO129" s="212"/>
      <c r="QNP129" s="212"/>
      <c r="QNQ129" s="212"/>
      <c r="QNR129" s="212"/>
      <c r="QNS129" s="212"/>
      <c r="QNT129" s="212"/>
      <c r="QNU129" s="212"/>
      <c r="QNV129" s="212"/>
      <c r="QNW129" s="212"/>
      <c r="QNX129" s="212"/>
      <c r="QNY129" s="212"/>
      <c r="QNZ129" s="212"/>
      <c r="QOA129" s="212"/>
      <c r="QOB129" s="212"/>
      <c r="QOC129" s="212"/>
      <c r="QOD129" s="212"/>
      <c r="QOE129" s="212"/>
      <c r="QOF129" s="212"/>
      <c r="QOG129" s="212"/>
      <c r="QOH129" s="212"/>
      <c r="QOI129" s="212"/>
      <c r="QOJ129" s="212"/>
      <c r="QOK129" s="212"/>
      <c r="QOL129" s="212"/>
      <c r="QOM129" s="212"/>
      <c r="QON129" s="212"/>
      <c r="QOO129" s="212"/>
      <c r="QOP129" s="212"/>
      <c r="QOQ129" s="212"/>
      <c r="QOR129" s="212"/>
      <c r="QOS129" s="212"/>
      <c r="QOT129" s="212"/>
      <c r="QOU129" s="212"/>
      <c r="QOV129" s="212"/>
      <c r="QOW129" s="212"/>
      <c r="QOX129" s="212"/>
      <c r="QOY129" s="212"/>
      <c r="QOZ129" s="212"/>
      <c r="QPA129" s="212"/>
      <c r="QPB129" s="212"/>
      <c r="QPC129" s="212"/>
      <c r="QPD129" s="212"/>
      <c r="QPE129" s="212"/>
      <c r="QPF129" s="212"/>
      <c r="QPG129" s="212"/>
      <c r="QPH129" s="212"/>
      <c r="QPI129" s="212"/>
      <c r="QPJ129" s="212"/>
      <c r="QPK129" s="212"/>
      <c r="QPL129" s="212"/>
      <c r="QPM129" s="212"/>
      <c r="QPN129" s="212"/>
      <c r="QPO129" s="212"/>
      <c r="QPP129" s="212"/>
      <c r="QPQ129" s="212"/>
      <c r="QPR129" s="212"/>
      <c r="QPS129" s="212"/>
      <c r="QPT129" s="212"/>
      <c r="QPU129" s="212"/>
      <c r="QPV129" s="212"/>
      <c r="QPW129" s="212"/>
      <c r="QPX129" s="212"/>
      <c r="QPY129" s="212"/>
      <c r="QPZ129" s="212"/>
      <c r="QQA129" s="212"/>
      <c r="QQB129" s="212"/>
      <c r="QQC129" s="212"/>
      <c r="QQD129" s="212"/>
      <c r="QQE129" s="212"/>
      <c r="QQF129" s="212"/>
      <c r="QQG129" s="212"/>
      <c r="QQH129" s="212"/>
      <c r="QQI129" s="212"/>
      <c r="QQJ129" s="212"/>
      <c r="QQK129" s="212"/>
      <c r="QQL129" s="212"/>
      <c r="QQM129" s="212"/>
      <c r="QQN129" s="212"/>
      <c r="QQO129" s="212"/>
      <c r="QQP129" s="212"/>
      <c r="QQQ129" s="212"/>
      <c r="QQR129" s="212"/>
      <c r="QQS129" s="212"/>
      <c r="QQT129" s="212"/>
      <c r="QQU129" s="212"/>
      <c r="QQV129" s="212"/>
      <c r="QQW129" s="212"/>
      <c r="QQX129" s="212"/>
      <c r="QQY129" s="212"/>
      <c r="QQZ129" s="212"/>
      <c r="QRA129" s="212"/>
      <c r="QRB129" s="212"/>
      <c r="QRC129" s="212"/>
      <c r="QRD129" s="212"/>
      <c r="QRE129" s="212"/>
      <c r="QRF129" s="212"/>
      <c r="QRG129" s="212"/>
      <c r="QRH129" s="212"/>
      <c r="QRI129" s="212"/>
      <c r="QRJ129" s="212"/>
      <c r="QRK129" s="212"/>
      <c r="QRL129" s="212"/>
      <c r="QRM129" s="212"/>
      <c r="QRN129" s="212"/>
      <c r="QRO129" s="212"/>
      <c r="QRP129" s="212"/>
      <c r="QRQ129" s="212"/>
      <c r="QRR129" s="212"/>
      <c r="QRS129" s="212"/>
      <c r="QRT129" s="212"/>
      <c r="QRU129" s="212"/>
      <c r="QRV129" s="212"/>
      <c r="QRW129" s="212"/>
      <c r="QRX129" s="212"/>
      <c r="QRY129" s="212"/>
      <c r="QRZ129" s="212"/>
      <c r="QSA129" s="212"/>
      <c r="QSB129" s="212"/>
      <c r="QSC129" s="212"/>
      <c r="QSD129" s="212"/>
      <c r="QSE129" s="212"/>
      <c r="QSF129" s="212"/>
      <c r="QSG129" s="212"/>
      <c r="QSH129" s="212"/>
      <c r="QSI129" s="212"/>
      <c r="QSJ129" s="212"/>
      <c r="QSK129" s="212"/>
      <c r="QSL129" s="212"/>
      <c r="QSM129" s="212"/>
      <c r="QSN129" s="212"/>
      <c r="QSO129" s="212"/>
      <c r="QSP129" s="212"/>
      <c r="QSQ129" s="212"/>
      <c r="QSR129" s="212"/>
      <c r="QSS129" s="212"/>
      <c r="QST129" s="212"/>
      <c r="QSU129" s="212"/>
      <c r="QSV129" s="212"/>
      <c r="QSW129" s="212"/>
      <c r="QSX129" s="212"/>
      <c r="QSY129" s="212"/>
      <c r="QSZ129" s="212"/>
      <c r="QTA129" s="212"/>
      <c r="QTB129" s="212"/>
      <c r="QTC129" s="212"/>
      <c r="QTD129" s="212"/>
      <c r="QTE129" s="212"/>
      <c r="QTF129" s="212"/>
      <c r="QTG129" s="212"/>
      <c r="QTH129" s="212"/>
      <c r="QTI129" s="212"/>
      <c r="QTJ129" s="212"/>
      <c r="QTK129" s="212"/>
      <c r="QTL129" s="212"/>
      <c r="QTM129" s="212"/>
      <c r="QTN129" s="212"/>
      <c r="QTO129" s="212"/>
      <c r="QTP129" s="212"/>
      <c r="QTQ129" s="212"/>
      <c r="QTR129" s="212"/>
      <c r="QTS129" s="212"/>
      <c r="QTT129" s="212"/>
      <c r="QTU129" s="212"/>
      <c r="QTV129" s="212"/>
      <c r="QTW129" s="212"/>
      <c r="QTX129" s="212"/>
      <c r="QTY129" s="212"/>
      <c r="QTZ129" s="212"/>
      <c r="QUA129" s="212"/>
      <c r="QUB129" s="212"/>
      <c r="QUC129" s="212"/>
      <c r="QUD129" s="212"/>
      <c r="QUE129" s="212"/>
      <c r="QUF129" s="212"/>
      <c r="QUG129" s="212"/>
      <c r="QUH129" s="212"/>
      <c r="QUI129" s="212"/>
      <c r="QUJ129" s="212"/>
      <c r="QUK129" s="212"/>
      <c r="QUL129" s="212"/>
      <c r="QUM129" s="212"/>
      <c r="QUN129" s="212"/>
      <c r="QUO129" s="212"/>
      <c r="QUP129" s="212"/>
      <c r="QUQ129" s="212"/>
      <c r="QUR129" s="212"/>
      <c r="QUS129" s="212"/>
      <c r="QUT129" s="212"/>
      <c r="QUU129" s="212"/>
      <c r="QUV129" s="212"/>
      <c r="QUW129" s="212"/>
      <c r="QUX129" s="212"/>
      <c r="QUY129" s="212"/>
      <c r="QUZ129" s="212"/>
      <c r="QVA129" s="212"/>
      <c r="QVB129" s="212"/>
      <c r="QVC129" s="212"/>
      <c r="QVD129" s="212"/>
      <c r="QVE129" s="212"/>
      <c r="QVF129" s="212"/>
      <c r="QVG129" s="212"/>
      <c r="QVH129" s="212"/>
      <c r="QVI129" s="212"/>
      <c r="QVJ129" s="212"/>
      <c r="QVK129" s="212"/>
      <c r="QVL129" s="212"/>
      <c r="QVM129" s="212"/>
      <c r="QVN129" s="212"/>
      <c r="QVO129" s="212"/>
      <c r="QVP129" s="212"/>
      <c r="QVQ129" s="212"/>
      <c r="QVR129" s="212"/>
      <c r="QVS129" s="212"/>
      <c r="QVT129" s="212"/>
      <c r="QVU129" s="212"/>
      <c r="QVV129" s="212"/>
      <c r="QVW129" s="212"/>
      <c r="QVX129" s="212"/>
      <c r="QVY129" s="212"/>
      <c r="QVZ129" s="212"/>
      <c r="QWA129" s="212"/>
      <c r="QWB129" s="212"/>
      <c r="QWC129" s="212"/>
      <c r="QWD129" s="212"/>
      <c r="QWE129" s="212"/>
      <c r="QWF129" s="212"/>
      <c r="QWG129" s="212"/>
      <c r="QWH129" s="212"/>
      <c r="QWI129" s="212"/>
      <c r="QWJ129" s="212"/>
      <c r="QWK129" s="212"/>
      <c r="QWL129" s="212"/>
      <c r="QWM129" s="212"/>
      <c r="QWN129" s="212"/>
      <c r="QWO129" s="212"/>
      <c r="QWP129" s="212"/>
      <c r="QWQ129" s="212"/>
      <c r="QWR129" s="212"/>
      <c r="QWS129" s="212"/>
      <c r="QWT129" s="212"/>
      <c r="QWU129" s="212"/>
      <c r="QWV129" s="212"/>
      <c r="QWW129" s="212"/>
      <c r="QWX129" s="212"/>
      <c r="QWY129" s="212"/>
      <c r="QWZ129" s="212"/>
      <c r="QXA129" s="212"/>
      <c r="QXB129" s="212"/>
      <c r="QXC129" s="212"/>
      <c r="QXD129" s="212"/>
      <c r="QXE129" s="212"/>
      <c r="QXF129" s="212"/>
      <c r="QXG129" s="212"/>
      <c r="QXH129" s="212"/>
      <c r="QXI129" s="212"/>
      <c r="QXJ129" s="212"/>
      <c r="QXK129" s="212"/>
      <c r="QXL129" s="212"/>
      <c r="QXM129" s="212"/>
      <c r="QXN129" s="212"/>
      <c r="QXO129" s="212"/>
      <c r="QXP129" s="212"/>
      <c r="QXQ129" s="212"/>
      <c r="QXR129" s="212"/>
      <c r="QXS129" s="212"/>
      <c r="QXT129" s="212"/>
      <c r="QXU129" s="212"/>
      <c r="QXV129" s="212"/>
      <c r="QXW129" s="212"/>
      <c r="QXX129" s="212"/>
      <c r="QXY129" s="212"/>
      <c r="QXZ129" s="212"/>
      <c r="QYA129" s="212"/>
      <c r="QYB129" s="212"/>
      <c r="QYC129" s="212"/>
      <c r="QYD129" s="212"/>
      <c r="QYE129" s="212"/>
      <c r="QYF129" s="212"/>
      <c r="QYG129" s="212"/>
      <c r="QYH129" s="212"/>
      <c r="QYI129" s="212"/>
      <c r="QYJ129" s="212"/>
      <c r="QYK129" s="212"/>
      <c r="QYL129" s="212"/>
      <c r="QYM129" s="212"/>
      <c r="QYN129" s="212"/>
      <c r="QYO129" s="212"/>
      <c r="QYP129" s="212"/>
      <c r="QYQ129" s="212"/>
      <c r="QYR129" s="212"/>
      <c r="QYS129" s="212"/>
      <c r="QYT129" s="212"/>
      <c r="QYU129" s="212"/>
      <c r="QYV129" s="212"/>
      <c r="QYW129" s="212"/>
      <c r="QYX129" s="212"/>
      <c r="QYY129" s="212"/>
      <c r="QYZ129" s="212"/>
      <c r="QZA129" s="212"/>
      <c r="QZB129" s="212"/>
      <c r="QZC129" s="212"/>
      <c r="QZD129" s="212"/>
      <c r="QZE129" s="212"/>
      <c r="QZF129" s="212"/>
      <c r="QZG129" s="212"/>
      <c r="QZH129" s="212"/>
      <c r="QZI129" s="212"/>
      <c r="QZJ129" s="212"/>
      <c r="QZK129" s="212"/>
      <c r="QZL129" s="212"/>
      <c r="QZM129" s="212"/>
      <c r="QZN129" s="212"/>
      <c r="QZO129" s="212"/>
      <c r="QZP129" s="212"/>
      <c r="QZQ129" s="212"/>
      <c r="QZR129" s="212"/>
      <c r="QZS129" s="212"/>
      <c r="QZT129" s="212"/>
      <c r="QZU129" s="212"/>
      <c r="QZV129" s="212"/>
      <c r="QZW129" s="212"/>
      <c r="QZX129" s="212"/>
      <c r="QZY129" s="212"/>
      <c r="QZZ129" s="212"/>
      <c r="RAA129" s="212"/>
      <c r="RAB129" s="212"/>
      <c r="RAC129" s="212"/>
      <c r="RAD129" s="212"/>
      <c r="RAE129" s="212"/>
      <c r="RAF129" s="212"/>
      <c r="RAG129" s="212"/>
      <c r="RAH129" s="212"/>
      <c r="RAI129" s="212"/>
      <c r="RAJ129" s="212"/>
      <c r="RAK129" s="212"/>
      <c r="RAL129" s="212"/>
      <c r="RAM129" s="212"/>
      <c r="RAN129" s="212"/>
      <c r="RAO129" s="212"/>
      <c r="RAP129" s="212"/>
      <c r="RAQ129" s="212"/>
      <c r="RAR129" s="212"/>
      <c r="RAS129" s="212"/>
      <c r="RAT129" s="212"/>
      <c r="RAU129" s="212"/>
      <c r="RAV129" s="212"/>
      <c r="RAW129" s="212"/>
      <c r="RAX129" s="212"/>
      <c r="RAY129" s="212"/>
      <c r="RAZ129" s="212"/>
      <c r="RBA129" s="212"/>
      <c r="RBB129" s="212"/>
      <c r="RBC129" s="212"/>
      <c r="RBD129" s="212"/>
      <c r="RBE129" s="212"/>
      <c r="RBF129" s="212"/>
      <c r="RBG129" s="212"/>
      <c r="RBH129" s="212"/>
      <c r="RBI129" s="212"/>
      <c r="RBJ129" s="212"/>
      <c r="RBK129" s="212"/>
      <c r="RBL129" s="212"/>
      <c r="RBM129" s="212"/>
      <c r="RBN129" s="212"/>
      <c r="RBO129" s="212"/>
      <c r="RBP129" s="212"/>
      <c r="RBQ129" s="212"/>
      <c r="RBR129" s="212"/>
      <c r="RBS129" s="212"/>
      <c r="RBT129" s="212"/>
      <c r="RBU129" s="212"/>
      <c r="RBV129" s="212"/>
      <c r="RBW129" s="212"/>
      <c r="RBX129" s="212"/>
      <c r="RBY129" s="212"/>
      <c r="RBZ129" s="212"/>
      <c r="RCA129" s="212"/>
      <c r="RCB129" s="212"/>
      <c r="RCC129" s="212"/>
      <c r="RCD129" s="212"/>
      <c r="RCE129" s="212"/>
      <c r="RCF129" s="212"/>
      <c r="RCG129" s="212"/>
      <c r="RCH129" s="212"/>
      <c r="RCI129" s="212"/>
      <c r="RCJ129" s="212"/>
      <c r="RCK129" s="212"/>
      <c r="RCL129" s="212"/>
      <c r="RCM129" s="212"/>
      <c r="RCN129" s="212"/>
      <c r="RCO129" s="212"/>
      <c r="RCP129" s="212"/>
      <c r="RCQ129" s="212"/>
      <c r="RCR129" s="212"/>
      <c r="RCS129" s="212"/>
      <c r="RCT129" s="212"/>
      <c r="RCU129" s="212"/>
      <c r="RCV129" s="212"/>
      <c r="RCW129" s="212"/>
      <c r="RCX129" s="212"/>
      <c r="RCY129" s="212"/>
      <c r="RCZ129" s="212"/>
      <c r="RDA129" s="212"/>
      <c r="RDB129" s="212"/>
      <c r="RDC129" s="212"/>
      <c r="RDD129" s="212"/>
      <c r="RDE129" s="212"/>
      <c r="RDF129" s="212"/>
      <c r="RDG129" s="212"/>
      <c r="RDH129" s="212"/>
      <c r="RDI129" s="212"/>
      <c r="RDJ129" s="212"/>
      <c r="RDK129" s="212"/>
      <c r="RDL129" s="212"/>
      <c r="RDM129" s="212"/>
      <c r="RDN129" s="212"/>
      <c r="RDO129" s="212"/>
      <c r="RDP129" s="212"/>
      <c r="RDQ129" s="212"/>
      <c r="RDR129" s="212"/>
      <c r="RDS129" s="212"/>
      <c r="RDT129" s="212"/>
      <c r="RDU129" s="212"/>
      <c r="RDV129" s="212"/>
      <c r="RDW129" s="212"/>
      <c r="RDX129" s="212"/>
      <c r="RDY129" s="212"/>
      <c r="RDZ129" s="212"/>
      <c r="REA129" s="212"/>
      <c r="REB129" s="212"/>
      <c r="REC129" s="212"/>
      <c r="RED129" s="212"/>
      <c r="REE129" s="212"/>
      <c r="REF129" s="212"/>
      <c r="REG129" s="212"/>
      <c r="REH129" s="212"/>
      <c r="REI129" s="212"/>
      <c r="REJ129" s="212"/>
      <c r="REK129" s="212"/>
      <c r="REL129" s="212"/>
      <c r="REM129" s="212"/>
      <c r="REN129" s="212"/>
      <c r="REO129" s="212"/>
      <c r="REP129" s="212"/>
      <c r="REQ129" s="212"/>
      <c r="RER129" s="212"/>
      <c r="RES129" s="212"/>
      <c r="RET129" s="212"/>
      <c r="REU129" s="212"/>
      <c r="REV129" s="212"/>
      <c r="REW129" s="212"/>
      <c r="REX129" s="212"/>
      <c r="REY129" s="212"/>
      <c r="REZ129" s="212"/>
      <c r="RFA129" s="212"/>
      <c r="RFB129" s="212"/>
      <c r="RFC129" s="212"/>
      <c r="RFD129" s="212"/>
      <c r="RFE129" s="212"/>
      <c r="RFF129" s="212"/>
      <c r="RFG129" s="212"/>
      <c r="RFH129" s="212"/>
      <c r="RFI129" s="212"/>
      <c r="RFJ129" s="212"/>
      <c r="RFK129" s="212"/>
      <c r="RFL129" s="212"/>
      <c r="RFM129" s="212"/>
      <c r="RFN129" s="212"/>
      <c r="RFO129" s="212"/>
      <c r="RFP129" s="212"/>
      <c r="RFQ129" s="212"/>
      <c r="RFR129" s="212"/>
      <c r="RFS129" s="212"/>
      <c r="RFT129" s="212"/>
      <c r="RFU129" s="212"/>
      <c r="RFV129" s="212"/>
      <c r="RFW129" s="212"/>
      <c r="RFX129" s="212"/>
      <c r="RFY129" s="212"/>
      <c r="RFZ129" s="212"/>
      <c r="RGA129" s="212"/>
      <c r="RGB129" s="212"/>
      <c r="RGC129" s="212"/>
      <c r="RGD129" s="212"/>
      <c r="RGE129" s="212"/>
      <c r="RGF129" s="212"/>
      <c r="RGG129" s="212"/>
      <c r="RGH129" s="212"/>
      <c r="RGI129" s="212"/>
      <c r="RGJ129" s="212"/>
      <c r="RGK129" s="212"/>
      <c r="RGL129" s="212"/>
      <c r="RGM129" s="212"/>
      <c r="RGN129" s="212"/>
      <c r="RGO129" s="212"/>
      <c r="RGP129" s="212"/>
      <c r="RGQ129" s="212"/>
      <c r="RGR129" s="212"/>
      <c r="RGS129" s="212"/>
      <c r="RGT129" s="212"/>
      <c r="RGU129" s="212"/>
      <c r="RGV129" s="212"/>
      <c r="RGW129" s="212"/>
      <c r="RGX129" s="212"/>
      <c r="RGY129" s="212"/>
      <c r="RGZ129" s="212"/>
      <c r="RHA129" s="212"/>
      <c r="RHB129" s="212"/>
      <c r="RHC129" s="212"/>
      <c r="RHD129" s="212"/>
      <c r="RHE129" s="212"/>
      <c r="RHF129" s="212"/>
      <c r="RHG129" s="212"/>
      <c r="RHH129" s="212"/>
      <c r="RHI129" s="212"/>
      <c r="RHJ129" s="212"/>
      <c r="RHK129" s="212"/>
      <c r="RHL129" s="212"/>
      <c r="RHM129" s="212"/>
      <c r="RHN129" s="212"/>
      <c r="RHO129" s="212"/>
      <c r="RHP129" s="212"/>
      <c r="RHQ129" s="212"/>
      <c r="RHR129" s="212"/>
      <c r="RHS129" s="212"/>
      <c r="RHT129" s="212"/>
      <c r="RHU129" s="212"/>
      <c r="RHV129" s="212"/>
      <c r="RHW129" s="212"/>
      <c r="RHX129" s="212"/>
      <c r="RHY129" s="212"/>
      <c r="RHZ129" s="212"/>
      <c r="RIA129" s="212"/>
      <c r="RIB129" s="212"/>
      <c r="RIC129" s="212"/>
      <c r="RID129" s="212"/>
      <c r="RIE129" s="212"/>
      <c r="RIF129" s="212"/>
      <c r="RIG129" s="212"/>
      <c r="RIH129" s="212"/>
      <c r="RII129" s="212"/>
      <c r="RIJ129" s="212"/>
      <c r="RIK129" s="212"/>
      <c r="RIL129" s="212"/>
      <c r="RIM129" s="212"/>
      <c r="RIN129" s="212"/>
      <c r="RIO129" s="212"/>
      <c r="RIP129" s="212"/>
      <c r="RIQ129" s="212"/>
      <c r="RIR129" s="212"/>
      <c r="RIS129" s="212"/>
      <c r="RIT129" s="212"/>
      <c r="RIU129" s="212"/>
      <c r="RIV129" s="212"/>
      <c r="RIW129" s="212"/>
      <c r="RIX129" s="212"/>
      <c r="RIY129" s="212"/>
      <c r="RIZ129" s="212"/>
      <c r="RJA129" s="212"/>
      <c r="RJB129" s="212"/>
      <c r="RJC129" s="212"/>
      <c r="RJD129" s="212"/>
      <c r="RJE129" s="212"/>
      <c r="RJF129" s="212"/>
      <c r="RJG129" s="212"/>
      <c r="RJH129" s="212"/>
      <c r="RJI129" s="212"/>
      <c r="RJJ129" s="212"/>
      <c r="RJK129" s="212"/>
      <c r="RJL129" s="212"/>
      <c r="RJM129" s="212"/>
      <c r="RJN129" s="212"/>
      <c r="RJO129" s="212"/>
      <c r="RJP129" s="212"/>
      <c r="RJQ129" s="212"/>
      <c r="RJR129" s="212"/>
      <c r="RJS129" s="212"/>
      <c r="RJT129" s="212"/>
      <c r="RJU129" s="212"/>
      <c r="RJV129" s="212"/>
      <c r="RJW129" s="212"/>
      <c r="RJX129" s="212"/>
      <c r="RJY129" s="212"/>
      <c r="RJZ129" s="212"/>
      <c r="RKA129" s="212"/>
      <c r="RKB129" s="212"/>
      <c r="RKC129" s="212"/>
      <c r="RKD129" s="212"/>
      <c r="RKE129" s="212"/>
      <c r="RKF129" s="212"/>
      <c r="RKG129" s="212"/>
      <c r="RKH129" s="212"/>
      <c r="RKI129" s="212"/>
      <c r="RKJ129" s="212"/>
      <c r="RKK129" s="212"/>
      <c r="RKL129" s="212"/>
      <c r="RKM129" s="212"/>
      <c r="RKN129" s="212"/>
      <c r="RKO129" s="212"/>
      <c r="RKP129" s="212"/>
      <c r="RKQ129" s="212"/>
      <c r="RKR129" s="212"/>
      <c r="RKS129" s="212"/>
      <c r="RKT129" s="212"/>
      <c r="RKU129" s="212"/>
      <c r="RKV129" s="212"/>
      <c r="RKW129" s="212"/>
      <c r="RKX129" s="212"/>
      <c r="RKY129" s="212"/>
      <c r="RKZ129" s="212"/>
      <c r="RLA129" s="212"/>
      <c r="RLB129" s="212"/>
      <c r="RLC129" s="212"/>
      <c r="RLD129" s="212"/>
      <c r="RLE129" s="212"/>
      <c r="RLF129" s="212"/>
      <c r="RLG129" s="212"/>
      <c r="RLH129" s="212"/>
      <c r="RLI129" s="212"/>
      <c r="RLJ129" s="212"/>
      <c r="RLK129" s="212"/>
      <c r="RLL129" s="212"/>
      <c r="RLM129" s="212"/>
      <c r="RLN129" s="212"/>
      <c r="RLO129" s="212"/>
      <c r="RLP129" s="212"/>
      <c r="RLQ129" s="212"/>
      <c r="RLR129" s="212"/>
      <c r="RLS129" s="212"/>
      <c r="RLT129" s="212"/>
      <c r="RLU129" s="212"/>
      <c r="RLV129" s="212"/>
      <c r="RLW129" s="212"/>
      <c r="RLX129" s="212"/>
      <c r="RLY129" s="212"/>
      <c r="RLZ129" s="212"/>
      <c r="RMA129" s="212"/>
      <c r="RMB129" s="212"/>
      <c r="RMC129" s="212"/>
      <c r="RMD129" s="212"/>
      <c r="RME129" s="212"/>
      <c r="RMF129" s="212"/>
      <c r="RMG129" s="212"/>
      <c r="RMH129" s="212"/>
      <c r="RMI129" s="212"/>
      <c r="RMJ129" s="212"/>
      <c r="RMK129" s="212"/>
      <c r="RML129" s="212"/>
      <c r="RMM129" s="212"/>
      <c r="RMN129" s="212"/>
      <c r="RMO129" s="212"/>
      <c r="RMP129" s="212"/>
      <c r="RMQ129" s="212"/>
      <c r="RMR129" s="212"/>
      <c r="RMS129" s="212"/>
      <c r="RMT129" s="212"/>
      <c r="RMU129" s="212"/>
      <c r="RMV129" s="212"/>
      <c r="RMW129" s="212"/>
      <c r="RMX129" s="212"/>
      <c r="RMY129" s="212"/>
      <c r="RMZ129" s="212"/>
      <c r="RNA129" s="212"/>
      <c r="RNB129" s="212"/>
      <c r="RNC129" s="212"/>
      <c r="RND129" s="212"/>
      <c r="RNE129" s="212"/>
      <c r="RNF129" s="212"/>
      <c r="RNG129" s="212"/>
      <c r="RNH129" s="212"/>
      <c r="RNI129" s="212"/>
      <c r="RNJ129" s="212"/>
      <c r="RNK129" s="212"/>
      <c r="RNL129" s="212"/>
      <c r="RNM129" s="212"/>
      <c r="RNN129" s="212"/>
      <c r="RNO129" s="212"/>
      <c r="RNP129" s="212"/>
      <c r="RNQ129" s="212"/>
      <c r="RNR129" s="212"/>
      <c r="RNS129" s="212"/>
      <c r="RNT129" s="212"/>
      <c r="RNU129" s="212"/>
      <c r="RNV129" s="212"/>
      <c r="RNW129" s="212"/>
      <c r="RNX129" s="212"/>
      <c r="RNY129" s="212"/>
      <c r="RNZ129" s="212"/>
      <c r="ROA129" s="212"/>
      <c r="ROB129" s="212"/>
      <c r="ROC129" s="212"/>
      <c r="ROD129" s="212"/>
      <c r="ROE129" s="212"/>
      <c r="ROF129" s="212"/>
      <c r="ROG129" s="212"/>
      <c r="ROH129" s="212"/>
      <c r="ROI129" s="212"/>
      <c r="ROJ129" s="212"/>
      <c r="ROK129" s="212"/>
      <c r="ROL129" s="212"/>
      <c r="ROM129" s="212"/>
      <c r="RON129" s="212"/>
      <c r="ROO129" s="212"/>
      <c r="ROP129" s="212"/>
      <c r="ROQ129" s="212"/>
      <c r="ROR129" s="212"/>
      <c r="ROS129" s="212"/>
      <c r="ROT129" s="212"/>
      <c r="ROU129" s="212"/>
      <c r="ROV129" s="212"/>
      <c r="ROW129" s="212"/>
      <c r="ROX129" s="212"/>
      <c r="ROY129" s="212"/>
      <c r="ROZ129" s="212"/>
      <c r="RPA129" s="212"/>
      <c r="RPB129" s="212"/>
      <c r="RPC129" s="212"/>
      <c r="RPD129" s="212"/>
      <c r="RPE129" s="212"/>
      <c r="RPF129" s="212"/>
      <c r="RPG129" s="212"/>
      <c r="RPH129" s="212"/>
      <c r="RPI129" s="212"/>
      <c r="RPJ129" s="212"/>
      <c r="RPK129" s="212"/>
      <c r="RPL129" s="212"/>
      <c r="RPM129" s="212"/>
      <c r="RPN129" s="212"/>
      <c r="RPO129" s="212"/>
      <c r="RPP129" s="212"/>
      <c r="RPQ129" s="212"/>
      <c r="RPR129" s="212"/>
      <c r="RPS129" s="212"/>
      <c r="RPT129" s="212"/>
      <c r="RPU129" s="212"/>
      <c r="RPV129" s="212"/>
      <c r="RPW129" s="212"/>
      <c r="RPX129" s="212"/>
      <c r="RPY129" s="212"/>
      <c r="RPZ129" s="212"/>
      <c r="RQA129" s="212"/>
      <c r="RQB129" s="212"/>
      <c r="RQC129" s="212"/>
      <c r="RQD129" s="212"/>
      <c r="RQE129" s="212"/>
      <c r="RQF129" s="212"/>
      <c r="RQG129" s="212"/>
      <c r="RQH129" s="212"/>
      <c r="RQI129" s="212"/>
      <c r="RQJ129" s="212"/>
      <c r="RQK129" s="212"/>
      <c r="RQL129" s="212"/>
      <c r="RQM129" s="212"/>
      <c r="RQN129" s="212"/>
      <c r="RQO129" s="212"/>
      <c r="RQP129" s="212"/>
      <c r="RQQ129" s="212"/>
      <c r="RQR129" s="212"/>
      <c r="RQS129" s="212"/>
      <c r="RQT129" s="212"/>
      <c r="RQU129" s="212"/>
      <c r="RQV129" s="212"/>
      <c r="RQW129" s="212"/>
      <c r="RQX129" s="212"/>
      <c r="RQY129" s="212"/>
      <c r="RQZ129" s="212"/>
      <c r="RRA129" s="212"/>
      <c r="RRB129" s="212"/>
      <c r="RRC129" s="212"/>
      <c r="RRD129" s="212"/>
      <c r="RRE129" s="212"/>
      <c r="RRF129" s="212"/>
      <c r="RRG129" s="212"/>
      <c r="RRH129" s="212"/>
      <c r="RRI129" s="212"/>
      <c r="RRJ129" s="212"/>
      <c r="RRK129" s="212"/>
      <c r="RRL129" s="212"/>
      <c r="RRM129" s="212"/>
      <c r="RRN129" s="212"/>
      <c r="RRO129" s="212"/>
      <c r="RRP129" s="212"/>
      <c r="RRQ129" s="212"/>
      <c r="RRR129" s="212"/>
      <c r="RRS129" s="212"/>
      <c r="RRT129" s="212"/>
      <c r="RRU129" s="212"/>
      <c r="RRV129" s="212"/>
      <c r="RRW129" s="212"/>
      <c r="RRX129" s="212"/>
      <c r="RRY129" s="212"/>
      <c r="RRZ129" s="212"/>
      <c r="RSA129" s="212"/>
      <c r="RSB129" s="212"/>
      <c r="RSC129" s="212"/>
      <c r="RSD129" s="212"/>
      <c r="RSE129" s="212"/>
      <c r="RSF129" s="212"/>
      <c r="RSG129" s="212"/>
      <c r="RSH129" s="212"/>
      <c r="RSI129" s="212"/>
      <c r="RSJ129" s="212"/>
      <c r="RSK129" s="212"/>
      <c r="RSL129" s="212"/>
      <c r="RSM129" s="212"/>
      <c r="RSN129" s="212"/>
      <c r="RSO129" s="212"/>
      <c r="RSP129" s="212"/>
      <c r="RSQ129" s="212"/>
      <c r="RSR129" s="212"/>
      <c r="RSS129" s="212"/>
      <c r="RST129" s="212"/>
      <c r="RSU129" s="212"/>
      <c r="RSV129" s="212"/>
      <c r="RSW129" s="212"/>
      <c r="RSX129" s="212"/>
      <c r="RSY129" s="212"/>
      <c r="RSZ129" s="212"/>
      <c r="RTA129" s="212"/>
      <c r="RTB129" s="212"/>
      <c r="RTC129" s="212"/>
      <c r="RTD129" s="212"/>
      <c r="RTE129" s="212"/>
      <c r="RTF129" s="212"/>
      <c r="RTG129" s="212"/>
      <c r="RTH129" s="212"/>
      <c r="RTI129" s="212"/>
      <c r="RTJ129" s="212"/>
      <c r="RTK129" s="212"/>
      <c r="RTL129" s="212"/>
      <c r="RTM129" s="212"/>
      <c r="RTN129" s="212"/>
      <c r="RTO129" s="212"/>
      <c r="RTP129" s="212"/>
      <c r="RTQ129" s="212"/>
      <c r="RTR129" s="212"/>
      <c r="RTS129" s="212"/>
      <c r="RTT129" s="212"/>
      <c r="RTU129" s="212"/>
      <c r="RTV129" s="212"/>
      <c r="RTW129" s="212"/>
      <c r="RTX129" s="212"/>
      <c r="RTY129" s="212"/>
      <c r="RTZ129" s="212"/>
      <c r="RUA129" s="212"/>
      <c r="RUB129" s="212"/>
      <c r="RUC129" s="212"/>
      <c r="RUD129" s="212"/>
      <c r="RUE129" s="212"/>
      <c r="RUF129" s="212"/>
      <c r="RUG129" s="212"/>
      <c r="RUH129" s="212"/>
      <c r="RUI129" s="212"/>
      <c r="RUJ129" s="212"/>
      <c r="RUK129" s="212"/>
      <c r="RUL129" s="212"/>
      <c r="RUM129" s="212"/>
      <c r="RUN129" s="212"/>
      <c r="RUO129" s="212"/>
      <c r="RUP129" s="212"/>
      <c r="RUQ129" s="212"/>
      <c r="RUR129" s="212"/>
      <c r="RUS129" s="212"/>
      <c r="RUT129" s="212"/>
      <c r="RUU129" s="212"/>
      <c r="RUV129" s="212"/>
      <c r="RUW129" s="212"/>
      <c r="RUX129" s="212"/>
      <c r="RUY129" s="212"/>
      <c r="RUZ129" s="212"/>
      <c r="RVA129" s="212"/>
      <c r="RVB129" s="212"/>
      <c r="RVC129" s="212"/>
      <c r="RVD129" s="212"/>
      <c r="RVE129" s="212"/>
      <c r="RVF129" s="212"/>
      <c r="RVG129" s="212"/>
      <c r="RVH129" s="212"/>
      <c r="RVI129" s="212"/>
      <c r="RVJ129" s="212"/>
      <c r="RVK129" s="212"/>
      <c r="RVL129" s="212"/>
      <c r="RVM129" s="212"/>
      <c r="RVN129" s="212"/>
      <c r="RVO129" s="212"/>
      <c r="RVP129" s="212"/>
      <c r="RVQ129" s="212"/>
      <c r="RVR129" s="212"/>
      <c r="RVS129" s="212"/>
      <c r="RVT129" s="212"/>
      <c r="RVU129" s="212"/>
      <c r="RVV129" s="212"/>
      <c r="RVW129" s="212"/>
      <c r="RVX129" s="212"/>
      <c r="RVY129" s="212"/>
      <c r="RVZ129" s="212"/>
      <c r="RWA129" s="212"/>
      <c r="RWB129" s="212"/>
      <c r="RWC129" s="212"/>
      <c r="RWD129" s="212"/>
      <c r="RWE129" s="212"/>
      <c r="RWF129" s="212"/>
      <c r="RWG129" s="212"/>
      <c r="RWH129" s="212"/>
      <c r="RWI129" s="212"/>
      <c r="RWJ129" s="212"/>
      <c r="RWK129" s="212"/>
      <c r="RWL129" s="212"/>
      <c r="RWM129" s="212"/>
      <c r="RWN129" s="212"/>
      <c r="RWO129" s="212"/>
      <c r="RWP129" s="212"/>
      <c r="RWQ129" s="212"/>
      <c r="RWR129" s="212"/>
      <c r="RWS129" s="212"/>
      <c r="RWT129" s="212"/>
      <c r="RWU129" s="212"/>
      <c r="RWV129" s="212"/>
      <c r="RWW129" s="212"/>
      <c r="RWX129" s="212"/>
      <c r="RWY129" s="212"/>
      <c r="RWZ129" s="212"/>
      <c r="RXA129" s="212"/>
      <c r="RXB129" s="212"/>
      <c r="RXC129" s="212"/>
      <c r="RXD129" s="212"/>
      <c r="RXE129" s="212"/>
      <c r="RXF129" s="212"/>
      <c r="RXG129" s="212"/>
      <c r="RXH129" s="212"/>
      <c r="RXI129" s="212"/>
      <c r="RXJ129" s="212"/>
      <c r="RXK129" s="212"/>
      <c r="RXL129" s="212"/>
      <c r="RXM129" s="212"/>
      <c r="RXN129" s="212"/>
      <c r="RXO129" s="212"/>
      <c r="RXP129" s="212"/>
      <c r="RXQ129" s="212"/>
      <c r="RXR129" s="212"/>
      <c r="RXS129" s="212"/>
      <c r="RXT129" s="212"/>
      <c r="RXU129" s="212"/>
      <c r="RXV129" s="212"/>
      <c r="RXW129" s="212"/>
      <c r="RXX129" s="212"/>
      <c r="RXY129" s="212"/>
      <c r="RXZ129" s="212"/>
      <c r="RYA129" s="212"/>
      <c r="RYB129" s="212"/>
      <c r="RYC129" s="212"/>
      <c r="RYD129" s="212"/>
      <c r="RYE129" s="212"/>
      <c r="RYF129" s="212"/>
      <c r="RYG129" s="212"/>
      <c r="RYH129" s="212"/>
      <c r="RYI129" s="212"/>
      <c r="RYJ129" s="212"/>
      <c r="RYK129" s="212"/>
      <c r="RYL129" s="212"/>
      <c r="RYM129" s="212"/>
      <c r="RYN129" s="212"/>
      <c r="RYO129" s="212"/>
      <c r="RYP129" s="212"/>
      <c r="RYQ129" s="212"/>
      <c r="RYR129" s="212"/>
      <c r="RYS129" s="212"/>
      <c r="RYT129" s="212"/>
      <c r="RYU129" s="212"/>
      <c r="RYV129" s="212"/>
      <c r="RYW129" s="212"/>
      <c r="RYX129" s="212"/>
      <c r="RYY129" s="212"/>
      <c r="RYZ129" s="212"/>
      <c r="RZA129" s="212"/>
      <c r="RZB129" s="212"/>
      <c r="RZC129" s="212"/>
      <c r="RZD129" s="212"/>
      <c r="RZE129" s="212"/>
      <c r="RZF129" s="212"/>
      <c r="RZG129" s="212"/>
      <c r="RZH129" s="212"/>
      <c r="RZI129" s="212"/>
      <c r="RZJ129" s="212"/>
      <c r="RZK129" s="212"/>
      <c r="RZL129" s="212"/>
      <c r="RZM129" s="212"/>
      <c r="RZN129" s="212"/>
      <c r="RZO129" s="212"/>
      <c r="RZP129" s="212"/>
      <c r="RZQ129" s="212"/>
      <c r="RZR129" s="212"/>
      <c r="RZS129" s="212"/>
      <c r="RZT129" s="212"/>
      <c r="RZU129" s="212"/>
      <c r="RZV129" s="212"/>
      <c r="RZW129" s="212"/>
      <c r="RZX129" s="212"/>
      <c r="RZY129" s="212"/>
      <c r="RZZ129" s="212"/>
      <c r="SAA129" s="212"/>
      <c r="SAB129" s="212"/>
      <c r="SAC129" s="212"/>
      <c r="SAD129" s="212"/>
      <c r="SAE129" s="212"/>
      <c r="SAF129" s="212"/>
      <c r="SAG129" s="212"/>
      <c r="SAH129" s="212"/>
      <c r="SAI129" s="212"/>
      <c r="SAJ129" s="212"/>
      <c r="SAK129" s="212"/>
      <c r="SAL129" s="212"/>
      <c r="SAM129" s="212"/>
      <c r="SAN129" s="212"/>
      <c r="SAO129" s="212"/>
      <c r="SAP129" s="212"/>
      <c r="SAQ129" s="212"/>
      <c r="SAR129" s="212"/>
      <c r="SAS129" s="212"/>
      <c r="SAT129" s="212"/>
      <c r="SAU129" s="212"/>
      <c r="SAV129" s="212"/>
      <c r="SAW129" s="212"/>
      <c r="SAX129" s="212"/>
      <c r="SAY129" s="212"/>
      <c r="SAZ129" s="212"/>
      <c r="SBA129" s="212"/>
      <c r="SBB129" s="212"/>
      <c r="SBC129" s="212"/>
      <c r="SBD129" s="212"/>
      <c r="SBE129" s="212"/>
      <c r="SBF129" s="212"/>
      <c r="SBG129" s="212"/>
      <c r="SBH129" s="212"/>
      <c r="SBI129" s="212"/>
      <c r="SBJ129" s="212"/>
      <c r="SBK129" s="212"/>
      <c r="SBL129" s="212"/>
      <c r="SBM129" s="212"/>
      <c r="SBN129" s="212"/>
      <c r="SBO129" s="212"/>
      <c r="SBP129" s="212"/>
      <c r="SBQ129" s="212"/>
      <c r="SBR129" s="212"/>
      <c r="SBS129" s="212"/>
      <c r="SBT129" s="212"/>
      <c r="SBU129" s="212"/>
      <c r="SBV129" s="212"/>
      <c r="SBW129" s="212"/>
      <c r="SBX129" s="212"/>
      <c r="SBY129" s="212"/>
      <c r="SBZ129" s="212"/>
      <c r="SCA129" s="212"/>
      <c r="SCB129" s="212"/>
      <c r="SCC129" s="212"/>
      <c r="SCD129" s="212"/>
      <c r="SCE129" s="212"/>
      <c r="SCF129" s="212"/>
      <c r="SCG129" s="212"/>
      <c r="SCH129" s="212"/>
      <c r="SCI129" s="212"/>
      <c r="SCJ129" s="212"/>
      <c r="SCK129" s="212"/>
      <c r="SCL129" s="212"/>
      <c r="SCM129" s="212"/>
      <c r="SCN129" s="212"/>
      <c r="SCO129" s="212"/>
      <c r="SCP129" s="212"/>
      <c r="SCQ129" s="212"/>
      <c r="SCR129" s="212"/>
      <c r="SCS129" s="212"/>
      <c r="SCT129" s="212"/>
      <c r="SCU129" s="212"/>
      <c r="SCV129" s="212"/>
      <c r="SCW129" s="212"/>
      <c r="SCX129" s="212"/>
      <c r="SCY129" s="212"/>
      <c r="SCZ129" s="212"/>
      <c r="SDA129" s="212"/>
      <c r="SDB129" s="212"/>
      <c r="SDC129" s="212"/>
      <c r="SDD129" s="212"/>
      <c r="SDE129" s="212"/>
      <c r="SDF129" s="212"/>
      <c r="SDG129" s="212"/>
      <c r="SDH129" s="212"/>
      <c r="SDI129" s="212"/>
      <c r="SDJ129" s="212"/>
      <c r="SDK129" s="212"/>
      <c r="SDL129" s="212"/>
      <c r="SDM129" s="212"/>
      <c r="SDN129" s="212"/>
      <c r="SDO129" s="212"/>
      <c r="SDP129" s="212"/>
      <c r="SDQ129" s="212"/>
      <c r="SDR129" s="212"/>
      <c r="SDS129" s="212"/>
      <c r="SDT129" s="212"/>
      <c r="SDU129" s="212"/>
      <c r="SDV129" s="212"/>
      <c r="SDW129" s="212"/>
      <c r="SDX129" s="212"/>
      <c r="SDY129" s="212"/>
      <c r="SDZ129" s="212"/>
      <c r="SEA129" s="212"/>
      <c r="SEB129" s="212"/>
      <c r="SEC129" s="212"/>
      <c r="SED129" s="212"/>
      <c r="SEE129" s="212"/>
      <c r="SEF129" s="212"/>
      <c r="SEG129" s="212"/>
      <c r="SEH129" s="212"/>
      <c r="SEI129" s="212"/>
      <c r="SEJ129" s="212"/>
      <c r="SEK129" s="212"/>
      <c r="SEL129" s="212"/>
      <c r="SEM129" s="212"/>
      <c r="SEN129" s="212"/>
      <c r="SEO129" s="212"/>
      <c r="SEP129" s="212"/>
      <c r="SEQ129" s="212"/>
      <c r="SER129" s="212"/>
      <c r="SES129" s="212"/>
      <c r="SET129" s="212"/>
      <c r="SEU129" s="212"/>
      <c r="SEV129" s="212"/>
      <c r="SEW129" s="212"/>
      <c r="SEX129" s="212"/>
      <c r="SEY129" s="212"/>
      <c r="SEZ129" s="212"/>
      <c r="SFA129" s="212"/>
      <c r="SFB129" s="212"/>
      <c r="SFC129" s="212"/>
      <c r="SFD129" s="212"/>
      <c r="SFE129" s="212"/>
      <c r="SFF129" s="212"/>
      <c r="SFG129" s="212"/>
      <c r="SFH129" s="212"/>
      <c r="SFI129" s="212"/>
      <c r="SFJ129" s="212"/>
      <c r="SFK129" s="212"/>
      <c r="SFL129" s="212"/>
      <c r="SFM129" s="212"/>
      <c r="SFN129" s="212"/>
      <c r="SFO129" s="212"/>
      <c r="SFP129" s="212"/>
      <c r="SFQ129" s="212"/>
      <c r="SFR129" s="212"/>
      <c r="SFS129" s="212"/>
      <c r="SFT129" s="212"/>
      <c r="SFU129" s="212"/>
      <c r="SFV129" s="212"/>
      <c r="SFW129" s="212"/>
      <c r="SFX129" s="212"/>
      <c r="SFY129" s="212"/>
      <c r="SFZ129" s="212"/>
      <c r="SGA129" s="212"/>
      <c r="SGB129" s="212"/>
      <c r="SGC129" s="212"/>
      <c r="SGD129" s="212"/>
      <c r="SGE129" s="212"/>
      <c r="SGF129" s="212"/>
      <c r="SGG129" s="212"/>
      <c r="SGH129" s="212"/>
      <c r="SGI129" s="212"/>
      <c r="SGJ129" s="212"/>
      <c r="SGK129" s="212"/>
      <c r="SGL129" s="212"/>
      <c r="SGM129" s="212"/>
      <c r="SGN129" s="212"/>
      <c r="SGO129" s="212"/>
      <c r="SGP129" s="212"/>
      <c r="SGQ129" s="212"/>
      <c r="SGR129" s="212"/>
      <c r="SGS129" s="212"/>
      <c r="SGT129" s="212"/>
      <c r="SGU129" s="212"/>
      <c r="SGV129" s="212"/>
      <c r="SGW129" s="212"/>
      <c r="SGX129" s="212"/>
      <c r="SGY129" s="212"/>
      <c r="SGZ129" s="212"/>
      <c r="SHA129" s="212"/>
      <c r="SHB129" s="212"/>
      <c r="SHC129" s="212"/>
      <c r="SHD129" s="212"/>
      <c r="SHE129" s="212"/>
      <c r="SHF129" s="212"/>
      <c r="SHG129" s="212"/>
      <c r="SHH129" s="212"/>
      <c r="SHI129" s="212"/>
      <c r="SHJ129" s="212"/>
      <c r="SHK129" s="212"/>
      <c r="SHL129" s="212"/>
      <c r="SHM129" s="212"/>
      <c r="SHN129" s="212"/>
      <c r="SHO129" s="212"/>
      <c r="SHP129" s="212"/>
      <c r="SHQ129" s="212"/>
      <c r="SHR129" s="212"/>
      <c r="SHS129" s="212"/>
      <c r="SHT129" s="212"/>
      <c r="SHU129" s="212"/>
      <c r="SHV129" s="212"/>
      <c r="SHW129" s="212"/>
      <c r="SHX129" s="212"/>
      <c r="SHY129" s="212"/>
      <c r="SHZ129" s="212"/>
      <c r="SIA129" s="212"/>
      <c r="SIB129" s="212"/>
      <c r="SIC129" s="212"/>
      <c r="SID129" s="212"/>
      <c r="SIE129" s="212"/>
      <c r="SIF129" s="212"/>
      <c r="SIG129" s="212"/>
      <c r="SIH129" s="212"/>
      <c r="SII129" s="212"/>
      <c r="SIJ129" s="212"/>
      <c r="SIK129" s="212"/>
      <c r="SIL129" s="212"/>
      <c r="SIM129" s="212"/>
      <c r="SIN129" s="212"/>
      <c r="SIO129" s="212"/>
      <c r="SIP129" s="212"/>
      <c r="SIQ129" s="212"/>
      <c r="SIR129" s="212"/>
      <c r="SIS129" s="212"/>
      <c r="SIT129" s="212"/>
      <c r="SIU129" s="212"/>
      <c r="SIV129" s="212"/>
      <c r="SIW129" s="212"/>
      <c r="SIX129" s="212"/>
      <c r="SIY129" s="212"/>
      <c r="SIZ129" s="212"/>
      <c r="SJA129" s="212"/>
      <c r="SJB129" s="212"/>
      <c r="SJC129" s="212"/>
      <c r="SJD129" s="212"/>
      <c r="SJE129" s="212"/>
      <c r="SJF129" s="212"/>
      <c r="SJG129" s="212"/>
      <c r="SJH129" s="212"/>
      <c r="SJI129" s="212"/>
      <c r="SJJ129" s="212"/>
      <c r="SJK129" s="212"/>
      <c r="SJL129" s="212"/>
      <c r="SJM129" s="212"/>
      <c r="SJN129" s="212"/>
      <c r="SJO129" s="212"/>
      <c r="SJP129" s="212"/>
      <c r="SJQ129" s="212"/>
      <c r="SJR129" s="212"/>
      <c r="SJS129" s="212"/>
      <c r="SJT129" s="212"/>
      <c r="SJU129" s="212"/>
      <c r="SJV129" s="212"/>
      <c r="SJW129" s="212"/>
      <c r="SJX129" s="212"/>
      <c r="SJY129" s="212"/>
      <c r="SJZ129" s="212"/>
      <c r="SKA129" s="212"/>
      <c r="SKB129" s="212"/>
      <c r="SKC129" s="212"/>
      <c r="SKD129" s="212"/>
      <c r="SKE129" s="212"/>
      <c r="SKF129" s="212"/>
      <c r="SKG129" s="212"/>
      <c r="SKH129" s="212"/>
      <c r="SKI129" s="212"/>
      <c r="SKJ129" s="212"/>
      <c r="SKK129" s="212"/>
      <c r="SKL129" s="212"/>
      <c r="SKM129" s="212"/>
      <c r="SKN129" s="212"/>
      <c r="SKO129" s="212"/>
      <c r="SKP129" s="212"/>
      <c r="SKQ129" s="212"/>
      <c r="SKR129" s="212"/>
      <c r="SKS129" s="212"/>
      <c r="SKT129" s="212"/>
      <c r="SKU129" s="212"/>
      <c r="SKV129" s="212"/>
      <c r="SKW129" s="212"/>
      <c r="SKX129" s="212"/>
      <c r="SKY129" s="212"/>
      <c r="SKZ129" s="212"/>
      <c r="SLA129" s="212"/>
      <c r="SLB129" s="212"/>
      <c r="SLC129" s="212"/>
      <c r="SLD129" s="212"/>
      <c r="SLE129" s="212"/>
      <c r="SLF129" s="212"/>
      <c r="SLG129" s="212"/>
      <c r="SLH129" s="212"/>
      <c r="SLI129" s="212"/>
      <c r="SLJ129" s="212"/>
      <c r="SLK129" s="212"/>
      <c r="SLL129" s="212"/>
      <c r="SLM129" s="212"/>
      <c r="SLN129" s="212"/>
      <c r="SLO129" s="212"/>
      <c r="SLP129" s="212"/>
      <c r="SLQ129" s="212"/>
      <c r="SLR129" s="212"/>
      <c r="SLS129" s="212"/>
      <c r="SLT129" s="212"/>
      <c r="SLU129" s="212"/>
      <c r="SLV129" s="212"/>
      <c r="SLW129" s="212"/>
      <c r="SLX129" s="212"/>
      <c r="SLY129" s="212"/>
      <c r="SLZ129" s="212"/>
      <c r="SMA129" s="212"/>
      <c r="SMB129" s="212"/>
      <c r="SMC129" s="212"/>
      <c r="SMD129" s="212"/>
      <c r="SME129" s="212"/>
      <c r="SMF129" s="212"/>
      <c r="SMG129" s="212"/>
      <c r="SMH129" s="212"/>
      <c r="SMI129" s="212"/>
      <c r="SMJ129" s="212"/>
      <c r="SMK129" s="212"/>
      <c r="SML129" s="212"/>
      <c r="SMM129" s="212"/>
      <c r="SMN129" s="212"/>
      <c r="SMO129" s="212"/>
      <c r="SMP129" s="212"/>
      <c r="SMQ129" s="212"/>
      <c r="SMR129" s="212"/>
      <c r="SMS129" s="212"/>
      <c r="SMT129" s="212"/>
      <c r="SMU129" s="212"/>
      <c r="SMV129" s="212"/>
      <c r="SMW129" s="212"/>
      <c r="SMX129" s="212"/>
      <c r="SMY129" s="212"/>
      <c r="SMZ129" s="212"/>
      <c r="SNA129" s="212"/>
      <c r="SNB129" s="212"/>
      <c r="SNC129" s="212"/>
      <c r="SND129" s="212"/>
      <c r="SNE129" s="212"/>
      <c r="SNF129" s="212"/>
      <c r="SNG129" s="212"/>
      <c r="SNH129" s="212"/>
      <c r="SNI129" s="212"/>
      <c r="SNJ129" s="212"/>
      <c r="SNK129" s="212"/>
      <c r="SNL129" s="212"/>
      <c r="SNM129" s="212"/>
      <c r="SNN129" s="212"/>
      <c r="SNO129" s="212"/>
      <c r="SNP129" s="212"/>
      <c r="SNQ129" s="212"/>
      <c r="SNR129" s="212"/>
      <c r="SNS129" s="212"/>
      <c r="SNT129" s="212"/>
      <c r="SNU129" s="212"/>
      <c r="SNV129" s="212"/>
      <c r="SNW129" s="212"/>
      <c r="SNX129" s="212"/>
      <c r="SNY129" s="212"/>
      <c r="SNZ129" s="212"/>
      <c r="SOA129" s="212"/>
      <c r="SOB129" s="212"/>
      <c r="SOC129" s="212"/>
      <c r="SOD129" s="212"/>
      <c r="SOE129" s="212"/>
      <c r="SOF129" s="212"/>
      <c r="SOG129" s="212"/>
      <c r="SOH129" s="212"/>
      <c r="SOI129" s="212"/>
      <c r="SOJ129" s="212"/>
      <c r="SOK129" s="212"/>
      <c r="SOL129" s="212"/>
      <c r="SOM129" s="212"/>
      <c r="SON129" s="212"/>
      <c r="SOO129" s="212"/>
      <c r="SOP129" s="212"/>
      <c r="SOQ129" s="212"/>
      <c r="SOR129" s="212"/>
      <c r="SOS129" s="212"/>
      <c r="SOT129" s="212"/>
      <c r="SOU129" s="212"/>
      <c r="SOV129" s="212"/>
      <c r="SOW129" s="212"/>
      <c r="SOX129" s="212"/>
      <c r="SOY129" s="212"/>
      <c r="SOZ129" s="212"/>
      <c r="SPA129" s="212"/>
      <c r="SPB129" s="212"/>
      <c r="SPC129" s="212"/>
      <c r="SPD129" s="212"/>
      <c r="SPE129" s="212"/>
      <c r="SPF129" s="212"/>
      <c r="SPG129" s="212"/>
      <c r="SPH129" s="212"/>
      <c r="SPI129" s="212"/>
      <c r="SPJ129" s="212"/>
      <c r="SPK129" s="212"/>
      <c r="SPL129" s="212"/>
      <c r="SPM129" s="212"/>
      <c r="SPN129" s="212"/>
      <c r="SPO129" s="212"/>
      <c r="SPP129" s="212"/>
      <c r="SPQ129" s="212"/>
      <c r="SPR129" s="212"/>
      <c r="SPS129" s="212"/>
      <c r="SPT129" s="212"/>
      <c r="SPU129" s="212"/>
      <c r="SPV129" s="212"/>
      <c r="SPW129" s="212"/>
      <c r="SPX129" s="212"/>
      <c r="SPY129" s="212"/>
      <c r="SPZ129" s="212"/>
      <c r="SQA129" s="212"/>
      <c r="SQB129" s="212"/>
      <c r="SQC129" s="212"/>
      <c r="SQD129" s="212"/>
      <c r="SQE129" s="212"/>
      <c r="SQF129" s="212"/>
      <c r="SQG129" s="212"/>
      <c r="SQH129" s="212"/>
      <c r="SQI129" s="212"/>
      <c r="SQJ129" s="212"/>
      <c r="SQK129" s="212"/>
      <c r="SQL129" s="212"/>
      <c r="SQM129" s="212"/>
      <c r="SQN129" s="212"/>
      <c r="SQO129" s="212"/>
      <c r="SQP129" s="212"/>
      <c r="SQQ129" s="212"/>
      <c r="SQR129" s="212"/>
      <c r="SQS129" s="212"/>
      <c r="SQT129" s="212"/>
      <c r="SQU129" s="212"/>
      <c r="SQV129" s="212"/>
      <c r="SQW129" s="212"/>
      <c r="SQX129" s="212"/>
      <c r="SQY129" s="212"/>
      <c r="SQZ129" s="212"/>
      <c r="SRA129" s="212"/>
      <c r="SRB129" s="212"/>
      <c r="SRC129" s="212"/>
      <c r="SRD129" s="212"/>
      <c r="SRE129" s="212"/>
      <c r="SRF129" s="212"/>
      <c r="SRG129" s="212"/>
      <c r="SRH129" s="212"/>
      <c r="SRI129" s="212"/>
      <c r="SRJ129" s="212"/>
      <c r="SRK129" s="212"/>
      <c r="SRL129" s="212"/>
      <c r="SRM129" s="212"/>
      <c r="SRN129" s="212"/>
      <c r="SRO129" s="212"/>
      <c r="SRP129" s="212"/>
      <c r="SRQ129" s="212"/>
      <c r="SRR129" s="212"/>
      <c r="SRS129" s="212"/>
      <c r="SRT129" s="212"/>
      <c r="SRU129" s="212"/>
      <c r="SRV129" s="212"/>
      <c r="SRW129" s="212"/>
      <c r="SRX129" s="212"/>
      <c r="SRY129" s="212"/>
      <c r="SRZ129" s="212"/>
      <c r="SSA129" s="212"/>
      <c r="SSB129" s="212"/>
      <c r="SSC129" s="212"/>
      <c r="SSD129" s="212"/>
      <c r="SSE129" s="212"/>
      <c r="SSF129" s="212"/>
      <c r="SSG129" s="212"/>
      <c r="SSH129" s="212"/>
      <c r="SSI129" s="212"/>
      <c r="SSJ129" s="212"/>
      <c r="SSK129" s="212"/>
      <c r="SSL129" s="212"/>
      <c r="SSM129" s="212"/>
      <c r="SSN129" s="212"/>
      <c r="SSO129" s="212"/>
      <c r="SSP129" s="212"/>
      <c r="SSQ129" s="212"/>
      <c r="SSR129" s="212"/>
      <c r="SSS129" s="212"/>
      <c r="SST129" s="212"/>
      <c r="SSU129" s="212"/>
      <c r="SSV129" s="212"/>
      <c r="SSW129" s="212"/>
      <c r="SSX129" s="212"/>
      <c r="SSY129" s="212"/>
      <c r="SSZ129" s="212"/>
      <c r="STA129" s="212"/>
      <c r="STB129" s="212"/>
      <c r="STC129" s="212"/>
      <c r="STD129" s="212"/>
      <c r="STE129" s="212"/>
      <c r="STF129" s="212"/>
      <c r="STG129" s="212"/>
      <c r="STH129" s="212"/>
      <c r="STI129" s="212"/>
      <c r="STJ129" s="212"/>
      <c r="STK129" s="212"/>
      <c r="STL129" s="212"/>
      <c r="STM129" s="212"/>
      <c r="STN129" s="212"/>
      <c r="STO129" s="212"/>
      <c r="STP129" s="212"/>
      <c r="STQ129" s="212"/>
      <c r="STR129" s="212"/>
      <c r="STS129" s="212"/>
      <c r="STT129" s="212"/>
      <c r="STU129" s="212"/>
      <c r="STV129" s="212"/>
      <c r="STW129" s="212"/>
      <c r="STX129" s="212"/>
      <c r="STY129" s="212"/>
      <c r="STZ129" s="212"/>
      <c r="SUA129" s="212"/>
      <c r="SUB129" s="212"/>
      <c r="SUC129" s="212"/>
      <c r="SUD129" s="212"/>
      <c r="SUE129" s="212"/>
      <c r="SUF129" s="212"/>
      <c r="SUG129" s="212"/>
      <c r="SUH129" s="212"/>
      <c r="SUI129" s="212"/>
      <c r="SUJ129" s="212"/>
      <c r="SUK129" s="212"/>
      <c r="SUL129" s="212"/>
      <c r="SUM129" s="212"/>
      <c r="SUN129" s="212"/>
      <c r="SUO129" s="212"/>
      <c r="SUP129" s="212"/>
      <c r="SUQ129" s="212"/>
      <c r="SUR129" s="212"/>
      <c r="SUS129" s="212"/>
      <c r="SUT129" s="212"/>
      <c r="SUU129" s="212"/>
      <c r="SUV129" s="212"/>
      <c r="SUW129" s="212"/>
      <c r="SUX129" s="212"/>
      <c r="SUY129" s="212"/>
      <c r="SUZ129" s="212"/>
      <c r="SVA129" s="212"/>
      <c r="SVB129" s="212"/>
      <c r="SVC129" s="212"/>
      <c r="SVD129" s="212"/>
      <c r="SVE129" s="212"/>
      <c r="SVF129" s="212"/>
      <c r="SVG129" s="212"/>
      <c r="SVH129" s="212"/>
      <c r="SVI129" s="212"/>
      <c r="SVJ129" s="212"/>
      <c r="SVK129" s="212"/>
      <c r="SVL129" s="212"/>
      <c r="SVM129" s="212"/>
      <c r="SVN129" s="212"/>
      <c r="SVO129" s="212"/>
      <c r="SVP129" s="212"/>
      <c r="SVQ129" s="212"/>
      <c r="SVR129" s="212"/>
      <c r="SVS129" s="212"/>
      <c r="SVT129" s="212"/>
      <c r="SVU129" s="212"/>
      <c r="SVV129" s="212"/>
      <c r="SVW129" s="212"/>
      <c r="SVX129" s="212"/>
      <c r="SVY129" s="212"/>
      <c r="SVZ129" s="212"/>
      <c r="SWA129" s="212"/>
      <c r="SWB129" s="212"/>
      <c r="SWC129" s="212"/>
      <c r="SWD129" s="212"/>
      <c r="SWE129" s="212"/>
      <c r="SWF129" s="212"/>
      <c r="SWG129" s="212"/>
      <c r="SWH129" s="212"/>
      <c r="SWI129" s="212"/>
      <c r="SWJ129" s="212"/>
      <c r="SWK129" s="212"/>
      <c r="SWL129" s="212"/>
      <c r="SWM129" s="212"/>
      <c r="SWN129" s="212"/>
      <c r="SWO129" s="212"/>
      <c r="SWP129" s="212"/>
      <c r="SWQ129" s="212"/>
      <c r="SWR129" s="212"/>
      <c r="SWS129" s="212"/>
      <c r="SWT129" s="212"/>
      <c r="SWU129" s="212"/>
      <c r="SWV129" s="212"/>
      <c r="SWW129" s="212"/>
      <c r="SWX129" s="212"/>
      <c r="SWY129" s="212"/>
      <c r="SWZ129" s="212"/>
      <c r="SXA129" s="212"/>
      <c r="SXB129" s="212"/>
      <c r="SXC129" s="212"/>
      <c r="SXD129" s="212"/>
      <c r="SXE129" s="212"/>
      <c r="SXF129" s="212"/>
      <c r="SXG129" s="212"/>
      <c r="SXH129" s="212"/>
      <c r="SXI129" s="212"/>
      <c r="SXJ129" s="212"/>
      <c r="SXK129" s="212"/>
      <c r="SXL129" s="212"/>
      <c r="SXM129" s="212"/>
      <c r="SXN129" s="212"/>
      <c r="SXO129" s="212"/>
      <c r="SXP129" s="212"/>
      <c r="SXQ129" s="212"/>
      <c r="SXR129" s="212"/>
      <c r="SXS129" s="212"/>
      <c r="SXT129" s="212"/>
      <c r="SXU129" s="212"/>
      <c r="SXV129" s="212"/>
      <c r="SXW129" s="212"/>
      <c r="SXX129" s="212"/>
      <c r="SXY129" s="212"/>
      <c r="SXZ129" s="212"/>
      <c r="SYA129" s="212"/>
      <c r="SYB129" s="212"/>
      <c r="SYC129" s="212"/>
      <c r="SYD129" s="212"/>
      <c r="SYE129" s="212"/>
      <c r="SYF129" s="212"/>
      <c r="SYG129" s="212"/>
      <c r="SYH129" s="212"/>
      <c r="SYI129" s="212"/>
      <c r="SYJ129" s="212"/>
      <c r="SYK129" s="212"/>
      <c r="SYL129" s="212"/>
      <c r="SYM129" s="212"/>
      <c r="SYN129" s="212"/>
      <c r="SYO129" s="212"/>
      <c r="SYP129" s="212"/>
      <c r="SYQ129" s="212"/>
      <c r="SYR129" s="212"/>
      <c r="SYS129" s="212"/>
      <c r="SYT129" s="212"/>
      <c r="SYU129" s="212"/>
      <c r="SYV129" s="212"/>
      <c r="SYW129" s="212"/>
      <c r="SYX129" s="212"/>
      <c r="SYY129" s="212"/>
      <c r="SYZ129" s="212"/>
      <c r="SZA129" s="212"/>
      <c r="SZB129" s="212"/>
      <c r="SZC129" s="212"/>
      <c r="SZD129" s="212"/>
      <c r="SZE129" s="212"/>
      <c r="SZF129" s="212"/>
      <c r="SZG129" s="212"/>
      <c r="SZH129" s="212"/>
      <c r="SZI129" s="212"/>
      <c r="SZJ129" s="212"/>
      <c r="SZK129" s="212"/>
      <c r="SZL129" s="212"/>
      <c r="SZM129" s="212"/>
      <c r="SZN129" s="212"/>
      <c r="SZO129" s="212"/>
      <c r="SZP129" s="212"/>
      <c r="SZQ129" s="212"/>
      <c r="SZR129" s="212"/>
      <c r="SZS129" s="212"/>
      <c r="SZT129" s="212"/>
      <c r="SZU129" s="212"/>
      <c r="SZV129" s="212"/>
      <c r="SZW129" s="212"/>
      <c r="SZX129" s="212"/>
      <c r="SZY129" s="212"/>
      <c r="SZZ129" s="212"/>
      <c r="TAA129" s="212"/>
      <c r="TAB129" s="212"/>
      <c r="TAC129" s="212"/>
      <c r="TAD129" s="212"/>
      <c r="TAE129" s="212"/>
      <c r="TAF129" s="212"/>
      <c r="TAG129" s="212"/>
      <c r="TAH129" s="212"/>
      <c r="TAI129" s="212"/>
      <c r="TAJ129" s="212"/>
      <c r="TAK129" s="212"/>
      <c r="TAL129" s="212"/>
      <c r="TAM129" s="212"/>
      <c r="TAN129" s="212"/>
      <c r="TAO129" s="212"/>
      <c r="TAP129" s="212"/>
      <c r="TAQ129" s="212"/>
      <c r="TAR129" s="212"/>
      <c r="TAS129" s="212"/>
      <c r="TAT129" s="212"/>
      <c r="TAU129" s="212"/>
      <c r="TAV129" s="212"/>
      <c r="TAW129" s="212"/>
      <c r="TAX129" s="212"/>
      <c r="TAY129" s="212"/>
      <c r="TAZ129" s="212"/>
      <c r="TBA129" s="212"/>
      <c r="TBB129" s="212"/>
      <c r="TBC129" s="212"/>
      <c r="TBD129" s="212"/>
      <c r="TBE129" s="212"/>
      <c r="TBF129" s="212"/>
      <c r="TBG129" s="212"/>
      <c r="TBH129" s="212"/>
      <c r="TBI129" s="212"/>
      <c r="TBJ129" s="212"/>
      <c r="TBK129" s="212"/>
      <c r="TBL129" s="212"/>
      <c r="TBM129" s="212"/>
      <c r="TBN129" s="212"/>
      <c r="TBO129" s="212"/>
      <c r="TBP129" s="212"/>
      <c r="TBQ129" s="212"/>
      <c r="TBR129" s="212"/>
      <c r="TBS129" s="212"/>
      <c r="TBT129" s="212"/>
      <c r="TBU129" s="212"/>
      <c r="TBV129" s="212"/>
      <c r="TBW129" s="212"/>
      <c r="TBX129" s="212"/>
      <c r="TBY129" s="212"/>
      <c r="TBZ129" s="212"/>
      <c r="TCA129" s="212"/>
      <c r="TCB129" s="212"/>
      <c r="TCC129" s="212"/>
      <c r="TCD129" s="212"/>
      <c r="TCE129" s="212"/>
      <c r="TCF129" s="212"/>
      <c r="TCG129" s="212"/>
      <c r="TCH129" s="212"/>
      <c r="TCI129" s="212"/>
      <c r="TCJ129" s="212"/>
      <c r="TCK129" s="212"/>
      <c r="TCL129" s="212"/>
      <c r="TCM129" s="212"/>
      <c r="TCN129" s="212"/>
      <c r="TCO129" s="212"/>
      <c r="TCP129" s="212"/>
      <c r="TCQ129" s="212"/>
      <c r="TCR129" s="212"/>
      <c r="TCS129" s="212"/>
      <c r="TCT129" s="212"/>
      <c r="TCU129" s="212"/>
      <c r="TCV129" s="212"/>
      <c r="TCW129" s="212"/>
      <c r="TCX129" s="212"/>
      <c r="TCY129" s="212"/>
      <c r="TCZ129" s="212"/>
      <c r="TDA129" s="212"/>
      <c r="TDB129" s="212"/>
      <c r="TDC129" s="212"/>
      <c r="TDD129" s="212"/>
      <c r="TDE129" s="212"/>
      <c r="TDF129" s="212"/>
      <c r="TDG129" s="212"/>
      <c r="TDH129" s="212"/>
      <c r="TDI129" s="212"/>
      <c r="TDJ129" s="212"/>
      <c r="TDK129" s="212"/>
      <c r="TDL129" s="212"/>
      <c r="TDM129" s="212"/>
      <c r="TDN129" s="212"/>
      <c r="TDO129" s="212"/>
      <c r="TDP129" s="212"/>
      <c r="TDQ129" s="212"/>
      <c r="TDR129" s="212"/>
      <c r="TDS129" s="212"/>
      <c r="TDT129" s="212"/>
      <c r="TDU129" s="212"/>
      <c r="TDV129" s="212"/>
      <c r="TDW129" s="212"/>
      <c r="TDX129" s="212"/>
      <c r="TDY129" s="212"/>
      <c r="TDZ129" s="212"/>
      <c r="TEA129" s="212"/>
      <c r="TEB129" s="212"/>
      <c r="TEC129" s="212"/>
      <c r="TED129" s="212"/>
      <c r="TEE129" s="212"/>
      <c r="TEF129" s="212"/>
      <c r="TEG129" s="212"/>
      <c r="TEH129" s="212"/>
      <c r="TEI129" s="212"/>
      <c r="TEJ129" s="212"/>
      <c r="TEK129" s="212"/>
      <c r="TEL129" s="212"/>
      <c r="TEM129" s="212"/>
      <c r="TEN129" s="212"/>
      <c r="TEO129" s="212"/>
      <c r="TEP129" s="212"/>
      <c r="TEQ129" s="212"/>
      <c r="TER129" s="212"/>
      <c r="TES129" s="212"/>
      <c r="TET129" s="212"/>
      <c r="TEU129" s="212"/>
      <c r="TEV129" s="212"/>
      <c r="TEW129" s="212"/>
      <c r="TEX129" s="212"/>
      <c r="TEY129" s="212"/>
      <c r="TEZ129" s="212"/>
      <c r="TFA129" s="212"/>
      <c r="TFB129" s="212"/>
      <c r="TFC129" s="212"/>
      <c r="TFD129" s="212"/>
      <c r="TFE129" s="212"/>
      <c r="TFF129" s="212"/>
      <c r="TFG129" s="212"/>
      <c r="TFH129" s="212"/>
      <c r="TFI129" s="212"/>
      <c r="TFJ129" s="212"/>
      <c r="TFK129" s="212"/>
      <c r="TFL129" s="212"/>
      <c r="TFM129" s="212"/>
      <c r="TFN129" s="212"/>
      <c r="TFO129" s="212"/>
      <c r="TFP129" s="212"/>
      <c r="TFQ129" s="212"/>
      <c r="TFR129" s="212"/>
      <c r="TFS129" s="212"/>
      <c r="TFT129" s="212"/>
      <c r="TFU129" s="212"/>
      <c r="TFV129" s="212"/>
      <c r="TFW129" s="212"/>
      <c r="TFX129" s="212"/>
      <c r="TFY129" s="212"/>
      <c r="TFZ129" s="212"/>
      <c r="TGA129" s="212"/>
      <c r="TGB129" s="212"/>
      <c r="TGC129" s="212"/>
      <c r="TGD129" s="212"/>
      <c r="TGE129" s="212"/>
      <c r="TGF129" s="212"/>
      <c r="TGG129" s="212"/>
      <c r="TGH129" s="212"/>
      <c r="TGI129" s="212"/>
      <c r="TGJ129" s="212"/>
      <c r="TGK129" s="212"/>
      <c r="TGL129" s="212"/>
      <c r="TGM129" s="212"/>
      <c r="TGN129" s="212"/>
      <c r="TGO129" s="212"/>
      <c r="TGP129" s="212"/>
      <c r="TGQ129" s="212"/>
      <c r="TGR129" s="212"/>
      <c r="TGS129" s="212"/>
      <c r="TGT129" s="212"/>
      <c r="TGU129" s="212"/>
      <c r="TGV129" s="212"/>
      <c r="TGW129" s="212"/>
      <c r="TGX129" s="212"/>
      <c r="TGY129" s="212"/>
      <c r="TGZ129" s="212"/>
      <c r="THA129" s="212"/>
      <c r="THB129" s="212"/>
      <c r="THC129" s="212"/>
      <c r="THD129" s="212"/>
      <c r="THE129" s="212"/>
      <c r="THF129" s="212"/>
      <c r="THG129" s="212"/>
      <c r="THH129" s="212"/>
      <c r="THI129" s="212"/>
      <c r="THJ129" s="212"/>
      <c r="THK129" s="212"/>
      <c r="THL129" s="212"/>
      <c r="THM129" s="212"/>
      <c r="THN129" s="212"/>
      <c r="THO129" s="212"/>
      <c r="THP129" s="212"/>
      <c r="THQ129" s="212"/>
      <c r="THR129" s="212"/>
      <c r="THS129" s="212"/>
      <c r="THT129" s="212"/>
      <c r="THU129" s="212"/>
      <c r="THV129" s="212"/>
      <c r="THW129" s="212"/>
      <c r="THX129" s="212"/>
      <c r="THY129" s="212"/>
      <c r="THZ129" s="212"/>
      <c r="TIA129" s="212"/>
      <c r="TIB129" s="212"/>
      <c r="TIC129" s="212"/>
      <c r="TID129" s="212"/>
      <c r="TIE129" s="212"/>
      <c r="TIF129" s="212"/>
      <c r="TIG129" s="212"/>
      <c r="TIH129" s="212"/>
      <c r="TII129" s="212"/>
      <c r="TIJ129" s="212"/>
      <c r="TIK129" s="212"/>
      <c r="TIL129" s="212"/>
      <c r="TIM129" s="212"/>
      <c r="TIN129" s="212"/>
      <c r="TIO129" s="212"/>
      <c r="TIP129" s="212"/>
      <c r="TIQ129" s="212"/>
      <c r="TIR129" s="212"/>
      <c r="TIS129" s="212"/>
      <c r="TIT129" s="212"/>
      <c r="TIU129" s="212"/>
      <c r="TIV129" s="212"/>
      <c r="TIW129" s="212"/>
      <c r="TIX129" s="212"/>
      <c r="TIY129" s="212"/>
      <c r="TIZ129" s="212"/>
      <c r="TJA129" s="212"/>
      <c r="TJB129" s="212"/>
      <c r="TJC129" s="212"/>
      <c r="TJD129" s="212"/>
      <c r="TJE129" s="212"/>
      <c r="TJF129" s="212"/>
      <c r="TJG129" s="212"/>
      <c r="TJH129" s="212"/>
      <c r="TJI129" s="212"/>
      <c r="TJJ129" s="212"/>
      <c r="TJK129" s="212"/>
      <c r="TJL129" s="212"/>
      <c r="TJM129" s="212"/>
      <c r="TJN129" s="212"/>
      <c r="TJO129" s="212"/>
      <c r="TJP129" s="212"/>
      <c r="TJQ129" s="212"/>
      <c r="TJR129" s="212"/>
      <c r="TJS129" s="212"/>
      <c r="TJT129" s="212"/>
      <c r="TJU129" s="212"/>
      <c r="TJV129" s="212"/>
      <c r="TJW129" s="212"/>
      <c r="TJX129" s="212"/>
      <c r="TJY129" s="212"/>
      <c r="TJZ129" s="212"/>
      <c r="TKA129" s="212"/>
      <c r="TKB129" s="212"/>
      <c r="TKC129" s="212"/>
      <c r="TKD129" s="212"/>
      <c r="TKE129" s="212"/>
      <c r="TKF129" s="212"/>
      <c r="TKG129" s="212"/>
      <c r="TKH129" s="212"/>
      <c r="TKI129" s="212"/>
      <c r="TKJ129" s="212"/>
      <c r="TKK129" s="212"/>
      <c r="TKL129" s="212"/>
      <c r="TKM129" s="212"/>
      <c r="TKN129" s="212"/>
      <c r="TKO129" s="212"/>
      <c r="TKP129" s="212"/>
      <c r="TKQ129" s="212"/>
      <c r="TKR129" s="212"/>
      <c r="TKS129" s="212"/>
      <c r="TKT129" s="212"/>
      <c r="TKU129" s="212"/>
      <c r="TKV129" s="212"/>
      <c r="TKW129" s="212"/>
      <c r="TKX129" s="212"/>
      <c r="TKY129" s="212"/>
      <c r="TKZ129" s="212"/>
      <c r="TLA129" s="212"/>
      <c r="TLB129" s="212"/>
      <c r="TLC129" s="212"/>
      <c r="TLD129" s="212"/>
      <c r="TLE129" s="212"/>
      <c r="TLF129" s="212"/>
      <c r="TLG129" s="212"/>
      <c r="TLH129" s="212"/>
      <c r="TLI129" s="212"/>
      <c r="TLJ129" s="212"/>
      <c r="TLK129" s="212"/>
      <c r="TLL129" s="212"/>
      <c r="TLM129" s="212"/>
      <c r="TLN129" s="212"/>
      <c r="TLO129" s="212"/>
      <c r="TLP129" s="212"/>
      <c r="TLQ129" s="212"/>
      <c r="TLR129" s="212"/>
      <c r="TLS129" s="212"/>
      <c r="TLT129" s="212"/>
      <c r="TLU129" s="212"/>
      <c r="TLV129" s="212"/>
      <c r="TLW129" s="212"/>
      <c r="TLX129" s="212"/>
      <c r="TLY129" s="212"/>
      <c r="TLZ129" s="212"/>
      <c r="TMA129" s="212"/>
      <c r="TMB129" s="212"/>
      <c r="TMC129" s="212"/>
      <c r="TMD129" s="212"/>
      <c r="TME129" s="212"/>
      <c r="TMF129" s="212"/>
      <c r="TMG129" s="212"/>
      <c r="TMH129" s="212"/>
      <c r="TMI129" s="212"/>
      <c r="TMJ129" s="212"/>
      <c r="TMK129" s="212"/>
      <c r="TML129" s="212"/>
      <c r="TMM129" s="212"/>
      <c r="TMN129" s="212"/>
      <c r="TMO129" s="212"/>
      <c r="TMP129" s="212"/>
      <c r="TMQ129" s="212"/>
      <c r="TMR129" s="212"/>
      <c r="TMS129" s="212"/>
      <c r="TMT129" s="212"/>
      <c r="TMU129" s="212"/>
      <c r="TMV129" s="212"/>
      <c r="TMW129" s="212"/>
      <c r="TMX129" s="212"/>
      <c r="TMY129" s="212"/>
      <c r="TMZ129" s="212"/>
      <c r="TNA129" s="212"/>
      <c r="TNB129" s="212"/>
      <c r="TNC129" s="212"/>
      <c r="TND129" s="212"/>
      <c r="TNE129" s="212"/>
      <c r="TNF129" s="212"/>
      <c r="TNG129" s="212"/>
      <c r="TNH129" s="212"/>
      <c r="TNI129" s="212"/>
      <c r="TNJ129" s="212"/>
      <c r="TNK129" s="212"/>
      <c r="TNL129" s="212"/>
      <c r="TNM129" s="212"/>
      <c r="TNN129" s="212"/>
      <c r="TNO129" s="212"/>
      <c r="TNP129" s="212"/>
      <c r="TNQ129" s="212"/>
      <c r="TNR129" s="212"/>
      <c r="TNS129" s="212"/>
      <c r="TNT129" s="212"/>
      <c r="TNU129" s="212"/>
      <c r="TNV129" s="212"/>
      <c r="TNW129" s="212"/>
      <c r="TNX129" s="212"/>
      <c r="TNY129" s="212"/>
      <c r="TNZ129" s="212"/>
      <c r="TOA129" s="212"/>
      <c r="TOB129" s="212"/>
      <c r="TOC129" s="212"/>
      <c r="TOD129" s="212"/>
      <c r="TOE129" s="212"/>
      <c r="TOF129" s="212"/>
      <c r="TOG129" s="212"/>
      <c r="TOH129" s="212"/>
      <c r="TOI129" s="212"/>
      <c r="TOJ129" s="212"/>
      <c r="TOK129" s="212"/>
      <c r="TOL129" s="212"/>
      <c r="TOM129" s="212"/>
      <c r="TON129" s="212"/>
      <c r="TOO129" s="212"/>
      <c r="TOP129" s="212"/>
      <c r="TOQ129" s="212"/>
      <c r="TOR129" s="212"/>
      <c r="TOS129" s="212"/>
      <c r="TOT129" s="212"/>
      <c r="TOU129" s="212"/>
      <c r="TOV129" s="212"/>
      <c r="TOW129" s="212"/>
      <c r="TOX129" s="212"/>
      <c r="TOY129" s="212"/>
      <c r="TOZ129" s="212"/>
      <c r="TPA129" s="212"/>
      <c r="TPB129" s="212"/>
      <c r="TPC129" s="212"/>
      <c r="TPD129" s="212"/>
      <c r="TPE129" s="212"/>
      <c r="TPF129" s="212"/>
      <c r="TPG129" s="212"/>
      <c r="TPH129" s="212"/>
      <c r="TPI129" s="212"/>
      <c r="TPJ129" s="212"/>
      <c r="TPK129" s="212"/>
      <c r="TPL129" s="212"/>
      <c r="TPM129" s="212"/>
      <c r="TPN129" s="212"/>
      <c r="TPO129" s="212"/>
      <c r="TPP129" s="212"/>
      <c r="TPQ129" s="212"/>
      <c r="TPR129" s="212"/>
      <c r="TPS129" s="212"/>
      <c r="TPT129" s="212"/>
      <c r="TPU129" s="212"/>
      <c r="TPV129" s="212"/>
      <c r="TPW129" s="212"/>
      <c r="TPX129" s="212"/>
      <c r="TPY129" s="212"/>
      <c r="TPZ129" s="212"/>
      <c r="TQA129" s="212"/>
      <c r="TQB129" s="212"/>
      <c r="TQC129" s="212"/>
      <c r="TQD129" s="212"/>
      <c r="TQE129" s="212"/>
      <c r="TQF129" s="212"/>
      <c r="TQG129" s="212"/>
      <c r="TQH129" s="212"/>
      <c r="TQI129" s="212"/>
      <c r="TQJ129" s="212"/>
      <c r="TQK129" s="212"/>
      <c r="TQL129" s="212"/>
      <c r="TQM129" s="212"/>
      <c r="TQN129" s="212"/>
      <c r="TQO129" s="212"/>
      <c r="TQP129" s="212"/>
      <c r="TQQ129" s="212"/>
      <c r="TQR129" s="212"/>
      <c r="TQS129" s="212"/>
      <c r="TQT129" s="212"/>
      <c r="TQU129" s="212"/>
      <c r="TQV129" s="212"/>
      <c r="TQW129" s="212"/>
      <c r="TQX129" s="212"/>
      <c r="TQY129" s="212"/>
      <c r="TQZ129" s="212"/>
      <c r="TRA129" s="212"/>
      <c r="TRB129" s="212"/>
      <c r="TRC129" s="212"/>
      <c r="TRD129" s="212"/>
      <c r="TRE129" s="212"/>
      <c r="TRF129" s="212"/>
      <c r="TRG129" s="212"/>
      <c r="TRH129" s="212"/>
      <c r="TRI129" s="212"/>
      <c r="TRJ129" s="212"/>
      <c r="TRK129" s="212"/>
      <c r="TRL129" s="212"/>
      <c r="TRM129" s="212"/>
      <c r="TRN129" s="212"/>
      <c r="TRO129" s="212"/>
      <c r="TRP129" s="212"/>
      <c r="TRQ129" s="212"/>
      <c r="TRR129" s="212"/>
      <c r="TRS129" s="212"/>
      <c r="TRT129" s="212"/>
      <c r="TRU129" s="212"/>
      <c r="TRV129" s="212"/>
      <c r="TRW129" s="212"/>
      <c r="TRX129" s="212"/>
      <c r="TRY129" s="212"/>
      <c r="TRZ129" s="212"/>
      <c r="TSA129" s="212"/>
      <c r="TSB129" s="212"/>
      <c r="TSC129" s="212"/>
      <c r="TSD129" s="212"/>
      <c r="TSE129" s="212"/>
      <c r="TSF129" s="212"/>
      <c r="TSG129" s="212"/>
      <c r="TSH129" s="212"/>
      <c r="TSI129" s="212"/>
      <c r="TSJ129" s="212"/>
      <c r="TSK129" s="212"/>
      <c r="TSL129" s="212"/>
      <c r="TSM129" s="212"/>
      <c r="TSN129" s="212"/>
      <c r="TSO129" s="212"/>
      <c r="TSP129" s="212"/>
      <c r="TSQ129" s="212"/>
      <c r="TSR129" s="212"/>
      <c r="TSS129" s="212"/>
      <c r="TST129" s="212"/>
      <c r="TSU129" s="212"/>
      <c r="TSV129" s="212"/>
      <c r="TSW129" s="212"/>
      <c r="TSX129" s="212"/>
      <c r="TSY129" s="212"/>
      <c r="TSZ129" s="212"/>
      <c r="TTA129" s="212"/>
      <c r="TTB129" s="212"/>
      <c r="TTC129" s="212"/>
      <c r="TTD129" s="212"/>
      <c r="TTE129" s="212"/>
      <c r="TTF129" s="212"/>
      <c r="TTG129" s="212"/>
      <c r="TTH129" s="212"/>
      <c r="TTI129" s="212"/>
      <c r="TTJ129" s="212"/>
      <c r="TTK129" s="212"/>
      <c r="TTL129" s="212"/>
      <c r="TTM129" s="212"/>
      <c r="TTN129" s="212"/>
      <c r="TTO129" s="212"/>
      <c r="TTP129" s="212"/>
      <c r="TTQ129" s="212"/>
      <c r="TTR129" s="212"/>
      <c r="TTS129" s="212"/>
      <c r="TTT129" s="212"/>
      <c r="TTU129" s="212"/>
      <c r="TTV129" s="212"/>
      <c r="TTW129" s="212"/>
      <c r="TTX129" s="212"/>
      <c r="TTY129" s="212"/>
      <c r="TTZ129" s="212"/>
      <c r="TUA129" s="212"/>
      <c r="TUB129" s="212"/>
      <c r="TUC129" s="212"/>
      <c r="TUD129" s="212"/>
      <c r="TUE129" s="212"/>
      <c r="TUF129" s="212"/>
      <c r="TUG129" s="212"/>
      <c r="TUH129" s="212"/>
      <c r="TUI129" s="212"/>
      <c r="TUJ129" s="212"/>
      <c r="TUK129" s="212"/>
      <c r="TUL129" s="212"/>
      <c r="TUM129" s="212"/>
      <c r="TUN129" s="212"/>
      <c r="TUO129" s="212"/>
      <c r="TUP129" s="212"/>
      <c r="TUQ129" s="212"/>
      <c r="TUR129" s="212"/>
      <c r="TUS129" s="212"/>
      <c r="TUT129" s="212"/>
      <c r="TUU129" s="212"/>
      <c r="TUV129" s="212"/>
      <c r="TUW129" s="212"/>
      <c r="TUX129" s="212"/>
      <c r="TUY129" s="212"/>
      <c r="TUZ129" s="212"/>
      <c r="TVA129" s="212"/>
      <c r="TVB129" s="212"/>
      <c r="TVC129" s="212"/>
      <c r="TVD129" s="212"/>
      <c r="TVE129" s="212"/>
      <c r="TVF129" s="212"/>
      <c r="TVG129" s="212"/>
      <c r="TVH129" s="212"/>
      <c r="TVI129" s="212"/>
      <c r="TVJ129" s="212"/>
      <c r="TVK129" s="212"/>
      <c r="TVL129" s="212"/>
      <c r="TVM129" s="212"/>
      <c r="TVN129" s="212"/>
      <c r="TVO129" s="212"/>
      <c r="TVP129" s="212"/>
      <c r="TVQ129" s="212"/>
      <c r="TVR129" s="212"/>
      <c r="TVS129" s="212"/>
      <c r="TVT129" s="212"/>
      <c r="TVU129" s="212"/>
      <c r="TVV129" s="212"/>
      <c r="TVW129" s="212"/>
      <c r="TVX129" s="212"/>
      <c r="TVY129" s="212"/>
      <c r="TVZ129" s="212"/>
      <c r="TWA129" s="212"/>
      <c r="TWB129" s="212"/>
      <c r="TWC129" s="212"/>
      <c r="TWD129" s="212"/>
      <c r="TWE129" s="212"/>
      <c r="TWF129" s="212"/>
      <c r="TWG129" s="212"/>
      <c r="TWH129" s="212"/>
      <c r="TWI129" s="212"/>
      <c r="TWJ129" s="212"/>
      <c r="TWK129" s="212"/>
      <c r="TWL129" s="212"/>
      <c r="TWM129" s="212"/>
      <c r="TWN129" s="212"/>
      <c r="TWO129" s="212"/>
      <c r="TWP129" s="212"/>
      <c r="TWQ129" s="212"/>
      <c r="TWR129" s="212"/>
      <c r="TWS129" s="212"/>
      <c r="TWT129" s="212"/>
      <c r="TWU129" s="212"/>
      <c r="TWV129" s="212"/>
      <c r="TWW129" s="212"/>
      <c r="TWX129" s="212"/>
      <c r="TWY129" s="212"/>
      <c r="TWZ129" s="212"/>
      <c r="TXA129" s="212"/>
      <c r="TXB129" s="212"/>
      <c r="TXC129" s="212"/>
      <c r="TXD129" s="212"/>
      <c r="TXE129" s="212"/>
      <c r="TXF129" s="212"/>
      <c r="TXG129" s="212"/>
      <c r="TXH129" s="212"/>
      <c r="TXI129" s="212"/>
      <c r="TXJ129" s="212"/>
      <c r="TXK129" s="212"/>
      <c r="TXL129" s="212"/>
      <c r="TXM129" s="212"/>
      <c r="TXN129" s="212"/>
      <c r="TXO129" s="212"/>
      <c r="TXP129" s="212"/>
      <c r="TXQ129" s="212"/>
      <c r="TXR129" s="212"/>
      <c r="TXS129" s="212"/>
      <c r="TXT129" s="212"/>
      <c r="TXU129" s="212"/>
      <c r="TXV129" s="212"/>
      <c r="TXW129" s="212"/>
      <c r="TXX129" s="212"/>
      <c r="TXY129" s="212"/>
      <c r="TXZ129" s="212"/>
      <c r="TYA129" s="212"/>
      <c r="TYB129" s="212"/>
      <c r="TYC129" s="212"/>
      <c r="TYD129" s="212"/>
      <c r="TYE129" s="212"/>
      <c r="TYF129" s="212"/>
      <c r="TYG129" s="212"/>
      <c r="TYH129" s="212"/>
      <c r="TYI129" s="212"/>
      <c r="TYJ129" s="212"/>
      <c r="TYK129" s="212"/>
      <c r="TYL129" s="212"/>
      <c r="TYM129" s="212"/>
      <c r="TYN129" s="212"/>
      <c r="TYO129" s="212"/>
      <c r="TYP129" s="212"/>
      <c r="TYQ129" s="212"/>
      <c r="TYR129" s="212"/>
      <c r="TYS129" s="212"/>
      <c r="TYT129" s="212"/>
      <c r="TYU129" s="212"/>
      <c r="TYV129" s="212"/>
      <c r="TYW129" s="212"/>
      <c r="TYX129" s="212"/>
      <c r="TYY129" s="212"/>
      <c r="TYZ129" s="212"/>
      <c r="TZA129" s="212"/>
      <c r="TZB129" s="212"/>
      <c r="TZC129" s="212"/>
      <c r="TZD129" s="212"/>
      <c r="TZE129" s="212"/>
      <c r="TZF129" s="212"/>
      <c r="TZG129" s="212"/>
      <c r="TZH129" s="212"/>
      <c r="TZI129" s="212"/>
      <c r="TZJ129" s="212"/>
      <c r="TZK129" s="212"/>
      <c r="TZL129" s="212"/>
      <c r="TZM129" s="212"/>
      <c r="TZN129" s="212"/>
      <c r="TZO129" s="212"/>
      <c r="TZP129" s="212"/>
      <c r="TZQ129" s="212"/>
      <c r="TZR129" s="212"/>
      <c r="TZS129" s="212"/>
      <c r="TZT129" s="212"/>
      <c r="TZU129" s="212"/>
      <c r="TZV129" s="212"/>
      <c r="TZW129" s="212"/>
      <c r="TZX129" s="212"/>
      <c r="TZY129" s="212"/>
      <c r="TZZ129" s="212"/>
      <c r="UAA129" s="212"/>
      <c r="UAB129" s="212"/>
      <c r="UAC129" s="212"/>
      <c r="UAD129" s="212"/>
      <c r="UAE129" s="212"/>
      <c r="UAF129" s="212"/>
      <c r="UAG129" s="212"/>
      <c r="UAH129" s="212"/>
      <c r="UAI129" s="212"/>
      <c r="UAJ129" s="212"/>
      <c r="UAK129" s="212"/>
      <c r="UAL129" s="212"/>
      <c r="UAM129" s="212"/>
      <c r="UAN129" s="212"/>
      <c r="UAO129" s="212"/>
      <c r="UAP129" s="212"/>
      <c r="UAQ129" s="212"/>
      <c r="UAR129" s="212"/>
      <c r="UAS129" s="212"/>
      <c r="UAT129" s="212"/>
      <c r="UAU129" s="212"/>
      <c r="UAV129" s="212"/>
      <c r="UAW129" s="212"/>
      <c r="UAX129" s="212"/>
      <c r="UAY129" s="212"/>
      <c r="UAZ129" s="212"/>
      <c r="UBA129" s="212"/>
      <c r="UBB129" s="212"/>
      <c r="UBC129" s="212"/>
      <c r="UBD129" s="212"/>
      <c r="UBE129" s="212"/>
      <c r="UBF129" s="212"/>
      <c r="UBG129" s="212"/>
      <c r="UBH129" s="212"/>
      <c r="UBI129" s="212"/>
      <c r="UBJ129" s="212"/>
      <c r="UBK129" s="212"/>
      <c r="UBL129" s="212"/>
      <c r="UBM129" s="212"/>
      <c r="UBN129" s="212"/>
      <c r="UBO129" s="212"/>
      <c r="UBP129" s="212"/>
      <c r="UBQ129" s="212"/>
      <c r="UBR129" s="212"/>
      <c r="UBS129" s="212"/>
      <c r="UBT129" s="212"/>
      <c r="UBU129" s="212"/>
      <c r="UBV129" s="212"/>
      <c r="UBW129" s="212"/>
      <c r="UBX129" s="212"/>
      <c r="UBY129" s="212"/>
      <c r="UBZ129" s="212"/>
      <c r="UCA129" s="212"/>
      <c r="UCB129" s="212"/>
      <c r="UCC129" s="212"/>
      <c r="UCD129" s="212"/>
      <c r="UCE129" s="212"/>
      <c r="UCF129" s="212"/>
      <c r="UCG129" s="212"/>
      <c r="UCH129" s="212"/>
      <c r="UCI129" s="212"/>
      <c r="UCJ129" s="212"/>
      <c r="UCK129" s="212"/>
      <c r="UCL129" s="212"/>
      <c r="UCM129" s="212"/>
      <c r="UCN129" s="212"/>
      <c r="UCO129" s="212"/>
      <c r="UCP129" s="212"/>
      <c r="UCQ129" s="212"/>
      <c r="UCR129" s="212"/>
      <c r="UCS129" s="212"/>
      <c r="UCT129" s="212"/>
      <c r="UCU129" s="212"/>
      <c r="UCV129" s="212"/>
      <c r="UCW129" s="212"/>
      <c r="UCX129" s="212"/>
      <c r="UCY129" s="212"/>
      <c r="UCZ129" s="212"/>
      <c r="UDA129" s="212"/>
      <c r="UDB129" s="212"/>
      <c r="UDC129" s="212"/>
      <c r="UDD129" s="212"/>
      <c r="UDE129" s="212"/>
      <c r="UDF129" s="212"/>
      <c r="UDG129" s="212"/>
      <c r="UDH129" s="212"/>
      <c r="UDI129" s="212"/>
      <c r="UDJ129" s="212"/>
      <c r="UDK129" s="212"/>
      <c r="UDL129" s="212"/>
      <c r="UDM129" s="212"/>
      <c r="UDN129" s="212"/>
      <c r="UDO129" s="212"/>
      <c r="UDP129" s="212"/>
      <c r="UDQ129" s="212"/>
      <c r="UDR129" s="212"/>
      <c r="UDS129" s="212"/>
      <c r="UDT129" s="212"/>
      <c r="UDU129" s="212"/>
      <c r="UDV129" s="212"/>
      <c r="UDW129" s="212"/>
      <c r="UDX129" s="212"/>
      <c r="UDY129" s="212"/>
      <c r="UDZ129" s="212"/>
      <c r="UEA129" s="212"/>
      <c r="UEB129" s="212"/>
      <c r="UEC129" s="212"/>
      <c r="UED129" s="212"/>
      <c r="UEE129" s="212"/>
      <c r="UEF129" s="212"/>
      <c r="UEG129" s="212"/>
      <c r="UEH129" s="212"/>
      <c r="UEI129" s="212"/>
      <c r="UEJ129" s="212"/>
      <c r="UEK129" s="212"/>
      <c r="UEL129" s="212"/>
      <c r="UEM129" s="212"/>
      <c r="UEN129" s="212"/>
      <c r="UEO129" s="212"/>
      <c r="UEP129" s="212"/>
      <c r="UEQ129" s="212"/>
      <c r="UER129" s="212"/>
      <c r="UES129" s="212"/>
      <c r="UET129" s="212"/>
      <c r="UEU129" s="212"/>
      <c r="UEV129" s="212"/>
      <c r="UEW129" s="212"/>
      <c r="UEX129" s="212"/>
      <c r="UEY129" s="212"/>
      <c r="UEZ129" s="212"/>
      <c r="UFA129" s="212"/>
      <c r="UFB129" s="212"/>
      <c r="UFC129" s="212"/>
      <c r="UFD129" s="212"/>
      <c r="UFE129" s="212"/>
      <c r="UFF129" s="212"/>
      <c r="UFG129" s="212"/>
      <c r="UFH129" s="212"/>
      <c r="UFI129" s="212"/>
      <c r="UFJ129" s="212"/>
      <c r="UFK129" s="212"/>
      <c r="UFL129" s="212"/>
      <c r="UFM129" s="212"/>
      <c r="UFN129" s="212"/>
      <c r="UFO129" s="212"/>
      <c r="UFP129" s="212"/>
      <c r="UFQ129" s="212"/>
      <c r="UFR129" s="212"/>
      <c r="UFS129" s="212"/>
      <c r="UFT129" s="212"/>
      <c r="UFU129" s="212"/>
      <c r="UFV129" s="212"/>
      <c r="UFW129" s="212"/>
      <c r="UFX129" s="212"/>
      <c r="UFY129" s="212"/>
      <c r="UFZ129" s="212"/>
      <c r="UGA129" s="212"/>
      <c r="UGB129" s="212"/>
      <c r="UGC129" s="212"/>
      <c r="UGD129" s="212"/>
      <c r="UGE129" s="212"/>
      <c r="UGF129" s="212"/>
      <c r="UGG129" s="212"/>
      <c r="UGH129" s="212"/>
      <c r="UGI129" s="212"/>
      <c r="UGJ129" s="212"/>
      <c r="UGK129" s="212"/>
      <c r="UGL129" s="212"/>
      <c r="UGM129" s="212"/>
      <c r="UGN129" s="212"/>
      <c r="UGO129" s="212"/>
      <c r="UGP129" s="212"/>
      <c r="UGQ129" s="212"/>
      <c r="UGR129" s="212"/>
      <c r="UGS129" s="212"/>
      <c r="UGT129" s="212"/>
      <c r="UGU129" s="212"/>
      <c r="UGV129" s="212"/>
      <c r="UGW129" s="212"/>
      <c r="UGX129" s="212"/>
      <c r="UGY129" s="212"/>
      <c r="UGZ129" s="212"/>
      <c r="UHA129" s="212"/>
      <c r="UHB129" s="212"/>
      <c r="UHC129" s="212"/>
      <c r="UHD129" s="212"/>
      <c r="UHE129" s="212"/>
      <c r="UHF129" s="212"/>
      <c r="UHG129" s="212"/>
      <c r="UHH129" s="212"/>
      <c r="UHI129" s="212"/>
      <c r="UHJ129" s="212"/>
      <c r="UHK129" s="212"/>
      <c r="UHL129" s="212"/>
      <c r="UHM129" s="212"/>
      <c r="UHN129" s="212"/>
      <c r="UHO129" s="212"/>
      <c r="UHP129" s="212"/>
      <c r="UHQ129" s="212"/>
      <c r="UHR129" s="212"/>
      <c r="UHS129" s="212"/>
      <c r="UHT129" s="212"/>
      <c r="UHU129" s="212"/>
      <c r="UHV129" s="212"/>
      <c r="UHW129" s="212"/>
      <c r="UHX129" s="212"/>
      <c r="UHY129" s="212"/>
      <c r="UHZ129" s="212"/>
      <c r="UIA129" s="212"/>
      <c r="UIB129" s="212"/>
      <c r="UIC129" s="212"/>
      <c r="UID129" s="212"/>
      <c r="UIE129" s="212"/>
      <c r="UIF129" s="212"/>
      <c r="UIG129" s="212"/>
      <c r="UIH129" s="212"/>
      <c r="UII129" s="212"/>
      <c r="UIJ129" s="212"/>
      <c r="UIK129" s="212"/>
      <c r="UIL129" s="212"/>
      <c r="UIM129" s="212"/>
      <c r="UIN129" s="212"/>
      <c r="UIO129" s="212"/>
      <c r="UIP129" s="212"/>
      <c r="UIQ129" s="212"/>
      <c r="UIR129" s="212"/>
      <c r="UIS129" s="212"/>
      <c r="UIT129" s="212"/>
      <c r="UIU129" s="212"/>
      <c r="UIV129" s="212"/>
      <c r="UIW129" s="212"/>
      <c r="UIX129" s="212"/>
      <c r="UIY129" s="212"/>
      <c r="UIZ129" s="212"/>
      <c r="UJA129" s="212"/>
      <c r="UJB129" s="212"/>
      <c r="UJC129" s="212"/>
      <c r="UJD129" s="212"/>
      <c r="UJE129" s="212"/>
      <c r="UJF129" s="212"/>
      <c r="UJG129" s="212"/>
      <c r="UJH129" s="212"/>
      <c r="UJI129" s="212"/>
      <c r="UJJ129" s="212"/>
      <c r="UJK129" s="212"/>
      <c r="UJL129" s="212"/>
      <c r="UJM129" s="212"/>
      <c r="UJN129" s="212"/>
      <c r="UJO129" s="212"/>
      <c r="UJP129" s="212"/>
      <c r="UJQ129" s="212"/>
      <c r="UJR129" s="212"/>
      <c r="UJS129" s="212"/>
      <c r="UJT129" s="212"/>
      <c r="UJU129" s="212"/>
      <c r="UJV129" s="212"/>
      <c r="UJW129" s="212"/>
      <c r="UJX129" s="212"/>
      <c r="UJY129" s="212"/>
      <c r="UJZ129" s="212"/>
      <c r="UKA129" s="212"/>
      <c r="UKB129" s="212"/>
      <c r="UKC129" s="212"/>
      <c r="UKD129" s="212"/>
      <c r="UKE129" s="212"/>
      <c r="UKF129" s="212"/>
      <c r="UKG129" s="212"/>
      <c r="UKH129" s="212"/>
      <c r="UKI129" s="212"/>
      <c r="UKJ129" s="212"/>
      <c r="UKK129" s="212"/>
      <c r="UKL129" s="212"/>
      <c r="UKM129" s="212"/>
      <c r="UKN129" s="212"/>
      <c r="UKO129" s="212"/>
      <c r="UKP129" s="212"/>
      <c r="UKQ129" s="212"/>
      <c r="UKR129" s="212"/>
      <c r="UKS129" s="212"/>
      <c r="UKT129" s="212"/>
      <c r="UKU129" s="212"/>
      <c r="UKV129" s="212"/>
      <c r="UKW129" s="212"/>
      <c r="UKX129" s="212"/>
      <c r="UKY129" s="212"/>
      <c r="UKZ129" s="212"/>
      <c r="ULA129" s="212"/>
      <c r="ULB129" s="212"/>
      <c r="ULC129" s="212"/>
      <c r="ULD129" s="212"/>
      <c r="ULE129" s="212"/>
      <c r="ULF129" s="212"/>
      <c r="ULG129" s="212"/>
      <c r="ULH129" s="212"/>
      <c r="ULI129" s="212"/>
      <c r="ULJ129" s="212"/>
      <c r="ULK129" s="212"/>
      <c r="ULL129" s="212"/>
      <c r="ULM129" s="212"/>
      <c r="ULN129" s="212"/>
      <c r="ULO129" s="212"/>
      <c r="ULP129" s="212"/>
      <c r="ULQ129" s="212"/>
      <c r="ULR129" s="212"/>
      <c r="ULS129" s="212"/>
      <c r="ULT129" s="212"/>
      <c r="ULU129" s="212"/>
      <c r="ULV129" s="212"/>
      <c r="ULW129" s="212"/>
      <c r="ULX129" s="212"/>
      <c r="ULY129" s="212"/>
      <c r="ULZ129" s="212"/>
      <c r="UMA129" s="212"/>
      <c r="UMB129" s="212"/>
      <c r="UMC129" s="212"/>
      <c r="UMD129" s="212"/>
      <c r="UME129" s="212"/>
      <c r="UMF129" s="212"/>
      <c r="UMG129" s="212"/>
      <c r="UMH129" s="212"/>
      <c r="UMI129" s="212"/>
      <c r="UMJ129" s="212"/>
      <c r="UMK129" s="212"/>
      <c r="UML129" s="212"/>
      <c r="UMM129" s="212"/>
      <c r="UMN129" s="212"/>
      <c r="UMO129" s="212"/>
      <c r="UMP129" s="212"/>
      <c r="UMQ129" s="212"/>
      <c r="UMR129" s="212"/>
      <c r="UMS129" s="212"/>
      <c r="UMT129" s="212"/>
      <c r="UMU129" s="212"/>
      <c r="UMV129" s="212"/>
      <c r="UMW129" s="212"/>
      <c r="UMX129" s="212"/>
      <c r="UMY129" s="212"/>
      <c r="UMZ129" s="212"/>
      <c r="UNA129" s="212"/>
      <c r="UNB129" s="212"/>
      <c r="UNC129" s="212"/>
      <c r="UND129" s="212"/>
      <c r="UNE129" s="212"/>
      <c r="UNF129" s="212"/>
      <c r="UNG129" s="212"/>
      <c r="UNH129" s="212"/>
      <c r="UNI129" s="212"/>
      <c r="UNJ129" s="212"/>
      <c r="UNK129" s="212"/>
      <c r="UNL129" s="212"/>
      <c r="UNM129" s="212"/>
      <c r="UNN129" s="212"/>
      <c r="UNO129" s="212"/>
      <c r="UNP129" s="212"/>
      <c r="UNQ129" s="212"/>
      <c r="UNR129" s="212"/>
      <c r="UNS129" s="212"/>
      <c r="UNT129" s="212"/>
      <c r="UNU129" s="212"/>
      <c r="UNV129" s="212"/>
      <c r="UNW129" s="212"/>
      <c r="UNX129" s="212"/>
      <c r="UNY129" s="212"/>
      <c r="UNZ129" s="212"/>
      <c r="UOA129" s="212"/>
      <c r="UOB129" s="212"/>
      <c r="UOC129" s="212"/>
      <c r="UOD129" s="212"/>
      <c r="UOE129" s="212"/>
      <c r="UOF129" s="212"/>
      <c r="UOG129" s="212"/>
      <c r="UOH129" s="212"/>
      <c r="UOI129" s="212"/>
      <c r="UOJ129" s="212"/>
      <c r="UOK129" s="212"/>
      <c r="UOL129" s="212"/>
      <c r="UOM129" s="212"/>
      <c r="UON129" s="212"/>
      <c r="UOO129" s="212"/>
      <c r="UOP129" s="212"/>
      <c r="UOQ129" s="212"/>
      <c r="UOR129" s="212"/>
      <c r="UOS129" s="212"/>
      <c r="UOT129" s="212"/>
      <c r="UOU129" s="212"/>
      <c r="UOV129" s="212"/>
      <c r="UOW129" s="212"/>
      <c r="UOX129" s="212"/>
      <c r="UOY129" s="212"/>
      <c r="UOZ129" s="212"/>
      <c r="UPA129" s="212"/>
      <c r="UPB129" s="212"/>
      <c r="UPC129" s="212"/>
      <c r="UPD129" s="212"/>
      <c r="UPE129" s="212"/>
      <c r="UPF129" s="212"/>
      <c r="UPG129" s="212"/>
      <c r="UPH129" s="212"/>
      <c r="UPI129" s="212"/>
      <c r="UPJ129" s="212"/>
      <c r="UPK129" s="212"/>
      <c r="UPL129" s="212"/>
      <c r="UPM129" s="212"/>
      <c r="UPN129" s="212"/>
      <c r="UPO129" s="212"/>
      <c r="UPP129" s="212"/>
      <c r="UPQ129" s="212"/>
      <c r="UPR129" s="212"/>
      <c r="UPS129" s="212"/>
      <c r="UPT129" s="212"/>
      <c r="UPU129" s="212"/>
      <c r="UPV129" s="212"/>
      <c r="UPW129" s="212"/>
      <c r="UPX129" s="212"/>
      <c r="UPY129" s="212"/>
      <c r="UPZ129" s="212"/>
      <c r="UQA129" s="212"/>
      <c r="UQB129" s="212"/>
      <c r="UQC129" s="212"/>
      <c r="UQD129" s="212"/>
      <c r="UQE129" s="212"/>
      <c r="UQF129" s="212"/>
      <c r="UQG129" s="212"/>
      <c r="UQH129" s="212"/>
      <c r="UQI129" s="212"/>
      <c r="UQJ129" s="212"/>
      <c r="UQK129" s="212"/>
      <c r="UQL129" s="212"/>
      <c r="UQM129" s="212"/>
      <c r="UQN129" s="212"/>
      <c r="UQO129" s="212"/>
      <c r="UQP129" s="212"/>
      <c r="UQQ129" s="212"/>
      <c r="UQR129" s="212"/>
      <c r="UQS129" s="212"/>
      <c r="UQT129" s="212"/>
      <c r="UQU129" s="212"/>
      <c r="UQV129" s="212"/>
      <c r="UQW129" s="212"/>
      <c r="UQX129" s="212"/>
      <c r="UQY129" s="212"/>
      <c r="UQZ129" s="212"/>
      <c r="URA129" s="212"/>
      <c r="URB129" s="212"/>
      <c r="URC129" s="212"/>
      <c r="URD129" s="212"/>
      <c r="URE129" s="212"/>
      <c r="URF129" s="212"/>
      <c r="URG129" s="212"/>
      <c r="URH129" s="212"/>
      <c r="URI129" s="212"/>
      <c r="URJ129" s="212"/>
      <c r="URK129" s="212"/>
      <c r="URL129" s="212"/>
      <c r="URM129" s="212"/>
      <c r="URN129" s="212"/>
      <c r="URO129" s="212"/>
      <c r="URP129" s="212"/>
      <c r="URQ129" s="212"/>
      <c r="URR129" s="212"/>
      <c r="URS129" s="212"/>
      <c r="URT129" s="212"/>
      <c r="URU129" s="212"/>
      <c r="URV129" s="212"/>
      <c r="URW129" s="212"/>
      <c r="URX129" s="212"/>
      <c r="URY129" s="212"/>
      <c r="URZ129" s="212"/>
      <c r="USA129" s="212"/>
      <c r="USB129" s="212"/>
      <c r="USC129" s="212"/>
      <c r="USD129" s="212"/>
      <c r="USE129" s="212"/>
      <c r="USF129" s="212"/>
      <c r="USG129" s="212"/>
      <c r="USH129" s="212"/>
      <c r="USI129" s="212"/>
      <c r="USJ129" s="212"/>
      <c r="USK129" s="212"/>
      <c r="USL129" s="212"/>
      <c r="USM129" s="212"/>
      <c r="USN129" s="212"/>
      <c r="USO129" s="212"/>
      <c r="USP129" s="212"/>
      <c r="USQ129" s="212"/>
      <c r="USR129" s="212"/>
      <c r="USS129" s="212"/>
      <c r="UST129" s="212"/>
      <c r="USU129" s="212"/>
      <c r="USV129" s="212"/>
      <c r="USW129" s="212"/>
      <c r="USX129" s="212"/>
      <c r="USY129" s="212"/>
      <c r="USZ129" s="212"/>
      <c r="UTA129" s="212"/>
      <c r="UTB129" s="212"/>
      <c r="UTC129" s="212"/>
      <c r="UTD129" s="212"/>
      <c r="UTE129" s="212"/>
      <c r="UTF129" s="212"/>
      <c r="UTG129" s="212"/>
      <c r="UTH129" s="212"/>
      <c r="UTI129" s="212"/>
      <c r="UTJ129" s="212"/>
      <c r="UTK129" s="212"/>
      <c r="UTL129" s="212"/>
      <c r="UTM129" s="212"/>
      <c r="UTN129" s="212"/>
      <c r="UTO129" s="212"/>
      <c r="UTP129" s="212"/>
      <c r="UTQ129" s="212"/>
      <c r="UTR129" s="212"/>
      <c r="UTS129" s="212"/>
      <c r="UTT129" s="212"/>
      <c r="UTU129" s="212"/>
      <c r="UTV129" s="212"/>
      <c r="UTW129" s="212"/>
      <c r="UTX129" s="212"/>
      <c r="UTY129" s="212"/>
      <c r="UTZ129" s="212"/>
      <c r="UUA129" s="212"/>
      <c r="UUB129" s="212"/>
      <c r="UUC129" s="212"/>
      <c r="UUD129" s="212"/>
      <c r="UUE129" s="212"/>
      <c r="UUF129" s="212"/>
      <c r="UUG129" s="212"/>
      <c r="UUH129" s="212"/>
      <c r="UUI129" s="212"/>
      <c r="UUJ129" s="212"/>
      <c r="UUK129" s="212"/>
      <c r="UUL129" s="212"/>
      <c r="UUM129" s="212"/>
      <c r="UUN129" s="212"/>
      <c r="UUO129" s="212"/>
      <c r="UUP129" s="212"/>
      <c r="UUQ129" s="212"/>
      <c r="UUR129" s="212"/>
      <c r="UUS129" s="212"/>
      <c r="UUT129" s="212"/>
      <c r="UUU129" s="212"/>
      <c r="UUV129" s="212"/>
      <c r="UUW129" s="212"/>
      <c r="UUX129" s="212"/>
      <c r="UUY129" s="212"/>
      <c r="UUZ129" s="212"/>
      <c r="UVA129" s="212"/>
      <c r="UVB129" s="212"/>
      <c r="UVC129" s="212"/>
      <c r="UVD129" s="212"/>
      <c r="UVE129" s="212"/>
      <c r="UVF129" s="212"/>
      <c r="UVG129" s="212"/>
      <c r="UVH129" s="212"/>
      <c r="UVI129" s="212"/>
      <c r="UVJ129" s="212"/>
      <c r="UVK129" s="212"/>
      <c r="UVL129" s="212"/>
      <c r="UVM129" s="212"/>
      <c r="UVN129" s="212"/>
      <c r="UVO129" s="212"/>
      <c r="UVP129" s="212"/>
      <c r="UVQ129" s="212"/>
      <c r="UVR129" s="212"/>
      <c r="UVS129" s="212"/>
      <c r="UVT129" s="212"/>
      <c r="UVU129" s="212"/>
      <c r="UVV129" s="212"/>
      <c r="UVW129" s="212"/>
      <c r="UVX129" s="212"/>
      <c r="UVY129" s="212"/>
      <c r="UVZ129" s="212"/>
      <c r="UWA129" s="212"/>
      <c r="UWB129" s="212"/>
      <c r="UWC129" s="212"/>
      <c r="UWD129" s="212"/>
      <c r="UWE129" s="212"/>
      <c r="UWF129" s="212"/>
      <c r="UWG129" s="212"/>
      <c r="UWH129" s="212"/>
      <c r="UWI129" s="212"/>
      <c r="UWJ129" s="212"/>
      <c r="UWK129" s="212"/>
      <c r="UWL129" s="212"/>
      <c r="UWM129" s="212"/>
      <c r="UWN129" s="212"/>
      <c r="UWO129" s="212"/>
      <c r="UWP129" s="212"/>
      <c r="UWQ129" s="212"/>
      <c r="UWR129" s="212"/>
      <c r="UWS129" s="212"/>
      <c r="UWT129" s="212"/>
      <c r="UWU129" s="212"/>
      <c r="UWV129" s="212"/>
      <c r="UWW129" s="212"/>
      <c r="UWX129" s="212"/>
      <c r="UWY129" s="212"/>
      <c r="UWZ129" s="212"/>
      <c r="UXA129" s="212"/>
      <c r="UXB129" s="212"/>
      <c r="UXC129" s="212"/>
      <c r="UXD129" s="212"/>
      <c r="UXE129" s="212"/>
      <c r="UXF129" s="212"/>
      <c r="UXG129" s="212"/>
      <c r="UXH129" s="212"/>
      <c r="UXI129" s="212"/>
      <c r="UXJ129" s="212"/>
      <c r="UXK129" s="212"/>
      <c r="UXL129" s="212"/>
      <c r="UXM129" s="212"/>
      <c r="UXN129" s="212"/>
      <c r="UXO129" s="212"/>
      <c r="UXP129" s="212"/>
      <c r="UXQ129" s="212"/>
      <c r="UXR129" s="212"/>
      <c r="UXS129" s="212"/>
      <c r="UXT129" s="212"/>
      <c r="UXU129" s="212"/>
      <c r="UXV129" s="212"/>
      <c r="UXW129" s="212"/>
      <c r="UXX129" s="212"/>
      <c r="UXY129" s="212"/>
      <c r="UXZ129" s="212"/>
      <c r="UYA129" s="212"/>
      <c r="UYB129" s="212"/>
      <c r="UYC129" s="212"/>
      <c r="UYD129" s="212"/>
      <c r="UYE129" s="212"/>
      <c r="UYF129" s="212"/>
      <c r="UYG129" s="212"/>
      <c r="UYH129" s="212"/>
      <c r="UYI129" s="212"/>
      <c r="UYJ129" s="212"/>
      <c r="UYK129" s="212"/>
      <c r="UYL129" s="212"/>
      <c r="UYM129" s="212"/>
      <c r="UYN129" s="212"/>
      <c r="UYO129" s="212"/>
      <c r="UYP129" s="212"/>
      <c r="UYQ129" s="212"/>
      <c r="UYR129" s="212"/>
      <c r="UYS129" s="212"/>
      <c r="UYT129" s="212"/>
      <c r="UYU129" s="212"/>
      <c r="UYV129" s="212"/>
      <c r="UYW129" s="212"/>
      <c r="UYX129" s="212"/>
      <c r="UYY129" s="212"/>
      <c r="UYZ129" s="212"/>
      <c r="UZA129" s="212"/>
      <c r="UZB129" s="212"/>
      <c r="UZC129" s="212"/>
      <c r="UZD129" s="212"/>
      <c r="UZE129" s="212"/>
      <c r="UZF129" s="212"/>
      <c r="UZG129" s="212"/>
      <c r="UZH129" s="212"/>
      <c r="UZI129" s="212"/>
      <c r="UZJ129" s="212"/>
      <c r="UZK129" s="212"/>
      <c r="UZL129" s="212"/>
      <c r="UZM129" s="212"/>
      <c r="UZN129" s="212"/>
      <c r="UZO129" s="212"/>
      <c r="UZP129" s="212"/>
      <c r="UZQ129" s="212"/>
      <c r="UZR129" s="212"/>
      <c r="UZS129" s="212"/>
      <c r="UZT129" s="212"/>
      <c r="UZU129" s="212"/>
      <c r="UZV129" s="212"/>
      <c r="UZW129" s="212"/>
      <c r="UZX129" s="212"/>
      <c r="UZY129" s="212"/>
      <c r="UZZ129" s="212"/>
      <c r="VAA129" s="212"/>
      <c r="VAB129" s="212"/>
      <c r="VAC129" s="212"/>
      <c r="VAD129" s="212"/>
      <c r="VAE129" s="212"/>
      <c r="VAF129" s="212"/>
      <c r="VAG129" s="212"/>
      <c r="VAH129" s="212"/>
      <c r="VAI129" s="212"/>
      <c r="VAJ129" s="212"/>
      <c r="VAK129" s="212"/>
      <c r="VAL129" s="212"/>
      <c r="VAM129" s="212"/>
      <c r="VAN129" s="212"/>
      <c r="VAO129" s="212"/>
      <c r="VAP129" s="212"/>
      <c r="VAQ129" s="212"/>
      <c r="VAR129" s="212"/>
      <c r="VAS129" s="212"/>
      <c r="VAT129" s="212"/>
      <c r="VAU129" s="212"/>
      <c r="VAV129" s="212"/>
      <c r="VAW129" s="212"/>
      <c r="VAX129" s="212"/>
      <c r="VAY129" s="212"/>
      <c r="VAZ129" s="212"/>
      <c r="VBA129" s="212"/>
      <c r="VBB129" s="212"/>
      <c r="VBC129" s="212"/>
      <c r="VBD129" s="212"/>
      <c r="VBE129" s="212"/>
      <c r="VBF129" s="212"/>
      <c r="VBG129" s="212"/>
      <c r="VBH129" s="212"/>
      <c r="VBI129" s="212"/>
      <c r="VBJ129" s="212"/>
      <c r="VBK129" s="212"/>
      <c r="VBL129" s="212"/>
      <c r="VBM129" s="212"/>
      <c r="VBN129" s="212"/>
      <c r="VBO129" s="212"/>
      <c r="VBP129" s="212"/>
      <c r="VBQ129" s="212"/>
      <c r="VBR129" s="212"/>
      <c r="VBS129" s="212"/>
      <c r="VBT129" s="212"/>
      <c r="VBU129" s="212"/>
      <c r="VBV129" s="212"/>
      <c r="VBW129" s="212"/>
      <c r="VBX129" s="212"/>
      <c r="VBY129" s="212"/>
      <c r="VBZ129" s="212"/>
      <c r="VCA129" s="212"/>
      <c r="VCB129" s="212"/>
      <c r="VCC129" s="212"/>
      <c r="VCD129" s="212"/>
      <c r="VCE129" s="212"/>
      <c r="VCF129" s="212"/>
      <c r="VCG129" s="212"/>
      <c r="VCH129" s="212"/>
      <c r="VCI129" s="212"/>
      <c r="VCJ129" s="212"/>
      <c r="VCK129" s="212"/>
      <c r="VCL129" s="212"/>
      <c r="VCM129" s="212"/>
      <c r="VCN129" s="212"/>
      <c r="VCO129" s="212"/>
      <c r="VCP129" s="212"/>
      <c r="VCQ129" s="212"/>
      <c r="VCR129" s="212"/>
      <c r="VCS129" s="212"/>
      <c r="VCT129" s="212"/>
      <c r="VCU129" s="212"/>
      <c r="VCV129" s="212"/>
      <c r="VCW129" s="212"/>
      <c r="VCX129" s="212"/>
      <c r="VCY129" s="212"/>
      <c r="VCZ129" s="212"/>
      <c r="VDA129" s="212"/>
      <c r="VDB129" s="212"/>
      <c r="VDC129" s="212"/>
      <c r="VDD129" s="212"/>
      <c r="VDE129" s="212"/>
      <c r="VDF129" s="212"/>
      <c r="VDG129" s="212"/>
      <c r="VDH129" s="212"/>
      <c r="VDI129" s="212"/>
      <c r="VDJ129" s="212"/>
      <c r="VDK129" s="212"/>
      <c r="VDL129" s="212"/>
      <c r="VDM129" s="212"/>
      <c r="VDN129" s="212"/>
      <c r="VDO129" s="212"/>
      <c r="VDP129" s="212"/>
      <c r="VDQ129" s="212"/>
      <c r="VDR129" s="212"/>
      <c r="VDS129" s="212"/>
      <c r="VDT129" s="212"/>
      <c r="VDU129" s="212"/>
      <c r="VDV129" s="212"/>
      <c r="VDW129" s="212"/>
      <c r="VDX129" s="212"/>
      <c r="VDY129" s="212"/>
      <c r="VDZ129" s="212"/>
      <c r="VEA129" s="212"/>
      <c r="VEB129" s="212"/>
      <c r="VEC129" s="212"/>
      <c r="VED129" s="212"/>
      <c r="VEE129" s="212"/>
      <c r="VEF129" s="212"/>
      <c r="VEG129" s="212"/>
      <c r="VEH129" s="212"/>
      <c r="VEI129" s="212"/>
      <c r="VEJ129" s="212"/>
      <c r="VEK129" s="212"/>
      <c r="VEL129" s="212"/>
      <c r="VEM129" s="212"/>
      <c r="VEN129" s="212"/>
      <c r="VEO129" s="212"/>
      <c r="VEP129" s="212"/>
      <c r="VEQ129" s="212"/>
      <c r="VER129" s="212"/>
      <c r="VES129" s="212"/>
      <c r="VET129" s="212"/>
      <c r="VEU129" s="212"/>
      <c r="VEV129" s="212"/>
      <c r="VEW129" s="212"/>
      <c r="VEX129" s="212"/>
      <c r="VEY129" s="212"/>
      <c r="VEZ129" s="212"/>
      <c r="VFA129" s="212"/>
      <c r="VFB129" s="212"/>
      <c r="VFC129" s="212"/>
      <c r="VFD129" s="212"/>
      <c r="VFE129" s="212"/>
      <c r="VFF129" s="212"/>
      <c r="VFG129" s="212"/>
      <c r="VFH129" s="212"/>
      <c r="VFI129" s="212"/>
      <c r="VFJ129" s="212"/>
      <c r="VFK129" s="212"/>
      <c r="VFL129" s="212"/>
      <c r="VFM129" s="212"/>
      <c r="VFN129" s="212"/>
      <c r="VFO129" s="212"/>
      <c r="VFP129" s="212"/>
      <c r="VFQ129" s="212"/>
      <c r="VFR129" s="212"/>
      <c r="VFS129" s="212"/>
      <c r="VFT129" s="212"/>
      <c r="VFU129" s="212"/>
      <c r="VFV129" s="212"/>
      <c r="VFW129" s="212"/>
      <c r="VFX129" s="212"/>
      <c r="VFY129" s="212"/>
      <c r="VFZ129" s="212"/>
      <c r="VGA129" s="212"/>
      <c r="VGB129" s="212"/>
      <c r="VGC129" s="212"/>
      <c r="VGD129" s="212"/>
      <c r="VGE129" s="212"/>
      <c r="VGF129" s="212"/>
      <c r="VGG129" s="212"/>
      <c r="VGH129" s="212"/>
      <c r="VGI129" s="212"/>
      <c r="VGJ129" s="212"/>
      <c r="VGK129" s="212"/>
      <c r="VGL129" s="212"/>
      <c r="VGM129" s="212"/>
      <c r="VGN129" s="212"/>
      <c r="VGO129" s="212"/>
      <c r="VGP129" s="212"/>
      <c r="VGQ129" s="212"/>
      <c r="VGR129" s="212"/>
      <c r="VGS129" s="212"/>
      <c r="VGT129" s="212"/>
      <c r="VGU129" s="212"/>
      <c r="VGV129" s="212"/>
      <c r="VGW129" s="212"/>
      <c r="VGX129" s="212"/>
      <c r="VGY129" s="212"/>
      <c r="VGZ129" s="212"/>
      <c r="VHA129" s="212"/>
      <c r="VHB129" s="212"/>
      <c r="VHC129" s="212"/>
      <c r="VHD129" s="212"/>
      <c r="VHE129" s="212"/>
      <c r="VHF129" s="212"/>
      <c r="VHG129" s="212"/>
      <c r="VHH129" s="212"/>
      <c r="VHI129" s="212"/>
      <c r="VHJ129" s="212"/>
      <c r="VHK129" s="212"/>
      <c r="VHL129" s="212"/>
      <c r="VHM129" s="212"/>
      <c r="VHN129" s="212"/>
      <c r="VHO129" s="212"/>
      <c r="VHP129" s="212"/>
      <c r="VHQ129" s="212"/>
      <c r="VHR129" s="212"/>
      <c r="VHS129" s="212"/>
      <c r="VHT129" s="212"/>
      <c r="VHU129" s="212"/>
      <c r="VHV129" s="212"/>
      <c r="VHW129" s="212"/>
      <c r="VHX129" s="212"/>
      <c r="VHY129" s="212"/>
      <c r="VHZ129" s="212"/>
      <c r="VIA129" s="212"/>
      <c r="VIB129" s="212"/>
      <c r="VIC129" s="212"/>
      <c r="VID129" s="212"/>
      <c r="VIE129" s="212"/>
      <c r="VIF129" s="212"/>
      <c r="VIG129" s="212"/>
      <c r="VIH129" s="212"/>
      <c r="VII129" s="212"/>
      <c r="VIJ129" s="212"/>
      <c r="VIK129" s="212"/>
      <c r="VIL129" s="212"/>
      <c r="VIM129" s="212"/>
      <c r="VIN129" s="212"/>
      <c r="VIO129" s="212"/>
      <c r="VIP129" s="212"/>
      <c r="VIQ129" s="212"/>
      <c r="VIR129" s="212"/>
      <c r="VIS129" s="212"/>
      <c r="VIT129" s="212"/>
      <c r="VIU129" s="212"/>
      <c r="VIV129" s="212"/>
      <c r="VIW129" s="212"/>
      <c r="VIX129" s="212"/>
      <c r="VIY129" s="212"/>
      <c r="VIZ129" s="212"/>
      <c r="VJA129" s="212"/>
      <c r="VJB129" s="212"/>
      <c r="VJC129" s="212"/>
      <c r="VJD129" s="212"/>
      <c r="VJE129" s="212"/>
      <c r="VJF129" s="212"/>
      <c r="VJG129" s="212"/>
      <c r="VJH129" s="212"/>
      <c r="VJI129" s="212"/>
      <c r="VJJ129" s="212"/>
      <c r="VJK129" s="212"/>
      <c r="VJL129" s="212"/>
      <c r="VJM129" s="212"/>
      <c r="VJN129" s="212"/>
      <c r="VJO129" s="212"/>
      <c r="VJP129" s="212"/>
      <c r="VJQ129" s="212"/>
      <c r="VJR129" s="212"/>
      <c r="VJS129" s="212"/>
      <c r="VJT129" s="212"/>
      <c r="VJU129" s="212"/>
      <c r="VJV129" s="212"/>
      <c r="VJW129" s="212"/>
      <c r="VJX129" s="212"/>
      <c r="VJY129" s="212"/>
      <c r="VJZ129" s="212"/>
      <c r="VKA129" s="212"/>
      <c r="VKB129" s="212"/>
      <c r="VKC129" s="212"/>
      <c r="VKD129" s="212"/>
      <c r="VKE129" s="212"/>
      <c r="VKF129" s="212"/>
      <c r="VKG129" s="212"/>
      <c r="VKH129" s="212"/>
      <c r="VKI129" s="212"/>
      <c r="VKJ129" s="212"/>
      <c r="VKK129" s="212"/>
      <c r="VKL129" s="212"/>
      <c r="VKM129" s="212"/>
      <c r="VKN129" s="212"/>
      <c r="VKO129" s="212"/>
      <c r="VKP129" s="212"/>
      <c r="VKQ129" s="212"/>
      <c r="VKR129" s="212"/>
      <c r="VKS129" s="212"/>
      <c r="VKT129" s="212"/>
      <c r="VKU129" s="212"/>
      <c r="VKV129" s="212"/>
      <c r="VKW129" s="212"/>
      <c r="VKX129" s="212"/>
      <c r="VKY129" s="212"/>
      <c r="VKZ129" s="212"/>
      <c r="VLA129" s="212"/>
      <c r="VLB129" s="212"/>
      <c r="VLC129" s="212"/>
      <c r="VLD129" s="212"/>
      <c r="VLE129" s="212"/>
      <c r="VLF129" s="212"/>
      <c r="VLG129" s="212"/>
      <c r="VLH129" s="212"/>
      <c r="VLI129" s="212"/>
      <c r="VLJ129" s="212"/>
      <c r="VLK129" s="212"/>
      <c r="VLL129" s="212"/>
      <c r="VLM129" s="212"/>
      <c r="VLN129" s="212"/>
      <c r="VLO129" s="212"/>
      <c r="VLP129" s="212"/>
      <c r="VLQ129" s="212"/>
      <c r="VLR129" s="212"/>
      <c r="VLS129" s="212"/>
      <c r="VLT129" s="212"/>
      <c r="VLU129" s="212"/>
      <c r="VLV129" s="212"/>
      <c r="VLW129" s="212"/>
      <c r="VLX129" s="212"/>
      <c r="VLY129" s="212"/>
      <c r="VLZ129" s="212"/>
      <c r="VMA129" s="212"/>
      <c r="VMB129" s="212"/>
      <c r="VMC129" s="212"/>
      <c r="VMD129" s="212"/>
      <c r="VME129" s="212"/>
      <c r="VMF129" s="212"/>
      <c r="VMG129" s="212"/>
      <c r="VMH129" s="212"/>
      <c r="VMI129" s="212"/>
      <c r="VMJ129" s="212"/>
      <c r="VMK129" s="212"/>
      <c r="VML129" s="212"/>
      <c r="VMM129" s="212"/>
      <c r="VMN129" s="212"/>
      <c r="VMO129" s="212"/>
      <c r="VMP129" s="212"/>
      <c r="VMQ129" s="212"/>
      <c r="VMR129" s="212"/>
      <c r="VMS129" s="212"/>
      <c r="VMT129" s="212"/>
      <c r="VMU129" s="212"/>
      <c r="VMV129" s="212"/>
      <c r="VMW129" s="212"/>
      <c r="VMX129" s="212"/>
      <c r="VMY129" s="212"/>
      <c r="VMZ129" s="212"/>
      <c r="VNA129" s="212"/>
      <c r="VNB129" s="212"/>
      <c r="VNC129" s="212"/>
      <c r="VND129" s="212"/>
      <c r="VNE129" s="212"/>
      <c r="VNF129" s="212"/>
      <c r="VNG129" s="212"/>
      <c r="VNH129" s="212"/>
      <c r="VNI129" s="212"/>
      <c r="VNJ129" s="212"/>
      <c r="VNK129" s="212"/>
      <c r="VNL129" s="212"/>
      <c r="VNM129" s="212"/>
      <c r="VNN129" s="212"/>
      <c r="VNO129" s="212"/>
      <c r="VNP129" s="212"/>
      <c r="VNQ129" s="212"/>
      <c r="VNR129" s="212"/>
      <c r="VNS129" s="212"/>
      <c r="VNT129" s="212"/>
      <c r="VNU129" s="212"/>
      <c r="VNV129" s="212"/>
      <c r="VNW129" s="212"/>
      <c r="VNX129" s="212"/>
      <c r="VNY129" s="212"/>
      <c r="VNZ129" s="212"/>
      <c r="VOA129" s="212"/>
      <c r="VOB129" s="212"/>
      <c r="VOC129" s="212"/>
      <c r="VOD129" s="212"/>
      <c r="VOE129" s="212"/>
      <c r="VOF129" s="212"/>
      <c r="VOG129" s="212"/>
      <c r="VOH129" s="212"/>
      <c r="VOI129" s="212"/>
      <c r="VOJ129" s="212"/>
      <c r="VOK129" s="212"/>
      <c r="VOL129" s="212"/>
      <c r="VOM129" s="212"/>
      <c r="VON129" s="212"/>
      <c r="VOO129" s="212"/>
      <c r="VOP129" s="212"/>
      <c r="VOQ129" s="212"/>
      <c r="VOR129" s="212"/>
      <c r="VOS129" s="212"/>
      <c r="VOT129" s="212"/>
      <c r="VOU129" s="212"/>
      <c r="VOV129" s="212"/>
      <c r="VOW129" s="212"/>
      <c r="VOX129" s="212"/>
      <c r="VOY129" s="212"/>
      <c r="VOZ129" s="212"/>
      <c r="VPA129" s="212"/>
      <c r="VPB129" s="212"/>
      <c r="VPC129" s="212"/>
      <c r="VPD129" s="212"/>
      <c r="VPE129" s="212"/>
      <c r="VPF129" s="212"/>
      <c r="VPG129" s="212"/>
      <c r="VPH129" s="212"/>
      <c r="VPI129" s="212"/>
      <c r="VPJ129" s="212"/>
      <c r="VPK129" s="212"/>
      <c r="VPL129" s="212"/>
      <c r="VPM129" s="212"/>
      <c r="VPN129" s="212"/>
      <c r="VPO129" s="212"/>
      <c r="VPP129" s="212"/>
      <c r="VPQ129" s="212"/>
      <c r="VPR129" s="212"/>
      <c r="VPS129" s="212"/>
      <c r="VPT129" s="212"/>
      <c r="VPU129" s="212"/>
      <c r="VPV129" s="212"/>
      <c r="VPW129" s="212"/>
      <c r="VPX129" s="212"/>
      <c r="VPY129" s="212"/>
      <c r="VPZ129" s="212"/>
      <c r="VQA129" s="212"/>
      <c r="VQB129" s="212"/>
      <c r="VQC129" s="212"/>
      <c r="VQD129" s="212"/>
      <c r="VQE129" s="212"/>
      <c r="VQF129" s="212"/>
      <c r="VQG129" s="212"/>
      <c r="VQH129" s="212"/>
      <c r="VQI129" s="212"/>
      <c r="VQJ129" s="212"/>
      <c r="VQK129" s="212"/>
      <c r="VQL129" s="212"/>
      <c r="VQM129" s="212"/>
      <c r="VQN129" s="212"/>
      <c r="VQO129" s="212"/>
      <c r="VQP129" s="212"/>
      <c r="VQQ129" s="212"/>
      <c r="VQR129" s="212"/>
      <c r="VQS129" s="212"/>
      <c r="VQT129" s="212"/>
      <c r="VQU129" s="212"/>
      <c r="VQV129" s="212"/>
      <c r="VQW129" s="212"/>
      <c r="VQX129" s="212"/>
      <c r="VQY129" s="212"/>
      <c r="VQZ129" s="212"/>
      <c r="VRA129" s="212"/>
      <c r="VRB129" s="212"/>
      <c r="VRC129" s="212"/>
      <c r="VRD129" s="212"/>
      <c r="VRE129" s="212"/>
      <c r="VRF129" s="212"/>
      <c r="VRG129" s="212"/>
      <c r="VRH129" s="212"/>
      <c r="VRI129" s="212"/>
      <c r="VRJ129" s="212"/>
      <c r="VRK129" s="212"/>
      <c r="VRL129" s="212"/>
      <c r="VRM129" s="212"/>
      <c r="VRN129" s="212"/>
      <c r="VRO129" s="212"/>
      <c r="VRP129" s="212"/>
      <c r="VRQ129" s="212"/>
      <c r="VRR129" s="212"/>
      <c r="VRS129" s="212"/>
      <c r="VRT129" s="212"/>
      <c r="VRU129" s="212"/>
      <c r="VRV129" s="212"/>
      <c r="VRW129" s="212"/>
      <c r="VRX129" s="212"/>
      <c r="VRY129" s="212"/>
      <c r="VRZ129" s="212"/>
      <c r="VSA129" s="212"/>
      <c r="VSB129" s="212"/>
      <c r="VSC129" s="212"/>
      <c r="VSD129" s="212"/>
      <c r="VSE129" s="212"/>
      <c r="VSF129" s="212"/>
      <c r="VSG129" s="212"/>
      <c r="VSH129" s="212"/>
      <c r="VSI129" s="212"/>
      <c r="VSJ129" s="212"/>
      <c r="VSK129" s="212"/>
      <c r="VSL129" s="212"/>
      <c r="VSM129" s="212"/>
      <c r="VSN129" s="212"/>
      <c r="VSO129" s="212"/>
      <c r="VSP129" s="212"/>
      <c r="VSQ129" s="212"/>
      <c r="VSR129" s="212"/>
      <c r="VSS129" s="212"/>
      <c r="VST129" s="212"/>
      <c r="VSU129" s="212"/>
      <c r="VSV129" s="212"/>
      <c r="VSW129" s="212"/>
      <c r="VSX129" s="212"/>
      <c r="VSY129" s="212"/>
      <c r="VSZ129" s="212"/>
      <c r="VTA129" s="212"/>
      <c r="VTB129" s="212"/>
      <c r="VTC129" s="212"/>
      <c r="VTD129" s="212"/>
      <c r="VTE129" s="212"/>
      <c r="VTF129" s="212"/>
      <c r="VTG129" s="212"/>
      <c r="VTH129" s="212"/>
      <c r="VTI129" s="212"/>
      <c r="VTJ129" s="212"/>
      <c r="VTK129" s="212"/>
      <c r="VTL129" s="212"/>
      <c r="VTM129" s="212"/>
      <c r="VTN129" s="212"/>
      <c r="VTO129" s="212"/>
      <c r="VTP129" s="212"/>
      <c r="VTQ129" s="212"/>
      <c r="VTR129" s="212"/>
      <c r="VTS129" s="212"/>
      <c r="VTT129" s="212"/>
      <c r="VTU129" s="212"/>
      <c r="VTV129" s="212"/>
      <c r="VTW129" s="212"/>
      <c r="VTX129" s="212"/>
      <c r="VTY129" s="212"/>
      <c r="VTZ129" s="212"/>
      <c r="VUA129" s="212"/>
      <c r="VUB129" s="212"/>
      <c r="VUC129" s="212"/>
      <c r="VUD129" s="212"/>
      <c r="VUE129" s="212"/>
      <c r="VUF129" s="212"/>
      <c r="VUG129" s="212"/>
      <c r="VUH129" s="212"/>
      <c r="VUI129" s="212"/>
      <c r="VUJ129" s="212"/>
      <c r="VUK129" s="212"/>
      <c r="VUL129" s="212"/>
      <c r="VUM129" s="212"/>
      <c r="VUN129" s="212"/>
      <c r="VUO129" s="212"/>
      <c r="VUP129" s="212"/>
      <c r="VUQ129" s="212"/>
      <c r="VUR129" s="212"/>
      <c r="VUS129" s="212"/>
      <c r="VUT129" s="212"/>
      <c r="VUU129" s="212"/>
      <c r="VUV129" s="212"/>
      <c r="VUW129" s="212"/>
      <c r="VUX129" s="212"/>
      <c r="VUY129" s="212"/>
      <c r="VUZ129" s="212"/>
      <c r="VVA129" s="212"/>
      <c r="VVB129" s="212"/>
      <c r="VVC129" s="212"/>
      <c r="VVD129" s="212"/>
      <c r="VVE129" s="212"/>
      <c r="VVF129" s="212"/>
      <c r="VVG129" s="212"/>
      <c r="VVH129" s="212"/>
      <c r="VVI129" s="212"/>
      <c r="VVJ129" s="212"/>
      <c r="VVK129" s="212"/>
      <c r="VVL129" s="212"/>
      <c r="VVM129" s="212"/>
      <c r="VVN129" s="212"/>
      <c r="VVO129" s="212"/>
      <c r="VVP129" s="212"/>
      <c r="VVQ129" s="212"/>
      <c r="VVR129" s="212"/>
      <c r="VVS129" s="212"/>
      <c r="VVT129" s="212"/>
      <c r="VVU129" s="212"/>
      <c r="VVV129" s="212"/>
      <c r="VVW129" s="212"/>
      <c r="VVX129" s="212"/>
      <c r="VVY129" s="212"/>
      <c r="VVZ129" s="212"/>
      <c r="VWA129" s="212"/>
      <c r="VWB129" s="212"/>
      <c r="VWC129" s="212"/>
      <c r="VWD129" s="212"/>
      <c r="VWE129" s="212"/>
      <c r="VWF129" s="212"/>
      <c r="VWG129" s="212"/>
      <c r="VWH129" s="212"/>
      <c r="VWI129" s="212"/>
      <c r="VWJ129" s="212"/>
      <c r="VWK129" s="212"/>
      <c r="VWL129" s="212"/>
      <c r="VWM129" s="212"/>
      <c r="VWN129" s="212"/>
      <c r="VWO129" s="212"/>
      <c r="VWP129" s="212"/>
      <c r="VWQ129" s="212"/>
      <c r="VWR129" s="212"/>
      <c r="VWS129" s="212"/>
      <c r="VWT129" s="212"/>
      <c r="VWU129" s="212"/>
      <c r="VWV129" s="212"/>
      <c r="VWW129" s="212"/>
      <c r="VWX129" s="212"/>
      <c r="VWY129" s="212"/>
      <c r="VWZ129" s="212"/>
      <c r="VXA129" s="212"/>
      <c r="VXB129" s="212"/>
      <c r="VXC129" s="212"/>
      <c r="VXD129" s="212"/>
      <c r="VXE129" s="212"/>
      <c r="VXF129" s="212"/>
      <c r="VXG129" s="212"/>
      <c r="VXH129" s="212"/>
      <c r="VXI129" s="212"/>
      <c r="VXJ129" s="212"/>
      <c r="VXK129" s="212"/>
      <c r="VXL129" s="212"/>
      <c r="VXM129" s="212"/>
      <c r="VXN129" s="212"/>
      <c r="VXO129" s="212"/>
      <c r="VXP129" s="212"/>
      <c r="VXQ129" s="212"/>
      <c r="VXR129" s="212"/>
      <c r="VXS129" s="212"/>
      <c r="VXT129" s="212"/>
      <c r="VXU129" s="212"/>
      <c r="VXV129" s="212"/>
      <c r="VXW129" s="212"/>
      <c r="VXX129" s="212"/>
      <c r="VXY129" s="212"/>
      <c r="VXZ129" s="212"/>
      <c r="VYA129" s="212"/>
      <c r="VYB129" s="212"/>
      <c r="VYC129" s="212"/>
      <c r="VYD129" s="212"/>
      <c r="VYE129" s="212"/>
      <c r="VYF129" s="212"/>
      <c r="VYG129" s="212"/>
      <c r="VYH129" s="212"/>
      <c r="VYI129" s="212"/>
      <c r="VYJ129" s="212"/>
      <c r="VYK129" s="212"/>
      <c r="VYL129" s="212"/>
      <c r="VYM129" s="212"/>
      <c r="VYN129" s="212"/>
      <c r="VYO129" s="212"/>
      <c r="VYP129" s="212"/>
      <c r="VYQ129" s="212"/>
      <c r="VYR129" s="212"/>
      <c r="VYS129" s="212"/>
      <c r="VYT129" s="212"/>
      <c r="VYU129" s="212"/>
      <c r="VYV129" s="212"/>
      <c r="VYW129" s="212"/>
      <c r="VYX129" s="212"/>
      <c r="VYY129" s="212"/>
      <c r="VYZ129" s="212"/>
      <c r="VZA129" s="212"/>
      <c r="VZB129" s="212"/>
      <c r="VZC129" s="212"/>
      <c r="VZD129" s="212"/>
      <c r="VZE129" s="212"/>
      <c r="VZF129" s="212"/>
      <c r="VZG129" s="212"/>
      <c r="VZH129" s="212"/>
      <c r="VZI129" s="212"/>
      <c r="VZJ129" s="212"/>
      <c r="VZK129" s="212"/>
      <c r="VZL129" s="212"/>
      <c r="VZM129" s="212"/>
      <c r="VZN129" s="212"/>
      <c r="VZO129" s="212"/>
      <c r="VZP129" s="212"/>
      <c r="VZQ129" s="212"/>
      <c r="VZR129" s="212"/>
      <c r="VZS129" s="212"/>
      <c r="VZT129" s="212"/>
      <c r="VZU129" s="212"/>
      <c r="VZV129" s="212"/>
      <c r="VZW129" s="212"/>
      <c r="VZX129" s="212"/>
      <c r="VZY129" s="212"/>
      <c r="VZZ129" s="212"/>
      <c r="WAA129" s="212"/>
      <c r="WAB129" s="212"/>
      <c r="WAC129" s="212"/>
      <c r="WAD129" s="212"/>
      <c r="WAE129" s="212"/>
      <c r="WAF129" s="212"/>
      <c r="WAG129" s="212"/>
      <c r="WAH129" s="212"/>
      <c r="WAI129" s="212"/>
      <c r="WAJ129" s="212"/>
      <c r="WAK129" s="212"/>
      <c r="WAL129" s="212"/>
      <c r="WAM129" s="212"/>
      <c r="WAN129" s="212"/>
      <c r="WAO129" s="212"/>
      <c r="WAP129" s="212"/>
      <c r="WAQ129" s="212"/>
      <c r="WAR129" s="212"/>
      <c r="WAS129" s="212"/>
      <c r="WAT129" s="212"/>
      <c r="WAU129" s="212"/>
      <c r="WAV129" s="212"/>
      <c r="WAW129" s="212"/>
      <c r="WAX129" s="212"/>
      <c r="WAY129" s="212"/>
      <c r="WAZ129" s="212"/>
      <c r="WBA129" s="212"/>
      <c r="WBB129" s="212"/>
      <c r="WBC129" s="212"/>
      <c r="WBD129" s="212"/>
      <c r="WBE129" s="212"/>
      <c r="WBF129" s="212"/>
      <c r="WBG129" s="212"/>
      <c r="WBH129" s="212"/>
      <c r="WBI129" s="212"/>
      <c r="WBJ129" s="212"/>
      <c r="WBK129" s="212"/>
      <c r="WBL129" s="212"/>
      <c r="WBM129" s="212"/>
      <c r="WBN129" s="212"/>
      <c r="WBO129" s="212"/>
      <c r="WBP129" s="212"/>
      <c r="WBQ129" s="212"/>
      <c r="WBR129" s="212"/>
      <c r="WBS129" s="212"/>
      <c r="WBT129" s="212"/>
      <c r="WBU129" s="212"/>
      <c r="WBV129" s="212"/>
      <c r="WBW129" s="212"/>
      <c r="WBX129" s="212"/>
      <c r="WBY129" s="212"/>
      <c r="WBZ129" s="212"/>
      <c r="WCA129" s="212"/>
      <c r="WCB129" s="212"/>
      <c r="WCC129" s="212"/>
      <c r="WCD129" s="212"/>
      <c r="WCE129" s="212"/>
      <c r="WCF129" s="212"/>
      <c r="WCG129" s="212"/>
      <c r="WCH129" s="212"/>
      <c r="WCI129" s="212"/>
      <c r="WCJ129" s="212"/>
      <c r="WCK129" s="212"/>
      <c r="WCL129" s="212"/>
      <c r="WCM129" s="212"/>
      <c r="WCN129" s="212"/>
      <c r="WCO129" s="212"/>
      <c r="WCP129" s="212"/>
      <c r="WCQ129" s="212"/>
      <c r="WCR129" s="212"/>
      <c r="WCS129" s="212"/>
      <c r="WCT129" s="212"/>
      <c r="WCU129" s="212"/>
      <c r="WCV129" s="212"/>
      <c r="WCW129" s="212"/>
      <c r="WCX129" s="212"/>
      <c r="WCY129" s="212"/>
      <c r="WCZ129" s="212"/>
      <c r="WDA129" s="212"/>
      <c r="WDB129" s="212"/>
      <c r="WDC129" s="212"/>
      <c r="WDD129" s="212"/>
      <c r="WDE129" s="212"/>
      <c r="WDF129" s="212"/>
      <c r="WDG129" s="212"/>
      <c r="WDH129" s="212"/>
      <c r="WDI129" s="212"/>
      <c r="WDJ129" s="212"/>
      <c r="WDK129" s="212"/>
      <c r="WDL129" s="212"/>
      <c r="WDM129" s="212"/>
      <c r="WDN129" s="212"/>
      <c r="WDO129" s="212"/>
      <c r="WDP129" s="212"/>
      <c r="WDQ129" s="212"/>
      <c r="WDR129" s="212"/>
      <c r="WDS129" s="212"/>
      <c r="WDT129" s="212"/>
      <c r="WDU129" s="212"/>
      <c r="WDV129" s="212"/>
      <c r="WDW129" s="212"/>
      <c r="WDX129" s="212"/>
      <c r="WDY129" s="212"/>
      <c r="WDZ129" s="212"/>
      <c r="WEA129" s="212"/>
      <c r="WEB129" s="212"/>
      <c r="WEC129" s="212"/>
      <c r="WED129" s="212"/>
      <c r="WEE129" s="212"/>
      <c r="WEF129" s="212"/>
      <c r="WEG129" s="212"/>
      <c r="WEH129" s="212"/>
      <c r="WEI129" s="212"/>
      <c r="WEJ129" s="212"/>
      <c r="WEK129" s="212"/>
      <c r="WEL129" s="212"/>
      <c r="WEM129" s="212"/>
      <c r="WEN129" s="212"/>
      <c r="WEO129" s="212"/>
      <c r="WEP129" s="212"/>
      <c r="WEQ129" s="212"/>
      <c r="WER129" s="212"/>
      <c r="WES129" s="212"/>
      <c r="WET129" s="212"/>
      <c r="WEU129" s="212"/>
      <c r="WEV129" s="212"/>
      <c r="WEW129" s="212"/>
      <c r="WEX129" s="212"/>
      <c r="WEY129" s="212"/>
      <c r="WEZ129" s="212"/>
      <c r="WFA129" s="212"/>
      <c r="WFB129" s="212"/>
      <c r="WFC129" s="212"/>
      <c r="WFD129" s="212"/>
      <c r="WFE129" s="212"/>
      <c r="WFF129" s="212"/>
      <c r="WFG129" s="212"/>
      <c r="WFH129" s="212"/>
      <c r="WFI129" s="212"/>
      <c r="WFJ129" s="212"/>
      <c r="WFK129" s="212"/>
      <c r="WFL129" s="212"/>
      <c r="WFM129" s="212"/>
      <c r="WFN129" s="212"/>
      <c r="WFO129" s="212"/>
      <c r="WFP129" s="212"/>
      <c r="WFQ129" s="212"/>
      <c r="WFR129" s="212"/>
      <c r="WFS129" s="212"/>
      <c r="WFT129" s="212"/>
      <c r="WFU129" s="212"/>
      <c r="WFV129" s="212"/>
      <c r="WFW129" s="212"/>
      <c r="WFX129" s="212"/>
      <c r="WFY129" s="212"/>
      <c r="WFZ129" s="212"/>
      <c r="WGA129" s="212"/>
      <c r="WGB129" s="212"/>
      <c r="WGC129" s="212"/>
      <c r="WGD129" s="212"/>
      <c r="WGE129" s="212"/>
      <c r="WGF129" s="212"/>
      <c r="WGG129" s="212"/>
      <c r="WGH129" s="212"/>
      <c r="WGI129" s="212"/>
      <c r="WGJ129" s="212"/>
      <c r="WGK129" s="212"/>
      <c r="WGL129" s="212"/>
      <c r="WGM129" s="212"/>
      <c r="WGN129" s="212"/>
      <c r="WGO129" s="212"/>
      <c r="WGP129" s="212"/>
      <c r="WGQ129" s="212"/>
      <c r="WGR129" s="212"/>
      <c r="WGS129" s="212"/>
      <c r="WGT129" s="212"/>
      <c r="WGU129" s="212"/>
      <c r="WGV129" s="212"/>
      <c r="WGW129" s="212"/>
      <c r="WGX129" s="212"/>
      <c r="WGY129" s="212"/>
      <c r="WGZ129" s="212"/>
      <c r="WHA129" s="212"/>
      <c r="WHB129" s="212"/>
      <c r="WHC129" s="212"/>
      <c r="WHD129" s="212"/>
      <c r="WHE129" s="212"/>
      <c r="WHF129" s="212"/>
      <c r="WHG129" s="212"/>
      <c r="WHH129" s="212"/>
      <c r="WHI129" s="212"/>
      <c r="WHJ129" s="212"/>
      <c r="WHK129" s="212"/>
      <c r="WHL129" s="212"/>
      <c r="WHM129" s="212"/>
      <c r="WHN129" s="212"/>
      <c r="WHO129" s="212"/>
      <c r="WHP129" s="212"/>
      <c r="WHQ129" s="212"/>
      <c r="WHR129" s="212"/>
      <c r="WHS129" s="212"/>
      <c r="WHT129" s="212"/>
      <c r="WHU129" s="212"/>
      <c r="WHV129" s="212"/>
      <c r="WHW129" s="212"/>
      <c r="WHX129" s="212"/>
      <c r="WHY129" s="212"/>
      <c r="WHZ129" s="212"/>
      <c r="WIA129" s="212"/>
      <c r="WIB129" s="212"/>
      <c r="WIC129" s="212"/>
      <c r="WID129" s="212"/>
      <c r="WIE129" s="212"/>
      <c r="WIF129" s="212"/>
      <c r="WIG129" s="212"/>
      <c r="WIH129" s="212"/>
      <c r="WII129" s="212"/>
      <c r="WIJ129" s="212"/>
      <c r="WIK129" s="212"/>
      <c r="WIL129" s="212"/>
      <c r="WIM129" s="212"/>
      <c r="WIN129" s="212"/>
      <c r="WIO129" s="212"/>
      <c r="WIP129" s="212"/>
      <c r="WIQ129" s="212"/>
      <c r="WIR129" s="212"/>
      <c r="WIS129" s="212"/>
      <c r="WIT129" s="212"/>
      <c r="WIU129" s="212"/>
      <c r="WIV129" s="212"/>
      <c r="WIW129" s="212"/>
      <c r="WIX129" s="212"/>
      <c r="WIY129" s="212"/>
      <c r="WIZ129" s="212"/>
      <c r="WJA129" s="212"/>
      <c r="WJB129" s="212"/>
      <c r="WJC129" s="212"/>
      <c r="WJD129" s="212"/>
      <c r="WJE129" s="212"/>
      <c r="WJF129" s="212"/>
      <c r="WJG129" s="212"/>
      <c r="WJH129" s="212"/>
      <c r="WJI129" s="212"/>
      <c r="WJJ129" s="212"/>
      <c r="WJK129" s="212"/>
      <c r="WJL129" s="212"/>
      <c r="WJM129" s="212"/>
      <c r="WJN129" s="212"/>
      <c r="WJO129" s="212"/>
      <c r="WJP129" s="212"/>
      <c r="WJQ129" s="212"/>
      <c r="WJR129" s="212"/>
      <c r="WJS129" s="212"/>
      <c r="WJT129" s="212"/>
      <c r="WJU129" s="212"/>
      <c r="WJV129" s="212"/>
      <c r="WJW129" s="212"/>
      <c r="WJX129" s="212"/>
      <c r="WJY129" s="212"/>
      <c r="WJZ129" s="212"/>
      <c r="WKA129" s="212"/>
      <c r="WKB129" s="212"/>
      <c r="WKC129" s="212"/>
      <c r="WKD129" s="212"/>
      <c r="WKE129" s="212"/>
      <c r="WKF129" s="212"/>
      <c r="WKG129" s="212"/>
      <c r="WKH129" s="212"/>
      <c r="WKI129" s="212"/>
      <c r="WKJ129" s="212"/>
      <c r="WKK129" s="212"/>
      <c r="WKL129" s="212"/>
      <c r="WKM129" s="212"/>
      <c r="WKN129" s="212"/>
      <c r="WKO129" s="212"/>
      <c r="WKP129" s="212"/>
      <c r="WKQ129" s="212"/>
      <c r="WKR129" s="212"/>
      <c r="WKS129" s="212"/>
      <c r="WKT129" s="212"/>
      <c r="WKU129" s="212"/>
      <c r="WKV129" s="212"/>
      <c r="WKW129" s="212"/>
      <c r="WKX129" s="212"/>
      <c r="WKY129" s="212"/>
      <c r="WKZ129" s="212"/>
      <c r="WLA129" s="212"/>
      <c r="WLB129" s="212"/>
      <c r="WLC129" s="212"/>
      <c r="WLD129" s="212"/>
      <c r="WLE129" s="212"/>
      <c r="WLF129" s="212"/>
      <c r="WLG129" s="212"/>
      <c r="WLH129" s="212"/>
      <c r="WLI129" s="212"/>
      <c r="WLJ129" s="212"/>
      <c r="WLK129" s="212"/>
      <c r="WLL129" s="212"/>
      <c r="WLM129" s="212"/>
      <c r="WLN129" s="212"/>
      <c r="WLO129" s="212"/>
      <c r="WLP129" s="212"/>
      <c r="WLQ129" s="212"/>
      <c r="WLR129" s="212"/>
      <c r="WLS129" s="212"/>
      <c r="WLT129" s="212"/>
      <c r="WLU129" s="212"/>
      <c r="WLV129" s="212"/>
      <c r="WLW129" s="212"/>
      <c r="WLX129" s="212"/>
      <c r="WLY129" s="212"/>
      <c r="WLZ129" s="212"/>
      <c r="WMA129" s="212"/>
      <c r="WMB129" s="212"/>
      <c r="WMC129" s="212"/>
      <c r="WMD129" s="212"/>
      <c r="WME129" s="212"/>
      <c r="WMF129" s="212"/>
      <c r="WMG129" s="212"/>
      <c r="WMH129" s="212"/>
      <c r="WMI129" s="212"/>
      <c r="WMJ129" s="212"/>
      <c r="WMK129" s="212"/>
      <c r="WML129" s="212"/>
      <c r="WMM129" s="212"/>
      <c r="WMN129" s="212"/>
      <c r="WMO129" s="212"/>
      <c r="WMP129" s="212"/>
      <c r="WMQ129" s="212"/>
      <c r="WMR129" s="212"/>
      <c r="WMS129" s="212"/>
      <c r="WMT129" s="212"/>
      <c r="WMU129" s="212"/>
      <c r="WMV129" s="212"/>
      <c r="WMW129" s="212"/>
      <c r="WMX129" s="212"/>
      <c r="WMY129" s="212"/>
      <c r="WMZ129" s="212"/>
      <c r="WNA129" s="212"/>
      <c r="WNB129" s="212"/>
      <c r="WNC129" s="212"/>
      <c r="WND129" s="212"/>
      <c r="WNE129" s="212"/>
      <c r="WNF129" s="212"/>
      <c r="WNG129" s="212"/>
      <c r="WNH129" s="212"/>
      <c r="WNI129" s="212"/>
      <c r="WNJ129" s="212"/>
      <c r="WNK129" s="212"/>
      <c r="WNL129" s="212"/>
      <c r="WNM129" s="212"/>
      <c r="WNN129" s="212"/>
      <c r="WNO129" s="212"/>
      <c r="WNP129" s="212"/>
      <c r="WNQ129" s="212"/>
      <c r="WNR129" s="212"/>
      <c r="WNS129" s="212"/>
      <c r="WNT129" s="212"/>
      <c r="WNU129" s="212"/>
      <c r="WNV129" s="212"/>
      <c r="WNW129" s="212"/>
      <c r="WNX129" s="212"/>
      <c r="WNY129" s="212"/>
      <c r="WNZ129" s="212"/>
      <c r="WOA129" s="212"/>
      <c r="WOB129" s="212"/>
      <c r="WOC129" s="212"/>
      <c r="WOD129" s="212"/>
      <c r="WOE129" s="212"/>
      <c r="WOF129" s="212"/>
      <c r="WOG129" s="212"/>
      <c r="WOH129" s="212"/>
      <c r="WOI129" s="212"/>
      <c r="WOJ129" s="212"/>
      <c r="WOK129" s="212"/>
      <c r="WOL129" s="212"/>
      <c r="WOM129" s="212"/>
      <c r="WON129" s="212"/>
      <c r="WOO129" s="212"/>
      <c r="WOP129" s="212"/>
      <c r="WOQ129" s="212"/>
      <c r="WOR129" s="212"/>
      <c r="WOS129" s="212"/>
      <c r="WOT129" s="212"/>
      <c r="WOU129" s="212"/>
      <c r="WOV129" s="212"/>
      <c r="WOW129" s="212"/>
      <c r="WOX129" s="212"/>
      <c r="WOY129" s="212"/>
      <c r="WOZ129" s="212"/>
      <c r="WPA129" s="212"/>
      <c r="WPB129" s="212"/>
      <c r="WPC129" s="212"/>
      <c r="WPD129" s="212"/>
      <c r="WPE129" s="212"/>
      <c r="WPF129" s="212"/>
      <c r="WPG129" s="212"/>
      <c r="WPH129" s="212"/>
      <c r="WPI129" s="212"/>
      <c r="WPJ129" s="212"/>
      <c r="WPK129" s="212"/>
      <c r="WPL129" s="212"/>
      <c r="WPM129" s="212"/>
      <c r="WPN129" s="212"/>
      <c r="WPO129" s="212"/>
      <c r="WPP129" s="212"/>
      <c r="WPQ129" s="212"/>
      <c r="WPR129" s="212"/>
      <c r="WPS129" s="212"/>
      <c r="WPT129" s="212"/>
      <c r="WPU129" s="212"/>
      <c r="WPV129" s="212"/>
      <c r="WPW129" s="212"/>
      <c r="WPX129" s="212"/>
      <c r="WPY129" s="212"/>
      <c r="WPZ129" s="212"/>
      <c r="WQA129" s="212"/>
      <c r="WQB129" s="212"/>
      <c r="WQC129" s="212"/>
      <c r="WQD129" s="212"/>
      <c r="WQE129" s="212"/>
      <c r="WQF129" s="212"/>
      <c r="WQG129" s="212"/>
      <c r="WQH129" s="212"/>
      <c r="WQI129" s="212"/>
      <c r="WQJ129" s="212"/>
      <c r="WQK129" s="212"/>
      <c r="WQL129" s="212"/>
      <c r="WQM129" s="212"/>
      <c r="WQN129" s="212"/>
      <c r="WQO129" s="212"/>
      <c r="WQP129" s="212"/>
      <c r="WQQ129" s="212"/>
      <c r="WQR129" s="212"/>
      <c r="WQS129" s="212"/>
      <c r="WQT129" s="212"/>
      <c r="WQU129" s="212"/>
      <c r="WQV129" s="212"/>
      <c r="WQW129" s="212"/>
      <c r="WQX129" s="212"/>
      <c r="WQY129" s="212"/>
      <c r="WQZ129" s="212"/>
      <c r="WRA129" s="212"/>
      <c r="WRB129" s="212"/>
      <c r="WRC129" s="212"/>
      <c r="WRD129" s="212"/>
      <c r="WRE129" s="212"/>
      <c r="WRF129" s="212"/>
      <c r="WRG129" s="212"/>
      <c r="WRH129" s="212"/>
      <c r="WRI129" s="212"/>
      <c r="WRJ129" s="212"/>
      <c r="WRK129" s="212"/>
      <c r="WRL129" s="212"/>
      <c r="WRM129" s="212"/>
      <c r="WRN129" s="212"/>
      <c r="WRO129" s="212"/>
      <c r="WRP129" s="212"/>
      <c r="WRQ129" s="212"/>
      <c r="WRR129" s="212"/>
      <c r="WRS129" s="212"/>
      <c r="WRT129" s="212"/>
      <c r="WRU129" s="212"/>
      <c r="WRV129" s="212"/>
      <c r="WRW129" s="212"/>
      <c r="WRX129" s="212"/>
      <c r="WRY129" s="212"/>
      <c r="WRZ129" s="212"/>
      <c r="WSA129" s="212"/>
      <c r="WSB129" s="212"/>
      <c r="WSC129" s="212"/>
      <c r="WSD129" s="212"/>
      <c r="WSE129" s="212"/>
      <c r="WSF129" s="212"/>
      <c r="WSG129" s="212"/>
      <c r="WSH129" s="212"/>
      <c r="WSI129" s="212"/>
      <c r="WSJ129" s="212"/>
      <c r="WSK129" s="212"/>
      <c r="WSL129" s="212"/>
      <c r="WSM129" s="212"/>
      <c r="WSN129" s="212"/>
      <c r="WSO129" s="212"/>
      <c r="WSP129" s="212"/>
      <c r="WSQ129" s="212"/>
      <c r="WSR129" s="212"/>
      <c r="WSS129" s="212"/>
      <c r="WST129" s="212"/>
      <c r="WSU129" s="212"/>
      <c r="WSV129" s="212"/>
      <c r="WSW129" s="212"/>
      <c r="WSX129" s="212"/>
      <c r="WSY129" s="212"/>
      <c r="WSZ129" s="212"/>
      <c r="WTA129" s="212"/>
      <c r="WTB129" s="212"/>
      <c r="WTC129" s="212"/>
      <c r="WTD129" s="212"/>
      <c r="WTE129" s="212"/>
      <c r="WTF129" s="212"/>
      <c r="WTG129" s="212"/>
      <c r="WTH129" s="212"/>
      <c r="WTI129" s="212"/>
      <c r="WTJ129" s="212"/>
      <c r="WTK129" s="212"/>
      <c r="WTL129" s="212"/>
      <c r="WTM129" s="212"/>
      <c r="WTN129" s="212"/>
      <c r="WTO129" s="212"/>
      <c r="WTP129" s="212"/>
      <c r="WTQ129" s="212"/>
      <c r="WTR129" s="212"/>
      <c r="WTS129" s="212"/>
      <c r="WTT129" s="212"/>
      <c r="WTU129" s="212"/>
      <c r="WTV129" s="212"/>
      <c r="WTW129" s="212"/>
      <c r="WTX129" s="212"/>
      <c r="WTY129" s="212"/>
      <c r="WTZ129" s="212"/>
      <c r="WUA129" s="212"/>
      <c r="WUB129" s="212"/>
      <c r="WUC129" s="212"/>
      <c r="WUD129" s="212"/>
      <c r="WUE129" s="212"/>
      <c r="WUF129" s="212"/>
      <c r="WUG129" s="212"/>
      <c r="WUH129" s="212"/>
      <c r="WUI129" s="212"/>
      <c r="WUJ129" s="212"/>
      <c r="WUK129" s="212"/>
      <c r="WUL129" s="212"/>
      <c r="WUM129" s="212"/>
      <c r="WUN129" s="212"/>
      <c r="WUO129" s="212"/>
      <c r="WUP129" s="212"/>
      <c r="WUQ129" s="212"/>
      <c r="WUR129" s="212"/>
      <c r="WUS129" s="212"/>
      <c r="WUT129" s="212"/>
      <c r="WUU129" s="212"/>
      <c r="WUV129" s="212"/>
      <c r="WUW129" s="212"/>
      <c r="WUX129" s="212"/>
      <c r="WUY129" s="212"/>
      <c r="WUZ129" s="212"/>
      <c r="WVA129" s="212"/>
      <c r="WVB129" s="212"/>
      <c r="WVC129" s="212"/>
      <c r="WVD129" s="212"/>
      <c r="WVE129" s="212"/>
      <c r="WVF129" s="212"/>
      <c r="WVG129" s="212"/>
      <c r="WVH129" s="212"/>
      <c r="WVI129" s="212"/>
      <c r="WVJ129" s="212"/>
      <c r="WVK129" s="212"/>
      <c r="WVL129" s="212"/>
      <c r="WVM129" s="212"/>
      <c r="WVN129" s="212"/>
      <c r="WVO129" s="212"/>
      <c r="WVP129" s="212"/>
      <c r="WVQ129" s="212"/>
      <c r="WVR129" s="212"/>
      <c r="WVS129" s="212"/>
      <c r="WVT129" s="212"/>
      <c r="WVU129" s="212"/>
      <c r="WVV129" s="212"/>
      <c r="WVW129" s="212"/>
      <c r="WVX129" s="212"/>
      <c r="WVY129" s="212"/>
      <c r="WVZ129" s="212"/>
      <c r="WWA129" s="212"/>
      <c r="WWB129" s="212"/>
      <c r="WWC129" s="212"/>
      <c r="WWD129" s="212"/>
      <c r="WWE129" s="212"/>
      <c r="WWF129" s="212"/>
      <c r="WWG129" s="212"/>
      <c r="WWH129" s="212"/>
      <c r="WWI129" s="212"/>
      <c r="WWJ129" s="212"/>
      <c r="WWK129" s="212"/>
      <c r="WWL129" s="212"/>
      <c r="WWM129" s="212"/>
      <c r="WWN129" s="212"/>
      <c r="WWO129" s="212"/>
      <c r="WWP129" s="212"/>
      <c r="WWQ129" s="212"/>
      <c r="WWR129" s="212"/>
      <c r="WWS129" s="212"/>
      <c r="WWT129" s="212"/>
      <c r="WWU129" s="212"/>
      <c r="WWV129" s="212"/>
      <c r="WWW129" s="212"/>
      <c r="WWX129" s="212"/>
      <c r="WWY129" s="212"/>
      <c r="WWZ129" s="212"/>
      <c r="WXA129" s="212"/>
      <c r="WXB129" s="212"/>
      <c r="WXC129" s="212"/>
      <c r="WXD129" s="212"/>
      <c r="WXE129" s="212"/>
      <c r="WXF129" s="212"/>
      <c r="WXG129" s="212"/>
      <c r="WXH129" s="212"/>
      <c r="WXI129" s="212"/>
      <c r="WXJ129" s="212"/>
      <c r="WXK129" s="212"/>
      <c r="WXL129" s="212"/>
      <c r="WXM129" s="212"/>
      <c r="WXN129" s="212"/>
      <c r="WXO129" s="212"/>
      <c r="WXP129" s="212"/>
      <c r="WXQ129" s="212"/>
      <c r="WXR129" s="212"/>
      <c r="WXS129" s="212"/>
      <c r="WXT129" s="212"/>
      <c r="WXU129" s="212"/>
      <c r="WXV129" s="212"/>
      <c r="WXW129" s="212"/>
      <c r="WXX129" s="212"/>
      <c r="WXY129" s="212"/>
      <c r="WXZ129" s="212"/>
      <c r="WYA129" s="212"/>
      <c r="WYB129" s="212"/>
      <c r="WYC129" s="212"/>
      <c r="WYD129" s="212"/>
      <c r="WYE129" s="212"/>
      <c r="WYF129" s="212"/>
      <c r="WYG129" s="212"/>
      <c r="WYH129" s="212"/>
      <c r="WYI129" s="212"/>
      <c r="WYJ129" s="212"/>
      <c r="WYK129" s="212"/>
      <c r="WYL129" s="212"/>
      <c r="WYM129" s="212"/>
      <c r="WYN129" s="212"/>
      <c r="WYO129" s="212"/>
      <c r="WYP129" s="212"/>
      <c r="WYQ129" s="212"/>
      <c r="WYR129" s="212"/>
      <c r="WYS129" s="212"/>
      <c r="WYT129" s="212"/>
      <c r="WYU129" s="212"/>
      <c r="WYV129" s="212"/>
      <c r="WYW129" s="212"/>
      <c r="WYX129" s="212"/>
      <c r="WYY129" s="212"/>
      <c r="WYZ129" s="212"/>
      <c r="WZA129" s="212"/>
      <c r="WZB129" s="212"/>
      <c r="WZC129" s="212"/>
      <c r="WZD129" s="212"/>
      <c r="WZE129" s="212"/>
      <c r="WZF129" s="212"/>
      <c r="WZG129" s="212"/>
      <c r="WZH129" s="212"/>
      <c r="WZI129" s="212"/>
      <c r="WZJ129" s="212"/>
      <c r="WZK129" s="212"/>
      <c r="WZL129" s="212"/>
      <c r="WZM129" s="212"/>
      <c r="WZN129" s="212"/>
      <c r="WZO129" s="212"/>
      <c r="WZP129" s="212"/>
      <c r="WZQ129" s="212"/>
      <c r="WZR129" s="212"/>
      <c r="WZS129" s="212"/>
      <c r="WZT129" s="212"/>
      <c r="WZU129" s="212"/>
      <c r="WZV129" s="212"/>
      <c r="WZW129" s="212"/>
      <c r="WZX129" s="212"/>
      <c r="WZY129" s="212"/>
      <c r="WZZ129" s="212"/>
      <c r="XAA129" s="212"/>
      <c r="XAB129" s="212"/>
      <c r="XAC129" s="212"/>
      <c r="XAD129" s="212"/>
      <c r="XAE129" s="212"/>
      <c r="XAF129" s="212"/>
      <c r="XAG129" s="212"/>
      <c r="XAH129" s="212"/>
      <c r="XAI129" s="212"/>
      <c r="XAJ129" s="212"/>
      <c r="XAK129" s="212"/>
      <c r="XAL129" s="212"/>
      <c r="XAM129" s="212"/>
      <c r="XAN129" s="212"/>
      <c r="XAO129" s="212"/>
      <c r="XAP129" s="212"/>
      <c r="XAQ129" s="212"/>
      <c r="XAR129" s="212"/>
      <c r="XAS129" s="212"/>
      <c r="XAT129" s="212"/>
      <c r="XAU129" s="212"/>
      <c r="XAV129" s="212"/>
      <c r="XAW129" s="212"/>
      <c r="XAX129" s="212"/>
      <c r="XAY129" s="212"/>
      <c r="XAZ129" s="212"/>
      <c r="XBA129" s="212"/>
      <c r="XBB129" s="212"/>
      <c r="XBC129" s="212"/>
      <c r="XBD129" s="212"/>
      <c r="XBE129" s="212"/>
      <c r="XBF129" s="212"/>
      <c r="XBG129" s="212"/>
      <c r="XBH129" s="212"/>
      <c r="XBI129" s="212"/>
      <c r="XBJ129" s="212"/>
      <c r="XBK129" s="212"/>
      <c r="XBL129" s="212"/>
      <c r="XBM129" s="212"/>
      <c r="XBN129" s="212"/>
      <c r="XBO129" s="212"/>
      <c r="XBP129" s="212"/>
      <c r="XBQ129" s="212"/>
      <c r="XBR129" s="212"/>
      <c r="XBS129" s="212"/>
      <c r="XBT129" s="212"/>
      <c r="XBU129" s="212"/>
      <c r="XBV129" s="212"/>
      <c r="XBW129" s="212"/>
      <c r="XBX129" s="212"/>
      <c r="XBY129" s="212"/>
      <c r="XBZ129" s="212"/>
      <c r="XCA129" s="212"/>
      <c r="XCB129" s="212"/>
      <c r="XCC129" s="212"/>
      <c r="XCD129" s="212"/>
      <c r="XCE129" s="212"/>
      <c r="XCF129" s="212"/>
      <c r="XCG129" s="212"/>
      <c r="XCH129" s="212"/>
      <c r="XCI129" s="212"/>
      <c r="XCJ129" s="212"/>
      <c r="XCK129" s="212"/>
      <c r="XCL129" s="212"/>
      <c r="XCM129" s="212"/>
      <c r="XCN129" s="212"/>
      <c r="XCO129" s="212"/>
      <c r="XCP129" s="212"/>
      <c r="XCQ129" s="212"/>
      <c r="XCR129" s="212"/>
      <c r="XCS129" s="212"/>
      <c r="XCT129" s="212"/>
      <c r="XCU129" s="212"/>
      <c r="XCV129" s="212"/>
      <c r="XCW129" s="212"/>
      <c r="XCX129" s="212"/>
      <c r="XCY129" s="212"/>
      <c r="XCZ129" s="212"/>
      <c r="XDA129" s="212"/>
      <c r="XDB129" s="212"/>
      <c r="XDC129" s="212"/>
      <c r="XDD129" s="212"/>
      <c r="XDE129" s="212"/>
      <c r="XDF129" s="212"/>
      <c r="XDG129" s="212"/>
      <c r="XDH129" s="212"/>
      <c r="XDI129" s="212"/>
      <c r="XDJ129" s="212"/>
      <c r="XDK129" s="212"/>
      <c r="XDL129" s="212"/>
      <c r="XDM129" s="212"/>
      <c r="XDN129" s="212"/>
      <c r="XDO129" s="212"/>
      <c r="XDP129" s="212"/>
      <c r="XDQ129" s="212"/>
      <c r="XDR129" s="212"/>
      <c r="XDS129" s="212"/>
      <c r="XDT129" s="212"/>
      <c r="XDU129" s="212"/>
      <c r="XDV129" s="212"/>
      <c r="XDW129" s="212"/>
      <c r="XDX129" s="212"/>
      <c r="XDY129" s="212"/>
      <c r="XDZ129" s="212"/>
      <c r="XEA129" s="212"/>
      <c r="XEB129" s="212"/>
      <c r="XEC129" s="212"/>
      <c r="XED129" s="212"/>
      <c r="XEE129" s="212"/>
      <c r="XEF129" s="212"/>
      <c r="XEG129" s="212"/>
      <c r="XEH129" s="212"/>
      <c r="XEI129" s="212"/>
      <c r="XEJ129" s="212"/>
      <c r="XEK129" s="212"/>
      <c r="XEL129" s="212"/>
      <c r="XEM129" s="212"/>
      <c r="XEN129" s="212"/>
      <c r="XEO129" s="212"/>
      <c r="XEP129" s="212"/>
      <c r="XEQ129" s="212"/>
      <c r="XER129" s="212"/>
      <c r="XES129" s="212"/>
      <c r="XET129" s="212"/>
      <c r="XEU129" s="212"/>
      <c r="XEV129" s="212"/>
      <c r="XEW129" s="212"/>
      <c r="XEX129" s="212"/>
      <c r="XEY129" s="212"/>
      <c r="XEZ129" s="212"/>
      <c r="XFA129" s="212"/>
      <c r="XFB129" s="212"/>
      <c r="XFC129" s="196"/>
    </row>
    <row r="130" spans="1:16383" x14ac:dyDescent="0.35">
      <c r="A130" s="191">
        <v>44015</v>
      </c>
      <c r="B130" s="208">
        <v>99.896250000000009</v>
      </c>
      <c r="C130" s="209">
        <v>6.5299999999999997E-2</v>
      </c>
      <c r="D130" s="208">
        <v>98.710000000000008</v>
      </c>
      <c r="E130" s="209">
        <v>7.1800000000000003E-2</v>
      </c>
      <c r="F130" s="210">
        <v>98.99</v>
      </c>
      <c r="G130" s="209">
        <v>7.6200000000000004E-2</v>
      </c>
      <c r="H130" s="210">
        <v>98.63000000000001</v>
      </c>
      <c r="I130" s="209">
        <v>7.640000000000001E-2</v>
      </c>
      <c r="J130" s="196"/>
    </row>
    <row r="131" spans="1:16383" x14ac:dyDescent="0.35">
      <c r="A131" s="191">
        <v>44018</v>
      </c>
      <c r="B131" s="213">
        <v>99.963750000000005</v>
      </c>
      <c r="C131" s="214">
        <v>6.5100000000000005E-2</v>
      </c>
      <c r="D131" s="213">
        <v>98.62</v>
      </c>
      <c r="E131" s="214">
        <v>7.2000000000000008E-2</v>
      </c>
      <c r="F131" s="215">
        <v>99.04</v>
      </c>
      <c r="G131" s="214">
        <v>7.6100000000000001E-2</v>
      </c>
      <c r="H131" s="215">
        <v>98.64</v>
      </c>
      <c r="I131" s="214">
        <v>7.640000000000001E-2</v>
      </c>
    </row>
    <row r="132" spans="1:16383" x14ac:dyDescent="0.35">
      <c r="A132" s="191">
        <v>44019</v>
      </c>
      <c r="B132" s="216">
        <v>100.22625000000002</v>
      </c>
      <c r="C132" s="217">
        <v>6.4500000000000002E-2</v>
      </c>
      <c r="D132" s="213">
        <v>99.18</v>
      </c>
      <c r="E132" s="217">
        <v>7.1199999999999999E-2</v>
      </c>
      <c r="F132" s="216">
        <v>99.300000000000011</v>
      </c>
      <c r="G132" s="214">
        <v>7.5800000000000006E-2</v>
      </c>
      <c r="H132" s="216">
        <v>99.04</v>
      </c>
      <c r="I132" s="214">
        <v>7.5999999999999998E-2</v>
      </c>
    </row>
    <row r="133" spans="1:16383" x14ac:dyDescent="0.35">
      <c r="A133" s="191">
        <v>44020</v>
      </c>
      <c r="B133" s="216">
        <v>100.27375000000001</v>
      </c>
      <c r="C133" s="217">
        <v>6.4399999999999999E-2</v>
      </c>
      <c r="D133" s="213">
        <v>99.27</v>
      </c>
      <c r="E133" s="217">
        <v>7.1000000000000008E-2</v>
      </c>
      <c r="F133" s="218">
        <v>99.29</v>
      </c>
      <c r="G133" s="217">
        <v>7.5800000000000006E-2</v>
      </c>
      <c r="H133" s="218">
        <v>99.06</v>
      </c>
      <c r="I133" s="214">
        <v>7.5999999999999998E-2</v>
      </c>
    </row>
    <row r="134" spans="1:16383" x14ac:dyDescent="0.35">
      <c r="A134" s="191">
        <v>44021</v>
      </c>
      <c r="B134" s="216">
        <v>100.41499999999999</v>
      </c>
      <c r="C134" s="217">
        <v>6.4000000000000001E-2</v>
      </c>
      <c r="D134" s="216">
        <v>99.47</v>
      </c>
      <c r="E134" s="217">
        <v>7.0800000000000002E-2</v>
      </c>
      <c r="F134" s="216">
        <v>99.52000000000001</v>
      </c>
      <c r="G134" s="217">
        <v>7.5600000000000001E-2</v>
      </c>
      <c r="H134" s="216">
        <v>99.14</v>
      </c>
      <c r="I134" s="217">
        <v>7.5900000000000009E-2</v>
      </c>
    </row>
    <row r="135" spans="1:16383" x14ac:dyDescent="0.35">
      <c r="A135" s="191">
        <v>44022</v>
      </c>
      <c r="B135" s="216">
        <v>100.55500000000001</v>
      </c>
      <c r="C135" s="217">
        <v>6.3700000000000007E-2</v>
      </c>
      <c r="D135" s="216">
        <v>99.6</v>
      </c>
      <c r="E135" s="217">
        <v>7.0599999999999996E-2</v>
      </c>
      <c r="F135" s="216">
        <v>99.67</v>
      </c>
      <c r="G135" s="217">
        <v>7.5400000000000009E-2</v>
      </c>
      <c r="H135" s="216">
        <v>99.25</v>
      </c>
      <c r="I135" s="217">
        <v>7.5800000000000006E-2</v>
      </c>
    </row>
    <row r="136" spans="1:16383" x14ac:dyDescent="0.35">
      <c r="A136" s="191">
        <v>44025</v>
      </c>
      <c r="B136" s="216">
        <v>100.74625</v>
      </c>
      <c r="C136" s="217">
        <v>6.3200000000000006E-2</v>
      </c>
      <c r="D136" s="216">
        <v>99.660000000000011</v>
      </c>
      <c r="E136" s="217">
        <v>7.0500000000000007E-2</v>
      </c>
      <c r="F136" s="216">
        <v>99.62</v>
      </c>
      <c r="G136" s="217">
        <v>7.5499999999999998E-2</v>
      </c>
      <c r="H136" s="216">
        <v>99.440000000000012</v>
      </c>
      <c r="I136" s="217">
        <v>7.5600000000000001E-2</v>
      </c>
    </row>
    <row r="137" spans="1:16383" x14ac:dyDescent="0.35">
      <c r="A137" s="191">
        <v>44026</v>
      </c>
      <c r="B137" s="216">
        <v>100.76999999999998</v>
      </c>
      <c r="C137" s="217">
        <v>6.3200000000000006E-2</v>
      </c>
      <c r="D137" s="216">
        <v>99.65</v>
      </c>
      <c r="E137" s="217">
        <v>7.0500000000000007E-2</v>
      </c>
      <c r="F137" s="216">
        <v>99.58</v>
      </c>
      <c r="G137" s="217">
        <v>7.5499999999999998E-2</v>
      </c>
      <c r="H137" s="216">
        <v>99.300000000000011</v>
      </c>
      <c r="I137" s="217">
        <v>7.5700000000000003E-2</v>
      </c>
    </row>
    <row r="138" spans="1:16383" x14ac:dyDescent="0.35">
      <c r="A138" s="191">
        <v>44027</v>
      </c>
      <c r="B138" s="216">
        <v>100.84125</v>
      </c>
      <c r="C138" s="217">
        <v>6.3E-2</v>
      </c>
      <c r="D138" s="216">
        <v>99.63000000000001</v>
      </c>
      <c r="E138" s="217">
        <v>7.0500000000000007E-2</v>
      </c>
      <c r="F138" s="216">
        <v>99.72</v>
      </c>
      <c r="G138" s="217">
        <v>7.5400000000000009E-2</v>
      </c>
      <c r="H138" s="216">
        <v>99.4</v>
      </c>
      <c r="I138" s="217">
        <v>7.5600000000000001E-2</v>
      </c>
    </row>
    <row r="139" spans="1:16383" x14ac:dyDescent="0.35">
      <c r="A139" s="191">
        <v>44028</v>
      </c>
      <c r="B139" s="216">
        <v>100.995</v>
      </c>
      <c r="C139" s="217">
        <v>6.2600000000000003E-2</v>
      </c>
      <c r="D139" s="216">
        <v>99.9</v>
      </c>
      <c r="E139" s="217">
        <v>7.0199999999999999E-2</v>
      </c>
      <c r="F139" s="216">
        <v>99.97</v>
      </c>
      <c r="G139" s="217">
        <v>7.51E-2</v>
      </c>
      <c r="H139" s="216">
        <v>99.76</v>
      </c>
      <c r="I139" s="217">
        <v>7.5300000000000006E-2</v>
      </c>
    </row>
    <row r="140" spans="1:16383" x14ac:dyDescent="0.35">
      <c r="A140" s="191">
        <v>44029</v>
      </c>
      <c r="B140" s="216">
        <v>101.08874999999999</v>
      </c>
      <c r="C140" s="217">
        <v>6.2400000000000004E-2</v>
      </c>
      <c r="D140" s="216">
        <v>99.81</v>
      </c>
      <c r="E140" s="217">
        <v>7.0300000000000001E-2</v>
      </c>
      <c r="F140" s="216">
        <v>100.09</v>
      </c>
      <c r="G140" s="217">
        <v>7.4900000000000008E-2</v>
      </c>
      <c r="H140" s="216">
        <v>99.710000000000008</v>
      </c>
      <c r="I140" s="217">
        <v>7.5300000000000006E-2</v>
      </c>
    </row>
    <row r="141" spans="1:16383" x14ac:dyDescent="0.35">
      <c r="A141" s="191">
        <v>44032</v>
      </c>
      <c r="B141" s="216">
        <v>100.95875000000001</v>
      </c>
      <c r="C141" s="217">
        <v>6.2700000000000006E-2</v>
      </c>
      <c r="D141" s="216">
        <v>99.660000000000011</v>
      </c>
      <c r="E141" s="217">
        <v>7.0500000000000007E-2</v>
      </c>
      <c r="F141" s="216">
        <v>99.960000000000008</v>
      </c>
      <c r="G141" s="217">
        <v>7.51E-2</v>
      </c>
      <c r="H141" s="216">
        <v>99.63000000000001</v>
      </c>
      <c r="I141" s="217">
        <v>7.5400000000000009E-2</v>
      </c>
    </row>
    <row r="142" spans="1:16383" x14ac:dyDescent="0.35">
      <c r="A142" s="191">
        <v>44033</v>
      </c>
      <c r="B142" s="216">
        <v>100.87749999999997</v>
      </c>
      <c r="C142" s="217">
        <v>6.2899999999999998E-2</v>
      </c>
      <c r="D142" s="216">
        <v>99.77</v>
      </c>
      <c r="E142" s="217">
        <v>7.0400000000000004E-2</v>
      </c>
      <c r="F142" s="216">
        <v>100.17</v>
      </c>
      <c r="G142" s="217">
        <v>7.4800000000000005E-2</v>
      </c>
      <c r="H142" s="216">
        <v>99.72</v>
      </c>
      <c r="I142" s="217">
        <v>7.5300000000000006E-2</v>
      </c>
    </row>
    <row r="143" spans="1:16383" x14ac:dyDescent="0.35">
      <c r="A143" s="191">
        <v>44034</v>
      </c>
      <c r="B143" s="216">
        <v>101.4</v>
      </c>
      <c r="C143" s="217">
        <v>6.1700000000000005E-2</v>
      </c>
      <c r="D143" s="216">
        <v>100.5</v>
      </c>
      <c r="E143" s="217">
        <v>6.93E-2</v>
      </c>
      <c r="F143" s="216">
        <v>100.6</v>
      </c>
      <c r="G143" s="217">
        <v>7.4400000000000008E-2</v>
      </c>
      <c r="H143" s="216">
        <v>100.42</v>
      </c>
      <c r="I143" s="217">
        <v>7.46E-2</v>
      </c>
    </row>
    <row r="144" spans="1:16383" x14ac:dyDescent="0.35">
      <c r="A144" s="191">
        <v>44035</v>
      </c>
      <c r="B144" s="216">
        <v>101.79625</v>
      </c>
      <c r="C144" s="217">
        <v>6.0700000000000004E-2</v>
      </c>
      <c r="D144" s="216">
        <v>100.77000000000001</v>
      </c>
      <c r="E144" s="217">
        <v>6.9000000000000006E-2</v>
      </c>
      <c r="F144" s="216">
        <v>101.60000000000001</v>
      </c>
      <c r="G144" s="217">
        <v>7.3300000000000004E-2</v>
      </c>
      <c r="H144" s="216">
        <v>100.97</v>
      </c>
      <c r="I144" s="217">
        <v>7.4099999999999999E-2</v>
      </c>
    </row>
    <row r="145" spans="1:9" x14ac:dyDescent="0.35">
      <c r="A145" s="191">
        <v>44036</v>
      </c>
      <c r="B145" s="216">
        <v>102.4025</v>
      </c>
      <c r="C145" s="217">
        <v>5.9300000000000005E-2</v>
      </c>
      <c r="D145" s="216">
        <v>101.39</v>
      </c>
      <c r="E145" s="217">
        <v>6.8100000000000008E-2</v>
      </c>
      <c r="F145" s="216">
        <v>101.82000000000001</v>
      </c>
      <c r="G145" s="217">
        <v>7.3000000000000009E-2</v>
      </c>
      <c r="H145" s="216">
        <v>101.18</v>
      </c>
      <c r="I145" s="217">
        <v>7.3900000000000007E-2</v>
      </c>
    </row>
    <row r="146" spans="1:9" x14ac:dyDescent="0.35">
      <c r="A146" s="191">
        <v>44039</v>
      </c>
      <c r="B146" s="216">
        <v>102.05125</v>
      </c>
      <c r="C146" s="219">
        <v>6.0100000000000001E-2</v>
      </c>
      <c r="D146" s="216">
        <v>101.11</v>
      </c>
      <c r="E146" s="219">
        <v>6.8500000000000005E-2</v>
      </c>
      <c r="F146" s="216">
        <v>101.46000000000001</v>
      </c>
      <c r="G146" s="219">
        <v>7.3400000000000007E-2</v>
      </c>
      <c r="H146" s="216">
        <v>100.89</v>
      </c>
      <c r="I146" s="219">
        <v>7.4200000000000002E-2</v>
      </c>
    </row>
    <row r="147" spans="1:9" x14ac:dyDescent="0.35">
      <c r="A147" s="191">
        <v>44040</v>
      </c>
      <c r="B147" s="216">
        <v>102.15249999999999</v>
      </c>
      <c r="C147" s="219">
        <v>5.9900000000000002E-2</v>
      </c>
      <c r="D147" s="216">
        <v>101.24000000000001</v>
      </c>
      <c r="E147" s="219">
        <v>6.83E-2</v>
      </c>
      <c r="F147" s="216">
        <v>101.79</v>
      </c>
      <c r="G147" s="219">
        <v>7.3000000000000009E-2</v>
      </c>
      <c r="H147" s="216">
        <v>100.88000000000001</v>
      </c>
      <c r="I147" s="219">
        <v>7.4200000000000002E-2</v>
      </c>
    </row>
    <row r="148" spans="1:9" x14ac:dyDescent="0.35">
      <c r="A148" s="191">
        <v>44041</v>
      </c>
      <c r="B148" s="216">
        <v>102.41000000000003</v>
      </c>
      <c r="C148" s="219">
        <v>5.9300000000000005E-2</v>
      </c>
      <c r="D148" s="216">
        <v>101.4</v>
      </c>
      <c r="E148" s="219">
        <v>6.8100000000000008E-2</v>
      </c>
      <c r="F148" s="216">
        <v>102.27</v>
      </c>
      <c r="G148" s="219">
        <v>7.2500000000000009E-2</v>
      </c>
      <c r="H148" s="216">
        <v>101.23</v>
      </c>
      <c r="I148" s="219">
        <v>7.3800000000000004E-2</v>
      </c>
    </row>
    <row r="149" spans="1:9" x14ac:dyDescent="0.35">
      <c r="A149" s="191">
        <v>44042</v>
      </c>
      <c r="B149" s="216">
        <v>102.435</v>
      </c>
      <c r="C149" s="217">
        <v>5.9200000000000003E-2</v>
      </c>
      <c r="D149" s="216">
        <v>101.54</v>
      </c>
      <c r="E149" s="219">
        <v>6.7900000000000002E-2</v>
      </c>
      <c r="F149" s="216">
        <v>102.33</v>
      </c>
      <c r="G149" s="219">
        <v>7.2500000000000009E-2</v>
      </c>
      <c r="H149" s="216">
        <v>101.23</v>
      </c>
      <c r="I149" s="219">
        <v>7.3800000000000004E-2</v>
      </c>
    </row>
    <row r="150" spans="1:9" x14ac:dyDescent="0.35">
      <c r="A150" s="191">
        <v>44046</v>
      </c>
      <c r="B150" s="216">
        <v>102.4225</v>
      </c>
      <c r="C150" s="219">
        <v>5.9200000000000003E-2</v>
      </c>
      <c r="D150" s="216">
        <v>101.49000000000001</v>
      </c>
      <c r="E150" s="219">
        <v>6.8000000000000005E-2</v>
      </c>
      <c r="F150" s="216">
        <v>102.37</v>
      </c>
      <c r="G150" s="219">
        <v>7.2400000000000006E-2</v>
      </c>
      <c r="H150" s="216">
        <v>101.30000000000001</v>
      </c>
      <c r="I150" s="219">
        <v>7.3800000000000004E-2</v>
      </c>
    </row>
    <row r="151" spans="1:9" x14ac:dyDescent="0.35">
      <c r="A151" s="191">
        <v>44047</v>
      </c>
      <c r="B151" s="216">
        <v>102.22499999999999</v>
      </c>
      <c r="C151" s="219">
        <v>5.9700000000000003E-2</v>
      </c>
      <c r="D151" s="216">
        <v>101.25</v>
      </c>
      <c r="E151" s="219">
        <v>6.83E-2</v>
      </c>
      <c r="F151" s="216">
        <v>102.04</v>
      </c>
      <c r="G151" s="219">
        <v>7.2800000000000004E-2</v>
      </c>
      <c r="H151" s="216">
        <v>101.11</v>
      </c>
      <c r="I151" s="219">
        <v>7.3999999999999996E-2</v>
      </c>
    </row>
    <row r="152" spans="1:9" x14ac:dyDescent="0.35">
      <c r="A152" s="191">
        <v>44048</v>
      </c>
      <c r="B152" s="216">
        <v>102.43</v>
      </c>
      <c r="C152" s="219">
        <v>5.9200000000000003E-2</v>
      </c>
      <c r="D152" s="216">
        <v>101.52000000000001</v>
      </c>
      <c r="E152" s="219">
        <v>6.7900000000000002E-2</v>
      </c>
      <c r="F152" s="216">
        <v>102.32000000000001</v>
      </c>
      <c r="G152" s="219">
        <v>7.2500000000000009E-2</v>
      </c>
      <c r="H152" s="216">
        <v>101.25</v>
      </c>
      <c r="I152" s="219">
        <v>7.3800000000000004E-2</v>
      </c>
    </row>
    <row r="153" spans="1:9" x14ac:dyDescent="0.35">
      <c r="A153" s="191">
        <v>44049</v>
      </c>
      <c r="B153" s="216">
        <v>102.66874999999997</v>
      </c>
      <c r="C153" s="219">
        <v>5.8600000000000006E-2</v>
      </c>
      <c r="D153" s="216">
        <v>101.7</v>
      </c>
      <c r="E153" s="219">
        <v>6.7699999999999996E-2</v>
      </c>
      <c r="F153" s="216">
        <v>102.41</v>
      </c>
      <c r="G153" s="219">
        <v>7.2400000000000006E-2</v>
      </c>
      <c r="H153" s="216">
        <v>101.5</v>
      </c>
      <c r="I153" s="219">
        <v>7.3599999999999999E-2</v>
      </c>
    </row>
    <row r="154" spans="1:9" x14ac:dyDescent="0.35">
      <c r="A154" s="191">
        <v>44050</v>
      </c>
      <c r="B154" s="216">
        <v>102.70500000000001</v>
      </c>
      <c r="C154" s="219">
        <v>5.8500000000000003E-2</v>
      </c>
      <c r="D154" s="216">
        <v>101.67</v>
      </c>
      <c r="E154" s="219">
        <v>6.7699999999999996E-2</v>
      </c>
      <c r="F154" s="216">
        <v>102.43</v>
      </c>
      <c r="G154" s="219">
        <v>7.2300000000000003E-2</v>
      </c>
      <c r="H154" s="216">
        <v>101.32000000000001</v>
      </c>
      <c r="I154" s="219">
        <v>7.3800000000000004E-2</v>
      </c>
    </row>
    <row r="155" spans="1:9" x14ac:dyDescent="0.35">
      <c r="A155" s="191">
        <v>44053</v>
      </c>
      <c r="B155" s="216">
        <v>102.63874999999999</v>
      </c>
      <c r="C155" s="219">
        <v>5.8700000000000002E-2</v>
      </c>
      <c r="D155" s="216">
        <v>101.67</v>
      </c>
      <c r="E155" s="219">
        <v>6.7699999999999996E-2</v>
      </c>
      <c r="F155" s="216">
        <v>102.38000000000001</v>
      </c>
      <c r="G155" s="219">
        <v>7.2400000000000006E-2</v>
      </c>
      <c r="H155" s="216">
        <v>101.33</v>
      </c>
      <c r="I155" s="219">
        <v>7.3700000000000002E-2</v>
      </c>
    </row>
    <row r="156" spans="1:9" x14ac:dyDescent="0.35">
      <c r="A156" s="191">
        <v>44054</v>
      </c>
      <c r="B156" s="216">
        <v>102.715</v>
      </c>
      <c r="C156" s="219">
        <v>5.8500000000000003E-2</v>
      </c>
      <c r="D156" s="216">
        <v>101.67</v>
      </c>
      <c r="E156" s="219">
        <v>6.7699999999999996E-2</v>
      </c>
      <c r="F156" s="216">
        <v>102.34</v>
      </c>
      <c r="G156" s="219">
        <v>7.2400000000000006E-2</v>
      </c>
      <c r="H156" s="216">
        <v>101.21000000000001</v>
      </c>
      <c r="I156" s="219">
        <v>7.3900000000000007E-2</v>
      </c>
    </row>
    <row r="157" spans="1:9" x14ac:dyDescent="0.35">
      <c r="A157" s="191">
        <v>44055</v>
      </c>
      <c r="B157" s="216">
        <v>102.9375</v>
      </c>
      <c r="C157" s="219">
        <v>5.8000000000000003E-2</v>
      </c>
      <c r="D157" s="216">
        <v>102.13000000000001</v>
      </c>
      <c r="E157" s="219">
        <v>6.7100000000000007E-2</v>
      </c>
      <c r="F157" s="216">
        <v>102.86</v>
      </c>
      <c r="G157" s="219">
        <v>7.1900000000000006E-2</v>
      </c>
      <c r="H157" s="216">
        <v>101.63000000000001</v>
      </c>
      <c r="I157" s="219">
        <v>7.350000000000001E-2</v>
      </c>
    </row>
    <row r="158" spans="1:9" x14ac:dyDescent="0.35">
      <c r="A158" s="191">
        <v>44056</v>
      </c>
      <c r="B158" s="216">
        <v>102.85749999999999</v>
      </c>
      <c r="C158" s="219">
        <v>5.8200000000000002E-2</v>
      </c>
      <c r="D158" s="216">
        <v>101.93</v>
      </c>
      <c r="E158" s="219">
        <v>6.7400000000000002E-2</v>
      </c>
      <c r="F158" s="216">
        <v>102.64</v>
      </c>
      <c r="G158" s="219">
        <v>7.2099999999999997E-2</v>
      </c>
      <c r="H158" s="216">
        <v>101.63000000000001</v>
      </c>
      <c r="I158" s="219">
        <v>7.350000000000001E-2</v>
      </c>
    </row>
    <row r="159" spans="1:9" x14ac:dyDescent="0.35">
      <c r="A159" s="191">
        <v>44057</v>
      </c>
      <c r="B159" s="216">
        <v>102.84125</v>
      </c>
      <c r="C159" s="219">
        <v>5.8200000000000002E-2</v>
      </c>
      <c r="D159" s="216">
        <v>101.75</v>
      </c>
      <c r="E159" s="219">
        <v>6.7600000000000007E-2</v>
      </c>
      <c r="F159" s="216">
        <v>102.5</v>
      </c>
      <c r="G159" s="219">
        <v>7.2300000000000003E-2</v>
      </c>
      <c r="H159" s="216">
        <v>101.45</v>
      </c>
      <c r="I159" s="219">
        <v>7.3599999999999999E-2</v>
      </c>
    </row>
    <row r="160" spans="1:9" x14ac:dyDescent="0.35">
      <c r="A160" s="191">
        <v>44061</v>
      </c>
      <c r="B160" s="216">
        <v>103.045</v>
      </c>
      <c r="C160" s="217">
        <v>5.7700000000000001E-2</v>
      </c>
      <c r="D160" s="216">
        <v>102</v>
      </c>
      <c r="E160" s="217">
        <v>6.7299999999999999E-2</v>
      </c>
      <c r="F160" s="216">
        <v>102.53</v>
      </c>
      <c r="G160" s="217">
        <v>7.22E-2</v>
      </c>
      <c r="H160" s="216">
        <v>101.69000000000001</v>
      </c>
      <c r="I160" s="217">
        <v>7.3400000000000007E-2</v>
      </c>
    </row>
    <row r="161" spans="1:9" x14ac:dyDescent="0.35">
      <c r="A161" s="191">
        <v>44062</v>
      </c>
      <c r="B161" s="216">
        <v>103.33375000000001</v>
      </c>
      <c r="C161" s="217">
        <v>5.7000000000000002E-2</v>
      </c>
      <c r="D161" s="216">
        <v>102.24</v>
      </c>
      <c r="E161" s="217">
        <v>6.6900000000000001E-2</v>
      </c>
      <c r="F161" s="216">
        <v>102.55000000000001</v>
      </c>
      <c r="G161" s="217">
        <v>7.22E-2</v>
      </c>
      <c r="H161" s="216">
        <v>101.84</v>
      </c>
      <c r="I161" s="217">
        <v>7.3300000000000004E-2</v>
      </c>
    </row>
    <row r="162" spans="1:9" x14ac:dyDescent="0.35">
      <c r="A162" s="191">
        <v>44067</v>
      </c>
      <c r="B162" s="216">
        <v>103.61499999999998</v>
      </c>
      <c r="C162" s="217">
        <v>5.6300000000000003E-2</v>
      </c>
      <c r="D162" s="216">
        <v>102.29</v>
      </c>
      <c r="E162" s="217">
        <v>6.6900000000000001E-2</v>
      </c>
      <c r="F162" s="216">
        <v>102.65</v>
      </c>
      <c r="G162" s="217">
        <v>7.2099999999999997E-2</v>
      </c>
      <c r="H162" s="216">
        <v>102.16000000000001</v>
      </c>
      <c r="I162" s="217">
        <v>7.3000000000000009E-2</v>
      </c>
    </row>
    <row r="163" spans="1:9" x14ac:dyDescent="0.35">
      <c r="A163" s="191">
        <v>44068</v>
      </c>
      <c r="B163" s="216">
        <v>104.03125</v>
      </c>
      <c r="C163" s="217">
        <v>5.5300000000000002E-2</v>
      </c>
      <c r="D163" s="216">
        <v>102.35000000000001</v>
      </c>
      <c r="E163" s="217">
        <v>6.6799999999999998E-2</v>
      </c>
      <c r="F163" s="216">
        <v>102.49000000000001</v>
      </c>
      <c r="G163" s="217">
        <v>7.2300000000000003E-2</v>
      </c>
      <c r="H163" s="216">
        <v>102.03</v>
      </c>
      <c r="I163" s="217">
        <v>7.3099999999999998E-2</v>
      </c>
    </row>
    <row r="164" spans="1:9" x14ac:dyDescent="0.35">
      <c r="A164" s="191">
        <v>44069</v>
      </c>
      <c r="B164" s="216">
        <v>104.30425</v>
      </c>
      <c r="C164" s="217">
        <v>5.4700000000000006E-2</v>
      </c>
      <c r="D164" s="216">
        <v>102.27000000000001</v>
      </c>
      <c r="E164" s="217">
        <v>6.6900000000000001E-2</v>
      </c>
      <c r="F164" s="216">
        <v>102.4</v>
      </c>
      <c r="G164" s="217">
        <v>7.2400000000000006E-2</v>
      </c>
      <c r="H164" s="216">
        <v>102.10000000000001</v>
      </c>
      <c r="I164" s="217">
        <v>7.3000000000000009E-2</v>
      </c>
    </row>
    <row r="165" spans="1:9" x14ac:dyDescent="0.35">
      <c r="A165" s="191">
        <v>44070</v>
      </c>
      <c r="B165" s="216">
        <v>103.95375000000001</v>
      </c>
      <c r="C165" s="217">
        <v>5.5500000000000001E-2</v>
      </c>
      <c r="D165" s="216">
        <v>101.54</v>
      </c>
      <c r="E165" s="217">
        <v>6.7900000000000002E-2</v>
      </c>
      <c r="F165" s="216">
        <v>101.73</v>
      </c>
      <c r="G165" s="217">
        <v>7.3099999999999998E-2</v>
      </c>
      <c r="H165" s="216">
        <v>101.72</v>
      </c>
      <c r="I165" s="217">
        <v>7.3400000000000007E-2</v>
      </c>
    </row>
    <row r="166" spans="1:9" x14ac:dyDescent="0.35">
      <c r="A166" s="191">
        <v>44071</v>
      </c>
      <c r="B166" s="216">
        <v>103.89125</v>
      </c>
      <c r="C166" s="217">
        <v>5.57E-2</v>
      </c>
      <c r="D166" s="216">
        <v>101.09</v>
      </c>
      <c r="E166" s="217">
        <v>6.8500000000000005E-2</v>
      </c>
      <c r="F166" s="216">
        <v>101.29</v>
      </c>
      <c r="G166" s="217">
        <v>7.3599999999999999E-2</v>
      </c>
      <c r="H166" s="216">
        <v>101.17</v>
      </c>
      <c r="I166" s="217">
        <v>7.3900000000000007E-2</v>
      </c>
    </row>
    <row r="167" spans="1:9" x14ac:dyDescent="0.35">
      <c r="A167" s="191">
        <v>44074</v>
      </c>
      <c r="B167" s="216">
        <v>104.1</v>
      </c>
      <c r="C167" s="217">
        <v>5.5200000000000006E-2</v>
      </c>
      <c r="D167" s="216">
        <v>101.08</v>
      </c>
      <c r="E167" s="217">
        <v>6.8500000000000005E-2</v>
      </c>
      <c r="F167" s="216">
        <v>101.12</v>
      </c>
      <c r="G167" s="217">
        <v>7.3800000000000004E-2</v>
      </c>
      <c r="H167" s="216">
        <v>101.15</v>
      </c>
      <c r="I167" s="217">
        <v>7.3900000000000007E-2</v>
      </c>
    </row>
    <row r="168" spans="1:9" x14ac:dyDescent="0.35">
      <c r="A168" s="191">
        <v>44075</v>
      </c>
      <c r="B168" s="216">
        <v>104.12499999999997</v>
      </c>
      <c r="C168" s="217">
        <v>5.5100000000000003E-2</v>
      </c>
      <c r="D168" s="216">
        <v>101.19000000000001</v>
      </c>
      <c r="E168" s="217">
        <v>6.8400000000000002E-2</v>
      </c>
      <c r="F168" s="216">
        <v>101.2</v>
      </c>
      <c r="G168" s="217">
        <v>7.3700000000000002E-2</v>
      </c>
      <c r="H168" s="216">
        <v>101.01</v>
      </c>
      <c r="I168" s="217">
        <v>7.4099999999999999E-2</v>
      </c>
    </row>
    <row r="169" spans="1:9" x14ac:dyDescent="0.35">
      <c r="A169" s="191">
        <v>44076</v>
      </c>
      <c r="B169" s="216">
        <v>103.97750000000001</v>
      </c>
      <c r="C169" s="217">
        <v>5.5400000000000005E-2</v>
      </c>
      <c r="D169" s="216">
        <v>100.64</v>
      </c>
      <c r="E169" s="217">
        <v>6.9199999999999998E-2</v>
      </c>
      <c r="F169" s="216">
        <v>100.77</v>
      </c>
      <c r="G169" s="217">
        <v>7.4200000000000002E-2</v>
      </c>
      <c r="H169" s="216">
        <v>100.65</v>
      </c>
      <c r="I169" s="217">
        <v>7.4400000000000008E-2</v>
      </c>
    </row>
    <row r="170" spans="1:9" x14ac:dyDescent="0.35">
      <c r="A170" s="191">
        <v>44077</v>
      </c>
      <c r="B170" s="216">
        <v>103.91374999999999</v>
      </c>
      <c r="C170" s="217">
        <v>5.5600000000000004E-2</v>
      </c>
      <c r="D170" s="216">
        <v>100.42</v>
      </c>
      <c r="E170" s="217">
        <v>6.9500000000000006E-2</v>
      </c>
      <c r="F170" s="216">
        <v>100.72</v>
      </c>
      <c r="G170" s="217">
        <v>7.4200000000000002E-2</v>
      </c>
      <c r="H170" s="216">
        <v>100.67</v>
      </c>
      <c r="I170" s="217">
        <v>7.4400000000000008E-2</v>
      </c>
    </row>
    <row r="171" spans="1:9" x14ac:dyDescent="0.35">
      <c r="A171" s="191">
        <v>44078</v>
      </c>
      <c r="B171" s="216">
        <v>104.02249999999999</v>
      </c>
      <c r="C171" s="217">
        <v>5.5300000000000002E-2</v>
      </c>
      <c r="D171" s="216">
        <v>100.64</v>
      </c>
      <c r="E171" s="217">
        <v>6.9199999999999998E-2</v>
      </c>
      <c r="F171" s="216">
        <v>100.78</v>
      </c>
      <c r="G171" s="217">
        <v>7.4200000000000002E-2</v>
      </c>
      <c r="H171" s="216">
        <v>100.62</v>
      </c>
      <c r="I171" s="217">
        <v>7.4400000000000008E-2</v>
      </c>
    </row>
    <row r="172" spans="1:9" x14ac:dyDescent="0.35">
      <c r="A172" s="191">
        <v>44081</v>
      </c>
      <c r="B172" s="216">
        <v>104.02875</v>
      </c>
      <c r="C172" s="217">
        <v>5.5300000000000002E-2</v>
      </c>
      <c r="D172" s="216">
        <v>100.83</v>
      </c>
      <c r="E172" s="217">
        <v>6.8900000000000003E-2</v>
      </c>
      <c r="F172" s="216">
        <v>100.83</v>
      </c>
      <c r="G172" s="217">
        <v>7.4099999999999999E-2</v>
      </c>
      <c r="H172" s="216">
        <v>100.81</v>
      </c>
      <c r="I172" s="217">
        <v>7.4200000000000002E-2</v>
      </c>
    </row>
    <row r="173" spans="1:9" x14ac:dyDescent="0.35">
      <c r="A173" s="191">
        <v>44082</v>
      </c>
      <c r="B173" s="216">
        <v>104.28375</v>
      </c>
      <c r="C173" s="217">
        <v>5.4700000000000006E-2</v>
      </c>
      <c r="D173" s="216">
        <v>101.02</v>
      </c>
      <c r="E173" s="217">
        <v>6.8600000000000008E-2</v>
      </c>
      <c r="F173" s="216">
        <v>100.96000000000001</v>
      </c>
      <c r="G173" s="217">
        <v>7.3999999999999996E-2</v>
      </c>
      <c r="H173" s="216">
        <v>100.85000000000001</v>
      </c>
      <c r="I173" s="217">
        <v>7.4200000000000002E-2</v>
      </c>
    </row>
    <row r="174" spans="1:9" x14ac:dyDescent="0.35">
      <c r="A174" s="191">
        <v>44083</v>
      </c>
      <c r="B174" s="216">
        <v>104.12624999999998</v>
      </c>
      <c r="C174" s="217">
        <v>5.5100000000000003E-2</v>
      </c>
      <c r="D174" s="216">
        <v>100.95</v>
      </c>
      <c r="E174" s="217">
        <v>6.8699999999999997E-2</v>
      </c>
      <c r="F174" s="216">
        <v>100.87</v>
      </c>
      <c r="G174" s="217">
        <v>7.4099999999999999E-2</v>
      </c>
      <c r="H174" s="216">
        <v>100.75</v>
      </c>
      <c r="I174" s="217">
        <v>7.4300000000000005E-2</v>
      </c>
    </row>
    <row r="175" spans="1:9" x14ac:dyDescent="0.35">
      <c r="A175" s="191">
        <v>44084</v>
      </c>
      <c r="B175" s="216">
        <v>104.14624999999998</v>
      </c>
      <c r="C175" s="217">
        <v>5.5E-2</v>
      </c>
      <c r="D175" s="216">
        <v>101.03</v>
      </c>
      <c r="E175" s="217">
        <v>6.8600000000000008E-2</v>
      </c>
      <c r="F175" s="216">
        <v>100.93</v>
      </c>
      <c r="G175" s="217">
        <v>7.3999999999999996E-2</v>
      </c>
      <c r="H175" s="216">
        <v>100.94000000000001</v>
      </c>
      <c r="I175" s="217">
        <v>7.4099999999999999E-2</v>
      </c>
    </row>
    <row r="176" spans="1:9" x14ac:dyDescent="0.35">
      <c r="A176" s="191">
        <v>44085</v>
      </c>
      <c r="B176" s="216">
        <v>103.58874999999998</v>
      </c>
      <c r="C176" s="217">
        <v>5.6300000000000003E-2</v>
      </c>
      <c r="D176" s="216">
        <v>100.01</v>
      </c>
      <c r="E176" s="217">
        <v>7.0000000000000007E-2</v>
      </c>
      <c r="F176" s="216">
        <v>100.03</v>
      </c>
      <c r="G176" s="217">
        <v>7.4999999999999997E-2</v>
      </c>
      <c r="H176" s="216">
        <v>99.95</v>
      </c>
      <c r="I176" s="217">
        <v>7.51E-2</v>
      </c>
    </row>
    <row r="177" spans="1:16383" x14ac:dyDescent="0.35">
      <c r="A177" s="191">
        <v>44088</v>
      </c>
      <c r="B177" s="216">
        <v>104.10499999999999</v>
      </c>
      <c r="C177" s="217">
        <v>5.5100000000000003E-2</v>
      </c>
      <c r="D177" s="220">
        <v>100.68</v>
      </c>
      <c r="E177" s="217">
        <v>6.9100000000000009E-2</v>
      </c>
      <c r="F177" s="216">
        <v>100.74</v>
      </c>
      <c r="G177" s="217">
        <v>7.4200000000000002E-2</v>
      </c>
      <c r="H177" s="220">
        <v>100.74</v>
      </c>
      <c r="I177" s="217">
        <v>7.4300000000000005E-2</v>
      </c>
    </row>
    <row r="178" spans="1:16383" x14ac:dyDescent="0.35">
      <c r="A178" s="191">
        <v>44089</v>
      </c>
      <c r="B178" s="216">
        <v>104.16249999999997</v>
      </c>
      <c r="C178" s="217">
        <v>5.4900000000000004E-2</v>
      </c>
      <c r="D178" s="220">
        <v>100.96000000000001</v>
      </c>
      <c r="E178" s="217">
        <v>6.8699999999999997E-2</v>
      </c>
      <c r="F178" s="216">
        <v>100.9</v>
      </c>
      <c r="G178" s="217">
        <v>7.3999999999999996E-2</v>
      </c>
      <c r="H178" s="220">
        <v>100.85000000000001</v>
      </c>
      <c r="I178" s="217">
        <v>7.4200000000000002E-2</v>
      </c>
    </row>
    <row r="179" spans="1:16383" x14ac:dyDescent="0.35">
      <c r="A179" s="191">
        <v>44090</v>
      </c>
      <c r="B179" s="216">
        <v>104.15499999999999</v>
      </c>
      <c r="C179" s="217">
        <v>5.4900000000000004E-2</v>
      </c>
      <c r="D179" s="220">
        <v>100.98</v>
      </c>
      <c r="E179" s="217">
        <v>6.8699999999999997E-2</v>
      </c>
      <c r="F179" s="216">
        <v>100.9</v>
      </c>
      <c r="G179" s="217">
        <v>7.3999999999999996E-2</v>
      </c>
      <c r="H179" s="220">
        <v>100.81</v>
      </c>
      <c r="I179" s="217">
        <v>7.4300000000000005E-2</v>
      </c>
    </row>
    <row r="180" spans="1:16383" x14ac:dyDescent="0.35">
      <c r="A180" s="191">
        <v>44091</v>
      </c>
      <c r="B180" s="216">
        <v>103.81750000000001</v>
      </c>
      <c r="C180" s="217">
        <v>5.57E-2</v>
      </c>
      <c r="D180" s="220">
        <v>100.81</v>
      </c>
      <c r="E180" s="217">
        <v>6.8900000000000003E-2</v>
      </c>
      <c r="F180" s="216">
        <v>100.69000000000001</v>
      </c>
      <c r="G180" s="217">
        <v>7.4300000000000005E-2</v>
      </c>
      <c r="H180" s="220">
        <v>100.75</v>
      </c>
      <c r="I180" s="217">
        <v>7.4300000000000005E-2</v>
      </c>
    </row>
    <row r="181" spans="1:16383" x14ac:dyDescent="0.35">
      <c r="A181" s="221">
        <v>44092</v>
      </c>
      <c r="B181" s="222">
        <v>103.95875000000001</v>
      </c>
      <c r="C181" s="223">
        <v>5.5400000000000005E-2</v>
      </c>
      <c r="D181" s="224">
        <v>100.88000000000001</v>
      </c>
      <c r="E181" s="223">
        <v>6.88E-2</v>
      </c>
      <c r="F181" s="222">
        <v>100.79</v>
      </c>
      <c r="G181" s="223">
        <v>7.4099999999999999E-2</v>
      </c>
      <c r="H181" s="224">
        <v>100.84</v>
      </c>
      <c r="I181" s="223">
        <v>7.4200000000000002E-2</v>
      </c>
      <c r="J181" s="225"/>
      <c r="K181" s="225"/>
      <c r="L181" s="225"/>
      <c r="M181" s="225"/>
      <c r="N181" s="225"/>
      <c r="O181" s="225"/>
      <c r="P181" s="225"/>
      <c r="Q181" s="225"/>
      <c r="R181" s="225"/>
      <c r="S181" s="225"/>
      <c r="T181" s="225"/>
      <c r="U181" s="225"/>
      <c r="V181" s="225"/>
      <c r="W181" s="225"/>
      <c r="X181" s="225"/>
      <c r="Y181" s="225"/>
      <c r="Z181" s="225"/>
      <c r="AA181" s="225"/>
      <c r="AB181" s="225"/>
      <c r="AC181" s="225"/>
      <c r="AD181" s="225"/>
      <c r="AE181" s="225"/>
      <c r="AF181" s="225"/>
      <c r="AG181" s="225"/>
      <c r="AH181" s="225"/>
      <c r="AI181" s="225"/>
      <c r="AJ181" s="225"/>
      <c r="AK181" s="225"/>
      <c r="AL181" s="225"/>
      <c r="AM181" s="225"/>
      <c r="AN181" s="225"/>
      <c r="AO181" s="225"/>
      <c r="AP181" s="225"/>
      <c r="AQ181" s="225"/>
      <c r="AR181" s="225"/>
      <c r="AS181" s="225"/>
      <c r="AT181" s="225"/>
      <c r="AU181" s="225"/>
      <c r="AV181" s="225"/>
      <c r="AW181" s="225"/>
      <c r="AX181" s="225"/>
      <c r="AY181" s="225"/>
      <c r="AZ181" s="225"/>
      <c r="BA181" s="225"/>
      <c r="BB181" s="225"/>
      <c r="BC181" s="225"/>
      <c r="BD181" s="225"/>
      <c r="BE181" s="225"/>
      <c r="BF181" s="225"/>
      <c r="BG181" s="225"/>
      <c r="BH181" s="225"/>
      <c r="BI181" s="225"/>
      <c r="BJ181" s="225"/>
      <c r="BK181" s="225"/>
      <c r="BL181" s="225"/>
      <c r="BM181" s="225"/>
      <c r="BN181" s="225"/>
      <c r="BO181" s="225"/>
      <c r="BP181" s="225"/>
      <c r="BQ181" s="225"/>
      <c r="BR181" s="225"/>
      <c r="BS181" s="225"/>
      <c r="BT181" s="225"/>
      <c r="BU181" s="225"/>
      <c r="BV181" s="225"/>
      <c r="BW181" s="225"/>
      <c r="BX181" s="225"/>
      <c r="BY181" s="225"/>
      <c r="BZ181" s="225"/>
      <c r="CA181" s="225"/>
      <c r="CB181" s="225"/>
      <c r="CC181" s="225"/>
      <c r="CD181" s="225"/>
      <c r="CE181" s="225"/>
      <c r="CF181" s="225"/>
      <c r="CG181" s="225"/>
      <c r="CH181" s="225"/>
      <c r="CI181" s="225"/>
      <c r="CJ181" s="225"/>
      <c r="CK181" s="225"/>
      <c r="CL181" s="225"/>
      <c r="CM181" s="225"/>
      <c r="CN181" s="225"/>
      <c r="CO181" s="225"/>
      <c r="CP181" s="225"/>
      <c r="CQ181" s="225"/>
      <c r="CR181" s="225"/>
      <c r="CS181" s="225"/>
      <c r="CT181" s="225"/>
      <c r="CU181" s="225"/>
      <c r="CV181" s="225"/>
      <c r="CW181" s="225"/>
      <c r="CX181" s="225"/>
      <c r="CY181" s="225"/>
      <c r="CZ181" s="225"/>
      <c r="DA181" s="225"/>
      <c r="DB181" s="225"/>
      <c r="DC181" s="225"/>
      <c r="DD181" s="225"/>
      <c r="DE181" s="225"/>
      <c r="DF181" s="225"/>
      <c r="DG181" s="225"/>
      <c r="DH181" s="225"/>
      <c r="DI181" s="225"/>
      <c r="DJ181" s="225"/>
      <c r="DK181" s="225"/>
      <c r="DL181" s="225"/>
      <c r="DM181" s="225"/>
      <c r="DN181" s="225"/>
      <c r="DO181" s="225"/>
      <c r="DP181" s="225"/>
      <c r="DQ181" s="225"/>
      <c r="DR181" s="225"/>
      <c r="DS181" s="225"/>
      <c r="DT181" s="225"/>
      <c r="DU181" s="225"/>
      <c r="DV181" s="225"/>
      <c r="DW181" s="225"/>
      <c r="DX181" s="225"/>
      <c r="DY181" s="225"/>
      <c r="DZ181" s="225"/>
      <c r="EA181" s="225"/>
      <c r="EB181" s="225"/>
      <c r="EC181" s="225"/>
      <c r="ED181" s="225"/>
      <c r="EE181" s="225"/>
      <c r="EF181" s="225"/>
      <c r="EG181" s="225"/>
      <c r="EH181" s="225"/>
      <c r="EI181" s="225"/>
      <c r="EJ181" s="225"/>
      <c r="EK181" s="225"/>
      <c r="EL181" s="225"/>
      <c r="EM181" s="225"/>
      <c r="EN181" s="225"/>
      <c r="EO181" s="225"/>
      <c r="EP181" s="225"/>
      <c r="EQ181" s="225"/>
      <c r="ER181" s="225"/>
      <c r="ES181" s="225"/>
      <c r="ET181" s="225"/>
      <c r="EU181" s="225"/>
      <c r="EV181" s="225"/>
      <c r="EW181" s="225"/>
      <c r="EX181" s="225"/>
      <c r="EY181" s="225"/>
      <c r="EZ181" s="225"/>
      <c r="FA181" s="225"/>
      <c r="FB181" s="225"/>
      <c r="FC181" s="225"/>
      <c r="FD181" s="225"/>
      <c r="FE181" s="225"/>
      <c r="FF181" s="225"/>
      <c r="FG181" s="225"/>
      <c r="FH181" s="225"/>
      <c r="FI181" s="225"/>
      <c r="FJ181" s="225"/>
      <c r="FK181" s="225"/>
      <c r="FL181" s="225"/>
      <c r="FM181" s="225"/>
      <c r="FN181" s="225"/>
      <c r="FO181" s="225"/>
      <c r="FP181" s="225"/>
      <c r="FQ181" s="225"/>
      <c r="FR181" s="225"/>
      <c r="FS181" s="225"/>
      <c r="FT181" s="225"/>
      <c r="FU181" s="225"/>
      <c r="FV181" s="225"/>
      <c r="FW181" s="225"/>
      <c r="FX181" s="225"/>
      <c r="FY181" s="225"/>
      <c r="FZ181" s="225"/>
      <c r="GA181" s="225"/>
      <c r="GB181" s="225"/>
      <c r="GC181" s="225"/>
      <c r="GD181" s="225"/>
      <c r="GE181" s="225"/>
      <c r="GF181" s="225"/>
      <c r="GG181" s="225"/>
      <c r="GH181" s="225"/>
      <c r="GI181" s="225"/>
      <c r="GJ181" s="225"/>
      <c r="GK181" s="225"/>
      <c r="GL181" s="225"/>
      <c r="GM181" s="225"/>
      <c r="GN181" s="225"/>
      <c r="GO181" s="225"/>
      <c r="GP181" s="225"/>
      <c r="GQ181" s="225"/>
      <c r="GR181" s="225"/>
      <c r="GS181" s="225"/>
      <c r="GT181" s="225"/>
      <c r="GU181" s="225"/>
      <c r="GV181" s="225"/>
      <c r="GW181" s="225"/>
      <c r="GX181" s="225"/>
      <c r="GY181" s="225"/>
      <c r="GZ181" s="225"/>
      <c r="HA181" s="225"/>
      <c r="HB181" s="225"/>
      <c r="HC181" s="225"/>
      <c r="HD181" s="225"/>
      <c r="HE181" s="225"/>
      <c r="HF181" s="225"/>
      <c r="HG181" s="225"/>
      <c r="HH181" s="225"/>
      <c r="HI181" s="225"/>
      <c r="HJ181" s="225"/>
      <c r="HK181" s="225"/>
      <c r="HL181" s="225"/>
      <c r="HM181" s="225"/>
      <c r="HN181" s="225"/>
      <c r="HO181" s="225"/>
      <c r="HP181" s="225"/>
      <c r="HQ181" s="225"/>
      <c r="HR181" s="225"/>
      <c r="HS181" s="225"/>
      <c r="HT181" s="225"/>
      <c r="HU181" s="225"/>
      <c r="HV181" s="225"/>
      <c r="HW181" s="225"/>
      <c r="HX181" s="225"/>
      <c r="HY181" s="225"/>
      <c r="HZ181" s="225"/>
      <c r="IA181" s="225"/>
      <c r="IB181" s="225"/>
      <c r="IC181" s="225"/>
      <c r="ID181" s="225"/>
      <c r="IE181" s="225"/>
      <c r="IF181" s="225"/>
      <c r="IG181" s="225"/>
      <c r="IH181" s="225"/>
      <c r="II181" s="225"/>
      <c r="IJ181" s="225"/>
      <c r="IK181" s="225"/>
      <c r="IL181" s="225"/>
      <c r="IM181" s="225"/>
      <c r="IN181" s="225"/>
      <c r="IO181" s="225"/>
      <c r="IP181" s="225"/>
      <c r="IQ181" s="225"/>
      <c r="IR181" s="225"/>
      <c r="IS181" s="225"/>
      <c r="IT181" s="225"/>
      <c r="IU181" s="225"/>
      <c r="IV181" s="225"/>
      <c r="IW181" s="225"/>
      <c r="IX181" s="225"/>
      <c r="IY181" s="225"/>
      <c r="IZ181" s="225"/>
      <c r="JA181" s="225"/>
      <c r="JB181" s="225"/>
      <c r="JC181" s="225"/>
      <c r="JD181" s="225"/>
      <c r="JE181" s="225"/>
      <c r="JF181" s="225"/>
      <c r="JG181" s="225"/>
      <c r="JH181" s="225"/>
      <c r="JI181" s="225"/>
      <c r="JJ181" s="225"/>
      <c r="JK181" s="225"/>
      <c r="JL181" s="225"/>
      <c r="JM181" s="225"/>
      <c r="JN181" s="225"/>
      <c r="JO181" s="225"/>
      <c r="JP181" s="225"/>
      <c r="JQ181" s="225"/>
      <c r="JR181" s="225"/>
      <c r="JS181" s="225"/>
      <c r="JT181" s="225"/>
      <c r="JU181" s="225"/>
      <c r="JV181" s="225"/>
      <c r="JW181" s="225"/>
      <c r="JX181" s="225"/>
      <c r="JY181" s="225"/>
      <c r="JZ181" s="225"/>
      <c r="KA181" s="225"/>
      <c r="KB181" s="225"/>
      <c r="KC181" s="225"/>
      <c r="KD181" s="225"/>
      <c r="KE181" s="225"/>
      <c r="KF181" s="225"/>
      <c r="KG181" s="225"/>
      <c r="KH181" s="225"/>
      <c r="KI181" s="225"/>
      <c r="KJ181" s="225"/>
      <c r="KK181" s="225"/>
      <c r="KL181" s="225"/>
      <c r="KM181" s="225"/>
      <c r="KN181" s="225"/>
      <c r="KO181" s="225"/>
      <c r="KP181" s="225"/>
      <c r="KQ181" s="225"/>
      <c r="KR181" s="225"/>
      <c r="KS181" s="225"/>
      <c r="KT181" s="225"/>
      <c r="KU181" s="225"/>
      <c r="KV181" s="225"/>
      <c r="KW181" s="225"/>
      <c r="KX181" s="225"/>
      <c r="KY181" s="225"/>
      <c r="KZ181" s="225"/>
      <c r="LA181" s="225"/>
      <c r="LB181" s="225"/>
      <c r="LC181" s="225"/>
      <c r="LD181" s="225"/>
      <c r="LE181" s="225"/>
      <c r="LF181" s="225"/>
      <c r="LG181" s="225"/>
      <c r="LH181" s="225"/>
      <c r="LI181" s="225"/>
      <c r="LJ181" s="225"/>
      <c r="LK181" s="225"/>
      <c r="LL181" s="225"/>
      <c r="LM181" s="225"/>
      <c r="LN181" s="225"/>
      <c r="LO181" s="225"/>
      <c r="LP181" s="225"/>
      <c r="LQ181" s="225"/>
      <c r="LR181" s="225"/>
      <c r="LS181" s="225"/>
      <c r="LT181" s="225"/>
      <c r="LU181" s="225"/>
      <c r="LV181" s="225"/>
      <c r="LW181" s="225"/>
      <c r="LX181" s="225"/>
      <c r="LY181" s="225"/>
      <c r="LZ181" s="225"/>
      <c r="MA181" s="225"/>
      <c r="MB181" s="225"/>
      <c r="MC181" s="225"/>
      <c r="MD181" s="225"/>
      <c r="ME181" s="225"/>
      <c r="MF181" s="225"/>
      <c r="MG181" s="225"/>
      <c r="MH181" s="225"/>
      <c r="MI181" s="225"/>
      <c r="MJ181" s="225"/>
      <c r="MK181" s="225"/>
      <c r="ML181" s="225"/>
      <c r="MM181" s="225"/>
      <c r="MN181" s="225"/>
      <c r="MO181" s="225"/>
      <c r="MP181" s="225"/>
      <c r="MQ181" s="225"/>
      <c r="MR181" s="225"/>
      <c r="MS181" s="225"/>
      <c r="MT181" s="225"/>
      <c r="MU181" s="225"/>
      <c r="MV181" s="225"/>
      <c r="MW181" s="225"/>
      <c r="MX181" s="225"/>
      <c r="MY181" s="225"/>
      <c r="MZ181" s="225"/>
      <c r="NA181" s="225"/>
      <c r="NB181" s="225"/>
      <c r="NC181" s="225"/>
      <c r="ND181" s="225"/>
      <c r="NE181" s="225"/>
      <c r="NF181" s="225"/>
      <c r="NG181" s="225"/>
      <c r="NH181" s="225"/>
      <c r="NI181" s="225"/>
      <c r="NJ181" s="225"/>
      <c r="NK181" s="225"/>
      <c r="NL181" s="225"/>
      <c r="NM181" s="225"/>
      <c r="NN181" s="225"/>
      <c r="NO181" s="225"/>
      <c r="NP181" s="225"/>
      <c r="NQ181" s="225"/>
      <c r="NR181" s="225"/>
      <c r="NS181" s="225"/>
      <c r="NT181" s="225"/>
      <c r="NU181" s="225"/>
      <c r="NV181" s="225"/>
      <c r="NW181" s="225"/>
      <c r="NX181" s="225"/>
      <c r="NY181" s="225"/>
      <c r="NZ181" s="225"/>
      <c r="OA181" s="225"/>
      <c r="OB181" s="225"/>
      <c r="OC181" s="225"/>
      <c r="OD181" s="225"/>
      <c r="OE181" s="225"/>
      <c r="OF181" s="225"/>
      <c r="OG181" s="225"/>
      <c r="OH181" s="225"/>
      <c r="OI181" s="225"/>
      <c r="OJ181" s="225"/>
      <c r="OK181" s="225"/>
      <c r="OL181" s="225"/>
      <c r="OM181" s="225"/>
      <c r="ON181" s="225"/>
      <c r="OO181" s="225"/>
      <c r="OP181" s="225"/>
      <c r="OQ181" s="225"/>
      <c r="OR181" s="225"/>
      <c r="OS181" s="225"/>
      <c r="OT181" s="225"/>
      <c r="OU181" s="225"/>
      <c r="OV181" s="225"/>
      <c r="OW181" s="225"/>
      <c r="OX181" s="225"/>
      <c r="OY181" s="225"/>
      <c r="OZ181" s="225"/>
      <c r="PA181" s="225"/>
      <c r="PB181" s="225"/>
      <c r="PC181" s="225"/>
      <c r="PD181" s="225"/>
      <c r="PE181" s="225"/>
      <c r="PF181" s="225"/>
      <c r="PG181" s="225"/>
      <c r="PH181" s="225"/>
      <c r="PI181" s="225"/>
      <c r="PJ181" s="225"/>
      <c r="PK181" s="225"/>
      <c r="PL181" s="225"/>
      <c r="PM181" s="225"/>
      <c r="PN181" s="225"/>
      <c r="PO181" s="225"/>
      <c r="PP181" s="225"/>
      <c r="PQ181" s="225"/>
      <c r="PR181" s="225"/>
      <c r="PS181" s="225"/>
      <c r="PT181" s="225"/>
      <c r="PU181" s="225"/>
      <c r="PV181" s="225"/>
      <c r="PW181" s="225"/>
      <c r="PX181" s="225"/>
      <c r="PY181" s="225"/>
      <c r="PZ181" s="225"/>
      <c r="QA181" s="225"/>
      <c r="QB181" s="225"/>
      <c r="QC181" s="225"/>
      <c r="QD181" s="225"/>
      <c r="QE181" s="225"/>
      <c r="QF181" s="225"/>
      <c r="QG181" s="225"/>
      <c r="QH181" s="225"/>
      <c r="QI181" s="225"/>
      <c r="QJ181" s="225"/>
      <c r="QK181" s="225"/>
      <c r="QL181" s="225"/>
      <c r="QM181" s="225"/>
      <c r="QN181" s="225"/>
      <c r="QO181" s="225"/>
      <c r="QP181" s="225"/>
      <c r="QQ181" s="225"/>
      <c r="QR181" s="225"/>
      <c r="QS181" s="225"/>
      <c r="QT181" s="225"/>
      <c r="QU181" s="225"/>
      <c r="QV181" s="225"/>
      <c r="QW181" s="225"/>
      <c r="QX181" s="225"/>
      <c r="QY181" s="225"/>
      <c r="QZ181" s="225"/>
      <c r="RA181" s="225"/>
      <c r="RB181" s="225"/>
      <c r="RC181" s="225"/>
      <c r="RD181" s="225"/>
      <c r="RE181" s="225"/>
      <c r="RF181" s="225"/>
      <c r="RG181" s="225"/>
      <c r="RH181" s="225"/>
      <c r="RI181" s="225"/>
      <c r="RJ181" s="225"/>
      <c r="RK181" s="225"/>
      <c r="RL181" s="225"/>
      <c r="RM181" s="225"/>
      <c r="RN181" s="225"/>
      <c r="RO181" s="225"/>
      <c r="RP181" s="225"/>
      <c r="RQ181" s="225"/>
      <c r="RR181" s="225"/>
      <c r="RS181" s="225"/>
      <c r="RT181" s="225"/>
      <c r="RU181" s="225"/>
      <c r="RV181" s="225"/>
      <c r="RW181" s="225"/>
      <c r="RX181" s="225"/>
      <c r="RY181" s="225"/>
      <c r="RZ181" s="225"/>
      <c r="SA181" s="225"/>
      <c r="SB181" s="225"/>
      <c r="SC181" s="225"/>
      <c r="SD181" s="225"/>
      <c r="SE181" s="225"/>
      <c r="SF181" s="225"/>
      <c r="SG181" s="225"/>
      <c r="SH181" s="225"/>
      <c r="SI181" s="225"/>
      <c r="SJ181" s="225"/>
      <c r="SK181" s="225"/>
      <c r="SL181" s="225"/>
      <c r="SM181" s="225"/>
      <c r="SN181" s="225"/>
      <c r="SO181" s="225"/>
      <c r="SP181" s="225"/>
      <c r="SQ181" s="225"/>
      <c r="SR181" s="225"/>
      <c r="SS181" s="225"/>
      <c r="ST181" s="225"/>
      <c r="SU181" s="225"/>
      <c r="SV181" s="225"/>
      <c r="SW181" s="225"/>
      <c r="SX181" s="225"/>
      <c r="SY181" s="225"/>
      <c r="SZ181" s="225"/>
      <c r="TA181" s="225"/>
      <c r="TB181" s="225"/>
      <c r="TC181" s="225"/>
      <c r="TD181" s="225"/>
      <c r="TE181" s="225"/>
      <c r="TF181" s="225"/>
      <c r="TG181" s="225"/>
      <c r="TH181" s="225"/>
      <c r="TI181" s="225"/>
      <c r="TJ181" s="225"/>
      <c r="TK181" s="225"/>
      <c r="TL181" s="225"/>
      <c r="TM181" s="225"/>
      <c r="TN181" s="225"/>
      <c r="TO181" s="225"/>
      <c r="TP181" s="225"/>
      <c r="TQ181" s="225"/>
      <c r="TR181" s="225"/>
      <c r="TS181" s="225"/>
      <c r="TT181" s="225"/>
      <c r="TU181" s="225"/>
      <c r="TV181" s="225"/>
      <c r="TW181" s="225"/>
      <c r="TX181" s="225"/>
      <c r="TY181" s="225"/>
      <c r="TZ181" s="225"/>
      <c r="UA181" s="225"/>
      <c r="UB181" s="225"/>
      <c r="UC181" s="225"/>
      <c r="UD181" s="225"/>
      <c r="UE181" s="225"/>
      <c r="UF181" s="225"/>
      <c r="UG181" s="225"/>
      <c r="UH181" s="225"/>
      <c r="UI181" s="225"/>
      <c r="UJ181" s="225"/>
      <c r="UK181" s="225"/>
      <c r="UL181" s="225"/>
      <c r="UM181" s="225"/>
      <c r="UN181" s="225"/>
      <c r="UO181" s="225"/>
      <c r="UP181" s="225"/>
      <c r="UQ181" s="225"/>
      <c r="UR181" s="225"/>
      <c r="US181" s="225"/>
      <c r="UT181" s="225"/>
      <c r="UU181" s="225"/>
      <c r="UV181" s="225"/>
      <c r="UW181" s="225"/>
      <c r="UX181" s="225"/>
      <c r="UY181" s="225"/>
      <c r="UZ181" s="225"/>
      <c r="VA181" s="225"/>
      <c r="VB181" s="225"/>
      <c r="VC181" s="225"/>
      <c r="VD181" s="225"/>
      <c r="VE181" s="225"/>
      <c r="VF181" s="225"/>
      <c r="VG181" s="225"/>
      <c r="VH181" s="225"/>
      <c r="VI181" s="225"/>
      <c r="VJ181" s="225"/>
      <c r="VK181" s="225"/>
      <c r="VL181" s="225"/>
      <c r="VM181" s="225"/>
      <c r="VN181" s="225"/>
      <c r="VO181" s="225"/>
      <c r="VP181" s="225"/>
      <c r="VQ181" s="225"/>
      <c r="VR181" s="225"/>
      <c r="VS181" s="225"/>
      <c r="VT181" s="225"/>
      <c r="VU181" s="225"/>
      <c r="VV181" s="225"/>
      <c r="VW181" s="225"/>
      <c r="VX181" s="225"/>
      <c r="VY181" s="225"/>
      <c r="VZ181" s="225"/>
      <c r="WA181" s="225"/>
      <c r="WB181" s="225"/>
      <c r="WC181" s="225"/>
      <c r="WD181" s="225"/>
      <c r="WE181" s="225"/>
      <c r="WF181" s="225"/>
      <c r="WG181" s="225"/>
      <c r="WH181" s="225"/>
      <c r="WI181" s="225"/>
      <c r="WJ181" s="225"/>
      <c r="WK181" s="225"/>
      <c r="WL181" s="225"/>
      <c r="WM181" s="225"/>
      <c r="WN181" s="225"/>
      <c r="WO181" s="225"/>
      <c r="WP181" s="225"/>
      <c r="WQ181" s="225"/>
      <c r="WR181" s="225"/>
      <c r="WS181" s="225"/>
      <c r="WT181" s="225"/>
      <c r="WU181" s="225"/>
      <c r="WV181" s="225"/>
      <c r="WW181" s="225"/>
      <c r="WX181" s="225"/>
      <c r="WY181" s="225"/>
      <c r="WZ181" s="225"/>
      <c r="XA181" s="225"/>
      <c r="XB181" s="225"/>
      <c r="XC181" s="225"/>
      <c r="XD181" s="225"/>
      <c r="XE181" s="225"/>
      <c r="XF181" s="225"/>
      <c r="XG181" s="225"/>
      <c r="XH181" s="225"/>
      <c r="XI181" s="225"/>
      <c r="XJ181" s="225"/>
      <c r="XK181" s="225"/>
      <c r="XL181" s="225"/>
      <c r="XM181" s="225"/>
      <c r="XN181" s="225"/>
      <c r="XO181" s="225"/>
      <c r="XP181" s="225"/>
      <c r="XQ181" s="225"/>
      <c r="XR181" s="225"/>
      <c r="XS181" s="225"/>
      <c r="XT181" s="225"/>
      <c r="XU181" s="225"/>
      <c r="XV181" s="225"/>
      <c r="XW181" s="225"/>
      <c r="XX181" s="225"/>
      <c r="XY181" s="225"/>
      <c r="XZ181" s="225"/>
      <c r="YA181" s="225"/>
      <c r="YB181" s="225"/>
      <c r="YC181" s="225"/>
      <c r="YD181" s="225"/>
      <c r="YE181" s="225"/>
      <c r="YF181" s="225"/>
      <c r="YG181" s="225"/>
      <c r="YH181" s="225"/>
      <c r="YI181" s="225"/>
      <c r="YJ181" s="225"/>
      <c r="YK181" s="225"/>
      <c r="YL181" s="225"/>
      <c r="YM181" s="225"/>
      <c r="YN181" s="225"/>
      <c r="YO181" s="225"/>
      <c r="YP181" s="225"/>
      <c r="YQ181" s="225"/>
      <c r="YR181" s="225"/>
      <c r="YS181" s="225"/>
      <c r="YT181" s="225"/>
      <c r="YU181" s="225"/>
      <c r="YV181" s="225"/>
      <c r="YW181" s="225"/>
      <c r="YX181" s="225"/>
      <c r="YY181" s="225"/>
      <c r="YZ181" s="225"/>
      <c r="ZA181" s="225"/>
      <c r="ZB181" s="225"/>
      <c r="ZC181" s="225"/>
      <c r="ZD181" s="225"/>
      <c r="ZE181" s="225"/>
      <c r="ZF181" s="225"/>
      <c r="ZG181" s="225"/>
      <c r="ZH181" s="225"/>
      <c r="ZI181" s="225"/>
      <c r="ZJ181" s="225"/>
      <c r="ZK181" s="225"/>
      <c r="ZL181" s="225"/>
      <c r="ZM181" s="225"/>
      <c r="ZN181" s="225"/>
      <c r="ZO181" s="225"/>
      <c r="ZP181" s="225"/>
      <c r="ZQ181" s="225"/>
      <c r="ZR181" s="225"/>
      <c r="ZS181" s="225"/>
      <c r="ZT181" s="225"/>
      <c r="ZU181" s="225"/>
      <c r="ZV181" s="225"/>
      <c r="ZW181" s="225"/>
      <c r="ZX181" s="225"/>
      <c r="ZY181" s="225"/>
      <c r="ZZ181" s="225"/>
      <c r="AAA181" s="225"/>
      <c r="AAB181" s="225"/>
      <c r="AAC181" s="225"/>
      <c r="AAD181" s="225"/>
      <c r="AAE181" s="225"/>
      <c r="AAF181" s="225"/>
      <c r="AAG181" s="225"/>
      <c r="AAH181" s="225"/>
      <c r="AAI181" s="225"/>
      <c r="AAJ181" s="225"/>
      <c r="AAK181" s="225"/>
      <c r="AAL181" s="225"/>
      <c r="AAM181" s="225"/>
      <c r="AAN181" s="225"/>
      <c r="AAO181" s="225"/>
      <c r="AAP181" s="225"/>
      <c r="AAQ181" s="225"/>
      <c r="AAR181" s="225"/>
      <c r="AAS181" s="225"/>
      <c r="AAT181" s="225"/>
      <c r="AAU181" s="225"/>
      <c r="AAV181" s="225"/>
      <c r="AAW181" s="225"/>
      <c r="AAX181" s="225"/>
      <c r="AAY181" s="225"/>
      <c r="AAZ181" s="225"/>
      <c r="ABA181" s="225"/>
      <c r="ABB181" s="225"/>
      <c r="ABC181" s="225"/>
      <c r="ABD181" s="225"/>
      <c r="ABE181" s="225"/>
      <c r="ABF181" s="225"/>
      <c r="ABG181" s="225"/>
      <c r="ABH181" s="225"/>
      <c r="ABI181" s="225"/>
      <c r="ABJ181" s="225"/>
      <c r="ABK181" s="225"/>
      <c r="ABL181" s="225"/>
      <c r="ABM181" s="225"/>
      <c r="ABN181" s="225"/>
      <c r="ABO181" s="225"/>
      <c r="ABP181" s="225"/>
      <c r="ABQ181" s="225"/>
      <c r="ABR181" s="225"/>
      <c r="ABS181" s="225"/>
      <c r="ABT181" s="225"/>
      <c r="ABU181" s="225"/>
      <c r="ABV181" s="225"/>
      <c r="ABW181" s="225"/>
      <c r="ABX181" s="225"/>
      <c r="ABY181" s="225"/>
      <c r="ABZ181" s="225"/>
      <c r="ACA181" s="225"/>
      <c r="ACB181" s="225"/>
      <c r="ACC181" s="225"/>
      <c r="ACD181" s="225"/>
      <c r="ACE181" s="225"/>
      <c r="ACF181" s="225"/>
      <c r="ACG181" s="225"/>
      <c r="ACH181" s="225"/>
      <c r="ACI181" s="225"/>
      <c r="ACJ181" s="225"/>
      <c r="ACK181" s="225"/>
      <c r="ACL181" s="225"/>
      <c r="ACM181" s="225"/>
      <c r="ACN181" s="225"/>
      <c r="ACO181" s="225"/>
      <c r="ACP181" s="225"/>
      <c r="ACQ181" s="225"/>
      <c r="ACR181" s="225"/>
      <c r="ACS181" s="225"/>
      <c r="ACT181" s="225"/>
      <c r="ACU181" s="225"/>
      <c r="ACV181" s="225"/>
      <c r="ACW181" s="225"/>
      <c r="ACX181" s="225"/>
      <c r="ACY181" s="225"/>
      <c r="ACZ181" s="225"/>
      <c r="ADA181" s="225"/>
      <c r="ADB181" s="225"/>
      <c r="ADC181" s="225"/>
      <c r="ADD181" s="225"/>
      <c r="ADE181" s="225"/>
      <c r="ADF181" s="225"/>
      <c r="ADG181" s="225"/>
      <c r="ADH181" s="225"/>
      <c r="ADI181" s="225"/>
      <c r="ADJ181" s="225"/>
      <c r="ADK181" s="225"/>
      <c r="ADL181" s="225"/>
      <c r="ADM181" s="225"/>
      <c r="ADN181" s="225"/>
      <c r="ADO181" s="225"/>
      <c r="ADP181" s="225"/>
      <c r="ADQ181" s="225"/>
      <c r="ADR181" s="225"/>
      <c r="ADS181" s="225"/>
      <c r="ADT181" s="225"/>
      <c r="ADU181" s="225"/>
      <c r="ADV181" s="225"/>
      <c r="ADW181" s="225"/>
      <c r="ADX181" s="225"/>
      <c r="ADY181" s="225"/>
      <c r="ADZ181" s="225"/>
      <c r="AEA181" s="225"/>
      <c r="AEB181" s="225"/>
      <c r="AEC181" s="225"/>
      <c r="AED181" s="225"/>
      <c r="AEE181" s="225"/>
      <c r="AEF181" s="225"/>
      <c r="AEG181" s="225"/>
      <c r="AEH181" s="225"/>
      <c r="AEI181" s="225"/>
      <c r="AEJ181" s="225"/>
      <c r="AEK181" s="225"/>
      <c r="AEL181" s="225"/>
      <c r="AEM181" s="225"/>
      <c r="AEN181" s="225"/>
      <c r="AEO181" s="225"/>
      <c r="AEP181" s="225"/>
      <c r="AEQ181" s="225"/>
      <c r="AER181" s="225"/>
      <c r="AES181" s="225"/>
      <c r="AET181" s="225"/>
      <c r="AEU181" s="225"/>
      <c r="AEV181" s="225"/>
      <c r="AEW181" s="225"/>
      <c r="AEX181" s="225"/>
      <c r="AEY181" s="225"/>
      <c r="AEZ181" s="225"/>
      <c r="AFA181" s="225"/>
      <c r="AFB181" s="225"/>
      <c r="AFC181" s="225"/>
      <c r="AFD181" s="225"/>
      <c r="AFE181" s="225"/>
      <c r="AFF181" s="225"/>
      <c r="AFG181" s="225"/>
      <c r="AFH181" s="225"/>
      <c r="AFI181" s="225"/>
      <c r="AFJ181" s="225"/>
      <c r="AFK181" s="225"/>
      <c r="AFL181" s="225"/>
      <c r="AFM181" s="225"/>
      <c r="AFN181" s="225"/>
      <c r="AFO181" s="225"/>
      <c r="AFP181" s="225"/>
      <c r="AFQ181" s="225"/>
      <c r="AFR181" s="225"/>
      <c r="AFS181" s="225"/>
      <c r="AFT181" s="225"/>
      <c r="AFU181" s="225"/>
      <c r="AFV181" s="225"/>
      <c r="AFW181" s="225"/>
      <c r="AFX181" s="225"/>
      <c r="AFY181" s="225"/>
      <c r="AFZ181" s="225"/>
      <c r="AGA181" s="225"/>
      <c r="AGB181" s="225"/>
      <c r="AGC181" s="225"/>
      <c r="AGD181" s="225"/>
      <c r="AGE181" s="225"/>
      <c r="AGF181" s="225"/>
      <c r="AGG181" s="225"/>
      <c r="AGH181" s="225"/>
      <c r="AGI181" s="225"/>
      <c r="AGJ181" s="225"/>
      <c r="AGK181" s="225"/>
      <c r="AGL181" s="225"/>
      <c r="AGM181" s="225"/>
      <c r="AGN181" s="225"/>
      <c r="AGO181" s="225"/>
      <c r="AGP181" s="225"/>
      <c r="AGQ181" s="225"/>
      <c r="AGR181" s="225"/>
      <c r="AGS181" s="225"/>
      <c r="AGT181" s="225"/>
      <c r="AGU181" s="225"/>
      <c r="AGV181" s="225"/>
      <c r="AGW181" s="225"/>
      <c r="AGX181" s="225"/>
      <c r="AGY181" s="225"/>
      <c r="AGZ181" s="225"/>
      <c r="AHA181" s="225"/>
      <c r="AHB181" s="225"/>
      <c r="AHC181" s="225"/>
      <c r="AHD181" s="225"/>
      <c r="AHE181" s="225"/>
      <c r="AHF181" s="225"/>
      <c r="AHG181" s="225"/>
      <c r="AHH181" s="225"/>
      <c r="AHI181" s="225"/>
      <c r="AHJ181" s="225"/>
      <c r="AHK181" s="225"/>
      <c r="AHL181" s="225"/>
      <c r="AHM181" s="225"/>
      <c r="AHN181" s="225"/>
      <c r="AHO181" s="225"/>
      <c r="AHP181" s="225"/>
      <c r="AHQ181" s="225"/>
      <c r="AHR181" s="225"/>
      <c r="AHS181" s="225"/>
      <c r="AHT181" s="225"/>
      <c r="AHU181" s="225"/>
      <c r="AHV181" s="225"/>
      <c r="AHW181" s="225"/>
      <c r="AHX181" s="225"/>
      <c r="AHY181" s="225"/>
      <c r="AHZ181" s="225"/>
      <c r="AIA181" s="225"/>
      <c r="AIB181" s="225"/>
      <c r="AIC181" s="225"/>
      <c r="AID181" s="225"/>
      <c r="AIE181" s="225"/>
      <c r="AIF181" s="225"/>
      <c r="AIG181" s="225"/>
      <c r="AIH181" s="225"/>
      <c r="AII181" s="225"/>
      <c r="AIJ181" s="225"/>
      <c r="AIK181" s="225"/>
      <c r="AIL181" s="225"/>
      <c r="AIM181" s="225"/>
      <c r="AIN181" s="225"/>
      <c r="AIO181" s="225"/>
      <c r="AIP181" s="225"/>
      <c r="AIQ181" s="225"/>
      <c r="AIR181" s="225"/>
      <c r="AIS181" s="225"/>
      <c r="AIT181" s="225"/>
      <c r="AIU181" s="225"/>
      <c r="AIV181" s="225"/>
      <c r="AIW181" s="225"/>
      <c r="AIX181" s="225"/>
      <c r="AIY181" s="225"/>
      <c r="AIZ181" s="225"/>
      <c r="AJA181" s="225"/>
      <c r="AJB181" s="225"/>
      <c r="AJC181" s="225"/>
      <c r="AJD181" s="225"/>
      <c r="AJE181" s="225"/>
      <c r="AJF181" s="225"/>
      <c r="AJG181" s="225"/>
      <c r="AJH181" s="225"/>
      <c r="AJI181" s="225"/>
      <c r="AJJ181" s="225"/>
      <c r="AJK181" s="225"/>
      <c r="AJL181" s="225"/>
      <c r="AJM181" s="225"/>
      <c r="AJN181" s="225"/>
      <c r="AJO181" s="225"/>
      <c r="AJP181" s="225"/>
      <c r="AJQ181" s="225"/>
      <c r="AJR181" s="225"/>
      <c r="AJS181" s="225"/>
      <c r="AJT181" s="225"/>
      <c r="AJU181" s="225"/>
      <c r="AJV181" s="225"/>
      <c r="AJW181" s="225"/>
      <c r="AJX181" s="225"/>
      <c r="AJY181" s="225"/>
      <c r="AJZ181" s="225"/>
      <c r="AKA181" s="225"/>
      <c r="AKB181" s="225"/>
      <c r="AKC181" s="225"/>
      <c r="AKD181" s="225"/>
      <c r="AKE181" s="225"/>
      <c r="AKF181" s="225"/>
      <c r="AKG181" s="225"/>
      <c r="AKH181" s="225"/>
      <c r="AKI181" s="225"/>
      <c r="AKJ181" s="225"/>
      <c r="AKK181" s="225"/>
      <c r="AKL181" s="225"/>
      <c r="AKM181" s="225"/>
      <c r="AKN181" s="225"/>
      <c r="AKO181" s="225"/>
      <c r="AKP181" s="225"/>
      <c r="AKQ181" s="225"/>
      <c r="AKR181" s="225"/>
      <c r="AKS181" s="225"/>
      <c r="AKT181" s="225"/>
      <c r="AKU181" s="225"/>
      <c r="AKV181" s="225"/>
      <c r="AKW181" s="225"/>
      <c r="AKX181" s="225"/>
      <c r="AKY181" s="225"/>
      <c r="AKZ181" s="225"/>
      <c r="ALA181" s="225"/>
      <c r="ALB181" s="225"/>
      <c r="ALC181" s="225"/>
      <c r="ALD181" s="225"/>
      <c r="ALE181" s="225"/>
      <c r="ALF181" s="225"/>
      <c r="ALG181" s="225"/>
      <c r="ALH181" s="225"/>
      <c r="ALI181" s="225"/>
      <c r="ALJ181" s="225"/>
      <c r="ALK181" s="225"/>
      <c r="ALL181" s="225"/>
      <c r="ALM181" s="225"/>
      <c r="ALN181" s="225"/>
      <c r="ALO181" s="225"/>
      <c r="ALP181" s="225"/>
      <c r="ALQ181" s="225"/>
      <c r="ALR181" s="225"/>
      <c r="ALS181" s="225"/>
      <c r="ALT181" s="225"/>
      <c r="ALU181" s="225"/>
      <c r="ALV181" s="225"/>
      <c r="ALW181" s="225"/>
      <c r="ALX181" s="225"/>
      <c r="ALY181" s="225"/>
      <c r="ALZ181" s="225"/>
      <c r="AMA181" s="225"/>
      <c r="AMB181" s="225"/>
      <c r="AMC181" s="225"/>
      <c r="AMD181" s="225"/>
      <c r="AME181" s="225"/>
      <c r="AMF181" s="225"/>
      <c r="AMG181" s="225"/>
      <c r="AMH181" s="225"/>
      <c r="AMI181" s="225"/>
      <c r="AMJ181" s="225"/>
      <c r="AMK181" s="225"/>
      <c r="AML181" s="225"/>
      <c r="AMM181" s="225"/>
      <c r="AMN181" s="225"/>
      <c r="AMO181" s="225"/>
      <c r="AMP181" s="225"/>
      <c r="AMQ181" s="225"/>
      <c r="AMR181" s="225"/>
      <c r="AMS181" s="225"/>
      <c r="AMT181" s="225"/>
      <c r="AMU181" s="225"/>
      <c r="AMV181" s="225"/>
      <c r="AMW181" s="225"/>
      <c r="AMX181" s="225"/>
      <c r="AMY181" s="225"/>
      <c r="AMZ181" s="225"/>
      <c r="ANA181" s="225"/>
      <c r="ANB181" s="225"/>
      <c r="ANC181" s="225"/>
      <c r="AND181" s="225"/>
      <c r="ANE181" s="225"/>
      <c r="ANF181" s="225"/>
      <c r="ANG181" s="225"/>
      <c r="ANH181" s="225"/>
      <c r="ANI181" s="225"/>
      <c r="ANJ181" s="225"/>
      <c r="ANK181" s="225"/>
      <c r="ANL181" s="225"/>
      <c r="ANM181" s="225"/>
      <c r="ANN181" s="225"/>
      <c r="ANO181" s="225"/>
      <c r="ANP181" s="225"/>
      <c r="ANQ181" s="225"/>
      <c r="ANR181" s="225"/>
      <c r="ANS181" s="225"/>
      <c r="ANT181" s="225"/>
      <c r="ANU181" s="225"/>
      <c r="ANV181" s="225"/>
      <c r="ANW181" s="225"/>
      <c r="ANX181" s="225"/>
      <c r="ANY181" s="225"/>
      <c r="ANZ181" s="225"/>
      <c r="AOA181" s="225"/>
      <c r="AOB181" s="225"/>
      <c r="AOC181" s="225"/>
      <c r="AOD181" s="225"/>
      <c r="AOE181" s="225"/>
      <c r="AOF181" s="225"/>
      <c r="AOG181" s="225"/>
      <c r="AOH181" s="225"/>
      <c r="AOI181" s="225"/>
      <c r="AOJ181" s="225"/>
      <c r="AOK181" s="225"/>
      <c r="AOL181" s="225"/>
      <c r="AOM181" s="225"/>
      <c r="AON181" s="225"/>
      <c r="AOO181" s="225"/>
      <c r="AOP181" s="225"/>
      <c r="AOQ181" s="225"/>
      <c r="AOR181" s="225"/>
      <c r="AOS181" s="225"/>
      <c r="AOT181" s="225"/>
      <c r="AOU181" s="225"/>
      <c r="AOV181" s="225"/>
      <c r="AOW181" s="225"/>
      <c r="AOX181" s="225"/>
      <c r="AOY181" s="225"/>
      <c r="AOZ181" s="225"/>
      <c r="APA181" s="225"/>
      <c r="APB181" s="225"/>
      <c r="APC181" s="225"/>
      <c r="APD181" s="225"/>
      <c r="APE181" s="225"/>
      <c r="APF181" s="225"/>
      <c r="APG181" s="225"/>
      <c r="APH181" s="225"/>
      <c r="API181" s="225"/>
      <c r="APJ181" s="225"/>
      <c r="APK181" s="225"/>
      <c r="APL181" s="225"/>
      <c r="APM181" s="225"/>
      <c r="APN181" s="225"/>
      <c r="APO181" s="225"/>
      <c r="APP181" s="225"/>
      <c r="APQ181" s="225"/>
      <c r="APR181" s="225"/>
      <c r="APS181" s="225"/>
      <c r="APT181" s="225"/>
      <c r="APU181" s="225"/>
      <c r="APV181" s="225"/>
      <c r="APW181" s="225"/>
      <c r="APX181" s="225"/>
      <c r="APY181" s="225"/>
      <c r="APZ181" s="225"/>
      <c r="AQA181" s="225"/>
      <c r="AQB181" s="225"/>
      <c r="AQC181" s="225"/>
      <c r="AQD181" s="225"/>
      <c r="AQE181" s="225"/>
      <c r="AQF181" s="225"/>
      <c r="AQG181" s="225"/>
      <c r="AQH181" s="225"/>
      <c r="AQI181" s="225"/>
      <c r="AQJ181" s="225"/>
      <c r="AQK181" s="225"/>
      <c r="AQL181" s="225"/>
      <c r="AQM181" s="225"/>
      <c r="AQN181" s="225"/>
      <c r="AQO181" s="225"/>
      <c r="AQP181" s="225"/>
      <c r="AQQ181" s="225"/>
      <c r="AQR181" s="225"/>
      <c r="AQS181" s="225"/>
      <c r="AQT181" s="225"/>
      <c r="AQU181" s="225"/>
      <c r="AQV181" s="225"/>
      <c r="AQW181" s="225"/>
      <c r="AQX181" s="225"/>
      <c r="AQY181" s="225"/>
      <c r="AQZ181" s="225"/>
      <c r="ARA181" s="225"/>
      <c r="ARB181" s="225"/>
      <c r="ARC181" s="225"/>
      <c r="ARD181" s="225"/>
      <c r="ARE181" s="225"/>
      <c r="ARF181" s="225"/>
      <c r="ARG181" s="225"/>
      <c r="ARH181" s="225"/>
      <c r="ARI181" s="225"/>
      <c r="ARJ181" s="225"/>
      <c r="ARK181" s="225"/>
      <c r="ARL181" s="225"/>
      <c r="ARM181" s="225"/>
      <c r="ARN181" s="225"/>
      <c r="ARO181" s="225"/>
      <c r="ARP181" s="225"/>
      <c r="ARQ181" s="225"/>
      <c r="ARR181" s="225"/>
      <c r="ARS181" s="225"/>
      <c r="ART181" s="225"/>
      <c r="ARU181" s="225"/>
      <c r="ARV181" s="225"/>
      <c r="ARW181" s="225"/>
      <c r="ARX181" s="225"/>
      <c r="ARY181" s="225"/>
      <c r="ARZ181" s="225"/>
      <c r="ASA181" s="225"/>
      <c r="ASB181" s="225"/>
      <c r="ASC181" s="225"/>
      <c r="ASD181" s="225"/>
      <c r="ASE181" s="225"/>
      <c r="ASF181" s="225"/>
      <c r="ASG181" s="225"/>
      <c r="ASH181" s="225"/>
      <c r="ASI181" s="225"/>
      <c r="ASJ181" s="225"/>
      <c r="ASK181" s="225"/>
      <c r="ASL181" s="225"/>
      <c r="ASM181" s="225"/>
      <c r="ASN181" s="225"/>
      <c r="ASO181" s="225"/>
      <c r="ASP181" s="225"/>
      <c r="ASQ181" s="225"/>
      <c r="ASR181" s="225"/>
      <c r="ASS181" s="225"/>
      <c r="AST181" s="225"/>
      <c r="ASU181" s="225"/>
      <c r="ASV181" s="225"/>
      <c r="ASW181" s="225"/>
      <c r="ASX181" s="225"/>
      <c r="ASY181" s="225"/>
      <c r="ASZ181" s="225"/>
      <c r="ATA181" s="225"/>
      <c r="ATB181" s="225"/>
      <c r="ATC181" s="225"/>
      <c r="ATD181" s="225"/>
      <c r="ATE181" s="225"/>
      <c r="ATF181" s="225"/>
      <c r="ATG181" s="225"/>
      <c r="ATH181" s="225"/>
      <c r="ATI181" s="225"/>
      <c r="ATJ181" s="225"/>
      <c r="ATK181" s="225"/>
      <c r="ATL181" s="225"/>
      <c r="ATM181" s="225"/>
      <c r="ATN181" s="225"/>
      <c r="ATO181" s="225"/>
      <c r="ATP181" s="225"/>
      <c r="ATQ181" s="225"/>
      <c r="ATR181" s="225"/>
      <c r="ATS181" s="225"/>
      <c r="ATT181" s="225"/>
      <c r="ATU181" s="225"/>
      <c r="ATV181" s="225"/>
      <c r="ATW181" s="225"/>
      <c r="ATX181" s="225"/>
      <c r="ATY181" s="225"/>
      <c r="ATZ181" s="225"/>
      <c r="AUA181" s="225"/>
      <c r="AUB181" s="225"/>
      <c r="AUC181" s="225"/>
      <c r="AUD181" s="225"/>
      <c r="AUE181" s="225"/>
      <c r="AUF181" s="225"/>
      <c r="AUG181" s="225"/>
      <c r="AUH181" s="225"/>
      <c r="AUI181" s="225"/>
      <c r="AUJ181" s="225"/>
      <c r="AUK181" s="225"/>
      <c r="AUL181" s="225"/>
      <c r="AUM181" s="225"/>
      <c r="AUN181" s="225"/>
      <c r="AUO181" s="225"/>
      <c r="AUP181" s="225"/>
      <c r="AUQ181" s="225"/>
      <c r="AUR181" s="225"/>
      <c r="AUS181" s="225"/>
      <c r="AUT181" s="225"/>
      <c r="AUU181" s="225"/>
      <c r="AUV181" s="225"/>
      <c r="AUW181" s="225"/>
      <c r="AUX181" s="225"/>
      <c r="AUY181" s="225"/>
      <c r="AUZ181" s="225"/>
      <c r="AVA181" s="225"/>
      <c r="AVB181" s="225"/>
      <c r="AVC181" s="225"/>
      <c r="AVD181" s="225"/>
      <c r="AVE181" s="225"/>
      <c r="AVF181" s="225"/>
      <c r="AVG181" s="225"/>
      <c r="AVH181" s="225"/>
      <c r="AVI181" s="225"/>
      <c r="AVJ181" s="225"/>
      <c r="AVK181" s="225"/>
      <c r="AVL181" s="225"/>
      <c r="AVM181" s="225"/>
      <c r="AVN181" s="225"/>
      <c r="AVO181" s="225"/>
      <c r="AVP181" s="225"/>
      <c r="AVQ181" s="225"/>
      <c r="AVR181" s="225"/>
      <c r="AVS181" s="225"/>
      <c r="AVT181" s="225"/>
      <c r="AVU181" s="225"/>
      <c r="AVV181" s="225"/>
      <c r="AVW181" s="225"/>
      <c r="AVX181" s="225"/>
      <c r="AVY181" s="225"/>
      <c r="AVZ181" s="225"/>
      <c r="AWA181" s="225"/>
      <c r="AWB181" s="225"/>
      <c r="AWC181" s="225"/>
      <c r="AWD181" s="225"/>
      <c r="AWE181" s="225"/>
      <c r="AWF181" s="225"/>
      <c r="AWG181" s="225"/>
      <c r="AWH181" s="225"/>
      <c r="AWI181" s="225"/>
      <c r="AWJ181" s="225"/>
      <c r="AWK181" s="225"/>
      <c r="AWL181" s="225"/>
      <c r="AWM181" s="225"/>
      <c r="AWN181" s="225"/>
      <c r="AWO181" s="225"/>
      <c r="AWP181" s="225"/>
      <c r="AWQ181" s="225"/>
      <c r="AWR181" s="225"/>
      <c r="AWS181" s="225"/>
      <c r="AWT181" s="225"/>
      <c r="AWU181" s="225"/>
      <c r="AWV181" s="225"/>
      <c r="AWW181" s="225"/>
      <c r="AWX181" s="225"/>
      <c r="AWY181" s="225"/>
      <c r="AWZ181" s="225"/>
      <c r="AXA181" s="225"/>
      <c r="AXB181" s="225"/>
      <c r="AXC181" s="225"/>
      <c r="AXD181" s="225"/>
      <c r="AXE181" s="225"/>
      <c r="AXF181" s="225"/>
      <c r="AXG181" s="225"/>
      <c r="AXH181" s="225"/>
      <c r="AXI181" s="225"/>
      <c r="AXJ181" s="225"/>
      <c r="AXK181" s="225"/>
      <c r="AXL181" s="225"/>
      <c r="AXM181" s="225"/>
      <c r="AXN181" s="225"/>
      <c r="AXO181" s="225"/>
      <c r="AXP181" s="225"/>
      <c r="AXQ181" s="225"/>
      <c r="AXR181" s="225"/>
      <c r="AXS181" s="225"/>
      <c r="AXT181" s="225"/>
      <c r="AXU181" s="225"/>
      <c r="AXV181" s="225"/>
      <c r="AXW181" s="225"/>
      <c r="AXX181" s="225"/>
      <c r="AXY181" s="225"/>
      <c r="AXZ181" s="225"/>
      <c r="AYA181" s="225"/>
      <c r="AYB181" s="225"/>
      <c r="AYC181" s="225"/>
      <c r="AYD181" s="225"/>
      <c r="AYE181" s="225"/>
      <c r="AYF181" s="225"/>
      <c r="AYG181" s="225"/>
      <c r="AYH181" s="225"/>
      <c r="AYI181" s="225"/>
      <c r="AYJ181" s="225"/>
      <c r="AYK181" s="225"/>
      <c r="AYL181" s="225"/>
      <c r="AYM181" s="225"/>
      <c r="AYN181" s="225"/>
      <c r="AYO181" s="225"/>
      <c r="AYP181" s="225"/>
      <c r="AYQ181" s="225"/>
      <c r="AYR181" s="225"/>
      <c r="AYS181" s="225"/>
      <c r="AYT181" s="225"/>
      <c r="AYU181" s="225"/>
      <c r="AYV181" s="225"/>
      <c r="AYW181" s="225"/>
      <c r="AYX181" s="225"/>
      <c r="AYY181" s="225"/>
      <c r="AYZ181" s="225"/>
      <c r="AZA181" s="225"/>
      <c r="AZB181" s="225"/>
      <c r="AZC181" s="225"/>
      <c r="AZD181" s="225"/>
      <c r="AZE181" s="225"/>
      <c r="AZF181" s="225"/>
      <c r="AZG181" s="225"/>
      <c r="AZH181" s="225"/>
      <c r="AZI181" s="225"/>
      <c r="AZJ181" s="225"/>
      <c r="AZK181" s="225"/>
      <c r="AZL181" s="225"/>
      <c r="AZM181" s="225"/>
      <c r="AZN181" s="225"/>
      <c r="AZO181" s="225"/>
      <c r="AZP181" s="225"/>
      <c r="AZQ181" s="225"/>
      <c r="AZR181" s="225"/>
      <c r="AZS181" s="225"/>
      <c r="AZT181" s="225"/>
      <c r="AZU181" s="225"/>
      <c r="AZV181" s="225"/>
      <c r="AZW181" s="225"/>
      <c r="AZX181" s="225"/>
      <c r="AZY181" s="225"/>
      <c r="AZZ181" s="225"/>
      <c r="BAA181" s="225"/>
      <c r="BAB181" s="225"/>
      <c r="BAC181" s="225"/>
      <c r="BAD181" s="225"/>
      <c r="BAE181" s="225"/>
      <c r="BAF181" s="225"/>
      <c r="BAG181" s="225"/>
      <c r="BAH181" s="225"/>
      <c r="BAI181" s="225"/>
      <c r="BAJ181" s="225"/>
      <c r="BAK181" s="225"/>
      <c r="BAL181" s="225"/>
      <c r="BAM181" s="225"/>
      <c r="BAN181" s="225"/>
      <c r="BAO181" s="225"/>
      <c r="BAP181" s="225"/>
      <c r="BAQ181" s="225"/>
      <c r="BAR181" s="225"/>
      <c r="BAS181" s="225"/>
      <c r="BAT181" s="225"/>
      <c r="BAU181" s="225"/>
      <c r="BAV181" s="225"/>
      <c r="BAW181" s="225"/>
      <c r="BAX181" s="225"/>
      <c r="BAY181" s="225"/>
      <c r="BAZ181" s="225"/>
      <c r="BBA181" s="225"/>
      <c r="BBB181" s="225"/>
      <c r="BBC181" s="225"/>
      <c r="BBD181" s="225"/>
      <c r="BBE181" s="225"/>
      <c r="BBF181" s="225"/>
      <c r="BBG181" s="225"/>
      <c r="BBH181" s="225"/>
      <c r="BBI181" s="225"/>
      <c r="BBJ181" s="225"/>
      <c r="BBK181" s="225"/>
      <c r="BBL181" s="225"/>
      <c r="BBM181" s="225"/>
      <c r="BBN181" s="225"/>
      <c r="BBO181" s="225"/>
      <c r="BBP181" s="225"/>
      <c r="BBQ181" s="225"/>
      <c r="BBR181" s="225"/>
      <c r="BBS181" s="225"/>
      <c r="BBT181" s="225"/>
      <c r="BBU181" s="225"/>
      <c r="BBV181" s="225"/>
      <c r="BBW181" s="225"/>
      <c r="BBX181" s="225"/>
      <c r="BBY181" s="225"/>
      <c r="BBZ181" s="225"/>
      <c r="BCA181" s="225"/>
      <c r="BCB181" s="225"/>
      <c r="BCC181" s="225"/>
      <c r="BCD181" s="225"/>
      <c r="BCE181" s="225"/>
      <c r="BCF181" s="225"/>
      <c r="BCG181" s="225"/>
      <c r="BCH181" s="225"/>
      <c r="BCI181" s="225"/>
      <c r="BCJ181" s="225"/>
      <c r="BCK181" s="225"/>
      <c r="BCL181" s="225"/>
      <c r="BCM181" s="225"/>
      <c r="BCN181" s="225"/>
      <c r="BCO181" s="225"/>
      <c r="BCP181" s="225"/>
      <c r="BCQ181" s="225"/>
      <c r="BCR181" s="225"/>
      <c r="BCS181" s="225"/>
      <c r="BCT181" s="225"/>
      <c r="BCU181" s="225"/>
      <c r="BCV181" s="225"/>
      <c r="BCW181" s="225"/>
      <c r="BCX181" s="225"/>
      <c r="BCY181" s="225"/>
      <c r="BCZ181" s="225"/>
      <c r="BDA181" s="225"/>
      <c r="BDB181" s="225"/>
      <c r="BDC181" s="225"/>
      <c r="BDD181" s="225"/>
      <c r="BDE181" s="225"/>
      <c r="BDF181" s="225"/>
      <c r="BDG181" s="225"/>
      <c r="BDH181" s="225"/>
      <c r="BDI181" s="225"/>
      <c r="BDJ181" s="225"/>
      <c r="BDK181" s="225"/>
      <c r="BDL181" s="225"/>
      <c r="BDM181" s="225"/>
      <c r="BDN181" s="225"/>
      <c r="BDO181" s="225"/>
      <c r="BDP181" s="225"/>
      <c r="BDQ181" s="225"/>
      <c r="BDR181" s="225"/>
      <c r="BDS181" s="225"/>
      <c r="BDT181" s="225"/>
      <c r="BDU181" s="225"/>
      <c r="BDV181" s="225"/>
      <c r="BDW181" s="225"/>
      <c r="BDX181" s="225"/>
      <c r="BDY181" s="225"/>
      <c r="BDZ181" s="225"/>
      <c r="BEA181" s="225"/>
      <c r="BEB181" s="225"/>
      <c r="BEC181" s="225"/>
      <c r="BED181" s="225"/>
      <c r="BEE181" s="225"/>
      <c r="BEF181" s="225"/>
      <c r="BEG181" s="225"/>
      <c r="BEH181" s="225"/>
      <c r="BEI181" s="225"/>
      <c r="BEJ181" s="225"/>
      <c r="BEK181" s="225"/>
      <c r="BEL181" s="225"/>
      <c r="BEM181" s="225"/>
      <c r="BEN181" s="225"/>
      <c r="BEO181" s="225"/>
      <c r="BEP181" s="225"/>
      <c r="BEQ181" s="225"/>
      <c r="BER181" s="225"/>
      <c r="BES181" s="225"/>
      <c r="BET181" s="225"/>
      <c r="BEU181" s="225"/>
      <c r="BEV181" s="225"/>
      <c r="BEW181" s="225"/>
      <c r="BEX181" s="225"/>
      <c r="BEY181" s="225"/>
      <c r="BEZ181" s="225"/>
      <c r="BFA181" s="225"/>
      <c r="BFB181" s="225"/>
      <c r="BFC181" s="225"/>
      <c r="BFD181" s="225"/>
      <c r="BFE181" s="225"/>
      <c r="BFF181" s="225"/>
      <c r="BFG181" s="225"/>
      <c r="BFH181" s="225"/>
      <c r="BFI181" s="225"/>
      <c r="BFJ181" s="225"/>
      <c r="BFK181" s="225"/>
      <c r="BFL181" s="225"/>
      <c r="BFM181" s="225"/>
      <c r="BFN181" s="225"/>
      <c r="BFO181" s="225"/>
      <c r="BFP181" s="225"/>
      <c r="BFQ181" s="225"/>
      <c r="BFR181" s="225"/>
      <c r="BFS181" s="225"/>
      <c r="BFT181" s="225"/>
      <c r="BFU181" s="225"/>
      <c r="BFV181" s="225"/>
      <c r="BFW181" s="225"/>
      <c r="BFX181" s="225"/>
      <c r="BFY181" s="225"/>
      <c r="BFZ181" s="225"/>
      <c r="BGA181" s="225"/>
      <c r="BGB181" s="225"/>
      <c r="BGC181" s="225"/>
      <c r="BGD181" s="225"/>
      <c r="BGE181" s="225"/>
      <c r="BGF181" s="225"/>
      <c r="BGG181" s="225"/>
      <c r="BGH181" s="225"/>
      <c r="BGI181" s="225"/>
      <c r="BGJ181" s="225"/>
      <c r="BGK181" s="225"/>
      <c r="BGL181" s="225"/>
      <c r="BGM181" s="225"/>
      <c r="BGN181" s="225"/>
      <c r="BGO181" s="225"/>
      <c r="BGP181" s="225"/>
      <c r="BGQ181" s="225"/>
      <c r="BGR181" s="225"/>
      <c r="BGS181" s="225"/>
      <c r="BGT181" s="225"/>
      <c r="BGU181" s="225"/>
      <c r="BGV181" s="225"/>
      <c r="BGW181" s="225"/>
      <c r="BGX181" s="225"/>
      <c r="BGY181" s="225"/>
      <c r="BGZ181" s="225"/>
      <c r="BHA181" s="225"/>
      <c r="BHB181" s="225"/>
      <c r="BHC181" s="225"/>
      <c r="BHD181" s="225"/>
      <c r="BHE181" s="225"/>
      <c r="BHF181" s="225"/>
      <c r="BHG181" s="225"/>
      <c r="BHH181" s="225"/>
      <c r="BHI181" s="225"/>
      <c r="BHJ181" s="225"/>
      <c r="BHK181" s="225"/>
      <c r="BHL181" s="225"/>
      <c r="BHM181" s="225"/>
      <c r="BHN181" s="225"/>
      <c r="BHO181" s="225"/>
      <c r="BHP181" s="225"/>
      <c r="BHQ181" s="225"/>
      <c r="BHR181" s="225"/>
      <c r="BHS181" s="225"/>
      <c r="BHT181" s="225"/>
      <c r="BHU181" s="225"/>
      <c r="BHV181" s="225"/>
      <c r="BHW181" s="225"/>
      <c r="BHX181" s="225"/>
      <c r="BHY181" s="225"/>
      <c r="BHZ181" s="225"/>
      <c r="BIA181" s="225"/>
      <c r="BIB181" s="225"/>
      <c r="BIC181" s="225"/>
      <c r="BID181" s="225"/>
      <c r="BIE181" s="225"/>
      <c r="BIF181" s="225"/>
      <c r="BIG181" s="225"/>
      <c r="BIH181" s="225"/>
      <c r="BII181" s="225"/>
      <c r="BIJ181" s="225"/>
      <c r="BIK181" s="225"/>
      <c r="BIL181" s="225"/>
      <c r="BIM181" s="225"/>
      <c r="BIN181" s="225"/>
      <c r="BIO181" s="225"/>
      <c r="BIP181" s="225"/>
      <c r="BIQ181" s="225"/>
      <c r="BIR181" s="225"/>
      <c r="BIS181" s="225"/>
      <c r="BIT181" s="225"/>
      <c r="BIU181" s="225"/>
      <c r="BIV181" s="225"/>
      <c r="BIW181" s="225"/>
      <c r="BIX181" s="225"/>
      <c r="BIY181" s="225"/>
      <c r="BIZ181" s="225"/>
      <c r="BJA181" s="225"/>
      <c r="BJB181" s="225"/>
      <c r="BJC181" s="225"/>
      <c r="BJD181" s="225"/>
      <c r="BJE181" s="225"/>
      <c r="BJF181" s="225"/>
      <c r="BJG181" s="225"/>
      <c r="BJH181" s="225"/>
      <c r="BJI181" s="225"/>
      <c r="BJJ181" s="225"/>
      <c r="BJK181" s="225"/>
      <c r="BJL181" s="225"/>
      <c r="BJM181" s="225"/>
      <c r="BJN181" s="225"/>
      <c r="BJO181" s="225"/>
      <c r="BJP181" s="225"/>
      <c r="BJQ181" s="225"/>
      <c r="BJR181" s="225"/>
      <c r="BJS181" s="225"/>
      <c r="BJT181" s="225"/>
      <c r="BJU181" s="225"/>
      <c r="BJV181" s="225"/>
      <c r="BJW181" s="225"/>
      <c r="BJX181" s="225"/>
      <c r="BJY181" s="225"/>
      <c r="BJZ181" s="225"/>
      <c r="BKA181" s="225"/>
      <c r="BKB181" s="225"/>
      <c r="BKC181" s="225"/>
      <c r="BKD181" s="225"/>
      <c r="BKE181" s="225"/>
      <c r="BKF181" s="225"/>
      <c r="BKG181" s="225"/>
      <c r="BKH181" s="225"/>
      <c r="BKI181" s="225"/>
      <c r="BKJ181" s="225"/>
      <c r="BKK181" s="225"/>
      <c r="BKL181" s="225"/>
      <c r="BKM181" s="225"/>
      <c r="BKN181" s="225"/>
      <c r="BKO181" s="225"/>
      <c r="BKP181" s="225"/>
      <c r="BKQ181" s="225"/>
      <c r="BKR181" s="225"/>
      <c r="BKS181" s="225"/>
      <c r="BKT181" s="225"/>
      <c r="BKU181" s="225"/>
      <c r="BKV181" s="225"/>
      <c r="BKW181" s="225"/>
      <c r="BKX181" s="225"/>
      <c r="BKY181" s="225"/>
      <c r="BKZ181" s="225"/>
      <c r="BLA181" s="225"/>
      <c r="BLB181" s="225"/>
      <c r="BLC181" s="225"/>
      <c r="BLD181" s="225"/>
      <c r="BLE181" s="225"/>
      <c r="BLF181" s="225"/>
      <c r="BLG181" s="225"/>
      <c r="BLH181" s="225"/>
      <c r="BLI181" s="225"/>
      <c r="BLJ181" s="225"/>
      <c r="BLK181" s="225"/>
      <c r="BLL181" s="225"/>
      <c r="BLM181" s="225"/>
      <c r="BLN181" s="225"/>
      <c r="BLO181" s="225"/>
      <c r="BLP181" s="225"/>
      <c r="BLQ181" s="225"/>
      <c r="BLR181" s="225"/>
      <c r="BLS181" s="225"/>
      <c r="BLT181" s="225"/>
      <c r="BLU181" s="225"/>
      <c r="BLV181" s="225"/>
      <c r="BLW181" s="225"/>
      <c r="BLX181" s="225"/>
      <c r="BLY181" s="225"/>
      <c r="BLZ181" s="225"/>
      <c r="BMA181" s="225"/>
      <c r="BMB181" s="225"/>
      <c r="BMC181" s="225"/>
      <c r="BMD181" s="225"/>
      <c r="BME181" s="225"/>
      <c r="BMF181" s="225"/>
      <c r="BMG181" s="225"/>
      <c r="BMH181" s="225"/>
      <c r="BMI181" s="225"/>
      <c r="BMJ181" s="225"/>
      <c r="BMK181" s="225"/>
      <c r="BML181" s="225"/>
      <c r="BMM181" s="225"/>
      <c r="BMN181" s="225"/>
      <c r="BMO181" s="225"/>
      <c r="BMP181" s="225"/>
      <c r="BMQ181" s="225"/>
      <c r="BMR181" s="225"/>
      <c r="BMS181" s="225"/>
      <c r="BMT181" s="225"/>
      <c r="BMU181" s="225"/>
      <c r="BMV181" s="225"/>
      <c r="BMW181" s="225"/>
      <c r="BMX181" s="225"/>
      <c r="BMY181" s="225"/>
      <c r="BMZ181" s="225"/>
      <c r="BNA181" s="225"/>
      <c r="BNB181" s="225"/>
      <c r="BNC181" s="225"/>
      <c r="BND181" s="225"/>
      <c r="BNE181" s="225"/>
      <c r="BNF181" s="225"/>
      <c r="BNG181" s="225"/>
      <c r="BNH181" s="225"/>
      <c r="BNI181" s="225"/>
      <c r="BNJ181" s="225"/>
      <c r="BNK181" s="225"/>
      <c r="BNL181" s="225"/>
      <c r="BNM181" s="225"/>
      <c r="BNN181" s="225"/>
      <c r="BNO181" s="225"/>
      <c r="BNP181" s="225"/>
      <c r="BNQ181" s="225"/>
      <c r="BNR181" s="225"/>
      <c r="BNS181" s="225"/>
      <c r="BNT181" s="225"/>
      <c r="BNU181" s="225"/>
      <c r="BNV181" s="225"/>
      <c r="BNW181" s="225"/>
      <c r="BNX181" s="225"/>
      <c r="BNY181" s="225"/>
      <c r="BNZ181" s="225"/>
      <c r="BOA181" s="225"/>
      <c r="BOB181" s="225"/>
      <c r="BOC181" s="225"/>
      <c r="BOD181" s="225"/>
      <c r="BOE181" s="225"/>
      <c r="BOF181" s="225"/>
      <c r="BOG181" s="225"/>
      <c r="BOH181" s="225"/>
      <c r="BOI181" s="225"/>
      <c r="BOJ181" s="225"/>
      <c r="BOK181" s="225"/>
      <c r="BOL181" s="225"/>
      <c r="BOM181" s="225"/>
      <c r="BON181" s="225"/>
      <c r="BOO181" s="225"/>
      <c r="BOP181" s="225"/>
      <c r="BOQ181" s="225"/>
      <c r="BOR181" s="225"/>
      <c r="BOS181" s="225"/>
      <c r="BOT181" s="225"/>
      <c r="BOU181" s="225"/>
      <c r="BOV181" s="225"/>
      <c r="BOW181" s="225"/>
      <c r="BOX181" s="225"/>
      <c r="BOY181" s="225"/>
      <c r="BOZ181" s="225"/>
      <c r="BPA181" s="225"/>
      <c r="BPB181" s="225"/>
      <c r="BPC181" s="225"/>
      <c r="BPD181" s="225"/>
      <c r="BPE181" s="225"/>
      <c r="BPF181" s="225"/>
      <c r="BPG181" s="225"/>
      <c r="BPH181" s="225"/>
      <c r="BPI181" s="225"/>
      <c r="BPJ181" s="225"/>
      <c r="BPK181" s="225"/>
      <c r="BPL181" s="225"/>
      <c r="BPM181" s="225"/>
      <c r="BPN181" s="225"/>
      <c r="BPO181" s="225"/>
      <c r="BPP181" s="225"/>
      <c r="BPQ181" s="225"/>
      <c r="BPR181" s="225"/>
      <c r="BPS181" s="225"/>
      <c r="BPT181" s="225"/>
      <c r="BPU181" s="225"/>
      <c r="BPV181" s="225"/>
      <c r="BPW181" s="225"/>
      <c r="BPX181" s="225"/>
      <c r="BPY181" s="225"/>
      <c r="BPZ181" s="225"/>
      <c r="BQA181" s="225"/>
      <c r="BQB181" s="225"/>
      <c r="BQC181" s="225"/>
      <c r="BQD181" s="225"/>
      <c r="BQE181" s="225"/>
      <c r="BQF181" s="225"/>
      <c r="BQG181" s="225"/>
      <c r="BQH181" s="225"/>
      <c r="BQI181" s="225"/>
      <c r="BQJ181" s="225"/>
      <c r="BQK181" s="225"/>
      <c r="BQL181" s="225"/>
      <c r="BQM181" s="225"/>
      <c r="BQN181" s="225"/>
      <c r="BQO181" s="225"/>
      <c r="BQP181" s="225"/>
      <c r="BQQ181" s="225"/>
      <c r="BQR181" s="225"/>
      <c r="BQS181" s="225"/>
      <c r="BQT181" s="225"/>
      <c r="BQU181" s="225"/>
      <c r="BQV181" s="225"/>
      <c r="BQW181" s="225"/>
      <c r="BQX181" s="225"/>
      <c r="BQY181" s="225"/>
      <c r="BQZ181" s="225"/>
      <c r="BRA181" s="225"/>
      <c r="BRB181" s="225"/>
      <c r="BRC181" s="225"/>
      <c r="BRD181" s="225"/>
      <c r="BRE181" s="225"/>
      <c r="BRF181" s="225"/>
      <c r="BRG181" s="225"/>
      <c r="BRH181" s="225"/>
      <c r="BRI181" s="225"/>
      <c r="BRJ181" s="225"/>
      <c r="BRK181" s="225"/>
      <c r="BRL181" s="225"/>
      <c r="BRM181" s="225"/>
      <c r="BRN181" s="225"/>
      <c r="BRO181" s="225"/>
      <c r="BRP181" s="225"/>
      <c r="BRQ181" s="225"/>
      <c r="BRR181" s="225"/>
      <c r="BRS181" s="225"/>
      <c r="BRT181" s="225"/>
      <c r="BRU181" s="225"/>
      <c r="BRV181" s="225"/>
      <c r="BRW181" s="225"/>
      <c r="BRX181" s="225"/>
      <c r="BRY181" s="225"/>
      <c r="BRZ181" s="225"/>
      <c r="BSA181" s="225"/>
      <c r="BSB181" s="225"/>
      <c r="BSC181" s="225"/>
      <c r="BSD181" s="225"/>
      <c r="BSE181" s="225"/>
      <c r="BSF181" s="225"/>
      <c r="BSG181" s="225"/>
      <c r="BSH181" s="225"/>
      <c r="BSI181" s="225"/>
      <c r="BSJ181" s="225"/>
      <c r="BSK181" s="225"/>
      <c r="BSL181" s="225"/>
      <c r="BSM181" s="225"/>
      <c r="BSN181" s="225"/>
      <c r="BSO181" s="225"/>
      <c r="BSP181" s="225"/>
      <c r="BSQ181" s="225"/>
      <c r="BSR181" s="225"/>
      <c r="BSS181" s="225"/>
      <c r="BST181" s="225"/>
      <c r="BSU181" s="225"/>
      <c r="BSV181" s="225"/>
      <c r="BSW181" s="225"/>
      <c r="BSX181" s="225"/>
      <c r="BSY181" s="225"/>
      <c r="BSZ181" s="225"/>
      <c r="BTA181" s="225"/>
      <c r="BTB181" s="225"/>
      <c r="BTC181" s="225"/>
      <c r="BTD181" s="225"/>
      <c r="BTE181" s="225"/>
      <c r="BTF181" s="225"/>
      <c r="BTG181" s="225"/>
      <c r="BTH181" s="225"/>
      <c r="BTI181" s="225"/>
      <c r="BTJ181" s="225"/>
      <c r="BTK181" s="225"/>
      <c r="BTL181" s="225"/>
      <c r="BTM181" s="225"/>
      <c r="BTN181" s="225"/>
      <c r="BTO181" s="225"/>
      <c r="BTP181" s="225"/>
      <c r="BTQ181" s="225"/>
      <c r="BTR181" s="225"/>
      <c r="BTS181" s="225"/>
      <c r="BTT181" s="225"/>
      <c r="BTU181" s="225"/>
      <c r="BTV181" s="225"/>
      <c r="BTW181" s="225"/>
      <c r="BTX181" s="225"/>
      <c r="BTY181" s="225"/>
      <c r="BTZ181" s="225"/>
      <c r="BUA181" s="225"/>
      <c r="BUB181" s="225"/>
      <c r="BUC181" s="225"/>
      <c r="BUD181" s="225"/>
      <c r="BUE181" s="225"/>
      <c r="BUF181" s="225"/>
      <c r="BUG181" s="225"/>
      <c r="BUH181" s="225"/>
      <c r="BUI181" s="225"/>
      <c r="BUJ181" s="225"/>
      <c r="BUK181" s="225"/>
      <c r="BUL181" s="225"/>
      <c r="BUM181" s="225"/>
      <c r="BUN181" s="225"/>
      <c r="BUO181" s="225"/>
      <c r="BUP181" s="225"/>
      <c r="BUQ181" s="225"/>
      <c r="BUR181" s="225"/>
      <c r="BUS181" s="225"/>
      <c r="BUT181" s="225"/>
      <c r="BUU181" s="225"/>
      <c r="BUV181" s="225"/>
      <c r="BUW181" s="225"/>
      <c r="BUX181" s="225"/>
      <c r="BUY181" s="225"/>
      <c r="BUZ181" s="225"/>
      <c r="BVA181" s="225"/>
      <c r="BVB181" s="225"/>
      <c r="BVC181" s="225"/>
      <c r="BVD181" s="225"/>
      <c r="BVE181" s="225"/>
      <c r="BVF181" s="225"/>
      <c r="BVG181" s="225"/>
      <c r="BVH181" s="225"/>
      <c r="BVI181" s="225"/>
      <c r="BVJ181" s="225"/>
      <c r="BVK181" s="225"/>
      <c r="BVL181" s="225"/>
      <c r="BVM181" s="225"/>
      <c r="BVN181" s="225"/>
      <c r="BVO181" s="225"/>
      <c r="BVP181" s="225"/>
      <c r="BVQ181" s="225"/>
      <c r="BVR181" s="225"/>
      <c r="BVS181" s="225"/>
      <c r="BVT181" s="225"/>
      <c r="BVU181" s="225"/>
      <c r="BVV181" s="225"/>
      <c r="BVW181" s="225"/>
      <c r="BVX181" s="225"/>
      <c r="BVY181" s="225"/>
      <c r="BVZ181" s="225"/>
      <c r="BWA181" s="225"/>
      <c r="BWB181" s="225"/>
      <c r="BWC181" s="225"/>
      <c r="BWD181" s="225"/>
      <c r="BWE181" s="225"/>
      <c r="BWF181" s="225"/>
      <c r="BWG181" s="225"/>
      <c r="BWH181" s="225"/>
      <c r="BWI181" s="225"/>
      <c r="BWJ181" s="225"/>
      <c r="BWK181" s="225"/>
      <c r="BWL181" s="225"/>
      <c r="BWM181" s="225"/>
      <c r="BWN181" s="225"/>
      <c r="BWO181" s="225"/>
      <c r="BWP181" s="225"/>
      <c r="BWQ181" s="225"/>
      <c r="BWR181" s="225"/>
      <c r="BWS181" s="225"/>
      <c r="BWT181" s="225"/>
      <c r="BWU181" s="225"/>
      <c r="BWV181" s="225"/>
      <c r="BWW181" s="225"/>
      <c r="BWX181" s="225"/>
      <c r="BWY181" s="225"/>
      <c r="BWZ181" s="225"/>
      <c r="BXA181" s="225"/>
      <c r="BXB181" s="225"/>
      <c r="BXC181" s="225"/>
      <c r="BXD181" s="225"/>
      <c r="BXE181" s="225"/>
      <c r="BXF181" s="225"/>
      <c r="BXG181" s="225"/>
      <c r="BXH181" s="225"/>
      <c r="BXI181" s="225"/>
      <c r="BXJ181" s="225"/>
      <c r="BXK181" s="225"/>
      <c r="BXL181" s="225"/>
      <c r="BXM181" s="225"/>
      <c r="BXN181" s="225"/>
      <c r="BXO181" s="225"/>
      <c r="BXP181" s="225"/>
      <c r="BXQ181" s="225"/>
      <c r="BXR181" s="225"/>
      <c r="BXS181" s="225"/>
      <c r="BXT181" s="225"/>
      <c r="BXU181" s="225"/>
      <c r="BXV181" s="225"/>
      <c r="BXW181" s="225"/>
      <c r="BXX181" s="225"/>
      <c r="BXY181" s="225"/>
      <c r="BXZ181" s="225"/>
      <c r="BYA181" s="225"/>
      <c r="BYB181" s="225"/>
      <c r="BYC181" s="225"/>
      <c r="BYD181" s="225"/>
      <c r="BYE181" s="225"/>
      <c r="BYF181" s="225"/>
      <c r="BYG181" s="225"/>
      <c r="BYH181" s="225"/>
      <c r="BYI181" s="225"/>
      <c r="BYJ181" s="225"/>
      <c r="BYK181" s="225"/>
      <c r="BYL181" s="225"/>
      <c r="BYM181" s="225"/>
      <c r="BYN181" s="225"/>
      <c r="BYO181" s="225"/>
      <c r="BYP181" s="225"/>
      <c r="BYQ181" s="225"/>
      <c r="BYR181" s="225"/>
      <c r="BYS181" s="225"/>
      <c r="BYT181" s="225"/>
      <c r="BYU181" s="225"/>
      <c r="BYV181" s="225"/>
      <c r="BYW181" s="225"/>
      <c r="BYX181" s="225"/>
      <c r="BYY181" s="225"/>
      <c r="BYZ181" s="225"/>
      <c r="BZA181" s="225"/>
      <c r="BZB181" s="225"/>
      <c r="BZC181" s="225"/>
      <c r="BZD181" s="225"/>
      <c r="BZE181" s="225"/>
      <c r="BZF181" s="225"/>
      <c r="BZG181" s="225"/>
      <c r="BZH181" s="225"/>
      <c r="BZI181" s="225"/>
      <c r="BZJ181" s="225"/>
      <c r="BZK181" s="225"/>
      <c r="BZL181" s="225"/>
      <c r="BZM181" s="225"/>
      <c r="BZN181" s="225"/>
      <c r="BZO181" s="225"/>
      <c r="BZP181" s="225"/>
      <c r="BZQ181" s="225"/>
      <c r="BZR181" s="225"/>
      <c r="BZS181" s="225"/>
      <c r="BZT181" s="225"/>
      <c r="BZU181" s="225"/>
      <c r="BZV181" s="225"/>
      <c r="BZW181" s="225"/>
      <c r="BZX181" s="225"/>
      <c r="BZY181" s="225"/>
      <c r="BZZ181" s="225"/>
      <c r="CAA181" s="225"/>
      <c r="CAB181" s="225"/>
      <c r="CAC181" s="225"/>
      <c r="CAD181" s="225"/>
      <c r="CAE181" s="225"/>
      <c r="CAF181" s="225"/>
      <c r="CAG181" s="225"/>
      <c r="CAH181" s="225"/>
      <c r="CAI181" s="225"/>
      <c r="CAJ181" s="225"/>
      <c r="CAK181" s="225"/>
      <c r="CAL181" s="225"/>
      <c r="CAM181" s="225"/>
      <c r="CAN181" s="225"/>
      <c r="CAO181" s="225"/>
      <c r="CAP181" s="225"/>
      <c r="CAQ181" s="225"/>
      <c r="CAR181" s="225"/>
      <c r="CAS181" s="225"/>
      <c r="CAT181" s="225"/>
      <c r="CAU181" s="225"/>
      <c r="CAV181" s="225"/>
      <c r="CAW181" s="225"/>
      <c r="CAX181" s="225"/>
      <c r="CAY181" s="225"/>
      <c r="CAZ181" s="225"/>
      <c r="CBA181" s="225"/>
      <c r="CBB181" s="225"/>
      <c r="CBC181" s="225"/>
      <c r="CBD181" s="225"/>
      <c r="CBE181" s="225"/>
      <c r="CBF181" s="225"/>
      <c r="CBG181" s="225"/>
      <c r="CBH181" s="225"/>
      <c r="CBI181" s="225"/>
      <c r="CBJ181" s="225"/>
      <c r="CBK181" s="225"/>
      <c r="CBL181" s="225"/>
      <c r="CBM181" s="225"/>
      <c r="CBN181" s="225"/>
      <c r="CBO181" s="225"/>
      <c r="CBP181" s="225"/>
      <c r="CBQ181" s="225"/>
      <c r="CBR181" s="225"/>
      <c r="CBS181" s="225"/>
      <c r="CBT181" s="225"/>
      <c r="CBU181" s="225"/>
      <c r="CBV181" s="225"/>
      <c r="CBW181" s="225"/>
      <c r="CBX181" s="225"/>
      <c r="CBY181" s="225"/>
      <c r="CBZ181" s="225"/>
      <c r="CCA181" s="225"/>
      <c r="CCB181" s="225"/>
      <c r="CCC181" s="225"/>
      <c r="CCD181" s="225"/>
      <c r="CCE181" s="225"/>
      <c r="CCF181" s="225"/>
      <c r="CCG181" s="225"/>
      <c r="CCH181" s="225"/>
      <c r="CCI181" s="225"/>
      <c r="CCJ181" s="225"/>
      <c r="CCK181" s="225"/>
      <c r="CCL181" s="225"/>
      <c r="CCM181" s="225"/>
      <c r="CCN181" s="225"/>
      <c r="CCO181" s="225"/>
      <c r="CCP181" s="225"/>
      <c r="CCQ181" s="225"/>
      <c r="CCR181" s="225"/>
      <c r="CCS181" s="225"/>
      <c r="CCT181" s="225"/>
      <c r="CCU181" s="225"/>
      <c r="CCV181" s="225"/>
      <c r="CCW181" s="225"/>
      <c r="CCX181" s="225"/>
      <c r="CCY181" s="225"/>
      <c r="CCZ181" s="225"/>
      <c r="CDA181" s="225"/>
      <c r="CDB181" s="225"/>
      <c r="CDC181" s="225"/>
      <c r="CDD181" s="225"/>
      <c r="CDE181" s="225"/>
      <c r="CDF181" s="225"/>
      <c r="CDG181" s="225"/>
      <c r="CDH181" s="225"/>
      <c r="CDI181" s="225"/>
      <c r="CDJ181" s="225"/>
      <c r="CDK181" s="225"/>
      <c r="CDL181" s="225"/>
      <c r="CDM181" s="225"/>
      <c r="CDN181" s="225"/>
      <c r="CDO181" s="225"/>
      <c r="CDP181" s="225"/>
      <c r="CDQ181" s="225"/>
      <c r="CDR181" s="225"/>
      <c r="CDS181" s="225"/>
      <c r="CDT181" s="225"/>
      <c r="CDU181" s="225"/>
      <c r="CDV181" s="225"/>
      <c r="CDW181" s="225"/>
      <c r="CDX181" s="225"/>
      <c r="CDY181" s="225"/>
      <c r="CDZ181" s="225"/>
      <c r="CEA181" s="225"/>
      <c r="CEB181" s="225"/>
      <c r="CEC181" s="225"/>
      <c r="CED181" s="225"/>
      <c r="CEE181" s="225"/>
      <c r="CEF181" s="225"/>
      <c r="CEG181" s="225"/>
      <c r="CEH181" s="225"/>
      <c r="CEI181" s="225"/>
      <c r="CEJ181" s="225"/>
      <c r="CEK181" s="225"/>
      <c r="CEL181" s="225"/>
      <c r="CEM181" s="225"/>
      <c r="CEN181" s="225"/>
      <c r="CEO181" s="225"/>
      <c r="CEP181" s="225"/>
      <c r="CEQ181" s="225"/>
      <c r="CER181" s="225"/>
      <c r="CES181" s="225"/>
      <c r="CET181" s="225"/>
      <c r="CEU181" s="225"/>
      <c r="CEV181" s="225"/>
      <c r="CEW181" s="225"/>
      <c r="CEX181" s="225"/>
      <c r="CEY181" s="225"/>
      <c r="CEZ181" s="225"/>
      <c r="CFA181" s="225"/>
      <c r="CFB181" s="225"/>
      <c r="CFC181" s="225"/>
      <c r="CFD181" s="225"/>
      <c r="CFE181" s="225"/>
      <c r="CFF181" s="225"/>
      <c r="CFG181" s="225"/>
      <c r="CFH181" s="225"/>
      <c r="CFI181" s="225"/>
      <c r="CFJ181" s="225"/>
      <c r="CFK181" s="225"/>
      <c r="CFL181" s="225"/>
      <c r="CFM181" s="225"/>
      <c r="CFN181" s="225"/>
      <c r="CFO181" s="225"/>
      <c r="CFP181" s="225"/>
      <c r="CFQ181" s="225"/>
      <c r="CFR181" s="225"/>
      <c r="CFS181" s="225"/>
      <c r="CFT181" s="225"/>
      <c r="CFU181" s="225"/>
      <c r="CFV181" s="225"/>
      <c r="CFW181" s="225"/>
      <c r="CFX181" s="225"/>
      <c r="CFY181" s="225"/>
      <c r="CFZ181" s="225"/>
      <c r="CGA181" s="225"/>
      <c r="CGB181" s="225"/>
      <c r="CGC181" s="225"/>
      <c r="CGD181" s="225"/>
      <c r="CGE181" s="225"/>
      <c r="CGF181" s="225"/>
      <c r="CGG181" s="225"/>
      <c r="CGH181" s="225"/>
      <c r="CGI181" s="225"/>
      <c r="CGJ181" s="225"/>
      <c r="CGK181" s="225"/>
      <c r="CGL181" s="225"/>
      <c r="CGM181" s="225"/>
      <c r="CGN181" s="225"/>
      <c r="CGO181" s="225"/>
      <c r="CGP181" s="225"/>
      <c r="CGQ181" s="225"/>
      <c r="CGR181" s="225"/>
      <c r="CGS181" s="225"/>
      <c r="CGT181" s="225"/>
      <c r="CGU181" s="225"/>
      <c r="CGV181" s="225"/>
      <c r="CGW181" s="225"/>
      <c r="CGX181" s="225"/>
      <c r="CGY181" s="225"/>
      <c r="CGZ181" s="225"/>
      <c r="CHA181" s="225"/>
      <c r="CHB181" s="225"/>
      <c r="CHC181" s="225"/>
      <c r="CHD181" s="225"/>
      <c r="CHE181" s="225"/>
      <c r="CHF181" s="225"/>
      <c r="CHG181" s="225"/>
      <c r="CHH181" s="225"/>
      <c r="CHI181" s="225"/>
      <c r="CHJ181" s="225"/>
      <c r="CHK181" s="225"/>
      <c r="CHL181" s="225"/>
      <c r="CHM181" s="225"/>
      <c r="CHN181" s="225"/>
      <c r="CHO181" s="225"/>
      <c r="CHP181" s="225"/>
      <c r="CHQ181" s="225"/>
      <c r="CHR181" s="225"/>
      <c r="CHS181" s="225"/>
      <c r="CHT181" s="225"/>
      <c r="CHU181" s="225"/>
      <c r="CHV181" s="225"/>
      <c r="CHW181" s="225"/>
      <c r="CHX181" s="225"/>
      <c r="CHY181" s="225"/>
      <c r="CHZ181" s="225"/>
      <c r="CIA181" s="225"/>
      <c r="CIB181" s="225"/>
      <c r="CIC181" s="225"/>
      <c r="CID181" s="225"/>
      <c r="CIE181" s="225"/>
      <c r="CIF181" s="225"/>
      <c r="CIG181" s="225"/>
      <c r="CIH181" s="225"/>
      <c r="CII181" s="225"/>
      <c r="CIJ181" s="225"/>
      <c r="CIK181" s="225"/>
      <c r="CIL181" s="225"/>
      <c r="CIM181" s="225"/>
      <c r="CIN181" s="225"/>
      <c r="CIO181" s="225"/>
      <c r="CIP181" s="225"/>
      <c r="CIQ181" s="225"/>
      <c r="CIR181" s="225"/>
      <c r="CIS181" s="225"/>
      <c r="CIT181" s="225"/>
      <c r="CIU181" s="225"/>
      <c r="CIV181" s="225"/>
      <c r="CIW181" s="225"/>
      <c r="CIX181" s="225"/>
      <c r="CIY181" s="225"/>
      <c r="CIZ181" s="225"/>
      <c r="CJA181" s="225"/>
      <c r="CJB181" s="225"/>
      <c r="CJC181" s="225"/>
      <c r="CJD181" s="225"/>
      <c r="CJE181" s="225"/>
      <c r="CJF181" s="225"/>
      <c r="CJG181" s="225"/>
      <c r="CJH181" s="225"/>
      <c r="CJI181" s="225"/>
      <c r="CJJ181" s="225"/>
      <c r="CJK181" s="225"/>
      <c r="CJL181" s="225"/>
      <c r="CJM181" s="225"/>
      <c r="CJN181" s="225"/>
      <c r="CJO181" s="225"/>
      <c r="CJP181" s="225"/>
      <c r="CJQ181" s="225"/>
      <c r="CJR181" s="225"/>
      <c r="CJS181" s="225"/>
      <c r="CJT181" s="225"/>
      <c r="CJU181" s="225"/>
      <c r="CJV181" s="225"/>
      <c r="CJW181" s="225"/>
      <c r="CJX181" s="225"/>
      <c r="CJY181" s="225"/>
      <c r="CJZ181" s="225"/>
      <c r="CKA181" s="225"/>
      <c r="CKB181" s="225"/>
      <c r="CKC181" s="225"/>
      <c r="CKD181" s="225"/>
      <c r="CKE181" s="225"/>
      <c r="CKF181" s="225"/>
      <c r="CKG181" s="225"/>
      <c r="CKH181" s="225"/>
      <c r="CKI181" s="225"/>
      <c r="CKJ181" s="225"/>
      <c r="CKK181" s="225"/>
      <c r="CKL181" s="225"/>
      <c r="CKM181" s="225"/>
      <c r="CKN181" s="225"/>
      <c r="CKO181" s="225"/>
      <c r="CKP181" s="225"/>
      <c r="CKQ181" s="225"/>
      <c r="CKR181" s="225"/>
      <c r="CKS181" s="225"/>
      <c r="CKT181" s="225"/>
      <c r="CKU181" s="225"/>
      <c r="CKV181" s="225"/>
      <c r="CKW181" s="225"/>
      <c r="CKX181" s="225"/>
      <c r="CKY181" s="225"/>
      <c r="CKZ181" s="225"/>
      <c r="CLA181" s="225"/>
      <c r="CLB181" s="225"/>
      <c r="CLC181" s="225"/>
      <c r="CLD181" s="225"/>
      <c r="CLE181" s="225"/>
      <c r="CLF181" s="225"/>
      <c r="CLG181" s="225"/>
      <c r="CLH181" s="225"/>
      <c r="CLI181" s="225"/>
      <c r="CLJ181" s="225"/>
      <c r="CLK181" s="225"/>
      <c r="CLL181" s="225"/>
      <c r="CLM181" s="225"/>
      <c r="CLN181" s="225"/>
      <c r="CLO181" s="225"/>
      <c r="CLP181" s="225"/>
      <c r="CLQ181" s="225"/>
      <c r="CLR181" s="225"/>
      <c r="CLS181" s="225"/>
      <c r="CLT181" s="225"/>
      <c r="CLU181" s="225"/>
      <c r="CLV181" s="225"/>
      <c r="CLW181" s="225"/>
      <c r="CLX181" s="225"/>
      <c r="CLY181" s="225"/>
      <c r="CLZ181" s="225"/>
      <c r="CMA181" s="225"/>
      <c r="CMB181" s="225"/>
      <c r="CMC181" s="225"/>
      <c r="CMD181" s="225"/>
      <c r="CME181" s="225"/>
      <c r="CMF181" s="225"/>
      <c r="CMG181" s="225"/>
      <c r="CMH181" s="225"/>
      <c r="CMI181" s="225"/>
      <c r="CMJ181" s="225"/>
      <c r="CMK181" s="225"/>
      <c r="CML181" s="225"/>
      <c r="CMM181" s="225"/>
      <c r="CMN181" s="225"/>
      <c r="CMO181" s="225"/>
      <c r="CMP181" s="225"/>
      <c r="CMQ181" s="225"/>
      <c r="CMR181" s="225"/>
      <c r="CMS181" s="225"/>
      <c r="CMT181" s="225"/>
      <c r="CMU181" s="225"/>
      <c r="CMV181" s="225"/>
      <c r="CMW181" s="225"/>
      <c r="CMX181" s="225"/>
      <c r="CMY181" s="225"/>
      <c r="CMZ181" s="225"/>
      <c r="CNA181" s="225"/>
      <c r="CNB181" s="225"/>
      <c r="CNC181" s="225"/>
      <c r="CND181" s="225"/>
      <c r="CNE181" s="225"/>
      <c r="CNF181" s="225"/>
      <c r="CNG181" s="225"/>
      <c r="CNH181" s="225"/>
      <c r="CNI181" s="225"/>
      <c r="CNJ181" s="225"/>
      <c r="CNK181" s="225"/>
      <c r="CNL181" s="225"/>
      <c r="CNM181" s="225"/>
      <c r="CNN181" s="225"/>
      <c r="CNO181" s="225"/>
      <c r="CNP181" s="225"/>
      <c r="CNQ181" s="225"/>
      <c r="CNR181" s="225"/>
      <c r="CNS181" s="225"/>
      <c r="CNT181" s="225"/>
      <c r="CNU181" s="225"/>
      <c r="CNV181" s="225"/>
      <c r="CNW181" s="225"/>
      <c r="CNX181" s="225"/>
      <c r="CNY181" s="225"/>
      <c r="CNZ181" s="225"/>
      <c r="COA181" s="225"/>
      <c r="COB181" s="225"/>
      <c r="COC181" s="225"/>
      <c r="COD181" s="225"/>
      <c r="COE181" s="225"/>
      <c r="COF181" s="225"/>
      <c r="COG181" s="225"/>
      <c r="COH181" s="225"/>
      <c r="COI181" s="225"/>
      <c r="COJ181" s="225"/>
      <c r="COK181" s="225"/>
      <c r="COL181" s="225"/>
      <c r="COM181" s="225"/>
      <c r="CON181" s="225"/>
      <c r="COO181" s="225"/>
      <c r="COP181" s="225"/>
      <c r="COQ181" s="225"/>
      <c r="COR181" s="225"/>
      <c r="COS181" s="225"/>
      <c r="COT181" s="225"/>
      <c r="COU181" s="225"/>
      <c r="COV181" s="225"/>
      <c r="COW181" s="225"/>
      <c r="COX181" s="225"/>
      <c r="COY181" s="225"/>
      <c r="COZ181" s="225"/>
      <c r="CPA181" s="225"/>
      <c r="CPB181" s="225"/>
      <c r="CPC181" s="225"/>
      <c r="CPD181" s="225"/>
      <c r="CPE181" s="225"/>
      <c r="CPF181" s="225"/>
      <c r="CPG181" s="225"/>
      <c r="CPH181" s="225"/>
      <c r="CPI181" s="225"/>
      <c r="CPJ181" s="225"/>
      <c r="CPK181" s="225"/>
      <c r="CPL181" s="225"/>
      <c r="CPM181" s="225"/>
      <c r="CPN181" s="225"/>
      <c r="CPO181" s="225"/>
      <c r="CPP181" s="225"/>
      <c r="CPQ181" s="225"/>
      <c r="CPR181" s="225"/>
      <c r="CPS181" s="225"/>
      <c r="CPT181" s="225"/>
      <c r="CPU181" s="225"/>
      <c r="CPV181" s="225"/>
      <c r="CPW181" s="225"/>
      <c r="CPX181" s="225"/>
      <c r="CPY181" s="225"/>
      <c r="CPZ181" s="225"/>
      <c r="CQA181" s="225"/>
      <c r="CQB181" s="225"/>
      <c r="CQC181" s="225"/>
      <c r="CQD181" s="225"/>
      <c r="CQE181" s="225"/>
      <c r="CQF181" s="225"/>
      <c r="CQG181" s="225"/>
      <c r="CQH181" s="225"/>
      <c r="CQI181" s="225"/>
      <c r="CQJ181" s="225"/>
      <c r="CQK181" s="225"/>
      <c r="CQL181" s="225"/>
      <c r="CQM181" s="225"/>
      <c r="CQN181" s="225"/>
      <c r="CQO181" s="225"/>
      <c r="CQP181" s="225"/>
      <c r="CQQ181" s="225"/>
      <c r="CQR181" s="225"/>
      <c r="CQS181" s="225"/>
      <c r="CQT181" s="225"/>
      <c r="CQU181" s="225"/>
      <c r="CQV181" s="225"/>
      <c r="CQW181" s="225"/>
      <c r="CQX181" s="225"/>
      <c r="CQY181" s="225"/>
      <c r="CQZ181" s="225"/>
      <c r="CRA181" s="225"/>
      <c r="CRB181" s="225"/>
      <c r="CRC181" s="225"/>
      <c r="CRD181" s="225"/>
      <c r="CRE181" s="225"/>
      <c r="CRF181" s="225"/>
      <c r="CRG181" s="225"/>
      <c r="CRH181" s="225"/>
      <c r="CRI181" s="225"/>
      <c r="CRJ181" s="225"/>
      <c r="CRK181" s="225"/>
      <c r="CRL181" s="225"/>
      <c r="CRM181" s="225"/>
      <c r="CRN181" s="225"/>
      <c r="CRO181" s="225"/>
      <c r="CRP181" s="225"/>
      <c r="CRQ181" s="225"/>
      <c r="CRR181" s="225"/>
      <c r="CRS181" s="225"/>
      <c r="CRT181" s="225"/>
      <c r="CRU181" s="225"/>
      <c r="CRV181" s="225"/>
      <c r="CRW181" s="225"/>
      <c r="CRX181" s="225"/>
      <c r="CRY181" s="225"/>
      <c r="CRZ181" s="225"/>
      <c r="CSA181" s="225"/>
      <c r="CSB181" s="225"/>
      <c r="CSC181" s="225"/>
      <c r="CSD181" s="225"/>
      <c r="CSE181" s="225"/>
      <c r="CSF181" s="225"/>
      <c r="CSG181" s="225"/>
      <c r="CSH181" s="225"/>
      <c r="CSI181" s="225"/>
      <c r="CSJ181" s="225"/>
      <c r="CSK181" s="225"/>
      <c r="CSL181" s="225"/>
      <c r="CSM181" s="225"/>
      <c r="CSN181" s="225"/>
      <c r="CSO181" s="225"/>
      <c r="CSP181" s="225"/>
      <c r="CSQ181" s="225"/>
      <c r="CSR181" s="225"/>
      <c r="CSS181" s="225"/>
      <c r="CST181" s="225"/>
      <c r="CSU181" s="225"/>
      <c r="CSV181" s="225"/>
      <c r="CSW181" s="225"/>
      <c r="CSX181" s="225"/>
      <c r="CSY181" s="225"/>
      <c r="CSZ181" s="225"/>
      <c r="CTA181" s="225"/>
      <c r="CTB181" s="225"/>
      <c r="CTC181" s="225"/>
      <c r="CTD181" s="225"/>
      <c r="CTE181" s="225"/>
      <c r="CTF181" s="225"/>
      <c r="CTG181" s="225"/>
      <c r="CTH181" s="225"/>
      <c r="CTI181" s="225"/>
      <c r="CTJ181" s="225"/>
      <c r="CTK181" s="225"/>
      <c r="CTL181" s="225"/>
      <c r="CTM181" s="225"/>
      <c r="CTN181" s="225"/>
      <c r="CTO181" s="225"/>
      <c r="CTP181" s="225"/>
      <c r="CTQ181" s="225"/>
      <c r="CTR181" s="225"/>
      <c r="CTS181" s="225"/>
      <c r="CTT181" s="225"/>
      <c r="CTU181" s="225"/>
      <c r="CTV181" s="225"/>
      <c r="CTW181" s="225"/>
      <c r="CTX181" s="225"/>
      <c r="CTY181" s="225"/>
      <c r="CTZ181" s="225"/>
      <c r="CUA181" s="225"/>
      <c r="CUB181" s="225"/>
      <c r="CUC181" s="225"/>
      <c r="CUD181" s="225"/>
      <c r="CUE181" s="225"/>
      <c r="CUF181" s="225"/>
      <c r="CUG181" s="225"/>
      <c r="CUH181" s="225"/>
      <c r="CUI181" s="225"/>
      <c r="CUJ181" s="225"/>
      <c r="CUK181" s="225"/>
      <c r="CUL181" s="225"/>
      <c r="CUM181" s="225"/>
      <c r="CUN181" s="225"/>
      <c r="CUO181" s="225"/>
      <c r="CUP181" s="225"/>
      <c r="CUQ181" s="225"/>
      <c r="CUR181" s="225"/>
      <c r="CUS181" s="225"/>
      <c r="CUT181" s="225"/>
      <c r="CUU181" s="225"/>
      <c r="CUV181" s="225"/>
      <c r="CUW181" s="225"/>
      <c r="CUX181" s="225"/>
      <c r="CUY181" s="225"/>
      <c r="CUZ181" s="225"/>
      <c r="CVA181" s="225"/>
      <c r="CVB181" s="225"/>
      <c r="CVC181" s="225"/>
      <c r="CVD181" s="225"/>
      <c r="CVE181" s="225"/>
      <c r="CVF181" s="225"/>
      <c r="CVG181" s="225"/>
      <c r="CVH181" s="225"/>
      <c r="CVI181" s="225"/>
      <c r="CVJ181" s="225"/>
      <c r="CVK181" s="225"/>
      <c r="CVL181" s="225"/>
      <c r="CVM181" s="225"/>
      <c r="CVN181" s="225"/>
      <c r="CVO181" s="225"/>
      <c r="CVP181" s="225"/>
      <c r="CVQ181" s="225"/>
      <c r="CVR181" s="225"/>
      <c r="CVS181" s="225"/>
      <c r="CVT181" s="225"/>
      <c r="CVU181" s="225"/>
      <c r="CVV181" s="225"/>
      <c r="CVW181" s="225"/>
      <c r="CVX181" s="225"/>
      <c r="CVY181" s="225"/>
      <c r="CVZ181" s="225"/>
      <c r="CWA181" s="225"/>
      <c r="CWB181" s="225"/>
      <c r="CWC181" s="225"/>
      <c r="CWD181" s="225"/>
      <c r="CWE181" s="225"/>
      <c r="CWF181" s="225"/>
      <c r="CWG181" s="225"/>
      <c r="CWH181" s="225"/>
      <c r="CWI181" s="225"/>
      <c r="CWJ181" s="225"/>
      <c r="CWK181" s="225"/>
      <c r="CWL181" s="225"/>
      <c r="CWM181" s="225"/>
      <c r="CWN181" s="225"/>
      <c r="CWO181" s="225"/>
      <c r="CWP181" s="225"/>
      <c r="CWQ181" s="225"/>
      <c r="CWR181" s="225"/>
      <c r="CWS181" s="225"/>
      <c r="CWT181" s="225"/>
      <c r="CWU181" s="225"/>
      <c r="CWV181" s="225"/>
      <c r="CWW181" s="225"/>
      <c r="CWX181" s="225"/>
      <c r="CWY181" s="225"/>
      <c r="CWZ181" s="225"/>
      <c r="CXA181" s="225"/>
      <c r="CXB181" s="225"/>
      <c r="CXC181" s="225"/>
      <c r="CXD181" s="225"/>
      <c r="CXE181" s="225"/>
      <c r="CXF181" s="225"/>
      <c r="CXG181" s="225"/>
      <c r="CXH181" s="225"/>
      <c r="CXI181" s="225"/>
      <c r="CXJ181" s="225"/>
      <c r="CXK181" s="225"/>
      <c r="CXL181" s="225"/>
      <c r="CXM181" s="225"/>
      <c r="CXN181" s="225"/>
      <c r="CXO181" s="225"/>
      <c r="CXP181" s="225"/>
      <c r="CXQ181" s="225"/>
      <c r="CXR181" s="225"/>
      <c r="CXS181" s="225"/>
      <c r="CXT181" s="225"/>
      <c r="CXU181" s="225"/>
      <c r="CXV181" s="225"/>
      <c r="CXW181" s="225"/>
      <c r="CXX181" s="225"/>
      <c r="CXY181" s="225"/>
      <c r="CXZ181" s="225"/>
      <c r="CYA181" s="225"/>
      <c r="CYB181" s="225"/>
      <c r="CYC181" s="225"/>
      <c r="CYD181" s="225"/>
      <c r="CYE181" s="225"/>
      <c r="CYF181" s="225"/>
      <c r="CYG181" s="225"/>
      <c r="CYH181" s="225"/>
      <c r="CYI181" s="225"/>
      <c r="CYJ181" s="225"/>
      <c r="CYK181" s="225"/>
      <c r="CYL181" s="225"/>
      <c r="CYM181" s="225"/>
      <c r="CYN181" s="225"/>
      <c r="CYO181" s="225"/>
      <c r="CYP181" s="225"/>
      <c r="CYQ181" s="225"/>
      <c r="CYR181" s="225"/>
      <c r="CYS181" s="225"/>
      <c r="CYT181" s="225"/>
      <c r="CYU181" s="225"/>
      <c r="CYV181" s="225"/>
      <c r="CYW181" s="225"/>
      <c r="CYX181" s="225"/>
      <c r="CYY181" s="225"/>
      <c r="CYZ181" s="225"/>
      <c r="CZA181" s="225"/>
      <c r="CZB181" s="225"/>
      <c r="CZC181" s="225"/>
      <c r="CZD181" s="225"/>
      <c r="CZE181" s="225"/>
      <c r="CZF181" s="225"/>
      <c r="CZG181" s="225"/>
      <c r="CZH181" s="225"/>
      <c r="CZI181" s="225"/>
      <c r="CZJ181" s="225"/>
      <c r="CZK181" s="225"/>
      <c r="CZL181" s="225"/>
      <c r="CZM181" s="225"/>
      <c r="CZN181" s="225"/>
      <c r="CZO181" s="225"/>
      <c r="CZP181" s="225"/>
      <c r="CZQ181" s="225"/>
      <c r="CZR181" s="225"/>
      <c r="CZS181" s="225"/>
      <c r="CZT181" s="225"/>
      <c r="CZU181" s="225"/>
      <c r="CZV181" s="225"/>
      <c r="CZW181" s="225"/>
      <c r="CZX181" s="225"/>
      <c r="CZY181" s="225"/>
      <c r="CZZ181" s="225"/>
      <c r="DAA181" s="225"/>
      <c r="DAB181" s="225"/>
      <c r="DAC181" s="225"/>
      <c r="DAD181" s="225"/>
      <c r="DAE181" s="225"/>
      <c r="DAF181" s="225"/>
      <c r="DAG181" s="225"/>
      <c r="DAH181" s="225"/>
      <c r="DAI181" s="225"/>
      <c r="DAJ181" s="225"/>
      <c r="DAK181" s="225"/>
      <c r="DAL181" s="225"/>
      <c r="DAM181" s="225"/>
      <c r="DAN181" s="225"/>
      <c r="DAO181" s="225"/>
      <c r="DAP181" s="225"/>
      <c r="DAQ181" s="225"/>
      <c r="DAR181" s="225"/>
      <c r="DAS181" s="225"/>
      <c r="DAT181" s="225"/>
      <c r="DAU181" s="225"/>
      <c r="DAV181" s="225"/>
      <c r="DAW181" s="225"/>
      <c r="DAX181" s="225"/>
      <c r="DAY181" s="225"/>
      <c r="DAZ181" s="225"/>
      <c r="DBA181" s="225"/>
      <c r="DBB181" s="225"/>
      <c r="DBC181" s="225"/>
      <c r="DBD181" s="225"/>
      <c r="DBE181" s="225"/>
      <c r="DBF181" s="225"/>
      <c r="DBG181" s="225"/>
      <c r="DBH181" s="225"/>
      <c r="DBI181" s="225"/>
      <c r="DBJ181" s="225"/>
      <c r="DBK181" s="225"/>
      <c r="DBL181" s="225"/>
      <c r="DBM181" s="225"/>
      <c r="DBN181" s="225"/>
      <c r="DBO181" s="225"/>
      <c r="DBP181" s="225"/>
      <c r="DBQ181" s="225"/>
      <c r="DBR181" s="225"/>
      <c r="DBS181" s="225"/>
      <c r="DBT181" s="225"/>
      <c r="DBU181" s="225"/>
      <c r="DBV181" s="225"/>
      <c r="DBW181" s="225"/>
      <c r="DBX181" s="225"/>
      <c r="DBY181" s="225"/>
      <c r="DBZ181" s="225"/>
      <c r="DCA181" s="225"/>
      <c r="DCB181" s="225"/>
      <c r="DCC181" s="225"/>
      <c r="DCD181" s="225"/>
      <c r="DCE181" s="225"/>
      <c r="DCF181" s="225"/>
      <c r="DCG181" s="225"/>
      <c r="DCH181" s="225"/>
      <c r="DCI181" s="225"/>
      <c r="DCJ181" s="225"/>
      <c r="DCK181" s="225"/>
      <c r="DCL181" s="225"/>
      <c r="DCM181" s="225"/>
      <c r="DCN181" s="225"/>
      <c r="DCO181" s="225"/>
      <c r="DCP181" s="225"/>
      <c r="DCQ181" s="225"/>
      <c r="DCR181" s="225"/>
      <c r="DCS181" s="225"/>
      <c r="DCT181" s="225"/>
      <c r="DCU181" s="225"/>
      <c r="DCV181" s="225"/>
      <c r="DCW181" s="225"/>
      <c r="DCX181" s="225"/>
      <c r="DCY181" s="225"/>
      <c r="DCZ181" s="225"/>
      <c r="DDA181" s="225"/>
      <c r="DDB181" s="225"/>
      <c r="DDC181" s="225"/>
      <c r="DDD181" s="225"/>
      <c r="DDE181" s="225"/>
      <c r="DDF181" s="225"/>
      <c r="DDG181" s="225"/>
      <c r="DDH181" s="225"/>
      <c r="DDI181" s="225"/>
      <c r="DDJ181" s="225"/>
      <c r="DDK181" s="225"/>
      <c r="DDL181" s="225"/>
      <c r="DDM181" s="225"/>
      <c r="DDN181" s="225"/>
      <c r="DDO181" s="225"/>
      <c r="DDP181" s="225"/>
      <c r="DDQ181" s="225"/>
      <c r="DDR181" s="225"/>
      <c r="DDS181" s="225"/>
      <c r="DDT181" s="225"/>
      <c r="DDU181" s="225"/>
      <c r="DDV181" s="225"/>
      <c r="DDW181" s="225"/>
      <c r="DDX181" s="225"/>
      <c r="DDY181" s="225"/>
      <c r="DDZ181" s="225"/>
      <c r="DEA181" s="225"/>
      <c r="DEB181" s="225"/>
      <c r="DEC181" s="225"/>
      <c r="DED181" s="225"/>
      <c r="DEE181" s="225"/>
      <c r="DEF181" s="225"/>
      <c r="DEG181" s="225"/>
      <c r="DEH181" s="225"/>
      <c r="DEI181" s="225"/>
      <c r="DEJ181" s="225"/>
      <c r="DEK181" s="225"/>
      <c r="DEL181" s="225"/>
      <c r="DEM181" s="225"/>
      <c r="DEN181" s="225"/>
      <c r="DEO181" s="225"/>
      <c r="DEP181" s="225"/>
      <c r="DEQ181" s="225"/>
      <c r="DER181" s="225"/>
      <c r="DES181" s="225"/>
      <c r="DET181" s="225"/>
      <c r="DEU181" s="225"/>
      <c r="DEV181" s="225"/>
      <c r="DEW181" s="225"/>
      <c r="DEX181" s="225"/>
      <c r="DEY181" s="225"/>
      <c r="DEZ181" s="225"/>
      <c r="DFA181" s="225"/>
      <c r="DFB181" s="225"/>
      <c r="DFC181" s="225"/>
      <c r="DFD181" s="225"/>
      <c r="DFE181" s="225"/>
      <c r="DFF181" s="225"/>
      <c r="DFG181" s="225"/>
      <c r="DFH181" s="225"/>
      <c r="DFI181" s="225"/>
      <c r="DFJ181" s="225"/>
      <c r="DFK181" s="225"/>
      <c r="DFL181" s="225"/>
      <c r="DFM181" s="225"/>
      <c r="DFN181" s="225"/>
      <c r="DFO181" s="225"/>
      <c r="DFP181" s="225"/>
      <c r="DFQ181" s="225"/>
      <c r="DFR181" s="225"/>
      <c r="DFS181" s="225"/>
      <c r="DFT181" s="225"/>
      <c r="DFU181" s="225"/>
      <c r="DFV181" s="225"/>
      <c r="DFW181" s="225"/>
      <c r="DFX181" s="225"/>
      <c r="DFY181" s="225"/>
      <c r="DFZ181" s="225"/>
      <c r="DGA181" s="225"/>
      <c r="DGB181" s="225"/>
      <c r="DGC181" s="225"/>
      <c r="DGD181" s="225"/>
      <c r="DGE181" s="225"/>
      <c r="DGF181" s="225"/>
      <c r="DGG181" s="225"/>
      <c r="DGH181" s="225"/>
      <c r="DGI181" s="225"/>
      <c r="DGJ181" s="225"/>
      <c r="DGK181" s="225"/>
      <c r="DGL181" s="225"/>
      <c r="DGM181" s="225"/>
      <c r="DGN181" s="225"/>
      <c r="DGO181" s="225"/>
      <c r="DGP181" s="225"/>
      <c r="DGQ181" s="225"/>
      <c r="DGR181" s="225"/>
      <c r="DGS181" s="225"/>
      <c r="DGT181" s="225"/>
      <c r="DGU181" s="225"/>
      <c r="DGV181" s="225"/>
      <c r="DGW181" s="225"/>
      <c r="DGX181" s="225"/>
      <c r="DGY181" s="225"/>
      <c r="DGZ181" s="225"/>
      <c r="DHA181" s="225"/>
      <c r="DHB181" s="225"/>
      <c r="DHC181" s="225"/>
      <c r="DHD181" s="225"/>
      <c r="DHE181" s="225"/>
      <c r="DHF181" s="225"/>
      <c r="DHG181" s="225"/>
      <c r="DHH181" s="225"/>
      <c r="DHI181" s="225"/>
      <c r="DHJ181" s="225"/>
      <c r="DHK181" s="225"/>
      <c r="DHL181" s="225"/>
      <c r="DHM181" s="225"/>
      <c r="DHN181" s="225"/>
      <c r="DHO181" s="225"/>
      <c r="DHP181" s="225"/>
      <c r="DHQ181" s="225"/>
      <c r="DHR181" s="225"/>
      <c r="DHS181" s="225"/>
      <c r="DHT181" s="225"/>
      <c r="DHU181" s="225"/>
      <c r="DHV181" s="225"/>
      <c r="DHW181" s="225"/>
      <c r="DHX181" s="225"/>
      <c r="DHY181" s="225"/>
      <c r="DHZ181" s="225"/>
      <c r="DIA181" s="225"/>
      <c r="DIB181" s="225"/>
      <c r="DIC181" s="225"/>
      <c r="DID181" s="225"/>
      <c r="DIE181" s="225"/>
      <c r="DIF181" s="225"/>
      <c r="DIG181" s="225"/>
      <c r="DIH181" s="225"/>
      <c r="DII181" s="225"/>
      <c r="DIJ181" s="225"/>
      <c r="DIK181" s="225"/>
      <c r="DIL181" s="225"/>
      <c r="DIM181" s="225"/>
      <c r="DIN181" s="225"/>
      <c r="DIO181" s="225"/>
      <c r="DIP181" s="225"/>
      <c r="DIQ181" s="225"/>
      <c r="DIR181" s="225"/>
      <c r="DIS181" s="225"/>
      <c r="DIT181" s="225"/>
      <c r="DIU181" s="225"/>
      <c r="DIV181" s="225"/>
      <c r="DIW181" s="225"/>
      <c r="DIX181" s="225"/>
      <c r="DIY181" s="225"/>
      <c r="DIZ181" s="225"/>
      <c r="DJA181" s="225"/>
      <c r="DJB181" s="225"/>
      <c r="DJC181" s="225"/>
      <c r="DJD181" s="225"/>
      <c r="DJE181" s="225"/>
      <c r="DJF181" s="225"/>
      <c r="DJG181" s="225"/>
      <c r="DJH181" s="225"/>
      <c r="DJI181" s="225"/>
      <c r="DJJ181" s="225"/>
      <c r="DJK181" s="225"/>
      <c r="DJL181" s="225"/>
      <c r="DJM181" s="225"/>
      <c r="DJN181" s="225"/>
      <c r="DJO181" s="225"/>
      <c r="DJP181" s="225"/>
      <c r="DJQ181" s="225"/>
      <c r="DJR181" s="225"/>
      <c r="DJS181" s="225"/>
      <c r="DJT181" s="225"/>
      <c r="DJU181" s="225"/>
      <c r="DJV181" s="225"/>
      <c r="DJW181" s="225"/>
      <c r="DJX181" s="225"/>
      <c r="DJY181" s="225"/>
      <c r="DJZ181" s="225"/>
      <c r="DKA181" s="225"/>
      <c r="DKB181" s="225"/>
      <c r="DKC181" s="225"/>
      <c r="DKD181" s="225"/>
      <c r="DKE181" s="225"/>
      <c r="DKF181" s="225"/>
      <c r="DKG181" s="225"/>
      <c r="DKH181" s="225"/>
      <c r="DKI181" s="225"/>
      <c r="DKJ181" s="225"/>
      <c r="DKK181" s="225"/>
      <c r="DKL181" s="225"/>
      <c r="DKM181" s="225"/>
      <c r="DKN181" s="225"/>
      <c r="DKO181" s="225"/>
      <c r="DKP181" s="225"/>
      <c r="DKQ181" s="225"/>
      <c r="DKR181" s="225"/>
      <c r="DKS181" s="225"/>
      <c r="DKT181" s="225"/>
      <c r="DKU181" s="225"/>
      <c r="DKV181" s="225"/>
      <c r="DKW181" s="225"/>
      <c r="DKX181" s="225"/>
      <c r="DKY181" s="225"/>
      <c r="DKZ181" s="225"/>
      <c r="DLA181" s="225"/>
      <c r="DLB181" s="225"/>
      <c r="DLC181" s="225"/>
      <c r="DLD181" s="225"/>
      <c r="DLE181" s="225"/>
      <c r="DLF181" s="225"/>
      <c r="DLG181" s="225"/>
      <c r="DLH181" s="225"/>
      <c r="DLI181" s="225"/>
      <c r="DLJ181" s="225"/>
      <c r="DLK181" s="225"/>
      <c r="DLL181" s="225"/>
      <c r="DLM181" s="225"/>
      <c r="DLN181" s="225"/>
      <c r="DLO181" s="225"/>
      <c r="DLP181" s="225"/>
      <c r="DLQ181" s="225"/>
      <c r="DLR181" s="225"/>
      <c r="DLS181" s="225"/>
      <c r="DLT181" s="225"/>
      <c r="DLU181" s="225"/>
      <c r="DLV181" s="225"/>
      <c r="DLW181" s="225"/>
      <c r="DLX181" s="225"/>
      <c r="DLY181" s="225"/>
      <c r="DLZ181" s="225"/>
      <c r="DMA181" s="225"/>
      <c r="DMB181" s="225"/>
      <c r="DMC181" s="225"/>
      <c r="DMD181" s="225"/>
      <c r="DME181" s="225"/>
      <c r="DMF181" s="225"/>
      <c r="DMG181" s="225"/>
      <c r="DMH181" s="225"/>
      <c r="DMI181" s="225"/>
      <c r="DMJ181" s="225"/>
      <c r="DMK181" s="225"/>
      <c r="DML181" s="225"/>
      <c r="DMM181" s="225"/>
      <c r="DMN181" s="225"/>
      <c r="DMO181" s="225"/>
      <c r="DMP181" s="225"/>
      <c r="DMQ181" s="225"/>
      <c r="DMR181" s="225"/>
      <c r="DMS181" s="225"/>
      <c r="DMT181" s="225"/>
      <c r="DMU181" s="225"/>
      <c r="DMV181" s="225"/>
      <c r="DMW181" s="225"/>
      <c r="DMX181" s="225"/>
      <c r="DMY181" s="225"/>
      <c r="DMZ181" s="225"/>
      <c r="DNA181" s="225"/>
      <c r="DNB181" s="225"/>
      <c r="DNC181" s="225"/>
      <c r="DND181" s="225"/>
      <c r="DNE181" s="225"/>
      <c r="DNF181" s="225"/>
      <c r="DNG181" s="225"/>
      <c r="DNH181" s="225"/>
      <c r="DNI181" s="225"/>
      <c r="DNJ181" s="225"/>
      <c r="DNK181" s="225"/>
      <c r="DNL181" s="225"/>
      <c r="DNM181" s="225"/>
      <c r="DNN181" s="225"/>
      <c r="DNO181" s="225"/>
      <c r="DNP181" s="225"/>
      <c r="DNQ181" s="225"/>
      <c r="DNR181" s="225"/>
      <c r="DNS181" s="225"/>
      <c r="DNT181" s="225"/>
      <c r="DNU181" s="225"/>
      <c r="DNV181" s="225"/>
      <c r="DNW181" s="225"/>
      <c r="DNX181" s="225"/>
      <c r="DNY181" s="225"/>
      <c r="DNZ181" s="225"/>
      <c r="DOA181" s="225"/>
      <c r="DOB181" s="225"/>
      <c r="DOC181" s="225"/>
      <c r="DOD181" s="225"/>
      <c r="DOE181" s="225"/>
      <c r="DOF181" s="225"/>
      <c r="DOG181" s="225"/>
      <c r="DOH181" s="225"/>
      <c r="DOI181" s="225"/>
      <c r="DOJ181" s="225"/>
      <c r="DOK181" s="225"/>
      <c r="DOL181" s="225"/>
      <c r="DOM181" s="225"/>
      <c r="DON181" s="225"/>
      <c r="DOO181" s="225"/>
      <c r="DOP181" s="225"/>
      <c r="DOQ181" s="225"/>
      <c r="DOR181" s="225"/>
      <c r="DOS181" s="225"/>
      <c r="DOT181" s="225"/>
      <c r="DOU181" s="225"/>
      <c r="DOV181" s="225"/>
      <c r="DOW181" s="225"/>
      <c r="DOX181" s="225"/>
      <c r="DOY181" s="225"/>
      <c r="DOZ181" s="225"/>
      <c r="DPA181" s="225"/>
      <c r="DPB181" s="225"/>
      <c r="DPC181" s="225"/>
      <c r="DPD181" s="225"/>
      <c r="DPE181" s="225"/>
      <c r="DPF181" s="225"/>
      <c r="DPG181" s="225"/>
      <c r="DPH181" s="225"/>
      <c r="DPI181" s="225"/>
      <c r="DPJ181" s="225"/>
      <c r="DPK181" s="225"/>
      <c r="DPL181" s="225"/>
      <c r="DPM181" s="225"/>
      <c r="DPN181" s="225"/>
      <c r="DPO181" s="225"/>
      <c r="DPP181" s="225"/>
      <c r="DPQ181" s="225"/>
      <c r="DPR181" s="225"/>
      <c r="DPS181" s="225"/>
      <c r="DPT181" s="225"/>
      <c r="DPU181" s="225"/>
      <c r="DPV181" s="225"/>
      <c r="DPW181" s="225"/>
      <c r="DPX181" s="225"/>
      <c r="DPY181" s="225"/>
      <c r="DPZ181" s="225"/>
      <c r="DQA181" s="225"/>
      <c r="DQB181" s="225"/>
      <c r="DQC181" s="225"/>
      <c r="DQD181" s="225"/>
      <c r="DQE181" s="225"/>
      <c r="DQF181" s="225"/>
      <c r="DQG181" s="225"/>
      <c r="DQH181" s="225"/>
      <c r="DQI181" s="225"/>
      <c r="DQJ181" s="225"/>
      <c r="DQK181" s="225"/>
      <c r="DQL181" s="225"/>
      <c r="DQM181" s="225"/>
      <c r="DQN181" s="225"/>
      <c r="DQO181" s="225"/>
      <c r="DQP181" s="225"/>
      <c r="DQQ181" s="225"/>
      <c r="DQR181" s="225"/>
      <c r="DQS181" s="225"/>
      <c r="DQT181" s="225"/>
      <c r="DQU181" s="225"/>
      <c r="DQV181" s="225"/>
      <c r="DQW181" s="225"/>
      <c r="DQX181" s="225"/>
      <c r="DQY181" s="225"/>
      <c r="DQZ181" s="225"/>
      <c r="DRA181" s="225"/>
      <c r="DRB181" s="225"/>
      <c r="DRC181" s="225"/>
      <c r="DRD181" s="225"/>
      <c r="DRE181" s="225"/>
      <c r="DRF181" s="225"/>
      <c r="DRG181" s="225"/>
      <c r="DRH181" s="225"/>
      <c r="DRI181" s="225"/>
      <c r="DRJ181" s="225"/>
      <c r="DRK181" s="225"/>
      <c r="DRL181" s="225"/>
      <c r="DRM181" s="225"/>
      <c r="DRN181" s="225"/>
      <c r="DRO181" s="225"/>
      <c r="DRP181" s="225"/>
      <c r="DRQ181" s="225"/>
      <c r="DRR181" s="225"/>
      <c r="DRS181" s="225"/>
      <c r="DRT181" s="225"/>
      <c r="DRU181" s="225"/>
      <c r="DRV181" s="225"/>
      <c r="DRW181" s="225"/>
      <c r="DRX181" s="225"/>
      <c r="DRY181" s="225"/>
      <c r="DRZ181" s="225"/>
      <c r="DSA181" s="225"/>
      <c r="DSB181" s="225"/>
      <c r="DSC181" s="225"/>
      <c r="DSD181" s="225"/>
      <c r="DSE181" s="225"/>
      <c r="DSF181" s="225"/>
      <c r="DSG181" s="225"/>
      <c r="DSH181" s="225"/>
      <c r="DSI181" s="225"/>
      <c r="DSJ181" s="225"/>
      <c r="DSK181" s="225"/>
      <c r="DSL181" s="225"/>
      <c r="DSM181" s="225"/>
      <c r="DSN181" s="225"/>
      <c r="DSO181" s="225"/>
      <c r="DSP181" s="225"/>
      <c r="DSQ181" s="225"/>
      <c r="DSR181" s="225"/>
      <c r="DSS181" s="225"/>
      <c r="DST181" s="225"/>
      <c r="DSU181" s="225"/>
      <c r="DSV181" s="225"/>
      <c r="DSW181" s="225"/>
      <c r="DSX181" s="225"/>
      <c r="DSY181" s="225"/>
      <c r="DSZ181" s="225"/>
      <c r="DTA181" s="225"/>
      <c r="DTB181" s="225"/>
      <c r="DTC181" s="225"/>
      <c r="DTD181" s="225"/>
      <c r="DTE181" s="225"/>
      <c r="DTF181" s="225"/>
      <c r="DTG181" s="225"/>
      <c r="DTH181" s="225"/>
      <c r="DTI181" s="225"/>
      <c r="DTJ181" s="225"/>
      <c r="DTK181" s="225"/>
      <c r="DTL181" s="225"/>
      <c r="DTM181" s="225"/>
      <c r="DTN181" s="225"/>
      <c r="DTO181" s="225"/>
      <c r="DTP181" s="225"/>
      <c r="DTQ181" s="225"/>
      <c r="DTR181" s="225"/>
      <c r="DTS181" s="225"/>
      <c r="DTT181" s="225"/>
      <c r="DTU181" s="225"/>
      <c r="DTV181" s="225"/>
      <c r="DTW181" s="225"/>
      <c r="DTX181" s="225"/>
      <c r="DTY181" s="225"/>
      <c r="DTZ181" s="225"/>
      <c r="DUA181" s="225"/>
      <c r="DUB181" s="225"/>
      <c r="DUC181" s="225"/>
      <c r="DUD181" s="225"/>
      <c r="DUE181" s="225"/>
      <c r="DUF181" s="225"/>
      <c r="DUG181" s="225"/>
      <c r="DUH181" s="225"/>
      <c r="DUI181" s="225"/>
      <c r="DUJ181" s="225"/>
      <c r="DUK181" s="225"/>
      <c r="DUL181" s="225"/>
      <c r="DUM181" s="225"/>
      <c r="DUN181" s="225"/>
      <c r="DUO181" s="225"/>
      <c r="DUP181" s="225"/>
      <c r="DUQ181" s="225"/>
      <c r="DUR181" s="225"/>
      <c r="DUS181" s="225"/>
      <c r="DUT181" s="225"/>
      <c r="DUU181" s="225"/>
      <c r="DUV181" s="225"/>
      <c r="DUW181" s="225"/>
      <c r="DUX181" s="225"/>
      <c r="DUY181" s="225"/>
      <c r="DUZ181" s="225"/>
      <c r="DVA181" s="225"/>
      <c r="DVB181" s="225"/>
      <c r="DVC181" s="225"/>
      <c r="DVD181" s="225"/>
      <c r="DVE181" s="225"/>
      <c r="DVF181" s="225"/>
      <c r="DVG181" s="225"/>
      <c r="DVH181" s="225"/>
      <c r="DVI181" s="225"/>
      <c r="DVJ181" s="225"/>
      <c r="DVK181" s="225"/>
      <c r="DVL181" s="225"/>
      <c r="DVM181" s="225"/>
      <c r="DVN181" s="225"/>
      <c r="DVO181" s="225"/>
      <c r="DVP181" s="225"/>
      <c r="DVQ181" s="225"/>
      <c r="DVR181" s="225"/>
      <c r="DVS181" s="225"/>
      <c r="DVT181" s="225"/>
      <c r="DVU181" s="225"/>
      <c r="DVV181" s="225"/>
      <c r="DVW181" s="225"/>
      <c r="DVX181" s="225"/>
      <c r="DVY181" s="225"/>
      <c r="DVZ181" s="225"/>
      <c r="DWA181" s="225"/>
      <c r="DWB181" s="225"/>
      <c r="DWC181" s="225"/>
      <c r="DWD181" s="225"/>
      <c r="DWE181" s="225"/>
      <c r="DWF181" s="225"/>
      <c r="DWG181" s="225"/>
      <c r="DWH181" s="225"/>
      <c r="DWI181" s="225"/>
      <c r="DWJ181" s="225"/>
      <c r="DWK181" s="225"/>
      <c r="DWL181" s="225"/>
      <c r="DWM181" s="225"/>
      <c r="DWN181" s="225"/>
      <c r="DWO181" s="225"/>
      <c r="DWP181" s="225"/>
      <c r="DWQ181" s="225"/>
      <c r="DWR181" s="225"/>
      <c r="DWS181" s="225"/>
      <c r="DWT181" s="225"/>
      <c r="DWU181" s="225"/>
      <c r="DWV181" s="225"/>
      <c r="DWW181" s="225"/>
      <c r="DWX181" s="225"/>
      <c r="DWY181" s="225"/>
      <c r="DWZ181" s="225"/>
      <c r="DXA181" s="225"/>
      <c r="DXB181" s="225"/>
      <c r="DXC181" s="225"/>
      <c r="DXD181" s="225"/>
      <c r="DXE181" s="225"/>
      <c r="DXF181" s="225"/>
      <c r="DXG181" s="225"/>
      <c r="DXH181" s="225"/>
      <c r="DXI181" s="225"/>
      <c r="DXJ181" s="225"/>
      <c r="DXK181" s="225"/>
      <c r="DXL181" s="225"/>
      <c r="DXM181" s="225"/>
      <c r="DXN181" s="225"/>
      <c r="DXO181" s="225"/>
      <c r="DXP181" s="225"/>
      <c r="DXQ181" s="225"/>
      <c r="DXR181" s="225"/>
      <c r="DXS181" s="225"/>
      <c r="DXT181" s="225"/>
      <c r="DXU181" s="225"/>
      <c r="DXV181" s="225"/>
      <c r="DXW181" s="225"/>
      <c r="DXX181" s="225"/>
      <c r="DXY181" s="225"/>
      <c r="DXZ181" s="225"/>
      <c r="DYA181" s="225"/>
      <c r="DYB181" s="225"/>
      <c r="DYC181" s="225"/>
      <c r="DYD181" s="225"/>
      <c r="DYE181" s="225"/>
      <c r="DYF181" s="225"/>
      <c r="DYG181" s="225"/>
      <c r="DYH181" s="225"/>
      <c r="DYI181" s="225"/>
      <c r="DYJ181" s="225"/>
      <c r="DYK181" s="225"/>
      <c r="DYL181" s="225"/>
      <c r="DYM181" s="225"/>
      <c r="DYN181" s="225"/>
      <c r="DYO181" s="225"/>
      <c r="DYP181" s="225"/>
      <c r="DYQ181" s="225"/>
      <c r="DYR181" s="225"/>
      <c r="DYS181" s="225"/>
      <c r="DYT181" s="225"/>
      <c r="DYU181" s="225"/>
      <c r="DYV181" s="225"/>
      <c r="DYW181" s="225"/>
      <c r="DYX181" s="225"/>
      <c r="DYY181" s="225"/>
      <c r="DYZ181" s="225"/>
      <c r="DZA181" s="225"/>
      <c r="DZB181" s="225"/>
      <c r="DZC181" s="225"/>
      <c r="DZD181" s="225"/>
      <c r="DZE181" s="225"/>
      <c r="DZF181" s="225"/>
      <c r="DZG181" s="225"/>
      <c r="DZH181" s="225"/>
      <c r="DZI181" s="225"/>
      <c r="DZJ181" s="225"/>
      <c r="DZK181" s="225"/>
      <c r="DZL181" s="225"/>
      <c r="DZM181" s="225"/>
      <c r="DZN181" s="225"/>
      <c r="DZO181" s="225"/>
      <c r="DZP181" s="225"/>
      <c r="DZQ181" s="225"/>
      <c r="DZR181" s="225"/>
      <c r="DZS181" s="225"/>
      <c r="DZT181" s="225"/>
      <c r="DZU181" s="225"/>
      <c r="DZV181" s="225"/>
      <c r="DZW181" s="225"/>
      <c r="DZX181" s="225"/>
      <c r="DZY181" s="225"/>
      <c r="DZZ181" s="225"/>
      <c r="EAA181" s="225"/>
      <c r="EAB181" s="225"/>
      <c r="EAC181" s="225"/>
      <c r="EAD181" s="225"/>
      <c r="EAE181" s="225"/>
      <c r="EAF181" s="225"/>
      <c r="EAG181" s="225"/>
      <c r="EAH181" s="225"/>
      <c r="EAI181" s="225"/>
      <c r="EAJ181" s="225"/>
      <c r="EAK181" s="225"/>
      <c r="EAL181" s="225"/>
      <c r="EAM181" s="225"/>
      <c r="EAN181" s="225"/>
      <c r="EAO181" s="225"/>
      <c r="EAP181" s="225"/>
      <c r="EAQ181" s="225"/>
      <c r="EAR181" s="225"/>
      <c r="EAS181" s="225"/>
      <c r="EAT181" s="225"/>
      <c r="EAU181" s="225"/>
      <c r="EAV181" s="225"/>
      <c r="EAW181" s="225"/>
      <c r="EAX181" s="225"/>
      <c r="EAY181" s="225"/>
      <c r="EAZ181" s="225"/>
      <c r="EBA181" s="225"/>
      <c r="EBB181" s="225"/>
      <c r="EBC181" s="225"/>
      <c r="EBD181" s="225"/>
      <c r="EBE181" s="225"/>
      <c r="EBF181" s="225"/>
      <c r="EBG181" s="225"/>
      <c r="EBH181" s="225"/>
      <c r="EBI181" s="225"/>
      <c r="EBJ181" s="225"/>
      <c r="EBK181" s="225"/>
      <c r="EBL181" s="225"/>
      <c r="EBM181" s="225"/>
      <c r="EBN181" s="225"/>
      <c r="EBO181" s="225"/>
      <c r="EBP181" s="225"/>
      <c r="EBQ181" s="225"/>
      <c r="EBR181" s="225"/>
      <c r="EBS181" s="225"/>
      <c r="EBT181" s="225"/>
      <c r="EBU181" s="225"/>
      <c r="EBV181" s="225"/>
      <c r="EBW181" s="225"/>
      <c r="EBX181" s="225"/>
      <c r="EBY181" s="225"/>
      <c r="EBZ181" s="225"/>
      <c r="ECA181" s="225"/>
      <c r="ECB181" s="225"/>
      <c r="ECC181" s="225"/>
      <c r="ECD181" s="225"/>
      <c r="ECE181" s="225"/>
      <c r="ECF181" s="225"/>
      <c r="ECG181" s="225"/>
      <c r="ECH181" s="225"/>
      <c r="ECI181" s="225"/>
      <c r="ECJ181" s="225"/>
      <c r="ECK181" s="225"/>
      <c r="ECL181" s="225"/>
      <c r="ECM181" s="225"/>
      <c r="ECN181" s="225"/>
      <c r="ECO181" s="225"/>
      <c r="ECP181" s="225"/>
      <c r="ECQ181" s="225"/>
      <c r="ECR181" s="225"/>
      <c r="ECS181" s="225"/>
      <c r="ECT181" s="225"/>
      <c r="ECU181" s="225"/>
      <c r="ECV181" s="225"/>
      <c r="ECW181" s="225"/>
      <c r="ECX181" s="225"/>
      <c r="ECY181" s="225"/>
      <c r="ECZ181" s="225"/>
      <c r="EDA181" s="225"/>
      <c r="EDB181" s="225"/>
      <c r="EDC181" s="225"/>
      <c r="EDD181" s="225"/>
      <c r="EDE181" s="225"/>
      <c r="EDF181" s="225"/>
      <c r="EDG181" s="225"/>
      <c r="EDH181" s="225"/>
      <c r="EDI181" s="225"/>
      <c r="EDJ181" s="225"/>
      <c r="EDK181" s="225"/>
      <c r="EDL181" s="225"/>
      <c r="EDM181" s="225"/>
      <c r="EDN181" s="225"/>
      <c r="EDO181" s="225"/>
      <c r="EDP181" s="225"/>
      <c r="EDQ181" s="225"/>
      <c r="EDR181" s="225"/>
      <c r="EDS181" s="225"/>
      <c r="EDT181" s="225"/>
      <c r="EDU181" s="225"/>
      <c r="EDV181" s="225"/>
      <c r="EDW181" s="225"/>
      <c r="EDX181" s="225"/>
      <c r="EDY181" s="225"/>
      <c r="EDZ181" s="225"/>
      <c r="EEA181" s="225"/>
      <c r="EEB181" s="225"/>
      <c r="EEC181" s="225"/>
      <c r="EED181" s="225"/>
      <c r="EEE181" s="225"/>
      <c r="EEF181" s="225"/>
      <c r="EEG181" s="225"/>
      <c r="EEH181" s="225"/>
      <c r="EEI181" s="225"/>
      <c r="EEJ181" s="225"/>
      <c r="EEK181" s="225"/>
      <c r="EEL181" s="225"/>
      <c r="EEM181" s="225"/>
      <c r="EEN181" s="225"/>
      <c r="EEO181" s="225"/>
      <c r="EEP181" s="225"/>
      <c r="EEQ181" s="225"/>
      <c r="EER181" s="225"/>
      <c r="EES181" s="225"/>
      <c r="EET181" s="225"/>
      <c r="EEU181" s="225"/>
      <c r="EEV181" s="225"/>
      <c r="EEW181" s="225"/>
      <c r="EEX181" s="225"/>
      <c r="EEY181" s="225"/>
      <c r="EEZ181" s="225"/>
      <c r="EFA181" s="225"/>
      <c r="EFB181" s="225"/>
      <c r="EFC181" s="225"/>
      <c r="EFD181" s="225"/>
      <c r="EFE181" s="225"/>
      <c r="EFF181" s="225"/>
      <c r="EFG181" s="225"/>
      <c r="EFH181" s="225"/>
      <c r="EFI181" s="225"/>
      <c r="EFJ181" s="225"/>
      <c r="EFK181" s="225"/>
      <c r="EFL181" s="225"/>
      <c r="EFM181" s="225"/>
      <c r="EFN181" s="225"/>
      <c r="EFO181" s="225"/>
      <c r="EFP181" s="225"/>
      <c r="EFQ181" s="225"/>
      <c r="EFR181" s="225"/>
      <c r="EFS181" s="225"/>
      <c r="EFT181" s="225"/>
      <c r="EFU181" s="225"/>
      <c r="EFV181" s="225"/>
      <c r="EFW181" s="225"/>
      <c r="EFX181" s="225"/>
      <c r="EFY181" s="225"/>
      <c r="EFZ181" s="225"/>
      <c r="EGA181" s="225"/>
      <c r="EGB181" s="225"/>
      <c r="EGC181" s="225"/>
      <c r="EGD181" s="225"/>
      <c r="EGE181" s="225"/>
      <c r="EGF181" s="225"/>
      <c r="EGG181" s="225"/>
      <c r="EGH181" s="225"/>
      <c r="EGI181" s="225"/>
      <c r="EGJ181" s="225"/>
      <c r="EGK181" s="225"/>
      <c r="EGL181" s="225"/>
      <c r="EGM181" s="225"/>
      <c r="EGN181" s="225"/>
      <c r="EGO181" s="225"/>
      <c r="EGP181" s="225"/>
      <c r="EGQ181" s="225"/>
      <c r="EGR181" s="225"/>
      <c r="EGS181" s="225"/>
      <c r="EGT181" s="225"/>
      <c r="EGU181" s="225"/>
      <c r="EGV181" s="225"/>
      <c r="EGW181" s="225"/>
      <c r="EGX181" s="225"/>
      <c r="EGY181" s="225"/>
      <c r="EGZ181" s="225"/>
      <c r="EHA181" s="225"/>
      <c r="EHB181" s="225"/>
      <c r="EHC181" s="225"/>
      <c r="EHD181" s="225"/>
      <c r="EHE181" s="225"/>
      <c r="EHF181" s="225"/>
      <c r="EHG181" s="225"/>
      <c r="EHH181" s="225"/>
      <c r="EHI181" s="225"/>
      <c r="EHJ181" s="225"/>
      <c r="EHK181" s="225"/>
      <c r="EHL181" s="225"/>
      <c r="EHM181" s="225"/>
      <c r="EHN181" s="225"/>
      <c r="EHO181" s="225"/>
      <c r="EHP181" s="225"/>
      <c r="EHQ181" s="225"/>
      <c r="EHR181" s="225"/>
      <c r="EHS181" s="225"/>
      <c r="EHT181" s="225"/>
      <c r="EHU181" s="225"/>
      <c r="EHV181" s="225"/>
      <c r="EHW181" s="225"/>
      <c r="EHX181" s="225"/>
      <c r="EHY181" s="225"/>
      <c r="EHZ181" s="225"/>
      <c r="EIA181" s="225"/>
      <c r="EIB181" s="225"/>
      <c r="EIC181" s="225"/>
      <c r="EID181" s="225"/>
      <c r="EIE181" s="225"/>
      <c r="EIF181" s="225"/>
      <c r="EIG181" s="225"/>
      <c r="EIH181" s="225"/>
      <c r="EII181" s="225"/>
      <c r="EIJ181" s="225"/>
      <c r="EIK181" s="225"/>
      <c r="EIL181" s="225"/>
      <c r="EIM181" s="225"/>
      <c r="EIN181" s="225"/>
      <c r="EIO181" s="225"/>
      <c r="EIP181" s="225"/>
      <c r="EIQ181" s="225"/>
      <c r="EIR181" s="225"/>
      <c r="EIS181" s="225"/>
      <c r="EIT181" s="225"/>
      <c r="EIU181" s="225"/>
      <c r="EIV181" s="225"/>
      <c r="EIW181" s="225"/>
      <c r="EIX181" s="225"/>
      <c r="EIY181" s="225"/>
      <c r="EIZ181" s="225"/>
      <c r="EJA181" s="225"/>
      <c r="EJB181" s="225"/>
      <c r="EJC181" s="225"/>
      <c r="EJD181" s="225"/>
      <c r="EJE181" s="225"/>
      <c r="EJF181" s="225"/>
      <c r="EJG181" s="225"/>
      <c r="EJH181" s="225"/>
      <c r="EJI181" s="225"/>
      <c r="EJJ181" s="225"/>
      <c r="EJK181" s="225"/>
      <c r="EJL181" s="225"/>
      <c r="EJM181" s="225"/>
      <c r="EJN181" s="225"/>
      <c r="EJO181" s="225"/>
      <c r="EJP181" s="225"/>
      <c r="EJQ181" s="225"/>
      <c r="EJR181" s="225"/>
      <c r="EJS181" s="225"/>
      <c r="EJT181" s="225"/>
      <c r="EJU181" s="225"/>
      <c r="EJV181" s="225"/>
      <c r="EJW181" s="225"/>
      <c r="EJX181" s="225"/>
      <c r="EJY181" s="225"/>
      <c r="EJZ181" s="225"/>
      <c r="EKA181" s="225"/>
      <c r="EKB181" s="225"/>
      <c r="EKC181" s="225"/>
      <c r="EKD181" s="225"/>
      <c r="EKE181" s="225"/>
      <c r="EKF181" s="225"/>
      <c r="EKG181" s="225"/>
      <c r="EKH181" s="225"/>
      <c r="EKI181" s="225"/>
      <c r="EKJ181" s="225"/>
      <c r="EKK181" s="225"/>
      <c r="EKL181" s="225"/>
      <c r="EKM181" s="225"/>
      <c r="EKN181" s="225"/>
      <c r="EKO181" s="225"/>
      <c r="EKP181" s="225"/>
      <c r="EKQ181" s="225"/>
      <c r="EKR181" s="225"/>
      <c r="EKS181" s="225"/>
      <c r="EKT181" s="225"/>
      <c r="EKU181" s="225"/>
      <c r="EKV181" s="225"/>
      <c r="EKW181" s="225"/>
      <c r="EKX181" s="225"/>
      <c r="EKY181" s="225"/>
      <c r="EKZ181" s="225"/>
      <c r="ELA181" s="225"/>
      <c r="ELB181" s="225"/>
      <c r="ELC181" s="225"/>
      <c r="ELD181" s="225"/>
      <c r="ELE181" s="225"/>
      <c r="ELF181" s="225"/>
      <c r="ELG181" s="225"/>
      <c r="ELH181" s="225"/>
      <c r="ELI181" s="225"/>
      <c r="ELJ181" s="225"/>
      <c r="ELK181" s="225"/>
      <c r="ELL181" s="225"/>
      <c r="ELM181" s="225"/>
      <c r="ELN181" s="225"/>
      <c r="ELO181" s="225"/>
      <c r="ELP181" s="225"/>
      <c r="ELQ181" s="225"/>
      <c r="ELR181" s="225"/>
      <c r="ELS181" s="225"/>
      <c r="ELT181" s="225"/>
      <c r="ELU181" s="225"/>
      <c r="ELV181" s="225"/>
      <c r="ELW181" s="225"/>
      <c r="ELX181" s="225"/>
      <c r="ELY181" s="225"/>
      <c r="ELZ181" s="225"/>
      <c r="EMA181" s="225"/>
      <c r="EMB181" s="225"/>
      <c r="EMC181" s="225"/>
      <c r="EMD181" s="225"/>
      <c r="EME181" s="225"/>
      <c r="EMF181" s="225"/>
      <c r="EMG181" s="225"/>
      <c r="EMH181" s="225"/>
      <c r="EMI181" s="225"/>
      <c r="EMJ181" s="225"/>
      <c r="EMK181" s="225"/>
      <c r="EML181" s="225"/>
      <c r="EMM181" s="225"/>
      <c r="EMN181" s="225"/>
      <c r="EMO181" s="225"/>
      <c r="EMP181" s="225"/>
      <c r="EMQ181" s="225"/>
      <c r="EMR181" s="225"/>
      <c r="EMS181" s="225"/>
      <c r="EMT181" s="225"/>
      <c r="EMU181" s="225"/>
      <c r="EMV181" s="225"/>
      <c r="EMW181" s="225"/>
      <c r="EMX181" s="225"/>
      <c r="EMY181" s="225"/>
      <c r="EMZ181" s="225"/>
      <c r="ENA181" s="225"/>
      <c r="ENB181" s="225"/>
      <c r="ENC181" s="225"/>
      <c r="END181" s="225"/>
      <c r="ENE181" s="225"/>
      <c r="ENF181" s="225"/>
      <c r="ENG181" s="225"/>
      <c r="ENH181" s="225"/>
      <c r="ENI181" s="225"/>
      <c r="ENJ181" s="225"/>
      <c r="ENK181" s="225"/>
      <c r="ENL181" s="225"/>
      <c r="ENM181" s="225"/>
      <c r="ENN181" s="225"/>
      <c r="ENO181" s="225"/>
      <c r="ENP181" s="225"/>
      <c r="ENQ181" s="225"/>
      <c r="ENR181" s="225"/>
      <c r="ENS181" s="225"/>
      <c r="ENT181" s="225"/>
      <c r="ENU181" s="225"/>
      <c r="ENV181" s="225"/>
      <c r="ENW181" s="225"/>
      <c r="ENX181" s="225"/>
      <c r="ENY181" s="225"/>
      <c r="ENZ181" s="225"/>
      <c r="EOA181" s="225"/>
      <c r="EOB181" s="225"/>
      <c r="EOC181" s="225"/>
      <c r="EOD181" s="225"/>
      <c r="EOE181" s="225"/>
      <c r="EOF181" s="225"/>
      <c r="EOG181" s="225"/>
      <c r="EOH181" s="225"/>
      <c r="EOI181" s="225"/>
      <c r="EOJ181" s="225"/>
      <c r="EOK181" s="225"/>
      <c r="EOL181" s="225"/>
      <c r="EOM181" s="225"/>
      <c r="EON181" s="225"/>
      <c r="EOO181" s="225"/>
      <c r="EOP181" s="225"/>
      <c r="EOQ181" s="225"/>
      <c r="EOR181" s="225"/>
      <c r="EOS181" s="225"/>
      <c r="EOT181" s="225"/>
      <c r="EOU181" s="225"/>
      <c r="EOV181" s="225"/>
      <c r="EOW181" s="225"/>
      <c r="EOX181" s="225"/>
      <c r="EOY181" s="225"/>
      <c r="EOZ181" s="225"/>
      <c r="EPA181" s="225"/>
      <c r="EPB181" s="225"/>
      <c r="EPC181" s="225"/>
      <c r="EPD181" s="225"/>
      <c r="EPE181" s="225"/>
      <c r="EPF181" s="225"/>
      <c r="EPG181" s="225"/>
      <c r="EPH181" s="225"/>
      <c r="EPI181" s="225"/>
      <c r="EPJ181" s="225"/>
      <c r="EPK181" s="225"/>
      <c r="EPL181" s="225"/>
      <c r="EPM181" s="225"/>
      <c r="EPN181" s="225"/>
      <c r="EPO181" s="225"/>
      <c r="EPP181" s="225"/>
      <c r="EPQ181" s="225"/>
      <c r="EPR181" s="225"/>
      <c r="EPS181" s="225"/>
      <c r="EPT181" s="225"/>
      <c r="EPU181" s="225"/>
      <c r="EPV181" s="225"/>
      <c r="EPW181" s="225"/>
      <c r="EPX181" s="225"/>
      <c r="EPY181" s="225"/>
      <c r="EPZ181" s="225"/>
      <c r="EQA181" s="225"/>
      <c r="EQB181" s="225"/>
      <c r="EQC181" s="225"/>
      <c r="EQD181" s="225"/>
      <c r="EQE181" s="225"/>
      <c r="EQF181" s="225"/>
      <c r="EQG181" s="225"/>
      <c r="EQH181" s="225"/>
      <c r="EQI181" s="225"/>
      <c r="EQJ181" s="225"/>
      <c r="EQK181" s="225"/>
      <c r="EQL181" s="225"/>
      <c r="EQM181" s="225"/>
      <c r="EQN181" s="225"/>
      <c r="EQO181" s="225"/>
      <c r="EQP181" s="225"/>
      <c r="EQQ181" s="225"/>
      <c r="EQR181" s="225"/>
      <c r="EQS181" s="225"/>
      <c r="EQT181" s="225"/>
      <c r="EQU181" s="225"/>
      <c r="EQV181" s="225"/>
      <c r="EQW181" s="225"/>
      <c r="EQX181" s="225"/>
      <c r="EQY181" s="225"/>
      <c r="EQZ181" s="225"/>
      <c r="ERA181" s="225"/>
      <c r="ERB181" s="225"/>
      <c r="ERC181" s="225"/>
      <c r="ERD181" s="225"/>
      <c r="ERE181" s="225"/>
      <c r="ERF181" s="225"/>
      <c r="ERG181" s="225"/>
      <c r="ERH181" s="225"/>
      <c r="ERI181" s="225"/>
      <c r="ERJ181" s="225"/>
      <c r="ERK181" s="225"/>
      <c r="ERL181" s="225"/>
      <c r="ERM181" s="225"/>
      <c r="ERN181" s="225"/>
      <c r="ERO181" s="225"/>
      <c r="ERP181" s="225"/>
      <c r="ERQ181" s="225"/>
      <c r="ERR181" s="225"/>
      <c r="ERS181" s="225"/>
      <c r="ERT181" s="225"/>
      <c r="ERU181" s="225"/>
      <c r="ERV181" s="225"/>
      <c r="ERW181" s="225"/>
      <c r="ERX181" s="225"/>
      <c r="ERY181" s="225"/>
      <c r="ERZ181" s="225"/>
      <c r="ESA181" s="225"/>
      <c r="ESB181" s="225"/>
      <c r="ESC181" s="225"/>
      <c r="ESD181" s="225"/>
      <c r="ESE181" s="225"/>
      <c r="ESF181" s="225"/>
      <c r="ESG181" s="225"/>
      <c r="ESH181" s="225"/>
      <c r="ESI181" s="225"/>
      <c r="ESJ181" s="225"/>
      <c r="ESK181" s="225"/>
      <c r="ESL181" s="225"/>
      <c r="ESM181" s="225"/>
      <c r="ESN181" s="225"/>
      <c r="ESO181" s="225"/>
      <c r="ESP181" s="225"/>
      <c r="ESQ181" s="225"/>
      <c r="ESR181" s="225"/>
      <c r="ESS181" s="225"/>
      <c r="EST181" s="225"/>
      <c r="ESU181" s="225"/>
      <c r="ESV181" s="225"/>
      <c r="ESW181" s="225"/>
      <c r="ESX181" s="225"/>
      <c r="ESY181" s="225"/>
      <c r="ESZ181" s="225"/>
      <c r="ETA181" s="225"/>
      <c r="ETB181" s="225"/>
      <c r="ETC181" s="225"/>
      <c r="ETD181" s="225"/>
      <c r="ETE181" s="225"/>
      <c r="ETF181" s="225"/>
      <c r="ETG181" s="225"/>
      <c r="ETH181" s="225"/>
      <c r="ETI181" s="225"/>
      <c r="ETJ181" s="225"/>
      <c r="ETK181" s="225"/>
      <c r="ETL181" s="225"/>
      <c r="ETM181" s="225"/>
      <c r="ETN181" s="225"/>
      <c r="ETO181" s="225"/>
      <c r="ETP181" s="225"/>
      <c r="ETQ181" s="225"/>
      <c r="ETR181" s="225"/>
      <c r="ETS181" s="225"/>
      <c r="ETT181" s="225"/>
      <c r="ETU181" s="225"/>
      <c r="ETV181" s="225"/>
      <c r="ETW181" s="225"/>
      <c r="ETX181" s="225"/>
      <c r="ETY181" s="225"/>
      <c r="ETZ181" s="225"/>
      <c r="EUA181" s="225"/>
      <c r="EUB181" s="225"/>
      <c r="EUC181" s="225"/>
      <c r="EUD181" s="225"/>
      <c r="EUE181" s="225"/>
      <c r="EUF181" s="225"/>
      <c r="EUG181" s="225"/>
      <c r="EUH181" s="225"/>
      <c r="EUI181" s="225"/>
      <c r="EUJ181" s="225"/>
      <c r="EUK181" s="225"/>
      <c r="EUL181" s="225"/>
      <c r="EUM181" s="225"/>
      <c r="EUN181" s="225"/>
      <c r="EUO181" s="225"/>
      <c r="EUP181" s="225"/>
      <c r="EUQ181" s="225"/>
      <c r="EUR181" s="225"/>
      <c r="EUS181" s="225"/>
      <c r="EUT181" s="225"/>
      <c r="EUU181" s="225"/>
      <c r="EUV181" s="225"/>
      <c r="EUW181" s="225"/>
      <c r="EUX181" s="225"/>
      <c r="EUY181" s="225"/>
      <c r="EUZ181" s="225"/>
      <c r="EVA181" s="225"/>
      <c r="EVB181" s="225"/>
      <c r="EVC181" s="225"/>
      <c r="EVD181" s="225"/>
      <c r="EVE181" s="225"/>
      <c r="EVF181" s="225"/>
      <c r="EVG181" s="225"/>
      <c r="EVH181" s="225"/>
      <c r="EVI181" s="225"/>
      <c r="EVJ181" s="225"/>
      <c r="EVK181" s="225"/>
      <c r="EVL181" s="225"/>
      <c r="EVM181" s="225"/>
      <c r="EVN181" s="225"/>
      <c r="EVO181" s="225"/>
      <c r="EVP181" s="225"/>
      <c r="EVQ181" s="225"/>
      <c r="EVR181" s="225"/>
      <c r="EVS181" s="225"/>
      <c r="EVT181" s="225"/>
      <c r="EVU181" s="225"/>
      <c r="EVV181" s="225"/>
      <c r="EVW181" s="225"/>
      <c r="EVX181" s="225"/>
      <c r="EVY181" s="225"/>
      <c r="EVZ181" s="225"/>
      <c r="EWA181" s="225"/>
      <c r="EWB181" s="225"/>
      <c r="EWC181" s="225"/>
      <c r="EWD181" s="225"/>
      <c r="EWE181" s="225"/>
      <c r="EWF181" s="225"/>
      <c r="EWG181" s="225"/>
      <c r="EWH181" s="225"/>
      <c r="EWI181" s="225"/>
      <c r="EWJ181" s="225"/>
      <c r="EWK181" s="225"/>
      <c r="EWL181" s="225"/>
      <c r="EWM181" s="225"/>
      <c r="EWN181" s="225"/>
      <c r="EWO181" s="225"/>
      <c r="EWP181" s="225"/>
      <c r="EWQ181" s="225"/>
      <c r="EWR181" s="225"/>
      <c r="EWS181" s="225"/>
      <c r="EWT181" s="225"/>
      <c r="EWU181" s="225"/>
      <c r="EWV181" s="225"/>
      <c r="EWW181" s="225"/>
      <c r="EWX181" s="225"/>
      <c r="EWY181" s="225"/>
      <c r="EWZ181" s="225"/>
      <c r="EXA181" s="225"/>
      <c r="EXB181" s="225"/>
      <c r="EXC181" s="225"/>
      <c r="EXD181" s="225"/>
      <c r="EXE181" s="225"/>
      <c r="EXF181" s="225"/>
      <c r="EXG181" s="225"/>
      <c r="EXH181" s="225"/>
      <c r="EXI181" s="225"/>
      <c r="EXJ181" s="225"/>
      <c r="EXK181" s="225"/>
      <c r="EXL181" s="225"/>
      <c r="EXM181" s="225"/>
      <c r="EXN181" s="225"/>
      <c r="EXO181" s="225"/>
      <c r="EXP181" s="225"/>
      <c r="EXQ181" s="225"/>
      <c r="EXR181" s="225"/>
      <c r="EXS181" s="225"/>
      <c r="EXT181" s="225"/>
      <c r="EXU181" s="225"/>
      <c r="EXV181" s="225"/>
      <c r="EXW181" s="225"/>
      <c r="EXX181" s="225"/>
      <c r="EXY181" s="225"/>
      <c r="EXZ181" s="225"/>
      <c r="EYA181" s="225"/>
      <c r="EYB181" s="225"/>
      <c r="EYC181" s="225"/>
      <c r="EYD181" s="225"/>
      <c r="EYE181" s="225"/>
      <c r="EYF181" s="225"/>
      <c r="EYG181" s="225"/>
      <c r="EYH181" s="225"/>
      <c r="EYI181" s="225"/>
      <c r="EYJ181" s="225"/>
      <c r="EYK181" s="225"/>
      <c r="EYL181" s="225"/>
      <c r="EYM181" s="225"/>
      <c r="EYN181" s="225"/>
      <c r="EYO181" s="225"/>
      <c r="EYP181" s="225"/>
      <c r="EYQ181" s="225"/>
      <c r="EYR181" s="225"/>
      <c r="EYS181" s="225"/>
      <c r="EYT181" s="225"/>
      <c r="EYU181" s="225"/>
      <c r="EYV181" s="225"/>
      <c r="EYW181" s="225"/>
      <c r="EYX181" s="225"/>
      <c r="EYY181" s="225"/>
      <c r="EYZ181" s="225"/>
      <c r="EZA181" s="225"/>
      <c r="EZB181" s="225"/>
      <c r="EZC181" s="225"/>
      <c r="EZD181" s="225"/>
      <c r="EZE181" s="225"/>
      <c r="EZF181" s="225"/>
      <c r="EZG181" s="225"/>
      <c r="EZH181" s="225"/>
      <c r="EZI181" s="225"/>
      <c r="EZJ181" s="225"/>
      <c r="EZK181" s="225"/>
      <c r="EZL181" s="225"/>
      <c r="EZM181" s="225"/>
      <c r="EZN181" s="225"/>
      <c r="EZO181" s="225"/>
      <c r="EZP181" s="225"/>
      <c r="EZQ181" s="225"/>
      <c r="EZR181" s="225"/>
      <c r="EZS181" s="225"/>
      <c r="EZT181" s="225"/>
      <c r="EZU181" s="225"/>
      <c r="EZV181" s="225"/>
      <c r="EZW181" s="225"/>
      <c r="EZX181" s="225"/>
      <c r="EZY181" s="225"/>
      <c r="EZZ181" s="225"/>
      <c r="FAA181" s="225"/>
      <c r="FAB181" s="225"/>
      <c r="FAC181" s="225"/>
      <c r="FAD181" s="225"/>
      <c r="FAE181" s="225"/>
      <c r="FAF181" s="225"/>
      <c r="FAG181" s="225"/>
      <c r="FAH181" s="225"/>
      <c r="FAI181" s="225"/>
      <c r="FAJ181" s="225"/>
      <c r="FAK181" s="225"/>
      <c r="FAL181" s="225"/>
      <c r="FAM181" s="225"/>
      <c r="FAN181" s="225"/>
      <c r="FAO181" s="225"/>
      <c r="FAP181" s="225"/>
      <c r="FAQ181" s="225"/>
      <c r="FAR181" s="225"/>
      <c r="FAS181" s="225"/>
      <c r="FAT181" s="225"/>
      <c r="FAU181" s="225"/>
      <c r="FAV181" s="225"/>
      <c r="FAW181" s="225"/>
      <c r="FAX181" s="225"/>
      <c r="FAY181" s="225"/>
      <c r="FAZ181" s="225"/>
      <c r="FBA181" s="225"/>
      <c r="FBB181" s="225"/>
      <c r="FBC181" s="225"/>
      <c r="FBD181" s="225"/>
      <c r="FBE181" s="225"/>
      <c r="FBF181" s="225"/>
      <c r="FBG181" s="225"/>
      <c r="FBH181" s="225"/>
      <c r="FBI181" s="225"/>
      <c r="FBJ181" s="225"/>
      <c r="FBK181" s="225"/>
      <c r="FBL181" s="225"/>
      <c r="FBM181" s="225"/>
      <c r="FBN181" s="225"/>
      <c r="FBO181" s="225"/>
      <c r="FBP181" s="225"/>
      <c r="FBQ181" s="225"/>
      <c r="FBR181" s="225"/>
      <c r="FBS181" s="225"/>
      <c r="FBT181" s="225"/>
      <c r="FBU181" s="225"/>
      <c r="FBV181" s="225"/>
      <c r="FBW181" s="225"/>
      <c r="FBX181" s="225"/>
      <c r="FBY181" s="225"/>
      <c r="FBZ181" s="225"/>
      <c r="FCA181" s="225"/>
      <c r="FCB181" s="225"/>
      <c r="FCC181" s="225"/>
      <c r="FCD181" s="225"/>
      <c r="FCE181" s="225"/>
      <c r="FCF181" s="225"/>
      <c r="FCG181" s="225"/>
      <c r="FCH181" s="225"/>
      <c r="FCI181" s="225"/>
      <c r="FCJ181" s="225"/>
      <c r="FCK181" s="225"/>
      <c r="FCL181" s="225"/>
      <c r="FCM181" s="225"/>
      <c r="FCN181" s="225"/>
      <c r="FCO181" s="225"/>
      <c r="FCP181" s="225"/>
      <c r="FCQ181" s="225"/>
      <c r="FCR181" s="225"/>
      <c r="FCS181" s="225"/>
      <c r="FCT181" s="225"/>
      <c r="FCU181" s="225"/>
      <c r="FCV181" s="225"/>
      <c r="FCW181" s="225"/>
      <c r="FCX181" s="225"/>
      <c r="FCY181" s="225"/>
      <c r="FCZ181" s="225"/>
      <c r="FDA181" s="225"/>
      <c r="FDB181" s="225"/>
      <c r="FDC181" s="225"/>
      <c r="FDD181" s="225"/>
      <c r="FDE181" s="225"/>
      <c r="FDF181" s="225"/>
      <c r="FDG181" s="225"/>
      <c r="FDH181" s="225"/>
      <c r="FDI181" s="225"/>
      <c r="FDJ181" s="225"/>
      <c r="FDK181" s="225"/>
      <c r="FDL181" s="225"/>
      <c r="FDM181" s="225"/>
      <c r="FDN181" s="225"/>
      <c r="FDO181" s="225"/>
      <c r="FDP181" s="225"/>
      <c r="FDQ181" s="225"/>
      <c r="FDR181" s="225"/>
      <c r="FDS181" s="225"/>
      <c r="FDT181" s="225"/>
      <c r="FDU181" s="225"/>
      <c r="FDV181" s="225"/>
      <c r="FDW181" s="225"/>
      <c r="FDX181" s="225"/>
      <c r="FDY181" s="225"/>
      <c r="FDZ181" s="225"/>
      <c r="FEA181" s="225"/>
      <c r="FEB181" s="225"/>
      <c r="FEC181" s="225"/>
      <c r="FED181" s="225"/>
      <c r="FEE181" s="225"/>
      <c r="FEF181" s="225"/>
      <c r="FEG181" s="225"/>
      <c r="FEH181" s="225"/>
      <c r="FEI181" s="225"/>
      <c r="FEJ181" s="225"/>
      <c r="FEK181" s="225"/>
      <c r="FEL181" s="225"/>
      <c r="FEM181" s="225"/>
      <c r="FEN181" s="225"/>
      <c r="FEO181" s="225"/>
      <c r="FEP181" s="225"/>
      <c r="FEQ181" s="225"/>
      <c r="FER181" s="225"/>
      <c r="FES181" s="225"/>
      <c r="FET181" s="225"/>
      <c r="FEU181" s="225"/>
      <c r="FEV181" s="225"/>
      <c r="FEW181" s="225"/>
      <c r="FEX181" s="225"/>
      <c r="FEY181" s="225"/>
      <c r="FEZ181" s="225"/>
      <c r="FFA181" s="225"/>
      <c r="FFB181" s="225"/>
      <c r="FFC181" s="225"/>
      <c r="FFD181" s="225"/>
      <c r="FFE181" s="225"/>
      <c r="FFF181" s="225"/>
      <c r="FFG181" s="225"/>
      <c r="FFH181" s="225"/>
      <c r="FFI181" s="225"/>
      <c r="FFJ181" s="225"/>
      <c r="FFK181" s="225"/>
      <c r="FFL181" s="225"/>
      <c r="FFM181" s="225"/>
      <c r="FFN181" s="225"/>
      <c r="FFO181" s="225"/>
      <c r="FFP181" s="225"/>
      <c r="FFQ181" s="225"/>
      <c r="FFR181" s="225"/>
      <c r="FFS181" s="225"/>
      <c r="FFT181" s="225"/>
      <c r="FFU181" s="225"/>
      <c r="FFV181" s="225"/>
      <c r="FFW181" s="225"/>
      <c r="FFX181" s="225"/>
      <c r="FFY181" s="225"/>
      <c r="FFZ181" s="225"/>
      <c r="FGA181" s="225"/>
      <c r="FGB181" s="225"/>
      <c r="FGC181" s="225"/>
      <c r="FGD181" s="225"/>
      <c r="FGE181" s="225"/>
      <c r="FGF181" s="225"/>
      <c r="FGG181" s="225"/>
      <c r="FGH181" s="225"/>
      <c r="FGI181" s="225"/>
      <c r="FGJ181" s="225"/>
      <c r="FGK181" s="225"/>
      <c r="FGL181" s="225"/>
      <c r="FGM181" s="225"/>
      <c r="FGN181" s="225"/>
      <c r="FGO181" s="225"/>
      <c r="FGP181" s="225"/>
      <c r="FGQ181" s="225"/>
      <c r="FGR181" s="225"/>
      <c r="FGS181" s="225"/>
      <c r="FGT181" s="225"/>
      <c r="FGU181" s="225"/>
      <c r="FGV181" s="225"/>
      <c r="FGW181" s="225"/>
      <c r="FGX181" s="225"/>
      <c r="FGY181" s="225"/>
      <c r="FGZ181" s="225"/>
      <c r="FHA181" s="225"/>
      <c r="FHB181" s="225"/>
      <c r="FHC181" s="225"/>
      <c r="FHD181" s="225"/>
      <c r="FHE181" s="225"/>
      <c r="FHF181" s="225"/>
      <c r="FHG181" s="225"/>
      <c r="FHH181" s="225"/>
      <c r="FHI181" s="225"/>
      <c r="FHJ181" s="225"/>
      <c r="FHK181" s="225"/>
      <c r="FHL181" s="225"/>
      <c r="FHM181" s="225"/>
      <c r="FHN181" s="225"/>
      <c r="FHO181" s="225"/>
      <c r="FHP181" s="225"/>
      <c r="FHQ181" s="225"/>
      <c r="FHR181" s="225"/>
      <c r="FHS181" s="225"/>
      <c r="FHT181" s="225"/>
      <c r="FHU181" s="225"/>
      <c r="FHV181" s="225"/>
      <c r="FHW181" s="225"/>
      <c r="FHX181" s="225"/>
      <c r="FHY181" s="225"/>
      <c r="FHZ181" s="225"/>
      <c r="FIA181" s="225"/>
      <c r="FIB181" s="225"/>
      <c r="FIC181" s="225"/>
      <c r="FID181" s="225"/>
      <c r="FIE181" s="225"/>
      <c r="FIF181" s="225"/>
      <c r="FIG181" s="225"/>
      <c r="FIH181" s="225"/>
      <c r="FII181" s="225"/>
      <c r="FIJ181" s="225"/>
      <c r="FIK181" s="225"/>
      <c r="FIL181" s="225"/>
      <c r="FIM181" s="225"/>
      <c r="FIN181" s="225"/>
      <c r="FIO181" s="225"/>
      <c r="FIP181" s="225"/>
      <c r="FIQ181" s="225"/>
      <c r="FIR181" s="225"/>
      <c r="FIS181" s="225"/>
      <c r="FIT181" s="225"/>
      <c r="FIU181" s="225"/>
      <c r="FIV181" s="225"/>
      <c r="FIW181" s="225"/>
      <c r="FIX181" s="225"/>
      <c r="FIY181" s="225"/>
      <c r="FIZ181" s="225"/>
      <c r="FJA181" s="225"/>
      <c r="FJB181" s="225"/>
      <c r="FJC181" s="225"/>
      <c r="FJD181" s="225"/>
      <c r="FJE181" s="225"/>
      <c r="FJF181" s="225"/>
      <c r="FJG181" s="225"/>
      <c r="FJH181" s="225"/>
      <c r="FJI181" s="225"/>
      <c r="FJJ181" s="225"/>
      <c r="FJK181" s="225"/>
      <c r="FJL181" s="225"/>
      <c r="FJM181" s="225"/>
      <c r="FJN181" s="225"/>
      <c r="FJO181" s="225"/>
      <c r="FJP181" s="225"/>
      <c r="FJQ181" s="225"/>
      <c r="FJR181" s="225"/>
      <c r="FJS181" s="225"/>
      <c r="FJT181" s="225"/>
      <c r="FJU181" s="225"/>
      <c r="FJV181" s="225"/>
      <c r="FJW181" s="225"/>
      <c r="FJX181" s="225"/>
      <c r="FJY181" s="225"/>
      <c r="FJZ181" s="225"/>
      <c r="FKA181" s="225"/>
      <c r="FKB181" s="225"/>
      <c r="FKC181" s="225"/>
      <c r="FKD181" s="225"/>
      <c r="FKE181" s="225"/>
      <c r="FKF181" s="225"/>
      <c r="FKG181" s="225"/>
      <c r="FKH181" s="225"/>
      <c r="FKI181" s="225"/>
      <c r="FKJ181" s="225"/>
      <c r="FKK181" s="225"/>
      <c r="FKL181" s="225"/>
      <c r="FKM181" s="225"/>
      <c r="FKN181" s="225"/>
      <c r="FKO181" s="225"/>
      <c r="FKP181" s="225"/>
      <c r="FKQ181" s="225"/>
      <c r="FKR181" s="225"/>
      <c r="FKS181" s="225"/>
      <c r="FKT181" s="225"/>
      <c r="FKU181" s="225"/>
      <c r="FKV181" s="225"/>
      <c r="FKW181" s="225"/>
      <c r="FKX181" s="225"/>
      <c r="FKY181" s="225"/>
      <c r="FKZ181" s="225"/>
      <c r="FLA181" s="225"/>
      <c r="FLB181" s="225"/>
      <c r="FLC181" s="225"/>
      <c r="FLD181" s="225"/>
      <c r="FLE181" s="225"/>
      <c r="FLF181" s="225"/>
      <c r="FLG181" s="225"/>
      <c r="FLH181" s="225"/>
      <c r="FLI181" s="225"/>
      <c r="FLJ181" s="225"/>
      <c r="FLK181" s="225"/>
      <c r="FLL181" s="225"/>
      <c r="FLM181" s="225"/>
      <c r="FLN181" s="225"/>
      <c r="FLO181" s="225"/>
      <c r="FLP181" s="225"/>
      <c r="FLQ181" s="225"/>
      <c r="FLR181" s="225"/>
      <c r="FLS181" s="225"/>
      <c r="FLT181" s="225"/>
      <c r="FLU181" s="225"/>
      <c r="FLV181" s="225"/>
      <c r="FLW181" s="225"/>
      <c r="FLX181" s="225"/>
      <c r="FLY181" s="225"/>
      <c r="FLZ181" s="225"/>
      <c r="FMA181" s="225"/>
      <c r="FMB181" s="225"/>
      <c r="FMC181" s="225"/>
      <c r="FMD181" s="225"/>
      <c r="FME181" s="225"/>
      <c r="FMF181" s="225"/>
      <c r="FMG181" s="225"/>
      <c r="FMH181" s="225"/>
      <c r="FMI181" s="225"/>
      <c r="FMJ181" s="225"/>
      <c r="FMK181" s="225"/>
      <c r="FML181" s="225"/>
      <c r="FMM181" s="225"/>
      <c r="FMN181" s="225"/>
      <c r="FMO181" s="225"/>
      <c r="FMP181" s="225"/>
      <c r="FMQ181" s="225"/>
      <c r="FMR181" s="225"/>
      <c r="FMS181" s="225"/>
      <c r="FMT181" s="225"/>
      <c r="FMU181" s="225"/>
      <c r="FMV181" s="225"/>
      <c r="FMW181" s="225"/>
      <c r="FMX181" s="225"/>
      <c r="FMY181" s="225"/>
      <c r="FMZ181" s="225"/>
      <c r="FNA181" s="225"/>
      <c r="FNB181" s="225"/>
      <c r="FNC181" s="225"/>
      <c r="FND181" s="225"/>
      <c r="FNE181" s="225"/>
      <c r="FNF181" s="225"/>
      <c r="FNG181" s="225"/>
      <c r="FNH181" s="225"/>
      <c r="FNI181" s="225"/>
      <c r="FNJ181" s="225"/>
      <c r="FNK181" s="225"/>
      <c r="FNL181" s="225"/>
      <c r="FNM181" s="225"/>
      <c r="FNN181" s="225"/>
      <c r="FNO181" s="225"/>
      <c r="FNP181" s="225"/>
      <c r="FNQ181" s="225"/>
      <c r="FNR181" s="225"/>
      <c r="FNS181" s="225"/>
      <c r="FNT181" s="225"/>
      <c r="FNU181" s="225"/>
      <c r="FNV181" s="225"/>
      <c r="FNW181" s="225"/>
      <c r="FNX181" s="225"/>
      <c r="FNY181" s="225"/>
      <c r="FNZ181" s="225"/>
      <c r="FOA181" s="225"/>
      <c r="FOB181" s="225"/>
      <c r="FOC181" s="225"/>
      <c r="FOD181" s="225"/>
      <c r="FOE181" s="225"/>
      <c r="FOF181" s="225"/>
      <c r="FOG181" s="225"/>
      <c r="FOH181" s="225"/>
      <c r="FOI181" s="225"/>
      <c r="FOJ181" s="225"/>
      <c r="FOK181" s="225"/>
      <c r="FOL181" s="225"/>
      <c r="FOM181" s="225"/>
      <c r="FON181" s="225"/>
      <c r="FOO181" s="225"/>
      <c r="FOP181" s="225"/>
      <c r="FOQ181" s="225"/>
      <c r="FOR181" s="225"/>
      <c r="FOS181" s="225"/>
      <c r="FOT181" s="225"/>
      <c r="FOU181" s="225"/>
      <c r="FOV181" s="225"/>
      <c r="FOW181" s="225"/>
      <c r="FOX181" s="225"/>
      <c r="FOY181" s="225"/>
      <c r="FOZ181" s="225"/>
      <c r="FPA181" s="225"/>
      <c r="FPB181" s="225"/>
      <c r="FPC181" s="225"/>
      <c r="FPD181" s="225"/>
      <c r="FPE181" s="225"/>
      <c r="FPF181" s="225"/>
      <c r="FPG181" s="225"/>
      <c r="FPH181" s="225"/>
      <c r="FPI181" s="225"/>
      <c r="FPJ181" s="225"/>
      <c r="FPK181" s="225"/>
      <c r="FPL181" s="225"/>
      <c r="FPM181" s="225"/>
      <c r="FPN181" s="225"/>
      <c r="FPO181" s="225"/>
      <c r="FPP181" s="225"/>
      <c r="FPQ181" s="225"/>
      <c r="FPR181" s="225"/>
      <c r="FPS181" s="225"/>
      <c r="FPT181" s="225"/>
      <c r="FPU181" s="225"/>
      <c r="FPV181" s="225"/>
      <c r="FPW181" s="225"/>
      <c r="FPX181" s="225"/>
      <c r="FPY181" s="225"/>
      <c r="FPZ181" s="225"/>
      <c r="FQA181" s="225"/>
      <c r="FQB181" s="225"/>
      <c r="FQC181" s="225"/>
      <c r="FQD181" s="225"/>
      <c r="FQE181" s="225"/>
      <c r="FQF181" s="225"/>
      <c r="FQG181" s="225"/>
      <c r="FQH181" s="225"/>
      <c r="FQI181" s="225"/>
      <c r="FQJ181" s="225"/>
      <c r="FQK181" s="225"/>
      <c r="FQL181" s="225"/>
      <c r="FQM181" s="225"/>
      <c r="FQN181" s="225"/>
      <c r="FQO181" s="225"/>
      <c r="FQP181" s="225"/>
      <c r="FQQ181" s="225"/>
      <c r="FQR181" s="225"/>
      <c r="FQS181" s="225"/>
      <c r="FQT181" s="225"/>
      <c r="FQU181" s="225"/>
      <c r="FQV181" s="225"/>
      <c r="FQW181" s="225"/>
      <c r="FQX181" s="225"/>
      <c r="FQY181" s="225"/>
      <c r="FQZ181" s="225"/>
      <c r="FRA181" s="225"/>
      <c r="FRB181" s="225"/>
      <c r="FRC181" s="225"/>
      <c r="FRD181" s="225"/>
      <c r="FRE181" s="225"/>
      <c r="FRF181" s="225"/>
      <c r="FRG181" s="225"/>
      <c r="FRH181" s="225"/>
      <c r="FRI181" s="225"/>
      <c r="FRJ181" s="225"/>
      <c r="FRK181" s="225"/>
      <c r="FRL181" s="225"/>
      <c r="FRM181" s="225"/>
      <c r="FRN181" s="225"/>
      <c r="FRO181" s="225"/>
      <c r="FRP181" s="225"/>
      <c r="FRQ181" s="225"/>
      <c r="FRR181" s="225"/>
      <c r="FRS181" s="225"/>
      <c r="FRT181" s="225"/>
      <c r="FRU181" s="225"/>
      <c r="FRV181" s="225"/>
      <c r="FRW181" s="225"/>
      <c r="FRX181" s="225"/>
      <c r="FRY181" s="225"/>
      <c r="FRZ181" s="225"/>
      <c r="FSA181" s="225"/>
      <c r="FSB181" s="225"/>
      <c r="FSC181" s="225"/>
      <c r="FSD181" s="225"/>
      <c r="FSE181" s="225"/>
      <c r="FSF181" s="225"/>
      <c r="FSG181" s="225"/>
      <c r="FSH181" s="225"/>
      <c r="FSI181" s="225"/>
      <c r="FSJ181" s="225"/>
      <c r="FSK181" s="225"/>
      <c r="FSL181" s="225"/>
      <c r="FSM181" s="225"/>
      <c r="FSN181" s="225"/>
      <c r="FSO181" s="225"/>
      <c r="FSP181" s="225"/>
      <c r="FSQ181" s="225"/>
      <c r="FSR181" s="225"/>
      <c r="FSS181" s="225"/>
      <c r="FST181" s="225"/>
      <c r="FSU181" s="225"/>
      <c r="FSV181" s="225"/>
      <c r="FSW181" s="225"/>
      <c r="FSX181" s="225"/>
      <c r="FSY181" s="225"/>
      <c r="FSZ181" s="225"/>
      <c r="FTA181" s="225"/>
      <c r="FTB181" s="225"/>
      <c r="FTC181" s="225"/>
      <c r="FTD181" s="225"/>
      <c r="FTE181" s="225"/>
      <c r="FTF181" s="225"/>
      <c r="FTG181" s="225"/>
      <c r="FTH181" s="225"/>
      <c r="FTI181" s="225"/>
      <c r="FTJ181" s="225"/>
      <c r="FTK181" s="225"/>
      <c r="FTL181" s="225"/>
      <c r="FTM181" s="225"/>
      <c r="FTN181" s="225"/>
      <c r="FTO181" s="225"/>
      <c r="FTP181" s="225"/>
      <c r="FTQ181" s="225"/>
      <c r="FTR181" s="225"/>
      <c r="FTS181" s="225"/>
      <c r="FTT181" s="225"/>
      <c r="FTU181" s="225"/>
      <c r="FTV181" s="225"/>
      <c r="FTW181" s="225"/>
      <c r="FTX181" s="225"/>
      <c r="FTY181" s="225"/>
      <c r="FTZ181" s="225"/>
      <c r="FUA181" s="225"/>
      <c r="FUB181" s="225"/>
      <c r="FUC181" s="225"/>
      <c r="FUD181" s="225"/>
      <c r="FUE181" s="225"/>
      <c r="FUF181" s="225"/>
      <c r="FUG181" s="225"/>
      <c r="FUH181" s="225"/>
      <c r="FUI181" s="225"/>
      <c r="FUJ181" s="225"/>
      <c r="FUK181" s="225"/>
      <c r="FUL181" s="225"/>
      <c r="FUM181" s="225"/>
      <c r="FUN181" s="225"/>
      <c r="FUO181" s="225"/>
      <c r="FUP181" s="225"/>
      <c r="FUQ181" s="225"/>
      <c r="FUR181" s="225"/>
      <c r="FUS181" s="225"/>
      <c r="FUT181" s="225"/>
      <c r="FUU181" s="225"/>
      <c r="FUV181" s="225"/>
      <c r="FUW181" s="225"/>
      <c r="FUX181" s="225"/>
      <c r="FUY181" s="225"/>
      <c r="FUZ181" s="225"/>
      <c r="FVA181" s="225"/>
      <c r="FVB181" s="225"/>
      <c r="FVC181" s="225"/>
      <c r="FVD181" s="225"/>
      <c r="FVE181" s="225"/>
      <c r="FVF181" s="225"/>
      <c r="FVG181" s="225"/>
      <c r="FVH181" s="225"/>
      <c r="FVI181" s="225"/>
      <c r="FVJ181" s="225"/>
      <c r="FVK181" s="225"/>
      <c r="FVL181" s="225"/>
      <c r="FVM181" s="225"/>
      <c r="FVN181" s="225"/>
      <c r="FVO181" s="225"/>
      <c r="FVP181" s="225"/>
      <c r="FVQ181" s="225"/>
      <c r="FVR181" s="225"/>
      <c r="FVS181" s="225"/>
      <c r="FVT181" s="225"/>
      <c r="FVU181" s="225"/>
      <c r="FVV181" s="225"/>
      <c r="FVW181" s="225"/>
      <c r="FVX181" s="225"/>
      <c r="FVY181" s="225"/>
      <c r="FVZ181" s="225"/>
      <c r="FWA181" s="225"/>
      <c r="FWB181" s="225"/>
      <c r="FWC181" s="225"/>
      <c r="FWD181" s="225"/>
      <c r="FWE181" s="225"/>
      <c r="FWF181" s="225"/>
      <c r="FWG181" s="225"/>
      <c r="FWH181" s="225"/>
      <c r="FWI181" s="225"/>
      <c r="FWJ181" s="225"/>
      <c r="FWK181" s="225"/>
      <c r="FWL181" s="225"/>
      <c r="FWM181" s="225"/>
      <c r="FWN181" s="225"/>
      <c r="FWO181" s="225"/>
      <c r="FWP181" s="225"/>
      <c r="FWQ181" s="225"/>
      <c r="FWR181" s="225"/>
      <c r="FWS181" s="225"/>
      <c r="FWT181" s="225"/>
      <c r="FWU181" s="225"/>
      <c r="FWV181" s="225"/>
      <c r="FWW181" s="225"/>
      <c r="FWX181" s="225"/>
      <c r="FWY181" s="225"/>
      <c r="FWZ181" s="225"/>
      <c r="FXA181" s="225"/>
      <c r="FXB181" s="225"/>
      <c r="FXC181" s="225"/>
      <c r="FXD181" s="225"/>
      <c r="FXE181" s="225"/>
      <c r="FXF181" s="225"/>
      <c r="FXG181" s="225"/>
      <c r="FXH181" s="225"/>
      <c r="FXI181" s="225"/>
      <c r="FXJ181" s="225"/>
      <c r="FXK181" s="225"/>
      <c r="FXL181" s="225"/>
      <c r="FXM181" s="225"/>
      <c r="FXN181" s="225"/>
      <c r="FXO181" s="225"/>
      <c r="FXP181" s="225"/>
      <c r="FXQ181" s="225"/>
      <c r="FXR181" s="225"/>
      <c r="FXS181" s="225"/>
      <c r="FXT181" s="225"/>
      <c r="FXU181" s="225"/>
      <c r="FXV181" s="225"/>
      <c r="FXW181" s="225"/>
      <c r="FXX181" s="225"/>
      <c r="FXY181" s="225"/>
      <c r="FXZ181" s="225"/>
      <c r="FYA181" s="225"/>
      <c r="FYB181" s="225"/>
      <c r="FYC181" s="225"/>
      <c r="FYD181" s="225"/>
      <c r="FYE181" s="225"/>
      <c r="FYF181" s="225"/>
      <c r="FYG181" s="225"/>
      <c r="FYH181" s="225"/>
      <c r="FYI181" s="225"/>
      <c r="FYJ181" s="225"/>
      <c r="FYK181" s="225"/>
      <c r="FYL181" s="225"/>
      <c r="FYM181" s="225"/>
      <c r="FYN181" s="225"/>
      <c r="FYO181" s="225"/>
      <c r="FYP181" s="225"/>
      <c r="FYQ181" s="225"/>
      <c r="FYR181" s="225"/>
      <c r="FYS181" s="225"/>
      <c r="FYT181" s="225"/>
      <c r="FYU181" s="225"/>
      <c r="FYV181" s="225"/>
      <c r="FYW181" s="225"/>
      <c r="FYX181" s="225"/>
      <c r="FYY181" s="225"/>
      <c r="FYZ181" s="225"/>
      <c r="FZA181" s="225"/>
      <c r="FZB181" s="225"/>
      <c r="FZC181" s="225"/>
      <c r="FZD181" s="225"/>
      <c r="FZE181" s="225"/>
      <c r="FZF181" s="225"/>
      <c r="FZG181" s="225"/>
      <c r="FZH181" s="225"/>
      <c r="FZI181" s="225"/>
      <c r="FZJ181" s="225"/>
      <c r="FZK181" s="225"/>
      <c r="FZL181" s="225"/>
      <c r="FZM181" s="225"/>
      <c r="FZN181" s="225"/>
      <c r="FZO181" s="225"/>
      <c r="FZP181" s="225"/>
      <c r="FZQ181" s="225"/>
      <c r="FZR181" s="225"/>
      <c r="FZS181" s="225"/>
      <c r="FZT181" s="225"/>
      <c r="FZU181" s="225"/>
      <c r="FZV181" s="225"/>
      <c r="FZW181" s="225"/>
      <c r="FZX181" s="225"/>
      <c r="FZY181" s="225"/>
      <c r="FZZ181" s="225"/>
      <c r="GAA181" s="225"/>
      <c r="GAB181" s="225"/>
      <c r="GAC181" s="225"/>
      <c r="GAD181" s="225"/>
      <c r="GAE181" s="225"/>
      <c r="GAF181" s="225"/>
      <c r="GAG181" s="225"/>
      <c r="GAH181" s="225"/>
      <c r="GAI181" s="225"/>
      <c r="GAJ181" s="225"/>
      <c r="GAK181" s="225"/>
      <c r="GAL181" s="225"/>
      <c r="GAM181" s="225"/>
      <c r="GAN181" s="225"/>
      <c r="GAO181" s="225"/>
      <c r="GAP181" s="225"/>
      <c r="GAQ181" s="225"/>
      <c r="GAR181" s="225"/>
      <c r="GAS181" s="225"/>
      <c r="GAT181" s="225"/>
      <c r="GAU181" s="225"/>
      <c r="GAV181" s="225"/>
      <c r="GAW181" s="225"/>
      <c r="GAX181" s="225"/>
      <c r="GAY181" s="225"/>
      <c r="GAZ181" s="225"/>
      <c r="GBA181" s="225"/>
      <c r="GBB181" s="225"/>
      <c r="GBC181" s="225"/>
      <c r="GBD181" s="225"/>
      <c r="GBE181" s="225"/>
      <c r="GBF181" s="225"/>
      <c r="GBG181" s="225"/>
      <c r="GBH181" s="225"/>
      <c r="GBI181" s="225"/>
      <c r="GBJ181" s="225"/>
      <c r="GBK181" s="225"/>
      <c r="GBL181" s="225"/>
      <c r="GBM181" s="225"/>
      <c r="GBN181" s="225"/>
      <c r="GBO181" s="225"/>
      <c r="GBP181" s="225"/>
      <c r="GBQ181" s="225"/>
      <c r="GBR181" s="225"/>
      <c r="GBS181" s="225"/>
      <c r="GBT181" s="225"/>
      <c r="GBU181" s="225"/>
      <c r="GBV181" s="225"/>
      <c r="GBW181" s="225"/>
      <c r="GBX181" s="225"/>
      <c r="GBY181" s="225"/>
      <c r="GBZ181" s="225"/>
      <c r="GCA181" s="225"/>
      <c r="GCB181" s="225"/>
      <c r="GCC181" s="225"/>
      <c r="GCD181" s="225"/>
      <c r="GCE181" s="225"/>
      <c r="GCF181" s="225"/>
      <c r="GCG181" s="225"/>
      <c r="GCH181" s="225"/>
      <c r="GCI181" s="225"/>
      <c r="GCJ181" s="225"/>
      <c r="GCK181" s="225"/>
      <c r="GCL181" s="225"/>
      <c r="GCM181" s="225"/>
      <c r="GCN181" s="225"/>
      <c r="GCO181" s="225"/>
      <c r="GCP181" s="225"/>
      <c r="GCQ181" s="225"/>
      <c r="GCR181" s="225"/>
      <c r="GCS181" s="225"/>
      <c r="GCT181" s="225"/>
      <c r="GCU181" s="225"/>
      <c r="GCV181" s="225"/>
      <c r="GCW181" s="225"/>
      <c r="GCX181" s="225"/>
      <c r="GCY181" s="225"/>
      <c r="GCZ181" s="225"/>
      <c r="GDA181" s="225"/>
      <c r="GDB181" s="225"/>
      <c r="GDC181" s="225"/>
      <c r="GDD181" s="225"/>
      <c r="GDE181" s="225"/>
      <c r="GDF181" s="225"/>
      <c r="GDG181" s="225"/>
      <c r="GDH181" s="225"/>
      <c r="GDI181" s="225"/>
      <c r="GDJ181" s="225"/>
      <c r="GDK181" s="225"/>
      <c r="GDL181" s="225"/>
      <c r="GDM181" s="225"/>
      <c r="GDN181" s="225"/>
      <c r="GDO181" s="225"/>
      <c r="GDP181" s="225"/>
      <c r="GDQ181" s="225"/>
      <c r="GDR181" s="225"/>
      <c r="GDS181" s="225"/>
      <c r="GDT181" s="225"/>
      <c r="GDU181" s="225"/>
      <c r="GDV181" s="225"/>
      <c r="GDW181" s="225"/>
      <c r="GDX181" s="225"/>
      <c r="GDY181" s="225"/>
      <c r="GDZ181" s="225"/>
      <c r="GEA181" s="225"/>
      <c r="GEB181" s="225"/>
      <c r="GEC181" s="225"/>
      <c r="GED181" s="225"/>
      <c r="GEE181" s="225"/>
      <c r="GEF181" s="225"/>
      <c r="GEG181" s="225"/>
      <c r="GEH181" s="225"/>
      <c r="GEI181" s="225"/>
      <c r="GEJ181" s="225"/>
      <c r="GEK181" s="225"/>
      <c r="GEL181" s="225"/>
      <c r="GEM181" s="225"/>
      <c r="GEN181" s="225"/>
      <c r="GEO181" s="225"/>
      <c r="GEP181" s="225"/>
      <c r="GEQ181" s="225"/>
      <c r="GER181" s="225"/>
      <c r="GES181" s="225"/>
      <c r="GET181" s="225"/>
      <c r="GEU181" s="225"/>
      <c r="GEV181" s="225"/>
      <c r="GEW181" s="225"/>
      <c r="GEX181" s="225"/>
      <c r="GEY181" s="225"/>
      <c r="GEZ181" s="225"/>
      <c r="GFA181" s="225"/>
      <c r="GFB181" s="225"/>
      <c r="GFC181" s="225"/>
      <c r="GFD181" s="225"/>
      <c r="GFE181" s="225"/>
      <c r="GFF181" s="225"/>
      <c r="GFG181" s="225"/>
      <c r="GFH181" s="225"/>
      <c r="GFI181" s="225"/>
      <c r="GFJ181" s="225"/>
      <c r="GFK181" s="225"/>
      <c r="GFL181" s="225"/>
      <c r="GFM181" s="225"/>
      <c r="GFN181" s="225"/>
      <c r="GFO181" s="225"/>
      <c r="GFP181" s="225"/>
      <c r="GFQ181" s="225"/>
      <c r="GFR181" s="225"/>
      <c r="GFS181" s="225"/>
      <c r="GFT181" s="225"/>
      <c r="GFU181" s="225"/>
      <c r="GFV181" s="225"/>
      <c r="GFW181" s="225"/>
      <c r="GFX181" s="225"/>
      <c r="GFY181" s="225"/>
      <c r="GFZ181" s="225"/>
      <c r="GGA181" s="225"/>
      <c r="GGB181" s="225"/>
      <c r="GGC181" s="225"/>
      <c r="GGD181" s="225"/>
      <c r="GGE181" s="225"/>
      <c r="GGF181" s="225"/>
      <c r="GGG181" s="225"/>
      <c r="GGH181" s="225"/>
      <c r="GGI181" s="225"/>
      <c r="GGJ181" s="225"/>
      <c r="GGK181" s="225"/>
      <c r="GGL181" s="225"/>
      <c r="GGM181" s="225"/>
      <c r="GGN181" s="225"/>
      <c r="GGO181" s="225"/>
      <c r="GGP181" s="225"/>
      <c r="GGQ181" s="225"/>
      <c r="GGR181" s="225"/>
      <c r="GGS181" s="225"/>
      <c r="GGT181" s="225"/>
      <c r="GGU181" s="225"/>
      <c r="GGV181" s="225"/>
      <c r="GGW181" s="225"/>
      <c r="GGX181" s="225"/>
      <c r="GGY181" s="225"/>
      <c r="GGZ181" s="225"/>
      <c r="GHA181" s="225"/>
      <c r="GHB181" s="225"/>
      <c r="GHC181" s="225"/>
      <c r="GHD181" s="225"/>
      <c r="GHE181" s="225"/>
      <c r="GHF181" s="225"/>
      <c r="GHG181" s="225"/>
      <c r="GHH181" s="225"/>
      <c r="GHI181" s="225"/>
      <c r="GHJ181" s="225"/>
      <c r="GHK181" s="225"/>
      <c r="GHL181" s="225"/>
      <c r="GHM181" s="225"/>
      <c r="GHN181" s="225"/>
      <c r="GHO181" s="225"/>
      <c r="GHP181" s="225"/>
      <c r="GHQ181" s="225"/>
      <c r="GHR181" s="225"/>
      <c r="GHS181" s="225"/>
      <c r="GHT181" s="225"/>
      <c r="GHU181" s="225"/>
      <c r="GHV181" s="225"/>
      <c r="GHW181" s="225"/>
      <c r="GHX181" s="225"/>
      <c r="GHY181" s="225"/>
      <c r="GHZ181" s="225"/>
      <c r="GIA181" s="225"/>
      <c r="GIB181" s="225"/>
      <c r="GIC181" s="225"/>
      <c r="GID181" s="225"/>
      <c r="GIE181" s="225"/>
      <c r="GIF181" s="225"/>
      <c r="GIG181" s="225"/>
      <c r="GIH181" s="225"/>
      <c r="GII181" s="225"/>
      <c r="GIJ181" s="225"/>
      <c r="GIK181" s="225"/>
      <c r="GIL181" s="225"/>
      <c r="GIM181" s="225"/>
      <c r="GIN181" s="225"/>
      <c r="GIO181" s="225"/>
      <c r="GIP181" s="225"/>
      <c r="GIQ181" s="225"/>
      <c r="GIR181" s="225"/>
      <c r="GIS181" s="225"/>
      <c r="GIT181" s="225"/>
      <c r="GIU181" s="225"/>
      <c r="GIV181" s="225"/>
      <c r="GIW181" s="225"/>
      <c r="GIX181" s="225"/>
      <c r="GIY181" s="225"/>
      <c r="GIZ181" s="225"/>
      <c r="GJA181" s="225"/>
      <c r="GJB181" s="225"/>
      <c r="GJC181" s="225"/>
      <c r="GJD181" s="225"/>
      <c r="GJE181" s="225"/>
      <c r="GJF181" s="225"/>
      <c r="GJG181" s="225"/>
      <c r="GJH181" s="225"/>
      <c r="GJI181" s="225"/>
      <c r="GJJ181" s="225"/>
      <c r="GJK181" s="225"/>
      <c r="GJL181" s="225"/>
      <c r="GJM181" s="225"/>
      <c r="GJN181" s="225"/>
      <c r="GJO181" s="225"/>
      <c r="GJP181" s="225"/>
      <c r="GJQ181" s="225"/>
      <c r="GJR181" s="225"/>
      <c r="GJS181" s="225"/>
      <c r="GJT181" s="225"/>
      <c r="GJU181" s="225"/>
      <c r="GJV181" s="225"/>
      <c r="GJW181" s="225"/>
      <c r="GJX181" s="225"/>
      <c r="GJY181" s="225"/>
      <c r="GJZ181" s="225"/>
      <c r="GKA181" s="225"/>
      <c r="GKB181" s="225"/>
      <c r="GKC181" s="225"/>
      <c r="GKD181" s="225"/>
      <c r="GKE181" s="225"/>
      <c r="GKF181" s="225"/>
      <c r="GKG181" s="225"/>
      <c r="GKH181" s="225"/>
      <c r="GKI181" s="225"/>
      <c r="GKJ181" s="225"/>
      <c r="GKK181" s="225"/>
      <c r="GKL181" s="225"/>
      <c r="GKM181" s="225"/>
      <c r="GKN181" s="225"/>
      <c r="GKO181" s="225"/>
      <c r="GKP181" s="225"/>
      <c r="GKQ181" s="225"/>
      <c r="GKR181" s="225"/>
      <c r="GKS181" s="225"/>
      <c r="GKT181" s="225"/>
      <c r="GKU181" s="225"/>
      <c r="GKV181" s="225"/>
      <c r="GKW181" s="225"/>
      <c r="GKX181" s="225"/>
      <c r="GKY181" s="225"/>
      <c r="GKZ181" s="225"/>
      <c r="GLA181" s="225"/>
      <c r="GLB181" s="225"/>
      <c r="GLC181" s="225"/>
      <c r="GLD181" s="225"/>
      <c r="GLE181" s="225"/>
      <c r="GLF181" s="225"/>
      <c r="GLG181" s="225"/>
      <c r="GLH181" s="225"/>
      <c r="GLI181" s="225"/>
      <c r="GLJ181" s="225"/>
      <c r="GLK181" s="225"/>
      <c r="GLL181" s="225"/>
      <c r="GLM181" s="225"/>
      <c r="GLN181" s="225"/>
      <c r="GLO181" s="225"/>
      <c r="GLP181" s="225"/>
      <c r="GLQ181" s="225"/>
      <c r="GLR181" s="225"/>
      <c r="GLS181" s="225"/>
      <c r="GLT181" s="225"/>
      <c r="GLU181" s="225"/>
      <c r="GLV181" s="225"/>
      <c r="GLW181" s="225"/>
      <c r="GLX181" s="225"/>
      <c r="GLY181" s="225"/>
      <c r="GLZ181" s="225"/>
      <c r="GMA181" s="225"/>
      <c r="GMB181" s="225"/>
      <c r="GMC181" s="225"/>
      <c r="GMD181" s="225"/>
      <c r="GME181" s="225"/>
      <c r="GMF181" s="225"/>
      <c r="GMG181" s="225"/>
      <c r="GMH181" s="225"/>
      <c r="GMI181" s="225"/>
      <c r="GMJ181" s="225"/>
      <c r="GMK181" s="225"/>
      <c r="GML181" s="225"/>
      <c r="GMM181" s="225"/>
      <c r="GMN181" s="225"/>
      <c r="GMO181" s="225"/>
      <c r="GMP181" s="225"/>
      <c r="GMQ181" s="225"/>
      <c r="GMR181" s="225"/>
      <c r="GMS181" s="225"/>
      <c r="GMT181" s="225"/>
      <c r="GMU181" s="225"/>
      <c r="GMV181" s="225"/>
      <c r="GMW181" s="225"/>
      <c r="GMX181" s="225"/>
      <c r="GMY181" s="225"/>
      <c r="GMZ181" s="225"/>
      <c r="GNA181" s="225"/>
      <c r="GNB181" s="225"/>
      <c r="GNC181" s="225"/>
      <c r="GND181" s="225"/>
      <c r="GNE181" s="225"/>
      <c r="GNF181" s="225"/>
      <c r="GNG181" s="225"/>
      <c r="GNH181" s="225"/>
      <c r="GNI181" s="225"/>
      <c r="GNJ181" s="225"/>
      <c r="GNK181" s="225"/>
      <c r="GNL181" s="225"/>
      <c r="GNM181" s="225"/>
      <c r="GNN181" s="225"/>
      <c r="GNO181" s="225"/>
      <c r="GNP181" s="225"/>
      <c r="GNQ181" s="225"/>
      <c r="GNR181" s="225"/>
      <c r="GNS181" s="225"/>
      <c r="GNT181" s="225"/>
      <c r="GNU181" s="225"/>
      <c r="GNV181" s="225"/>
      <c r="GNW181" s="225"/>
      <c r="GNX181" s="225"/>
      <c r="GNY181" s="225"/>
      <c r="GNZ181" s="225"/>
      <c r="GOA181" s="225"/>
      <c r="GOB181" s="225"/>
      <c r="GOC181" s="225"/>
      <c r="GOD181" s="225"/>
      <c r="GOE181" s="225"/>
      <c r="GOF181" s="225"/>
      <c r="GOG181" s="225"/>
      <c r="GOH181" s="225"/>
      <c r="GOI181" s="225"/>
      <c r="GOJ181" s="225"/>
      <c r="GOK181" s="225"/>
      <c r="GOL181" s="225"/>
      <c r="GOM181" s="225"/>
      <c r="GON181" s="225"/>
      <c r="GOO181" s="225"/>
      <c r="GOP181" s="225"/>
      <c r="GOQ181" s="225"/>
      <c r="GOR181" s="225"/>
      <c r="GOS181" s="225"/>
      <c r="GOT181" s="225"/>
      <c r="GOU181" s="225"/>
      <c r="GOV181" s="225"/>
      <c r="GOW181" s="225"/>
      <c r="GOX181" s="225"/>
      <c r="GOY181" s="225"/>
      <c r="GOZ181" s="225"/>
      <c r="GPA181" s="225"/>
      <c r="GPB181" s="225"/>
      <c r="GPC181" s="225"/>
      <c r="GPD181" s="225"/>
      <c r="GPE181" s="225"/>
      <c r="GPF181" s="225"/>
      <c r="GPG181" s="225"/>
      <c r="GPH181" s="225"/>
      <c r="GPI181" s="225"/>
      <c r="GPJ181" s="225"/>
      <c r="GPK181" s="225"/>
      <c r="GPL181" s="225"/>
      <c r="GPM181" s="225"/>
      <c r="GPN181" s="225"/>
      <c r="GPO181" s="225"/>
      <c r="GPP181" s="225"/>
      <c r="GPQ181" s="225"/>
      <c r="GPR181" s="225"/>
      <c r="GPS181" s="225"/>
      <c r="GPT181" s="225"/>
      <c r="GPU181" s="225"/>
      <c r="GPV181" s="225"/>
      <c r="GPW181" s="225"/>
      <c r="GPX181" s="225"/>
      <c r="GPY181" s="225"/>
      <c r="GPZ181" s="225"/>
      <c r="GQA181" s="225"/>
      <c r="GQB181" s="225"/>
      <c r="GQC181" s="225"/>
      <c r="GQD181" s="225"/>
      <c r="GQE181" s="225"/>
      <c r="GQF181" s="225"/>
      <c r="GQG181" s="225"/>
      <c r="GQH181" s="225"/>
      <c r="GQI181" s="225"/>
      <c r="GQJ181" s="225"/>
      <c r="GQK181" s="225"/>
      <c r="GQL181" s="225"/>
      <c r="GQM181" s="225"/>
      <c r="GQN181" s="225"/>
      <c r="GQO181" s="225"/>
      <c r="GQP181" s="225"/>
      <c r="GQQ181" s="225"/>
      <c r="GQR181" s="225"/>
      <c r="GQS181" s="225"/>
      <c r="GQT181" s="225"/>
      <c r="GQU181" s="225"/>
      <c r="GQV181" s="225"/>
      <c r="GQW181" s="225"/>
      <c r="GQX181" s="225"/>
      <c r="GQY181" s="225"/>
      <c r="GQZ181" s="225"/>
      <c r="GRA181" s="225"/>
      <c r="GRB181" s="225"/>
      <c r="GRC181" s="225"/>
      <c r="GRD181" s="225"/>
      <c r="GRE181" s="225"/>
      <c r="GRF181" s="225"/>
      <c r="GRG181" s="225"/>
      <c r="GRH181" s="225"/>
      <c r="GRI181" s="225"/>
      <c r="GRJ181" s="225"/>
      <c r="GRK181" s="225"/>
      <c r="GRL181" s="225"/>
      <c r="GRM181" s="225"/>
      <c r="GRN181" s="225"/>
      <c r="GRO181" s="225"/>
      <c r="GRP181" s="225"/>
      <c r="GRQ181" s="225"/>
      <c r="GRR181" s="225"/>
      <c r="GRS181" s="225"/>
      <c r="GRT181" s="225"/>
      <c r="GRU181" s="225"/>
      <c r="GRV181" s="225"/>
      <c r="GRW181" s="225"/>
      <c r="GRX181" s="225"/>
      <c r="GRY181" s="225"/>
      <c r="GRZ181" s="225"/>
      <c r="GSA181" s="225"/>
      <c r="GSB181" s="225"/>
      <c r="GSC181" s="225"/>
      <c r="GSD181" s="225"/>
      <c r="GSE181" s="225"/>
      <c r="GSF181" s="225"/>
      <c r="GSG181" s="225"/>
      <c r="GSH181" s="225"/>
      <c r="GSI181" s="225"/>
      <c r="GSJ181" s="225"/>
      <c r="GSK181" s="225"/>
      <c r="GSL181" s="225"/>
      <c r="GSM181" s="225"/>
      <c r="GSN181" s="225"/>
      <c r="GSO181" s="225"/>
      <c r="GSP181" s="225"/>
      <c r="GSQ181" s="225"/>
      <c r="GSR181" s="225"/>
      <c r="GSS181" s="225"/>
      <c r="GST181" s="225"/>
      <c r="GSU181" s="225"/>
      <c r="GSV181" s="225"/>
      <c r="GSW181" s="225"/>
      <c r="GSX181" s="225"/>
      <c r="GSY181" s="225"/>
      <c r="GSZ181" s="225"/>
      <c r="GTA181" s="225"/>
      <c r="GTB181" s="225"/>
      <c r="GTC181" s="225"/>
      <c r="GTD181" s="225"/>
      <c r="GTE181" s="225"/>
      <c r="GTF181" s="225"/>
      <c r="GTG181" s="225"/>
      <c r="GTH181" s="225"/>
      <c r="GTI181" s="225"/>
      <c r="GTJ181" s="225"/>
      <c r="GTK181" s="225"/>
      <c r="GTL181" s="225"/>
      <c r="GTM181" s="225"/>
      <c r="GTN181" s="225"/>
      <c r="GTO181" s="225"/>
      <c r="GTP181" s="225"/>
      <c r="GTQ181" s="225"/>
      <c r="GTR181" s="225"/>
      <c r="GTS181" s="225"/>
      <c r="GTT181" s="225"/>
      <c r="GTU181" s="225"/>
      <c r="GTV181" s="225"/>
      <c r="GTW181" s="225"/>
      <c r="GTX181" s="225"/>
      <c r="GTY181" s="225"/>
      <c r="GTZ181" s="225"/>
      <c r="GUA181" s="225"/>
      <c r="GUB181" s="225"/>
      <c r="GUC181" s="225"/>
      <c r="GUD181" s="225"/>
      <c r="GUE181" s="225"/>
      <c r="GUF181" s="225"/>
      <c r="GUG181" s="225"/>
      <c r="GUH181" s="225"/>
      <c r="GUI181" s="225"/>
      <c r="GUJ181" s="225"/>
      <c r="GUK181" s="225"/>
      <c r="GUL181" s="225"/>
      <c r="GUM181" s="225"/>
      <c r="GUN181" s="225"/>
      <c r="GUO181" s="225"/>
      <c r="GUP181" s="225"/>
      <c r="GUQ181" s="225"/>
      <c r="GUR181" s="225"/>
      <c r="GUS181" s="225"/>
      <c r="GUT181" s="225"/>
      <c r="GUU181" s="225"/>
      <c r="GUV181" s="225"/>
      <c r="GUW181" s="225"/>
      <c r="GUX181" s="225"/>
      <c r="GUY181" s="225"/>
      <c r="GUZ181" s="225"/>
      <c r="GVA181" s="225"/>
      <c r="GVB181" s="225"/>
      <c r="GVC181" s="225"/>
      <c r="GVD181" s="225"/>
      <c r="GVE181" s="225"/>
      <c r="GVF181" s="225"/>
      <c r="GVG181" s="225"/>
      <c r="GVH181" s="225"/>
      <c r="GVI181" s="225"/>
      <c r="GVJ181" s="225"/>
      <c r="GVK181" s="225"/>
      <c r="GVL181" s="225"/>
      <c r="GVM181" s="225"/>
      <c r="GVN181" s="225"/>
      <c r="GVO181" s="225"/>
      <c r="GVP181" s="225"/>
      <c r="GVQ181" s="225"/>
      <c r="GVR181" s="225"/>
      <c r="GVS181" s="225"/>
      <c r="GVT181" s="225"/>
      <c r="GVU181" s="225"/>
      <c r="GVV181" s="225"/>
      <c r="GVW181" s="225"/>
      <c r="GVX181" s="225"/>
      <c r="GVY181" s="225"/>
      <c r="GVZ181" s="225"/>
      <c r="GWA181" s="225"/>
      <c r="GWB181" s="225"/>
      <c r="GWC181" s="225"/>
      <c r="GWD181" s="225"/>
      <c r="GWE181" s="225"/>
      <c r="GWF181" s="225"/>
      <c r="GWG181" s="225"/>
      <c r="GWH181" s="225"/>
      <c r="GWI181" s="225"/>
      <c r="GWJ181" s="225"/>
      <c r="GWK181" s="225"/>
      <c r="GWL181" s="225"/>
      <c r="GWM181" s="225"/>
      <c r="GWN181" s="225"/>
      <c r="GWO181" s="225"/>
      <c r="GWP181" s="225"/>
      <c r="GWQ181" s="225"/>
      <c r="GWR181" s="225"/>
      <c r="GWS181" s="225"/>
      <c r="GWT181" s="225"/>
      <c r="GWU181" s="225"/>
      <c r="GWV181" s="225"/>
      <c r="GWW181" s="225"/>
      <c r="GWX181" s="225"/>
      <c r="GWY181" s="225"/>
      <c r="GWZ181" s="225"/>
      <c r="GXA181" s="225"/>
      <c r="GXB181" s="225"/>
      <c r="GXC181" s="225"/>
      <c r="GXD181" s="225"/>
      <c r="GXE181" s="225"/>
      <c r="GXF181" s="225"/>
      <c r="GXG181" s="225"/>
      <c r="GXH181" s="225"/>
      <c r="GXI181" s="225"/>
      <c r="GXJ181" s="225"/>
      <c r="GXK181" s="225"/>
      <c r="GXL181" s="225"/>
      <c r="GXM181" s="225"/>
      <c r="GXN181" s="225"/>
      <c r="GXO181" s="225"/>
      <c r="GXP181" s="225"/>
      <c r="GXQ181" s="225"/>
      <c r="GXR181" s="225"/>
      <c r="GXS181" s="225"/>
      <c r="GXT181" s="225"/>
      <c r="GXU181" s="225"/>
      <c r="GXV181" s="225"/>
      <c r="GXW181" s="225"/>
      <c r="GXX181" s="225"/>
      <c r="GXY181" s="225"/>
      <c r="GXZ181" s="225"/>
      <c r="GYA181" s="225"/>
      <c r="GYB181" s="225"/>
      <c r="GYC181" s="225"/>
      <c r="GYD181" s="225"/>
      <c r="GYE181" s="225"/>
      <c r="GYF181" s="225"/>
      <c r="GYG181" s="225"/>
      <c r="GYH181" s="225"/>
      <c r="GYI181" s="225"/>
      <c r="GYJ181" s="225"/>
      <c r="GYK181" s="225"/>
      <c r="GYL181" s="225"/>
      <c r="GYM181" s="225"/>
      <c r="GYN181" s="225"/>
      <c r="GYO181" s="225"/>
      <c r="GYP181" s="225"/>
      <c r="GYQ181" s="225"/>
      <c r="GYR181" s="225"/>
      <c r="GYS181" s="225"/>
      <c r="GYT181" s="225"/>
      <c r="GYU181" s="225"/>
      <c r="GYV181" s="225"/>
      <c r="GYW181" s="225"/>
      <c r="GYX181" s="225"/>
      <c r="GYY181" s="225"/>
      <c r="GYZ181" s="225"/>
      <c r="GZA181" s="225"/>
      <c r="GZB181" s="225"/>
      <c r="GZC181" s="225"/>
      <c r="GZD181" s="225"/>
      <c r="GZE181" s="225"/>
      <c r="GZF181" s="225"/>
      <c r="GZG181" s="225"/>
      <c r="GZH181" s="225"/>
      <c r="GZI181" s="225"/>
      <c r="GZJ181" s="225"/>
      <c r="GZK181" s="225"/>
      <c r="GZL181" s="225"/>
      <c r="GZM181" s="225"/>
      <c r="GZN181" s="225"/>
      <c r="GZO181" s="225"/>
      <c r="GZP181" s="225"/>
      <c r="GZQ181" s="225"/>
      <c r="GZR181" s="225"/>
      <c r="GZS181" s="225"/>
      <c r="GZT181" s="225"/>
      <c r="GZU181" s="225"/>
      <c r="GZV181" s="225"/>
      <c r="GZW181" s="225"/>
      <c r="GZX181" s="225"/>
      <c r="GZY181" s="225"/>
      <c r="GZZ181" s="225"/>
      <c r="HAA181" s="225"/>
      <c r="HAB181" s="225"/>
      <c r="HAC181" s="225"/>
      <c r="HAD181" s="225"/>
      <c r="HAE181" s="225"/>
      <c r="HAF181" s="225"/>
      <c r="HAG181" s="225"/>
      <c r="HAH181" s="225"/>
      <c r="HAI181" s="225"/>
      <c r="HAJ181" s="225"/>
      <c r="HAK181" s="225"/>
      <c r="HAL181" s="225"/>
      <c r="HAM181" s="225"/>
      <c r="HAN181" s="225"/>
      <c r="HAO181" s="225"/>
      <c r="HAP181" s="225"/>
      <c r="HAQ181" s="225"/>
      <c r="HAR181" s="225"/>
      <c r="HAS181" s="225"/>
      <c r="HAT181" s="225"/>
      <c r="HAU181" s="225"/>
      <c r="HAV181" s="225"/>
      <c r="HAW181" s="225"/>
      <c r="HAX181" s="225"/>
      <c r="HAY181" s="225"/>
      <c r="HAZ181" s="225"/>
      <c r="HBA181" s="225"/>
      <c r="HBB181" s="225"/>
      <c r="HBC181" s="225"/>
      <c r="HBD181" s="225"/>
      <c r="HBE181" s="225"/>
      <c r="HBF181" s="225"/>
      <c r="HBG181" s="225"/>
      <c r="HBH181" s="225"/>
      <c r="HBI181" s="225"/>
      <c r="HBJ181" s="225"/>
      <c r="HBK181" s="225"/>
      <c r="HBL181" s="225"/>
      <c r="HBM181" s="225"/>
      <c r="HBN181" s="225"/>
      <c r="HBO181" s="225"/>
      <c r="HBP181" s="225"/>
      <c r="HBQ181" s="225"/>
      <c r="HBR181" s="225"/>
      <c r="HBS181" s="225"/>
      <c r="HBT181" s="225"/>
      <c r="HBU181" s="225"/>
      <c r="HBV181" s="225"/>
      <c r="HBW181" s="225"/>
      <c r="HBX181" s="225"/>
      <c r="HBY181" s="225"/>
      <c r="HBZ181" s="225"/>
      <c r="HCA181" s="225"/>
      <c r="HCB181" s="225"/>
      <c r="HCC181" s="225"/>
      <c r="HCD181" s="225"/>
      <c r="HCE181" s="225"/>
      <c r="HCF181" s="225"/>
      <c r="HCG181" s="225"/>
      <c r="HCH181" s="225"/>
      <c r="HCI181" s="225"/>
      <c r="HCJ181" s="225"/>
      <c r="HCK181" s="225"/>
      <c r="HCL181" s="225"/>
      <c r="HCM181" s="225"/>
      <c r="HCN181" s="225"/>
      <c r="HCO181" s="225"/>
      <c r="HCP181" s="225"/>
      <c r="HCQ181" s="225"/>
      <c r="HCR181" s="225"/>
      <c r="HCS181" s="225"/>
      <c r="HCT181" s="225"/>
      <c r="HCU181" s="225"/>
      <c r="HCV181" s="225"/>
      <c r="HCW181" s="225"/>
      <c r="HCX181" s="225"/>
      <c r="HCY181" s="225"/>
      <c r="HCZ181" s="225"/>
      <c r="HDA181" s="225"/>
      <c r="HDB181" s="225"/>
      <c r="HDC181" s="225"/>
      <c r="HDD181" s="225"/>
      <c r="HDE181" s="225"/>
      <c r="HDF181" s="225"/>
      <c r="HDG181" s="225"/>
      <c r="HDH181" s="225"/>
      <c r="HDI181" s="225"/>
      <c r="HDJ181" s="225"/>
      <c r="HDK181" s="225"/>
      <c r="HDL181" s="225"/>
      <c r="HDM181" s="225"/>
      <c r="HDN181" s="225"/>
      <c r="HDO181" s="225"/>
      <c r="HDP181" s="225"/>
      <c r="HDQ181" s="225"/>
      <c r="HDR181" s="225"/>
      <c r="HDS181" s="225"/>
      <c r="HDT181" s="225"/>
      <c r="HDU181" s="225"/>
      <c r="HDV181" s="225"/>
      <c r="HDW181" s="225"/>
      <c r="HDX181" s="225"/>
      <c r="HDY181" s="225"/>
      <c r="HDZ181" s="225"/>
      <c r="HEA181" s="225"/>
      <c r="HEB181" s="225"/>
      <c r="HEC181" s="225"/>
      <c r="HED181" s="225"/>
      <c r="HEE181" s="225"/>
      <c r="HEF181" s="225"/>
      <c r="HEG181" s="225"/>
      <c r="HEH181" s="225"/>
      <c r="HEI181" s="225"/>
      <c r="HEJ181" s="225"/>
      <c r="HEK181" s="225"/>
      <c r="HEL181" s="225"/>
      <c r="HEM181" s="225"/>
      <c r="HEN181" s="225"/>
      <c r="HEO181" s="225"/>
      <c r="HEP181" s="225"/>
      <c r="HEQ181" s="225"/>
      <c r="HER181" s="225"/>
      <c r="HES181" s="225"/>
      <c r="HET181" s="225"/>
      <c r="HEU181" s="225"/>
      <c r="HEV181" s="225"/>
      <c r="HEW181" s="225"/>
      <c r="HEX181" s="225"/>
      <c r="HEY181" s="225"/>
      <c r="HEZ181" s="225"/>
      <c r="HFA181" s="225"/>
      <c r="HFB181" s="225"/>
      <c r="HFC181" s="225"/>
      <c r="HFD181" s="225"/>
      <c r="HFE181" s="225"/>
      <c r="HFF181" s="225"/>
      <c r="HFG181" s="225"/>
      <c r="HFH181" s="225"/>
      <c r="HFI181" s="225"/>
      <c r="HFJ181" s="225"/>
      <c r="HFK181" s="225"/>
      <c r="HFL181" s="225"/>
      <c r="HFM181" s="225"/>
      <c r="HFN181" s="225"/>
      <c r="HFO181" s="225"/>
      <c r="HFP181" s="225"/>
      <c r="HFQ181" s="225"/>
      <c r="HFR181" s="225"/>
      <c r="HFS181" s="225"/>
      <c r="HFT181" s="225"/>
      <c r="HFU181" s="225"/>
      <c r="HFV181" s="225"/>
      <c r="HFW181" s="225"/>
      <c r="HFX181" s="225"/>
      <c r="HFY181" s="225"/>
      <c r="HFZ181" s="225"/>
      <c r="HGA181" s="225"/>
      <c r="HGB181" s="225"/>
      <c r="HGC181" s="225"/>
      <c r="HGD181" s="225"/>
      <c r="HGE181" s="225"/>
      <c r="HGF181" s="225"/>
      <c r="HGG181" s="225"/>
      <c r="HGH181" s="225"/>
      <c r="HGI181" s="225"/>
      <c r="HGJ181" s="225"/>
      <c r="HGK181" s="225"/>
      <c r="HGL181" s="225"/>
      <c r="HGM181" s="225"/>
      <c r="HGN181" s="225"/>
      <c r="HGO181" s="225"/>
      <c r="HGP181" s="225"/>
      <c r="HGQ181" s="225"/>
      <c r="HGR181" s="225"/>
      <c r="HGS181" s="225"/>
      <c r="HGT181" s="225"/>
      <c r="HGU181" s="225"/>
      <c r="HGV181" s="225"/>
      <c r="HGW181" s="225"/>
      <c r="HGX181" s="225"/>
      <c r="HGY181" s="225"/>
      <c r="HGZ181" s="225"/>
      <c r="HHA181" s="225"/>
      <c r="HHB181" s="225"/>
      <c r="HHC181" s="225"/>
      <c r="HHD181" s="225"/>
      <c r="HHE181" s="225"/>
      <c r="HHF181" s="225"/>
      <c r="HHG181" s="225"/>
      <c r="HHH181" s="225"/>
      <c r="HHI181" s="225"/>
      <c r="HHJ181" s="225"/>
      <c r="HHK181" s="225"/>
      <c r="HHL181" s="225"/>
      <c r="HHM181" s="225"/>
      <c r="HHN181" s="225"/>
      <c r="HHO181" s="225"/>
      <c r="HHP181" s="225"/>
      <c r="HHQ181" s="225"/>
      <c r="HHR181" s="225"/>
      <c r="HHS181" s="225"/>
      <c r="HHT181" s="225"/>
      <c r="HHU181" s="225"/>
      <c r="HHV181" s="225"/>
      <c r="HHW181" s="225"/>
      <c r="HHX181" s="225"/>
      <c r="HHY181" s="225"/>
      <c r="HHZ181" s="225"/>
      <c r="HIA181" s="225"/>
      <c r="HIB181" s="225"/>
      <c r="HIC181" s="225"/>
      <c r="HID181" s="225"/>
      <c r="HIE181" s="225"/>
      <c r="HIF181" s="225"/>
      <c r="HIG181" s="225"/>
      <c r="HIH181" s="225"/>
      <c r="HII181" s="225"/>
      <c r="HIJ181" s="225"/>
      <c r="HIK181" s="225"/>
      <c r="HIL181" s="225"/>
      <c r="HIM181" s="225"/>
      <c r="HIN181" s="225"/>
      <c r="HIO181" s="225"/>
      <c r="HIP181" s="225"/>
      <c r="HIQ181" s="225"/>
      <c r="HIR181" s="225"/>
      <c r="HIS181" s="225"/>
      <c r="HIT181" s="225"/>
      <c r="HIU181" s="225"/>
      <c r="HIV181" s="225"/>
      <c r="HIW181" s="225"/>
      <c r="HIX181" s="225"/>
      <c r="HIY181" s="225"/>
      <c r="HIZ181" s="225"/>
      <c r="HJA181" s="225"/>
      <c r="HJB181" s="225"/>
      <c r="HJC181" s="225"/>
      <c r="HJD181" s="225"/>
      <c r="HJE181" s="225"/>
      <c r="HJF181" s="225"/>
      <c r="HJG181" s="225"/>
      <c r="HJH181" s="225"/>
      <c r="HJI181" s="225"/>
      <c r="HJJ181" s="225"/>
      <c r="HJK181" s="225"/>
      <c r="HJL181" s="225"/>
      <c r="HJM181" s="225"/>
      <c r="HJN181" s="225"/>
      <c r="HJO181" s="225"/>
      <c r="HJP181" s="225"/>
      <c r="HJQ181" s="225"/>
      <c r="HJR181" s="225"/>
      <c r="HJS181" s="225"/>
      <c r="HJT181" s="225"/>
      <c r="HJU181" s="225"/>
      <c r="HJV181" s="225"/>
      <c r="HJW181" s="225"/>
      <c r="HJX181" s="225"/>
      <c r="HJY181" s="225"/>
      <c r="HJZ181" s="225"/>
      <c r="HKA181" s="225"/>
      <c r="HKB181" s="225"/>
      <c r="HKC181" s="225"/>
      <c r="HKD181" s="225"/>
      <c r="HKE181" s="225"/>
      <c r="HKF181" s="225"/>
      <c r="HKG181" s="225"/>
      <c r="HKH181" s="225"/>
      <c r="HKI181" s="225"/>
      <c r="HKJ181" s="225"/>
      <c r="HKK181" s="225"/>
      <c r="HKL181" s="225"/>
      <c r="HKM181" s="225"/>
      <c r="HKN181" s="225"/>
      <c r="HKO181" s="225"/>
      <c r="HKP181" s="225"/>
      <c r="HKQ181" s="225"/>
      <c r="HKR181" s="225"/>
      <c r="HKS181" s="225"/>
      <c r="HKT181" s="225"/>
      <c r="HKU181" s="225"/>
      <c r="HKV181" s="225"/>
      <c r="HKW181" s="225"/>
      <c r="HKX181" s="225"/>
      <c r="HKY181" s="225"/>
      <c r="HKZ181" s="225"/>
      <c r="HLA181" s="225"/>
      <c r="HLB181" s="225"/>
      <c r="HLC181" s="225"/>
      <c r="HLD181" s="225"/>
      <c r="HLE181" s="225"/>
      <c r="HLF181" s="225"/>
      <c r="HLG181" s="225"/>
      <c r="HLH181" s="225"/>
      <c r="HLI181" s="225"/>
      <c r="HLJ181" s="225"/>
      <c r="HLK181" s="225"/>
      <c r="HLL181" s="225"/>
      <c r="HLM181" s="225"/>
      <c r="HLN181" s="225"/>
      <c r="HLO181" s="225"/>
      <c r="HLP181" s="225"/>
      <c r="HLQ181" s="225"/>
      <c r="HLR181" s="225"/>
      <c r="HLS181" s="225"/>
      <c r="HLT181" s="225"/>
      <c r="HLU181" s="225"/>
      <c r="HLV181" s="225"/>
      <c r="HLW181" s="225"/>
      <c r="HLX181" s="225"/>
      <c r="HLY181" s="225"/>
      <c r="HLZ181" s="225"/>
      <c r="HMA181" s="225"/>
      <c r="HMB181" s="225"/>
      <c r="HMC181" s="225"/>
      <c r="HMD181" s="225"/>
      <c r="HME181" s="225"/>
      <c r="HMF181" s="225"/>
      <c r="HMG181" s="225"/>
      <c r="HMH181" s="225"/>
      <c r="HMI181" s="225"/>
      <c r="HMJ181" s="225"/>
      <c r="HMK181" s="225"/>
      <c r="HML181" s="225"/>
      <c r="HMM181" s="225"/>
      <c r="HMN181" s="225"/>
      <c r="HMO181" s="225"/>
      <c r="HMP181" s="225"/>
      <c r="HMQ181" s="225"/>
      <c r="HMR181" s="225"/>
      <c r="HMS181" s="225"/>
      <c r="HMT181" s="225"/>
      <c r="HMU181" s="225"/>
      <c r="HMV181" s="225"/>
      <c r="HMW181" s="225"/>
      <c r="HMX181" s="225"/>
      <c r="HMY181" s="225"/>
      <c r="HMZ181" s="225"/>
      <c r="HNA181" s="225"/>
      <c r="HNB181" s="225"/>
      <c r="HNC181" s="225"/>
      <c r="HND181" s="225"/>
      <c r="HNE181" s="225"/>
      <c r="HNF181" s="225"/>
      <c r="HNG181" s="225"/>
      <c r="HNH181" s="225"/>
      <c r="HNI181" s="225"/>
      <c r="HNJ181" s="225"/>
      <c r="HNK181" s="225"/>
      <c r="HNL181" s="225"/>
      <c r="HNM181" s="225"/>
      <c r="HNN181" s="225"/>
      <c r="HNO181" s="225"/>
      <c r="HNP181" s="225"/>
      <c r="HNQ181" s="225"/>
      <c r="HNR181" s="225"/>
      <c r="HNS181" s="225"/>
      <c r="HNT181" s="225"/>
      <c r="HNU181" s="225"/>
      <c r="HNV181" s="225"/>
      <c r="HNW181" s="225"/>
      <c r="HNX181" s="225"/>
      <c r="HNY181" s="225"/>
      <c r="HNZ181" s="225"/>
      <c r="HOA181" s="225"/>
      <c r="HOB181" s="225"/>
      <c r="HOC181" s="225"/>
      <c r="HOD181" s="225"/>
      <c r="HOE181" s="225"/>
      <c r="HOF181" s="225"/>
      <c r="HOG181" s="225"/>
      <c r="HOH181" s="225"/>
      <c r="HOI181" s="225"/>
      <c r="HOJ181" s="225"/>
      <c r="HOK181" s="225"/>
      <c r="HOL181" s="225"/>
      <c r="HOM181" s="225"/>
      <c r="HON181" s="225"/>
      <c r="HOO181" s="225"/>
      <c r="HOP181" s="225"/>
      <c r="HOQ181" s="225"/>
      <c r="HOR181" s="225"/>
      <c r="HOS181" s="225"/>
      <c r="HOT181" s="225"/>
      <c r="HOU181" s="225"/>
      <c r="HOV181" s="225"/>
      <c r="HOW181" s="225"/>
      <c r="HOX181" s="225"/>
      <c r="HOY181" s="225"/>
      <c r="HOZ181" s="225"/>
      <c r="HPA181" s="225"/>
      <c r="HPB181" s="225"/>
      <c r="HPC181" s="225"/>
      <c r="HPD181" s="225"/>
      <c r="HPE181" s="225"/>
      <c r="HPF181" s="225"/>
      <c r="HPG181" s="225"/>
      <c r="HPH181" s="225"/>
      <c r="HPI181" s="225"/>
      <c r="HPJ181" s="225"/>
      <c r="HPK181" s="225"/>
      <c r="HPL181" s="225"/>
      <c r="HPM181" s="225"/>
      <c r="HPN181" s="225"/>
      <c r="HPO181" s="225"/>
      <c r="HPP181" s="225"/>
      <c r="HPQ181" s="225"/>
      <c r="HPR181" s="225"/>
      <c r="HPS181" s="225"/>
      <c r="HPT181" s="225"/>
      <c r="HPU181" s="225"/>
      <c r="HPV181" s="225"/>
      <c r="HPW181" s="225"/>
      <c r="HPX181" s="225"/>
      <c r="HPY181" s="225"/>
      <c r="HPZ181" s="225"/>
      <c r="HQA181" s="225"/>
      <c r="HQB181" s="225"/>
      <c r="HQC181" s="225"/>
      <c r="HQD181" s="225"/>
      <c r="HQE181" s="225"/>
      <c r="HQF181" s="225"/>
      <c r="HQG181" s="225"/>
      <c r="HQH181" s="225"/>
      <c r="HQI181" s="225"/>
      <c r="HQJ181" s="225"/>
      <c r="HQK181" s="225"/>
      <c r="HQL181" s="225"/>
      <c r="HQM181" s="225"/>
      <c r="HQN181" s="225"/>
      <c r="HQO181" s="225"/>
      <c r="HQP181" s="225"/>
      <c r="HQQ181" s="225"/>
      <c r="HQR181" s="225"/>
      <c r="HQS181" s="225"/>
      <c r="HQT181" s="225"/>
      <c r="HQU181" s="225"/>
      <c r="HQV181" s="225"/>
      <c r="HQW181" s="225"/>
      <c r="HQX181" s="225"/>
      <c r="HQY181" s="225"/>
      <c r="HQZ181" s="225"/>
      <c r="HRA181" s="225"/>
      <c r="HRB181" s="225"/>
      <c r="HRC181" s="225"/>
      <c r="HRD181" s="225"/>
      <c r="HRE181" s="225"/>
      <c r="HRF181" s="225"/>
      <c r="HRG181" s="225"/>
      <c r="HRH181" s="225"/>
      <c r="HRI181" s="225"/>
      <c r="HRJ181" s="225"/>
      <c r="HRK181" s="225"/>
      <c r="HRL181" s="225"/>
      <c r="HRM181" s="225"/>
      <c r="HRN181" s="225"/>
      <c r="HRO181" s="225"/>
      <c r="HRP181" s="225"/>
      <c r="HRQ181" s="225"/>
      <c r="HRR181" s="225"/>
      <c r="HRS181" s="225"/>
      <c r="HRT181" s="225"/>
      <c r="HRU181" s="225"/>
      <c r="HRV181" s="225"/>
      <c r="HRW181" s="225"/>
      <c r="HRX181" s="225"/>
      <c r="HRY181" s="225"/>
      <c r="HRZ181" s="225"/>
      <c r="HSA181" s="225"/>
      <c r="HSB181" s="225"/>
      <c r="HSC181" s="225"/>
      <c r="HSD181" s="225"/>
      <c r="HSE181" s="225"/>
      <c r="HSF181" s="225"/>
      <c r="HSG181" s="225"/>
      <c r="HSH181" s="225"/>
      <c r="HSI181" s="225"/>
      <c r="HSJ181" s="225"/>
      <c r="HSK181" s="225"/>
      <c r="HSL181" s="225"/>
      <c r="HSM181" s="225"/>
      <c r="HSN181" s="225"/>
      <c r="HSO181" s="225"/>
      <c r="HSP181" s="225"/>
      <c r="HSQ181" s="225"/>
      <c r="HSR181" s="225"/>
      <c r="HSS181" s="225"/>
      <c r="HST181" s="225"/>
      <c r="HSU181" s="225"/>
      <c r="HSV181" s="225"/>
      <c r="HSW181" s="225"/>
      <c r="HSX181" s="225"/>
      <c r="HSY181" s="225"/>
      <c r="HSZ181" s="225"/>
      <c r="HTA181" s="225"/>
      <c r="HTB181" s="225"/>
      <c r="HTC181" s="225"/>
      <c r="HTD181" s="225"/>
      <c r="HTE181" s="225"/>
      <c r="HTF181" s="225"/>
      <c r="HTG181" s="225"/>
      <c r="HTH181" s="225"/>
      <c r="HTI181" s="225"/>
      <c r="HTJ181" s="225"/>
      <c r="HTK181" s="225"/>
      <c r="HTL181" s="225"/>
      <c r="HTM181" s="225"/>
      <c r="HTN181" s="225"/>
      <c r="HTO181" s="225"/>
      <c r="HTP181" s="225"/>
      <c r="HTQ181" s="225"/>
      <c r="HTR181" s="225"/>
      <c r="HTS181" s="225"/>
      <c r="HTT181" s="225"/>
      <c r="HTU181" s="225"/>
      <c r="HTV181" s="225"/>
      <c r="HTW181" s="225"/>
      <c r="HTX181" s="225"/>
      <c r="HTY181" s="225"/>
      <c r="HTZ181" s="225"/>
      <c r="HUA181" s="225"/>
      <c r="HUB181" s="225"/>
      <c r="HUC181" s="225"/>
      <c r="HUD181" s="225"/>
      <c r="HUE181" s="225"/>
      <c r="HUF181" s="225"/>
      <c r="HUG181" s="225"/>
      <c r="HUH181" s="225"/>
      <c r="HUI181" s="225"/>
      <c r="HUJ181" s="225"/>
      <c r="HUK181" s="225"/>
      <c r="HUL181" s="225"/>
      <c r="HUM181" s="225"/>
      <c r="HUN181" s="225"/>
      <c r="HUO181" s="225"/>
      <c r="HUP181" s="225"/>
      <c r="HUQ181" s="225"/>
      <c r="HUR181" s="225"/>
      <c r="HUS181" s="225"/>
      <c r="HUT181" s="225"/>
      <c r="HUU181" s="225"/>
      <c r="HUV181" s="225"/>
      <c r="HUW181" s="225"/>
      <c r="HUX181" s="225"/>
      <c r="HUY181" s="225"/>
      <c r="HUZ181" s="225"/>
      <c r="HVA181" s="225"/>
      <c r="HVB181" s="225"/>
      <c r="HVC181" s="225"/>
      <c r="HVD181" s="225"/>
      <c r="HVE181" s="225"/>
      <c r="HVF181" s="225"/>
      <c r="HVG181" s="225"/>
      <c r="HVH181" s="225"/>
      <c r="HVI181" s="225"/>
      <c r="HVJ181" s="225"/>
      <c r="HVK181" s="225"/>
      <c r="HVL181" s="225"/>
      <c r="HVM181" s="225"/>
      <c r="HVN181" s="225"/>
      <c r="HVO181" s="225"/>
      <c r="HVP181" s="225"/>
      <c r="HVQ181" s="225"/>
      <c r="HVR181" s="225"/>
      <c r="HVS181" s="225"/>
      <c r="HVT181" s="225"/>
      <c r="HVU181" s="225"/>
      <c r="HVV181" s="225"/>
      <c r="HVW181" s="225"/>
      <c r="HVX181" s="225"/>
      <c r="HVY181" s="225"/>
      <c r="HVZ181" s="225"/>
      <c r="HWA181" s="225"/>
      <c r="HWB181" s="225"/>
      <c r="HWC181" s="225"/>
      <c r="HWD181" s="225"/>
      <c r="HWE181" s="225"/>
      <c r="HWF181" s="225"/>
      <c r="HWG181" s="225"/>
      <c r="HWH181" s="225"/>
      <c r="HWI181" s="225"/>
      <c r="HWJ181" s="225"/>
      <c r="HWK181" s="225"/>
      <c r="HWL181" s="225"/>
      <c r="HWM181" s="225"/>
      <c r="HWN181" s="225"/>
      <c r="HWO181" s="225"/>
      <c r="HWP181" s="225"/>
      <c r="HWQ181" s="225"/>
      <c r="HWR181" s="225"/>
      <c r="HWS181" s="225"/>
      <c r="HWT181" s="225"/>
      <c r="HWU181" s="225"/>
      <c r="HWV181" s="225"/>
      <c r="HWW181" s="225"/>
      <c r="HWX181" s="225"/>
      <c r="HWY181" s="225"/>
      <c r="HWZ181" s="225"/>
      <c r="HXA181" s="225"/>
      <c r="HXB181" s="225"/>
      <c r="HXC181" s="225"/>
      <c r="HXD181" s="225"/>
      <c r="HXE181" s="225"/>
      <c r="HXF181" s="225"/>
      <c r="HXG181" s="225"/>
      <c r="HXH181" s="225"/>
      <c r="HXI181" s="225"/>
      <c r="HXJ181" s="225"/>
      <c r="HXK181" s="225"/>
      <c r="HXL181" s="225"/>
      <c r="HXM181" s="225"/>
      <c r="HXN181" s="225"/>
      <c r="HXO181" s="225"/>
      <c r="HXP181" s="225"/>
      <c r="HXQ181" s="225"/>
      <c r="HXR181" s="225"/>
      <c r="HXS181" s="225"/>
      <c r="HXT181" s="225"/>
      <c r="HXU181" s="225"/>
      <c r="HXV181" s="225"/>
      <c r="HXW181" s="225"/>
      <c r="HXX181" s="225"/>
      <c r="HXY181" s="225"/>
      <c r="HXZ181" s="225"/>
      <c r="HYA181" s="225"/>
      <c r="HYB181" s="225"/>
      <c r="HYC181" s="225"/>
      <c r="HYD181" s="225"/>
      <c r="HYE181" s="225"/>
      <c r="HYF181" s="225"/>
      <c r="HYG181" s="225"/>
      <c r="HYH181" s="225"/>
      <c r="HYI181" s="225"/>
      <c r="HYJ181" s="225"/>
      <c r="HYK181" s="225"/>
      <c r="HYL181" s="225"/>
      <c r="HYM181" s="225"/>
      <c r="HYN181" s="225"/>
      <c r="HYO181" s="225"/>
      <c r="HYP181" s="225"/>
      <c r="HYQ181" s="225"/>
      <c r="HYR181" s="225"/>
      <c r="HYS181" s="225"/>
      <c r="HYT181" s="225"/>
      <c r="HYU181" s="225"/>
      <c r="HYV181" s="225"/>
      <c r="HYW181" s="225"/>
      <c r="HYX181" s="225"/>
      <c r="HYY181" s="225"/>
      <c r="HYZ181" s="225"/>
      <c r="HZA181" s="225"/>
      <c r="HZB181" s="225"/>
      <c r="HZC181" s="225"/>
      <c r="HZD181" s="225"/>
      <c r="HZE181" s="225"/>
      <c r="HZF181" s="225"/>
      <c r="HZG181" s="225"/>
      <c r="HZH181" s="225"/>
      <c r="HZI181" s="225"/>
      <c r="HZJ181" s="225"/>
      <c r="HZK181" s="225"/>
      <c r="HZL181" s="225"/>
      <c r="HZM181" s="225"/>
      <c r="HZN181" s="225"/>
      <c r="HZO181" s="225"/>
      <c r="HZP181" s="225"/>
      <c r="HZQ181" s="225"/>
      <c r="HZR181" s="225"/>
      <c r="HZS181" s="225"/>
      <c r="HZT181" s="225"/>
      <c r="HZU181" s="225"/>
      <c r="HZV181" s="225"/>
      <c r="HZW181" s="225"/>
      <c r="HZX181" s="225"/>
      <c r="HZY181" s="225"/>
      <c r="HZZ181" s="225"/>
      <c r="IAA181" s="225"/>
      <c r="IAB181" s="225"/>
      <c r="IAC181" s="225"/>
      <c r="IAD181" s="225"/>
      <c r="IAE181" s="225"/>
      <c r="IAF181" s="225"/>
      <c r="IAG181" s="225"/>
      <c r="IAH181" s="225"/>
      <c r="IAI181" s="225"/>
      <c r="IAJ181" s="225"/>
      <c r="IAK181" s="225"/>
      <c r="IAL181" s="225"/>
      <c r="IAM181" s="225"/>
      <c r="IAN181" s="225"/>
      <c r="IAO181" s="225"/>
      <c r="IAP181" s="225"/>
      <c r="IAQ181" s="225"/>
      <c r="IAR181" s="225"/>
      <c r="IAS181" s="225"/>
      <c r="IAT181" s="225"/>
      <c r="IAU181" s="225"/>
      <c r="IAV181" s="225"/>
      <c r="IAW181" s="225"/>
      <c r="IAX181" s="225"/>
      <c r="IAY181" s="225"/>
      <c r="IAZ181" s="225"/>
      <c r="IBA181" s="225"/>
      <c r="IBB181" s="225"/>
      <c r="IBC181" s="225"/>
      <c r="IBD181" s="225"/>
      <c r="IBE181" s="225"/>
      <c r="IBF181" s="225"/>
      <c r="IBG181" s="225"/>
      <c r="IBH181" s="225"/>
      <c r="IBI181" s="225"/>
      <c r="IBJ181" s="225"/>
      <c r="IBK181" s="225"/>
      <c r="IBL181" s="225"/>
      <c r="IBM181" s="225"/>
      <c r="IBN181" s="225"/>
      <c r="IBO181" s="225"/>
      <c r="IBP181" s="225"/>
      <c r="IBQ181" s="225"/>
      <c r="IBR181" s="225"/>
      <c r="IBS181" s="225"/>
      <c r="IBT181" s="225"/>
      <c r="IBU181" s="225"/>
      <c r="IBV181" s="225"/>
      <c r="IBW181" s="225"/>
      <c r="IBX181" s="225"/>
      <c r="IBY181" s="225"/>
      <c r="IBZ181" s="225"/>
      <c r="ICA181" s="225"/>
      <c r="ICB181" s="225"/>
      <c r="ICC181" s="225"/>
      <c r="ICD181" s="225"/>
      <c r="ICE181" s="225"/>
      <c r="ICF181" s="225"/>
      <c r="ICG181" s="225"/>
      <c r="ICH181" s="225"/>
      <c r="ICI181" s="225"/>
      <c r="ICJ181" s="225"/>
      <c r="ICK181" s="225"/>
      <c r="ICL181" s="225"/>
      <c r="ICM181" s="225"/>
      <c r="ICN181" s="225"/>
      <c r="ICO181" s="225"/>
      <c r="ICP181" s="225"/>
      <c r="ICQ181" s="225"/>
      <c r="ICR181" s="225"/>
      <c r="ICS181" s="225"/>
      <c r="ICT181" s="225"/>
      <c r="ICU181" s="225"/>
      <c r="ICV181" s="225"/>
      <c r="ICW181" s="225"/>
      <c r="ICX181" s="225"/>
      <c r="ICY181" s="225"/>
      <c r="ICZ181" s="225"/>
      <c r="IDA181" s="225"/>
      <c r="IDB181" s="225"/>
      <c r="IDC181" s="225"/>
      <c r="IDD181" s="225"/>
      <c r="IDE181" s="225"/>
      <c r="IDF181" s="225"/>
      <c r="IDG181" s="225"/>
      <c r="IDH181" s="225"/>
      <c r="IDI181" s="225"/>
      <c r="IDJ181" s="225"/>
      <c r="IDK181" s="225"/>
      <c r="IDL181" s="225"/>
      <c r="IDM181" s="225"/>
      <c r="IDN181" s="225"/>
      <c r="IDO181" s="225"/>
      <c r="IDP181" s="225"/>
      <c r="IDQ181" s="225"/>
      <c r="IDR181" s="225"/>
      <c r="IDS181" s="225"/>
      <c r="IDT181" s="225"/>
      <c r="IDU181" s="225"/>
      <c r="IDV181" s="225"/>
      <c r="IDW181" s="225"/>
      <c r="IDX181" s="225"/>
      <c r="IDY181" s="225"/>
      <c r="IDZ181" s="225"/>
      <c r="IEA181" s="225"/>
      <c r="IEB181" s="225"/>
      <c r="IEC181" s="225"/>
      <c r="IED181" s="225"/>
      <c r="IEE181" s="225"/>
      <c r="IEF181" s="225"/>
      <c r="IEG181" s="225"/>
      <c r="IEH181" s="225"/>
      <c r="IEI181" s="225"/>
      <c r="IEJ181" s="225"/>
      <c r="IEK181" s="225"/>
      <c r="IEL181" s="225"/>
      <c r="IEM181" s="225"/>
      <c r="IEN181" s="225"/>
      <c r="IEO181" s="225"/>
      <c r="IEP181" s="225"/>
      <c r="IEQ181" s="225"/>
      <c r="IER181" s="225"/>
      <c r="IES181" s="225"/>
      <c r="IET181" s="225"/>
      <c r="IEU181" s="225"/>
      <c r="IEV181" s="225"/>
      <c r="IEW181" s="225"/>
      <c r="IEX181" s="225"/>
      <c r="IEY181" s="225"/>
      <c r="IEZ181" s="225"/>
      <c r="IFA181" s="225"/>
      <c r="IFB181" s="225"/>
      <c r="IFC181" s="225"/>
      <c r="IFD181" s="225"/>
      <c r="IFE181" s="225"/>
      <c r="IFF181" s="225"/>
      <c r="IFG181" s="225"/>
      <c r="IFH181" s="225"/>
      <c r="IFI181" s="225"/>
      <c r="IFJ181" s="225"/>
      <c r="IFK181" s="225"/>
      <c r="IFL181" s="225"/>
      <c r="IFM181" s="225"/>
      <c r="IFN181" s="225"/>
      <c r="IFO181" s="225"/>
      <c r="IFP181" s="225"/>
      <c r="IFQ181" s="225"/>
      <c r="IFR181" s="225"/>
      <c r="IFS181" s="225"/>
      <c r="IFT181" s="225"/>
      <c r="IFU181" s="225"/>
      <c r="IFV181" s="225"/>
      <c r="IFW181" s="225"/>
      <c r="IFX181" s="225"/>
      <c r="IFY181" s="225"/>
      <c r="IFZ181" s="225"/>
      <c r="IGA181" s="225"/>
      <c r="IGB181" s="225"/>
      <c r="IGC181" s="225"/>
      <c r="IGD181" s="225"/>
      <c r="IGE181" s="225"/>
      <c r="IGF181" s="225"/>
      <c r="IGG181" s="225"/>
      <c r="IGH181" s="225"/>
      <c r="IGI181" s="225"/>
      <c r="IGJ181" s="225"/>
      <c r="IGK181" s="225"/>
      <c r="IGL181" s="225"/>
      <c r="IGM181" s="225"/>
      <c r="IGN181" s="225"/>
      <c r="IGO181" s="225"/>
      <c r="IGP181" s="225"/>
      <c r="IGQ181" s="225"/>
      <c r="IGR181" s="225"/>
      <c r="IGS181" s="225"/>
      <c r="IGT181" s="225"/>
      <c r="IGU181" s="225"/>
      <c r="IGV181" s="225"/>
      <c r="IGW181" s="225"/>
      <c r="IGX181" s="225"/>
      <c r="IGY181" s="225"/>
      <c r="IGZ181" s="225"/>
      <c r="IHA181" s="225"/>
      <c r="IHB181" s="225"/>
      <c r="IHC181" s="225"/>
      <c r="IHD181" s="225"/>
      <c r="IHE181" s="225"/>
      <c r="IHF181" s="225"/>
      <c r="IHG181" s="225"/>
      <c r="IHH181" s="225"/>
      <c r="IHI181" s="225"/>
      <c r="IHJ181" s="225"/>
      <c r="IHK181" s="225"/>
      <c r="IHL181" s="225"/>
      <c r="IHM181" s="225"/>
      <c r="IHN181" s="225"/>
      <c r="IHO181" s="225"/>
      <c r="IHP181" s="225"/>
      <c r="IHQ181" s="225"/>
      <c r="IHR181" s="225"/>
      <c r="IHS181" s="225"/>
      <c r="IHT181" s="225"/>
      <c r="IHU181" s="225"/>
      <c r="IHV181" s="225"/>
      <c r="IHW181" s="225"/>
      <c r="IHX181" s="225"/>
      <c r="IHY181" s="225"/>
      <c r="IHZ181" s="225"/>
      <c r="IIA181" s="225"/>
      <c r="IIB181" s="225"/>
      <c r="IIC181" s="225"/>
      <c r="IID181" s="225"/>
      <c r="IIE181" s="225"/>
      <c r="IIF181" s="225"/>
      <c r="IIG181" s="225"/>
      <c r="IIH181" s="225"/>
      <c r="III181" s="225"/>
      <c r="IIJ181" s="225"/>
      <c r="IIK181" s="225"/>
      <c r="IIL181" s="225"/>
      <c r="IIM181" s="225"/>
      <c r="IIN181" s="225"/>
      <c r="IIO181" s="225"/>
      <c r="IIP181" s="225"/>
      <c r="IIQ181" s="225"/>
      <c r="IIR181" s="225"/>
      <c r="IIS181" s="225"/>
      <c r="IIT181" s="225"/>
      <c r="IIU181" s="225"/>
      <c r="IIV181" s="225"/>
      <c r="IIW181" s="225"/>
      <c r="IIX181" s="225"/>
      <c r="IIY181" s="225"/>
      <c r="IIZ181" s="225"/>
      <c r="IJA181" s="225"/>
      <c r="IJB181" s="225"/>
      <c r="IJC181" s="225"/>
      <c r="IJD181" s="225"/>
      <c r="IJE181" s="225"/>
      <c r="IJF181" s="225"/>
      <c r="IJG181" s="225"/>
      <c r="IJH181" s="225"/>
      <c r="IJI181" s="225"/>
      <c r="IJJ181" s="225"/>
      <c r="IJK181" s="225"/>
      <c r="IJL181" s="225"/>
      <c r="IJM181" s="225"/>
      <c r="IJN181" s="225"/>
      <c r="IJO181" s="225"/>
      <c r="IJP181" s="225"/>
      <c r="IJQ181" s="225"/>
      <c r="IJR181" s="225"/>
      <c r="IJS181" s="225"/>
      <c r="IJT181" s="225"/>
      <c r="IJU181" s="225"/>
      <c r="IJV181" s="225"/>
      <c r="IJW181" s="225"/>
      <c r="IJX181" s="225"/>
      <c r="IJY181" s="225"/>
      <c r="IJZ181" s="225"/>
      <c r="IKA181" s="225"/>
      <c r="IKB181" s="225"/>
      <c r="IKC181" s="225"/>
      <c r="IKD181" s="225"/>
      <c r="IKE181" s="225"/>
      <c r="IKF181" s="225"/>
      <c r="IKG181" s="225"/>
      <c r="IKH181" s="225"/>
      <c r="IKI181" s="225"/>
      <c r="IKJ181" s="225"/>
      <c r="IKK181" s="225"/>
      <c r="IKL181" s="225"/>
      <c r="IKM181" s="225"/>
      <c r="IKN181" s="225"/>
      <c r="IKO181" s="225"/>
      <c r="IKP181" s="225"/>
      <c r="IKQ181" s="225"/>
      <c r="IKR181" s="225"/>
      <c r="IKS181" s="225"/>
      <c r="IKT181" s="225"/>
      <c r="IKU181" s="225"/>
      <c r="IKV181" s="225"/>
      <c r="IKW181" s="225"/>
      <c r="IKX181" s="225"/>
      <c r="IKY181" s="225"/>
      <c r="IKZ181" s="225"/>
      <c r="ILA181" s="225"/>
      <c r="ILB181" s="225"/>
      <c r="ILC181" s="225"/>
      <c r="ILD181" s="225"/>
      <c r="ILE181" s="225"/>
      <c r="ILF181" s="225"/>
      <c r="ILG181" s="225"/>
      <c r="ILH181" s="225"/>
      <c r="ILI181" s="225"/>
      <c r="ILJ181" s="225"/>
      <c r="ILK181" s="225"/>
      <c r="ILL181" s="225"/>
      <c r="ILM181" s="225"/>
      <c r="ILN181" s="225"/>
      <c r="ILO181" s="225"/>
      <c r="ILP181" s="225"/>
      <c r="ILQ181" s="225"/>
      <c r="ILR181" s="225"/>
      <c r="ILS181" s="225"/>
      <c r="ILT181" s="225"/>
      <c r="ILU181" s="225"/>
      <c r="ILV181" s="225"/>
      <c r="ILW181" s="225"/>
      <c r="ILX181" s="225"/>
      <c r="ILY181" s="225"/>
      <c r="ILZ181" s="225"/>
      <c r="IMA181" s="225"/>
      <c r="IMB181" s="225"/>
      <c r="IMC181" s="225"/>
      <c r="IMD181" s="225"/>
      <c r="IME181" s="225"/>
      <c r="IMF181" s="225"/>
      <c r="IMG181" s="225"/>
      <c r="IMH181" s="225"/>
      <c r="IMI181" s="225"/>
      <c r="IMJ181" s="225"/>
      <c r="IMK181" s="225"/>
      <c r="IML181" s="225"/>
      <c r="IMM181" s="225"/>
      <c r="IMN181" s="225"/>
      <c r="IMO181" s="225"/>
      <c r="IMP181" s="225"/>
      <c r="IMQ181" s="225"/>
      <c r="IMR181" s="225"/>
      <c r="IMS181" s="225"/>
      <c r="IMT181" s="225"/>
      <c r="IMU181" s="225"/>
      <c r="IMV181" s="225"/>
      <c r="IMW181" s="225"/>
      <c r="IMX181" s="225"/>
      <c r="IMY181" s="225"/>
      <c r="IMZ181" s="225"/>
      <c r="INA181" s="225"/>
      <c r="INB181" s="225"/>
      <c r="INC181" s="225"/>
      <c r="IND181" s="225"/>
      <c r="INE181" s="225"/>
      <c r="INF181" s="225"/>
      <c r="ING181" s="225"/>
      <c r="INH181" s="225"/>
      <c r="INI181" s="225"/>
      <c r="INJ181" s="225"/>
      <c r="INK181" s="225"/>
      <c r="INL181" s="225"/>
      <c r="INM181" s="225"/>
      <c r="INN181" s="225"/>
      <c r="INO181" s="225"/>
      <c r="INP181" s="225"/>
      <c r="INQ181" s="225"/>
      <c r="INR181" s="225"/>
      <c r="INS181" s="225"/>
      <c r="INT181" s="225"/>
      <c r="INU181" s="225"/>
      <c r="INV181" s="225"/>
      <c r="INW181" s="225"/>
      <c r="INX181" s="225"/>
      <c r="INY181" s="225"/>
      <c r="INZ181" s="225"/>
      <c r="IOA181" s="225"/>
      <c r="IOB181" s="225"/>
      <c r="IOC181" s="225"/>
      <c r="IOD181" s="225"/>
      <c r="IOE181" s="225"/>
      <c r="IOF181" s="225"/>
      <c r="IOG181" s="225"/>
      <c r="IOH181" s="225"/>
      <c r="IOI181" s="225"/>
      <c r="IOJ181" s="225"/>
      <c r="IOK181" s="225"/>
      <c r="IOL181" s="225"/>
      <c r="IOM181" s="225"/>
      <c r="ION181" s="225"/>
      <c r="IOO181" s="225"/>
      <c r="IOP181" s="225"/>
      <c r="IOQ181" s="225"/>
      <c r="IOR181" s="225"/>
      <c r="IOS181" s="225"/>
      <c r="IOT181" s="225"/>
      <c r="IOU181" s="225"/>
      <c r="IOV181" s="225"/>
      <c r="IOW181" s="225"/>
      <c r="IOX181" s="225"/>
      <c r="IOY181" s="225"/>
      <c r="IOZ181" s="225"/>
      <c r="IPA181" s="225"/>
      <c r="IPB181" s="225"/>
      <c r="IPC181" s="225"/>
      <c r="IPD181" s="225"/>
      <c r="IPE181" s="225"/>
      <c r="IPF181" s="225"/>
      <c r="IPG181" s="225"/>
      <c r="IPH181" s="225"/>
      <c r="IPI181" s="225"/>
      <c r="IPJ181" s="225"/>
      <c r="IPK181" s="225"/>
      <c r="IPL181" s="225"/>
      <c r="IPM181" s="225"/>
      <c r="IPN181" s="225"/>
      <c r="IPO181" s="225"/>
      <c r="IPP181" s="225"/>
      <c r="IPQ181" s="225"/>
      <c r="IPR181" s="225"/>
      <c r="IPS181" s="225"/>
      <c r="IPT181" s="225"/>
      <c r="IPU181" s="225"/>
      <c r="IPV181" s="225"/>
      <c r="IPW181" s="225"/>
      <c r="IPX181" s="225"/>
      <c r="IPY181" s="225"/>
      <c r="IPZ181" s="225"/>
      <c r="IQA181" s="225"/>
      <c r="IQB181" s="225"/>
      <c r="IQC181" s="225"/>
      <c r="IQD181" s="225"/>
      <c r="IQE181" s="225"/>
      <c r="IQF181" s="225"/>
      <c r="IQG181" s="225"/>
      <c r="IQH181" s="225"/>
      <c r="IQI181" s="225"/>
      <c r="IQJ181" s="225"/>
      <c r="IQK181" s="225"/>
      <c r="IQL181" s="225"/>
      <c r="IQM181" s="225"/>
      <c r="IQN181" s="225"/>
      <c r="IQO181" s="225"/>
      <c r="IQP181" s="225"/>
      <c r="IQQ181" s="225"/>
      <c r="IQR181" s="225"/>
      <c r="IQS181" s="225"/>
      <c r="IQT181" s="225"/>
      <c r="IQU181" s="225"/>
      <c r="IQV181" s="225"/>
      <c r="IQW181" s="225"/>
      <c r="IQX181" s="225"/>
      <c r="IQY181" s="225"/>
      <c r="IQZ181" s="225"/>
      <c r="IRA181" s="225"/>
      <c r="IRB181" s="225"/>
      <c r="IRC181" s="225"/>
      <c r="IRD181" s="225"/>
      <c r="IRE181" s="225"/>
      <c r="IRF181" s="225"/>
      <c r="IRG181" s="225"/>
      <c r="IRH181" s="225"/>
      <c r="IRI181" s="225"/>
      <c r="IRJ181" s="225"/>
      <c r="IRK181" s="225"/>
      <c r="IRL181" s="225"/>
      <c r="IRM181" s="225"/>
      <c r="IRN181" s="225"/>
      <c r="IRO181" s="225"/>
      <c r="IRP181" s="225"/>
      <c r="IRQ181" s="225"/>
      <c r="IRR181" s="225"/>
      <c r="IRS181" s="225"/>
      <c r="IRT181" s="225"/>
      <c r="IRU181" s="225"/>
      <c r="IRV181" s="225"/>
      <c r="IRW181" s="225"/>
      <c r="IRX181" s="225"/>
      <c r="IRY181" s="225"/>
      <c r="IRZ181" s="225"/>
      <c r="ISA181" s="225"/>
      <c r="ISB181" s="225"/>
      <c r="ISC181" s="225"/>
      <c r="ISD181" s="225"/>
      <c r="ISE181" s="225"/>
      <c r="ISF181" s="225"/>
      <c r="ISG181" s="225"/>
      <c r="ISH181" s="225"/>
      <c r="ISI181" s="225"/>
      <c r="ISJ181" s="225"/>
      <c r="ISK181" s="225"/>
      <c r="ISL181" s="225"/>
      <c r="ISM181" s="225"/>
      <c r="ISN181" s="225"/>
      <c r="ISO181" s="225"/>
      <c r="ISP181" s="225"/>
      <c r="ISQ181" s="225"/>
      <c r="ISR181" s="225"/>
      <c r="ISS181" s="225"/>
      <c r="IST181" s="225"/>
      <c r="ISU181" s="225"/>
      <c r="ISV181" s="225"/>
      <c r="ISW181" s="225"/>
      <c r="ISX181" s="225"/>
      <c r="ISY181" s="225"/>
      <c r="ISZ181" s="225"/>
      <c r="ITA181" s="225"/>
      <c r="ITB181" s="225"/>
      <c r="ITC181" s="225"/>
      <c r="ITD181" s="225"/>
      <c r="ITE181" s="225"/>
      <c r="ITF181" s="225"/>
      <c r="ITG181" s="225"/>
      <c r="ITH181" s="225"/>
      <c r="ITI181" s="225"/>
      <c r="ITJ181" s="225"/>
      <c r="ITK181" s="225"/>
      <c r="ITL181" s="225"/>
      <c r="ITM181" s="225"/>
      <c r="ITN181" s="225"/>
      <c r="ITO181" s="225"/>
      <c r="ITP181" s="225"/>
      <c r="ITQ181" s="225"/>
      <c r="ITR181" s="225"/>
      <c r="ITS181" s="225"/>
      <c r="ITT181" s="225"/>
      <c r="ITU181" s="225"/>
      <c r="ITV181" s="225"/>
      <c r="ITW181" s="225"/>
      <c r="ITX181" s="225"/>
      <c r="ITY181" s="225"/>
      <c r="ITZ181" s="225"/>
      <c r="IUA181" s="225"/>
      <c r="IUB181" s="225"/>
      <c r="IUC181" s="225"/>
      <c r="IUD181" s="225"/>
      <c r="IUE181" s="225"/>
      <c r="IUF181" s="225"/>
      <c r="IUG181" s="225"/>
      <c r="IUH181" s="225"/>
      <c r="IUI181" s="225"/>
      <c r="IUJ181" s="225"/>
      <c r="IUK181" s="225"/>
      <c r="IUL181" s="225"/>
      <c r="IUM181" s="225"/>
      <c r="IUN181" s="225"/>
      <c r="IUO181" s="225"/>
      <c r="IUP181" s="225"/>
      <c r="IUQ181" s="225"/>
      <c r="IUR181" s="225"/>
      <c r="IUS181" s="225"/>
      <c r="IUT181" s="225"/>
      <c r="IUU181" s="225"/>
      <c r="IUV181" s="225"/>
      <c r="IUW181" s="225"/>
      <c r="IUX181" s="225"/>
      <c r="IUY181" s="225"/>
      <c r="IUZ181" s="225"/>
      <c r="IVA181" s="225"/>
      <c r="IVB181" s="225"/>
      <c r="IVC181" s="225"/>
      <c r="IVD181" s="225"/>
      <c r="IVE181" s="225"/>
      <c r="IVF181" s="225"/>
      <c r="IVG181" s="225"/>
      <c r="IVH181" s="225"/>
      <c r="IVI181" s="225"/>
      <c r="IVJ181" s="225"/>
      <c r="IVK181" s="225"/>
      <c r="IVL181" s="225"/>
      <c r="IVM181" s="225"/>
      <c r="IVN181" s="225"/>
      <c r="IVO181" s="225"/>
      <c r="IVP181" s="225"/>
      <c r="IVQ181" s="225"/>
      <c r="IVR181" s="225"/>
      <c r="IVS181" s="225"/>
      <c r="IVT181" s="225"/>
      <c r="IVU181" s="225"/>
      <c r="IVV181" s="225"/>
      <c r="IVW181" s="225"/>
      <c r="IVX181" s="225"/>
      <c r="IVY181" s="225"/>
      <c r="IVZ181" s="225"/>
      <c r="IWA181" s="225"/>
      <c r="IWB181" s="225"/>
      <c r="IWC181" s="225"/>
      <c r="IWD181" s="225"/>
      <c r="IWE181" s="225"/>
      <c r="IWF181" s="225"/>
      <c r="IWG181" s="225"/>
      <c r="IWH181" s="225"/>
      <c r="IWI181" s="225"/>
      <c r="IWJ181" s="225"/>
      <c r="IWK181" s="225"/>
      <c r="IWL181" s="225"/>
      <c r="IWM181" s="225"/>
      <c r="IWN181" s="225"/>
      <c r="IWO181" s="225"/>
      <c r="IWP181" s="225"/>
      <c r="IWQ181" s="225"/>
      <c r="IWR181" s="225"/>
      <c r="IWS181" s="225"/>
      <c r="IWT181" s="225"/>
      <c r="IWU181" s="225"/>
      <c r="IWV181" s="225"/>
      <c r="IWW181" s="225"/>
      <c r="IWX181" s="225"/>
      <c r="IWY181" s="225"/>
      <c r="IWZ181" s="225"/>
      <c r="IXA181" s="225"/>
      <c r="IXB181" s="225"/>
      <c r="IXC181" s="225"/>
      <c r="IXD181" s="225"/>
      <c r="IXE181" s="225"/>
      <c r="IXF181" s="225"/>
      <c r="IXG181" s="225"/>
      <c r="IXH181" s="225"/>
      <c r="IXI181" s="225"/>
      <c r="IXJ181" s="225"/>
      <c r="IXK181" s="225"/>
      <c r="IXL181" s="225"/>
      <c r="IXM181" s="225"/>
      <c r="IXN181" s="225"/>
      <c r="IXO181" s="225"/>
      <c r="IXP181" s="225"/>
      <c r="IXQ181" s="225"/>
      <c r="IXR181" s="225"/>
      <c r="IXS181" s="225"/>
      <c r="IXT181" s="225"/>
      <c r="IXU181" s="225"/>
      <c r="IXV181" s="225"/>
      <c r="IXW181" s="225"/>
      <c r="IXX181" s="225"/>
      <c r="IXY181" s="225"/>
      <c r="IXZ181" s="225"/>
      <c r="IYA181" s="225"/>
      <c r="IYB181" s="225"/>
      <c r="IYC181" s="225"/>
      <c r="IYD181" s="225"/>
      <c r="IYE181" s="225"/>
      <c r="IYF181" s="225"/>
      <c r="IYG181" s="225"/>
      <c r="IYH181" s="225"/>
      <c r="IYI181" s="225"/>
      <c r="IYJ181" s="225"/>
      <c r="IYK181" s="225"/>
      <c r="IYL181" s="225"/>
      <c r="IYM181" s="225"/>
      <c r="IYN181" s="225"/>
      <c r="IYO181" s="225"/>
      <c r="IYP181" s="225"/>
      <c r="IYQ181" s="225"/>
      <c r="IYR181" s="225"/>
      <c r="IYS181" s="225"/>
      <c r="IYT181" s="225"/>
      <c r="IYU181" s="225"/>
      <c r="IYV181" s="225"/>
      <c r="IYW181" s="225"/>
      <c r="IYX181" s="225"/>
      <c r="IYY181" s="225"/>
      <c r="IYZ181" s="225"/>
      <c r="IZA181" s="225"/>
      <c r="IZB181" s="225"/>
      <c r="IZC181" s="225"/>
      <c r="IZD181" s="225"/>
      <c r="IZE181" s="225"/>
      <c r="IZF181" s="225"/>
      <c r="IZG181" s="225"/>
      <c r="IZH181" s="225"/>
      <c r="IZI181" s="225"/>
      <c r="IZJ181" s="225"/>
      <c r="IZK181" s="225"/>
      <c r="IZL181" s="225"/>
      <c r="IZM181" s="225"/>
      <c r="IZN181" s="225"/>
      <c r="IZO181" s="225"/>
      <c r="IZP181" s="225"/>
      <c r="IZQ181" s="225"/>
      <c r="IZR181" s="225"/>
      <c r="IZS181" s="225"/>
      <c r="IZT181" s="225"/>
      <c r="IZU181" s="225"/>
      <c r="IZV181" s="225"/>
      <c r="IZW181" s="225"/>
      <c r="IZX181" s="225"/>
      <c r="IZY181" s="225"/>
      <c r="IZZ181" s="225"/>
      <c r="JAA181" s="225"/>
      <c r="JAB181" s="225"/>
      <c r="JAC181" s="225"/>
      <c r="JAD181" s="225"/>
      <c r="JAE181" s="225"/>
      <c r="JAF181" s="225"/>
      <c r="JAG181" s="225"/>
      <c r="JAH181" s="225"/>
      <c r="JAI181" s="225"/>
      <c r="JAJ181" s="225"/>
      <c r="JAK181" s="225"/>
      <c r="JAL181" s="225"/>
      <c r="JAM181" s="225"/>
      <c r="JAN181" s="225"/>
      <c r="JAO181" s="225"/>
      <c r="JAP181" s="225"/>
      <c r="JAQ181" s="225"/>
      <c r="JAR181" s="225"/>
      <c r="JAS181" s="225"/>
      <c r="JAT181" s="225"/>
      <c r="JAU181" s="225"/>
      <c r="JAV181" s="225"/>
      <c r="JAW181" s="225"/>
      <c r="JAX181" s="225"/>
      <c r="JAY181" s="225"/>
      <c r="JAZ181" s="225"/>
      <c r="JBA181" s="225"/>
      <c r="JBB181" s="225"/>
      <c r="JBC181" s="225"/>
      <c r="JBD181" s="225"/>
      <c r="JBE181" s="225"/>
      <c r="JBF181" s="225"/>
      <c r="JBG181" s="225"/>
      <c r="JBH181" s="225"/>
      <c r="JBI181" s="225"/>
      <c r="JBJ181" s="225"/>
      <c r="JBK181" s="225"/>
      <c r="JBL181" s="225"/>
      <c r="JBM181" s="225"/>
      <c r="JBN181" s="225"/>
      <c r="JBO181" s="225"/>
      <c r="JBP181" s="225"/>
      <c r="JBQ181" s="225"/>
      <c r="JBR181" s="225"/>
      <c r="JBS181" s="225"/>
      <c r="JBT181" s="225"/>
      <c r="JBU181" s="225"/>
      <c r="JBV181" s="225"/>
      <c r="JBW181" s="225"/>
      <c r="JBX181" s="225"/>
      <c r="JBY181" s="225"/>
      <c r="JBZ181" s="225"/>
      <c r="JCA181" s="225"/>
      <c r="JCB181" s="225"/>
      <c r="JCC181" s="225"/>
      <c r="JCD181" s="225"/>
      <c r="JCE181" s="225"/>
      <c r="JCF181" s="225"/>
      <c r="JCG181" s="225"/>
      <c r="JCH181" s="225"/>
      <c r="JCI181" s="225"/>
      <c r="JCJ181" s="225"/>
      <c r="JCK181" s="225"/>
      <c r="JCL181" s="225"/>
      <c r="JCM181" s="225"/>
      <c r="JCN181" s="225"/>
      <c r="JCO181" s="225"/>
      <c r="JCP181" s="225"/>
      <c r="JCQ181" s="225"/>
      <c r="JCR181" s="225"/>
      <c r="JCS181" s="225"/>
      <c r="JCT181" s="225"/>
      <c r="JCU181" s="225"/>
      <c r="JCV181" s="225"/>
      <c r="JCW181" s="225"/>
      <c r="JCX181" s="225"/>
      <c r="JCY181" s="225"/>
      <c r="JCZ181" s="225"/>
      <c r="JDA181" s="225"/>
      <c r="JDB181" s="225"/>
      <c r="JDC181" s="225"/>
      <c r="JDD181" s="225"/>
      <c r="JDE181" s="225"/>
      <c r="JDF181" s="225"/>
      <c r="JDG181" s="225"/>
      <c r="JDH181" s="225"/>
      <c r="JDI181" s="225"/>
      <c r="JDJ181" s="225"/>
      <c r="JDK181" s="225"/>
      <c r="JDL181" s="225"/>
      <c r="JDM181" s="225"/>
      <c r="JDN181" s="225"/>
      <c r="JDO181" s="225"/>
      <c r="JDP181" s="225"/>
      <c r="JDQ181" s="225"/>
      <c r="JDR181" s="225"/>
      <c r="JDS181" s="225"/>
      <c r="JDT181" s="225"/>
      <c r="JDU181" s="225"/>
      <c r="JDV181" s="225"/>
      <c r="JDW181" s="225"/>
      <c r="JDX181" s="225"/>
      <c r="JDY181" s="225"/>
      <c r="JDZ181" s="225"/>
      <c r="JEA181" s="225"/>
      <c r="JEB181" s="225"/>
      <c r="JEC181" s="225"/>
      <c r="JED181" s="225"/>
      <c r="JEE181" s="225"/>
      <c r="JEF181" s="225"/>
      <c r="JEG181" s="225"/>
      <c r="JEH181" s="225"/>
      <c r="JEI181" s="225"/>
      <c r="JEJ181" s="225"/>
      <c r="JEK181" s="225"/>
      <c r="JEL181" s="225"/>
      <c r="JEM181" s="225"/>
      <c r="JEN181" s="225"/>
      <c r="JEO181" s="225"/>
      <c r="JEP181" s="225"/>
      <c r="JEQ181" s="225"/>
      <c r="JER181" s="225"/>
      <c r="JES181" s="225"/>
      <c r="JET181" s="225"/>
      <c r="JEU181" s="225"/>
      <c r="JEV181" s="225"/>
      <c r="JEW181" s="225"/>
      <c r="JEX181" s="225"/>
      <c r="JEY181" s="225"/>
      <c r="JEZ181" s="225"/>
      <c r="JFA181" s="225"/>
      <c r="JFB181" s="225"/>
      <c r="JFC181" s="225"/>
      <c r="JFD181" s="225"/>
      <c r="JFE181" s="225"/>
      <c r="JFF181" s="225"/>
      <c r="JFG181" s="225"/>
      <c r="JFH181" s="225"/>
      <c r="JFI181" s="225"/>
      <c r="JFJ181" s="225"/>
      <c r="JFK181" s="225"/>
      <c r="JFL181" s="225"/>
      <c r="JFM181" s="225"/>
      <c r="JFN181" s="225"/>
      <c r="JFO181" s="225"/>
      <c r="JFP181" s="225"/>
      <c r="JFQ181" s="225"/>
      <c r="JFR181" s="225"/>
      <c r="JFS181" s="225"/>
      <c r="JFT181" s="225"/>
      <c r="JFU181" s="225"/>
      <c r="JFV181" s="225"/>
      <c r="JFW181" s="225"/>
      <c r="JFX181" s="225"/>
      <c r="JFY181" s="225"/>
      <c r="JFZ181" s="225"/>
      <c r="JGA181" s="225"/>
      <c r="JGB181" s="225"/>
      <c r="JGC181" s="225"/>
      <c r="JGD181" s="225"/>
      <c r="JGE181" s="225"/>
      <c r="JGF181" s="225"/>
      <c r="JGG181" s="225"/>
      <c r="JGH181" s="225"/>
      <c r="JGI181" s="225"/>
      <c r="JGJ181" s="225"/>
      <c r="JGK181" s="225"/>
      <c r="JGL181" s="225"/>
      <c r="JGM181" s="225"/>
      <c r="JGN181" s="225"/>
      <c r="JGO181" s="225"/>
      <c r="JGP181" s="225"/>
      <c r="JGQ181" s="225"/>
      <c r="JGR181" s="225"/>
      <c r="JGS181" s="225"/>
      <c r="JGT181" s="225"/>
      <c r="JGU181" s="225"/>
      <c r="JGV181" s="225"/>
      <c r="JGW181" s="225"/>
      <c r="JGX181" s="225"/>
      <c r="JGY181" s="225"/>
      <c r="JGZ181" s="225"/>
      <c r="JHA181" s="225"/>
      <c r="JHB181" s="225"/>
      <c r="JHC181" s="225"/>
      <c r="JHD181" s="225"/>
      <c r="JHE181" s="225"/>
      <c r="JHF181" s="225"/>
      <c r="JHG181" s="225"/>
      <c r="JHH181" s="225"/>
      <c r="JHI181" s="225"/>
      <c r="JHJ181" s="225"/>
      <c r="JHK181" s="225"/>
      <c r="JHL181" s="225"/>
      <c r="JHM181" s="225"/>
      <c r="JHN181" s="225"/>
      <c r="JHO181" s="225"/>
      <c r="JHP181" s="225"/>
      <c r="JHQ181" s="225"/>
      <c r="JHR181" s="225"/>
      <c r="JHS181" s="225"/>
      <c r="JHT181" s="225"/>
      <c r="JHU181" s="225"/>
      <c r="JHV181" s="225"/>
      <c r="JHW181" s="225"/>
      <c r="JHX181" s="225"/>
      <c r="JHY181" s="225"/>
      <c r="JHZ181" s="225"/>
      <c r="JIA181" s="225"/>
      <c r="JIB181" s="225"/>
      <c r="JIC181" s="225"/>
      <c r="JID181" s="225"/>
      <c r="JIE181" s="225"/>
      <c r="JIF181" s="225"/>
      <c r="JIG181" s="225"/>
      <c r="JIH181" s="225"/>
      <c r="JII181" s="225"/>
      <c r="JIJ181" s="225"/>
      <c r="JIK181" s="225"/>
      <c r="JIL181" s="225"/>
      <c r="JIM181" s="225"/>
      <c r="JIN181" s="225"/>
      <c r="JIO181" s="225"/>
      <c r="JIP181" s="225"/>
      <c r="JIQ181" s="225"/>
      <c r="JIR181" s="225"/>
      <c r="JIS181" s="225"/>
      <c r="JIT181" s="225"/>
      <c r="JIU181" s="225"/>
      <c r="JIV181" s="225"/>
      <c r="JIW181" s="225"/>
      <c r="JIX181" s="225"/>
      <c r="JIY181" s="225"/>
      <c r="JIZ181" s="225"/>
      <c r="JJA181" s="225"/>
      <c r="JJB181" s="225"/>
      <c r="JJC181" s="225"/>
      <c r="JJD181" s="225"/>
      <c r="JJE181" s="225"/>
      <c r="JJF181" s="225"/>
      <c r="JJG181" s="225"/>
      <c r="JJH181" s="225"/>
      <c r="JJI181" s="225"/>
      <c r="JJJ181" s="225"/>
      <c r="JJK181" s="225"/>
      <c r="JJL181" s="225"/>
      <c r="JJM181" s="225"/>
      <c r="JJN181" s="225"/>
      <c r="JJO181" s="225"/>
      <c r="JJP181" s="225"/>
      <c r="JJQ181" s="225"/>
      <c r="JJR181" s="225"/>
      <c r="JJS181" s="225"/>
      <c r="JJT181" s="225"/>
      <c r="JJU181" s="225"/>
      <c r="JJV181" s="225"/>
      <c r="JJW181" s="225"/>
      <c r="JJX181" s="225"/>
      <c r="JJY181" s="225"/>
      <c r="JJZ181" s="225"/>
      <c r="JKA181" s="225"/>
      <c r="JKB181" s="225"/>
      <c r="JKC181" s="225"/>
      <c r="JKD181" s="225"/>
      <c r="JKE181" s="225"/>
      <c r="JKF181" s="225"/>
      <c r="JKG181" s="225"/>
      <c r="JKH181" s="225"/>
      <c r="JKI181" s="225"/>
      <c r="JKJ181" s="225"/>
      <c r="JKK181" s="225"/>
      <c r="JKL181" s="225"/>
      <c r="JKM181" s="225"/>
      <c r="JKN181" s="225"/>
      <c r="JKO181" s="225"/>
      <c r="JKP181" s="225"/>
      <c r="JKQ181" s="225"/>
      <c r="JKR181" s="225"/>
      <c r="JKS181" s="225"/>
      <c r="JKT181" s="225"/>
      <c r="JKU181" s="225"/>
      <c r="JKV181" s="225"/>
      <c r="JKW181" s="225"/>
      <c r="JKX181" s="225"/>
      <c r="JKY181" s="225"/>
      <c r="JKZ181" s="225"/>
      <c r="JLA181" s="225"/>
      <c r="JLB181" s="225"/>
      <c r="JLC181" s="225"/>
      <c r="JLD181" s="225"/>
      <c r="JLE181" s="225"/>
      <c r="JLF181" s="225"/>
      <c r="JLG181" s="225"/>
      <c r="JLH181" s="225"/>
      <c r="JLI181" s="225"/>
      <c r="JLJ181" s="225"/>
      <c r="JLK181" s="225"/>
      <c r="JLL181" s="225"/>
      <c r="JLM181" s="225"/>
      <c r="JLN181" s="225"/>
      <c r="JLO181" s="225"/>
      <c r="JLP181" s="225"/>
      <c r="JLQ181" s="225"/>
      <c r="JLR181" s="225"/>
      <c r="JLS181" s="225"/>
      <c r="JLT181" s="225"/>
      <c r="JLU181" s="225"/>
      <c r="JLV181" s="225"/>
      <c r="JLW181" s="225"/>
      <c r="JLX181" s="225"/>
      <c r="JLY181" s="225"/>
      <c r="JLZ181" s="225"/>
      <c r="JMA181" s="225"/>
      <c r="JMB181" s="225"/>
      <c r="JMC181" s="225"/>
      <c r="JMD181" s="225"/>
      <c r="JME181" s="225"/>
      <c r="JMF181" s="225"/>
      <c r="JMG181" s="225"/>
      <c r="JMH181" s="225"/>
      <c r="JMI181" s="225"/>
      <c r="JMJ181" s="225"/>
      <c r="JMK181" s="225"/>
      <c r="JML181" s="225"/>
      <c r="JMM181" s="225"/>
      <c r="JMN181" s="225"/>
      <c r="JMO181" s="225"/>
      <c r="JMP181" s="225"/>
      <c r="JMQ181" s="225"/>
      <c r="JMR181" s="225"/>
      <c r="JMS181" s="225"/>
      <c r="JMT181" s="225"/>
      <c r="JMU181" s="225"/>
      <c r="JMV181" s="225"/>
      <c r="JMW181" s="225"/>
      <c r="JMX181" s="225"/>
      <c r="JMY181" s="225"/>
      <c r="JMZ181" s="225"/>
      <c r="JNA181" s="225"/>
      <c r="JNB181" s="225"/>
      <c r="JNC181" s="225"/>
      <c r="JND181" s="225"/>
      <c r="JNE181" s="225"/>
      <c r="JNF181" s="225"/>
      <c r="JNG181" s="225"/>
      <c r="JNH181" s="225"/>
      <c r="JNI181" s="225"/>
      <c r="JNJ181" s="225"/>
      <c r="JNK181" s="225"/>
      <c r="JNL181" s="225"/>
      <c r="JNM181" s="225"/>
      <c r="JNN181" s="225"/>
      <c r="JNO181" s="225"/>
      <c r="JNP181" s="225"/>
      <c r="JNQ181" s="225"/>
      <c r="JNR181" s="225"/>
      <c r="JNS181" s="225"/>
      <c r="JNT181" s="225"/>
      <c r="JNU181" s="225"/>
      <c r="JNV181" s="225"/>
      <c r="JNW181" s="225"/>
      <c r="JNX181" s="225"/>
      <c r="JNY181" s="225"/>
      <c r="JNZ181" s="225"/>
      <c r="JOA181" s="225"/>
      <c r="JOB181" s="225"/>
      <c r="JOC181" s="225"/>
      <c r="JOD181" s="225"/>
      <c r="JOE181" s="225"/>
      <c r="JOF181" s="225"/>
      <c r="JOG181" s="225"/>
      <c r="JOH181" s="225"/>
      <c r="JOI181" s="225"/>
      <c r="JOJ181" s="225"/>
      <c r="JOK181" s="225"/>
      <c r="JOL181" s="225"/>
      <c r="JOM181" s="225"/>
      <c r="JON181" s="225"/>
      <c r="JOO181" s="225"/>
      <c r="JOP181" s="225"/>
      <c r="JOQ181" s="225"/>
      <c r="JOR181" s="225"/>
      <c r="JOS181" s="225"/>
      <c r="JOT181" s="225"/>
      <c r="JOU181" s="225"/>
      <c r="JOV181" s="225"/>
      <c r="JOW181" s="225"/>
      <c r="JOX181" s="225"/>
      <c r="JOY181" s="225"/>
      <c r="JOZ181" s="225"/>
      <c r="JPA181" s="225"/>
      <c r="JPB181" s="225"/>
      <c r="JPC181" s="225"/>
      <c r="JPD181" s="225"/>
      <c r="JPE181" s="225"/>
      <c r="JPF181" s="225"/>
      <c r="JPG181" s="225"/>
      <c r="JPH181" s="225"/>
      <c r="JPI181" s="225"/>
      <c r="JPJ181" s="225"/>
      <c r="JPK181" s="225"/>
      <c r="JPL181" s="225"/>
      <c r="JPM181" s="225"/>
      <c r="JPN181" s="225"/>
      <c r="JPO181" s="225"/>
      <c r="JPP181" s="225"/>
      <c r="JPQ181" s="225"/>
      <c r="JPR181" s="225"/>
      <c r="JPS181" s="225"/>
      <c r="JPT181" s="225"/>
      <c r="JPU181" s="225"/>
      <c r="JPV181" s="225"/>
      <c r="JPW181" s="225"/>
      <c r="JPX181" s="225"/>
      <c r="JPY181" s="225"/>
      <c r="JPZ181" s="225"/>
      <c r="JQA181" s="225"/>
      <c r="JQB181" s="225"/>
      <c r="JQC181" s="225"/>
      <c r="JQD181" s="225"/>
      <c r="JQE181" s="225"/>
      <c r="JQF181" s="225"/>
      <c r="JQG181" s="225"/>
      <c r="JQH181" s="225"/>
      <c r="JQI181" s="225"/>
      <c r="JQJ181" s="225"/>
      <c r="JQK181" s="225"/>
      <c r="JQL181" s="225"/>
      <c r="JQM181" s="225"/>
      <c r="JQN181" s="225"/>
      <c r="JQO181" s="225"/>
      <c r="JQP181" s="225"/>
      <c r="JQQ181" s="225"/>
      <c r="JQR181" s="225"/>
      <c r="JQS181" s="225"/>
      <c r="JQT181" s="225"/>
      <c r="JQU181" s="225"/>
      <c r="JQV181" s="225"/>
      <c r="JQW181" s="225"/>
      <c r="JQX181" s="225"/>
      <c r="JQY181" s="225"/>
      <c r="JQZ181" s="225"/>
      <c r="JRA181" s="225"/>
      <c r="JRB181" s="225"/>
      <c r="JRC181" s="225"/>
      <c r="JRD181" s="225"/>
      <c r="JRE181" s="225"/>
      <c r="JRF181" s="225"/>
      <c r="JRG181" s="225"/>
      <c r="JRH181" s="225"/>
      <c r="JRI181" s="225"/>
      <c r="JRJ181" s="225"/>
      <c r="JRK181" s="225"/>
      <c r="JRL181" s="225"/>
      <c r="JRM181" s="225"/>
      <c r="JRN181" s="225"/>
      <c r="JRO181" s="225"/>
      <c r="JRP181" s="225"/>
      <c r="JRQ181" s="225"/>
      <c r="JRR181" s="225"/>
      <c r="JRS181" s="225"/>
      <c r="JRT181" s="225"/>
      <c r="JRU181" s="225"/>
      <c r="JRV181" s="225"/>
      <c r="JRW181" s="225"/>
      <c r="JRX181" s="225"/>
      <c r="JRY181" s="225"/>
      <c r="JRZ181" s="225"/>
      <c r="JSA181" s="225"/>
      <c r="JSB181" s="225"/>
      <c r="JSC181" s="225"/>
      <c r="JSD181" s="225"/>
      <c r="JSE181" s="225"/>
      <c r="JSF181" s="225"/>
      <c r="JSG181" s="225"/>
      <c r="JSH181" s="225"/>
      <c r="JSI181" s="225"/>
      <c r="JSJ181" s="225"/>
      <c r="JSK181" s="225"/>
      <c r="JSL181" s="225"/>
      <c r="JSM181" s="225"/>
      <c r="JSN181" s="225"/>
      <c r="JSO181" s="225"/>
      <c r="JSP181" s="225"/>
      <c r="JSQ181" s="225"/>
      <c r="JSR181" s="225"/>
      <c r="JSS181" s="225"/>
      <c r="JST181" s="225"/>
      <c r="JSU181" s="225"/>
      <c r="JSV181" s="225"/>
      <c r="JSW181" s="225"/>
      <c r="JSX181" s="225"/>
      <c r="JSY181" s="225"/>
      <c r="JSZ181" s="225"/>
      <c r="JTA181" s="225"/>
      <c r="JTB181" s="225"/>
      <c r="JTC181" s="225"/>
      <c r="JTD181" s="225"/>
      <c r="JTE181" s="225"/>
      <c r="JTF181" s="225"/>
      <c r="JTG181" s="225"/>
      <c r="JTH181" s="225"/>
      <c r="JTI181" s="225"/>
      <c r="JTJ181" s="225"/>
      <c r="JTK181" s="225"/>
      <c r="JTL181" s="225"/>
      <c r="JTM181" s="225"/>
      <c r="JTN181" s="225"/>
      <c r="JTO181" s="225"/>
      <c r="JTP181" s="225"/>
      <c r="JTQ181" s="225"/>
      <c r="JTR181" s="225"/>
      <c r="JTS181" s="225"/>
      <c r="JTT181" s="225"/>
      <c r="JTU181" s="225"/>
      <c r="JTV181" s="225"/>
      <c r="JTW181" s="225"/>
      <c r="JTX181" s="225"/>
      <c r="JTY181" s="225"/>
      <c r="JTZ181" s="225"/>
      <c r="JUA181" s="225"/>
      <c r="JUB181" s="225"/>
      <c r="JUC181" s="225"/>
      <c r="JUD181" s="225"/>
      <c r="JUE181" s="225"/>
      <c r="JUF181" s="225"/>
      <c r="JUG181" s="225"/>
      <c r="JUH181" s="225"/>
      <c r="JUI181" s="225"/>
      <c r="JUJ181" s="225"/>
      <c r="JUK181" s="225"/>
      <c r="JUL181" s="225"/>
      <c r="JUM181" s="225"/>
      <c r="JUN181" s="225"/>
      <c r="JUO181" s="225"/>
      <c r="JUP181" s="225"/>
      <c r="JUQ181" s="225"/>
      <c r="JUR181" s="225"/>
      <c r="JUS181" s="225"/>
      <c r="JUT181" s="225"/>
      <c r="JUU181" s="225"/>
      <c r="JUV181" s="225"/>
      <c r="JUW181" s="225"/>
      <c r="JUX181" s="225"/>
      <c r="JUY181" s="225"/>
      <c r="JUZ181" s="225"/>
      <c r="JVA181" s="225"/>
      <c r="JVB181" s="225"/>
      <c r="JVC181" s="225"/>
      <c r="JVD181" s="225"/>
      <c r="JVE181" s="225"/>
      <c r="JVF181" s="225"/>
      <c r="JVG181" s="225"/>
      <c r="JVH181" s="225"/>
      <c r="JVI181" s="225"/>
      <c r="JVJ181" s="225"/>
      <c r="JVK181" s="225"/>
      <c r="JVL181" s="225"/>
      <c r="JVM181" s="225"/>
      <c r="JVN181" s="225"/>
      <c r="JVO181" s="225"/>
      <c r="JVP181" s="225"/>
      <c r="JVQ181" s="225"/>
      <c r="JVR181" s="225"/>
      <c r="JVS181" s="225"/>
      <c r="JVT181" s="225"/>
      <c r="JVU181" s="225"/>
      <c r="JVV181" s="225"/>
      <c r="JVW181" s="225"/>
      <c r="JVX181" s="225"/>
      <c r="JVY181" s="225"/>
      <c r="JVZ181" s="225"/>
      <c r="JWA181" s="225"/>
      <c r="JWB181" s="225"/>
      <c r="JWC181" s="225"/>
      <c r="JWD181" s="225"/>
      <c r="JWE181" s="225"/>
      <c r="JWF181" s="225"/>
      <c r="JWG181" s="225"/>
      <c r="JWH181" s="225"/>
      <c r="JWI181" s="225"/>
      <c r="JWJ181" s="225"/>
      <c r="JWK181" s="225"/>
      <c r="JWL181" s="225"/>
      <c r="JWM181" s="225"/>
      <c r="JWN181" s="225"/>
      <c r="JWO181" s="225"/>
      <c r="JWP181" s="225"/>
      <c r="JWQ181" s="225"/>
      <c r="JWR181" s="225"/>
      <c r="JWS181" s="225"/>
      <c r="JWT181" s="225"/>
      <c r="JWU181" s="225"/>
      <c r="JWV181" s="225"/>
      <c r="JWW181" s="225"/>
      <c r="JWX181" s="225"/>
      <c r="JWY181" s="225"/>
      <c r="JWZ181" s="225"/>
      <c r="JXA181" s="225"/>
      <c r="JXB181" s="225"/>
      <c r="JXC181" s="225"/>
      <c r="JXD181" s="225"/>
      <c r="JXE181" s="225"/>
      <c r="JXF181" s="225"/>
      <c r="JXG181" s="225"/>
      <c r="JXH181" s="225"/>
      <c r="JXI181" s="225"/>
      <c r="JXJ181" s="225"/>
      <c r="JXK181" s="225"/>
      <c r="JXL181" s="225"/>
      <c r="JXM181" s="225"/>
      <c r="JXN181" s="225"/>
      <c r="JXO181" s="225"/>
      <c r="JXP181" s="225"/>
      <c r="JXQ181" s="225"/>
      <c r="JXR181" s="225"/>
      <c r="JXS181" s="225"/>
      <c r="JXT181" s="225"/>
      <c r="JXU181" s="225"/>
      <c r="JXV181" s="225"/>
      <c r="JXW181" s="225"/>
      <c r="JXX181" s="225"/>
      <c r="JXY181" s="225"/>
      <c r="JXZ181" s="225"/>
      <c r="JYA181" s="225"/>
      <c r="JYB181" s="225"/>
      <c r="JYC181" s="225"/>
      <c r="JYD181" s="225"/>
      <c r="JYE181" s="225"/>
      <c r="JYF181" s="225"/>
      <c r="JYG181" s="225"/>
      <c r="JYH181" s="225"/>
      <c r="JYI181" s="225"/>
      <c r="JYJ181" s="225"/>
      <c r="JYK181" s="225"/>
      <c r="JYL181" s="225"/>
      <c r="JYM181" s="225"/>
      <c r="JYN181" s="225"/>
      <c r="JYO181" s="225"/>
      <c r="JYP181" s="225"/>
      <c r="JYQ181" s="225"/>
      <c r="JYR181" s="225"/>
      <c r="JYS181" s="225"/>
      <c r="JYT181" s="225"/>
      <c r="JYU181" s="225"/>
      <c r="JYV181" s="225"/>
      <c r="JYW181" s="225"/>
      <c r="JYX181" s="225"/>
      <c r="JYY181" s="225"/>
      <c r="JYZ181" s="225"/>
      <c r="JZA181" s="225"/>
      <c r="JZB181" s="225"/>
      <c r="JZC181" s="225"/>
      <c r="JZD181" s="225"/>
      <c r="JZE181" s="225"/>
      <c r="JZF181" s="225"/>
      <c r="JZG181" s="225"/>
      <c r="JZH181" s="225"/>
      <c r="JZI181" s="225"/>
      <c r="JZJ181" s="225"/>
      <c r="JZK181" s="225"/>
      <c r="JZL181" s="225"/>
      <c r="JZM181" s="225"/>
      <c r="JZN181" s="225"/>
      <c r="JZO181" s="225"/>
      <c r="JZP181" s="225"/>
      <c r="JZQ181" s="225"/>
      <c r="JZR181" s="225"/>
      <c r="JZS181" s="225"/>
      <c r="JZT181" s="225"/>
      <c r="JZU181" s="225"/>
      <c r="JZV181" s="225"/>
      <c r="JZW181" s="225"/>
      <c r="JZX181" s="225"/>
      <c r="JZY181" s="225"/>
      <c r="JZZ181" s="225"/>
      <c r="KAA181" s="225"/>
      <c r="KAB181" s="225"/>
      <c r="KAC181" s="225"/>
      <c r="KAD181" s="225"/>
      <c r="KAE181" s="225"/>
      <c r="KAF181" s="225"/>
      <c r="KAG181" s="225"/>
      <c r="KAH181" s="225"/>
      <c r="KAI181" s="225"/>
      <c r="KAJ181" s="225"/>
      <c r="KAK181" s="225"/>
      <c r="KAL181" s="225"/>
      <c r="KAM181" s="225"/>
      <c r="KAN181" s="225"/>
      <c r="KAO181" s="225"/>
      <c r="KAP181" s="225"/>
      <c r="KAQ181" s="225"/>
      <c r="KAR181" s="225"/>
      <c r="KAS181" s="225"/>
      <c r="KAT181" s="225"/>
      <c r="KAU181" s="225"/>
      <c r="KAV181" s="225"/>
      <c r="KAW181" s="225"/>
      <c r="KAX181" s="225"/>
      <c r="KAY181" s="225"/>
      <c r="KAZ181" s="225"/>
      <c r="KBA181" s="225"/>
      <c r="KBB181" s="225"/>
      <c r="KBC181" s="225"/>
      <c r="KBD181" s="225"/>
      <c r="KBE181" s="225"/>
      <c r="KBF181" s="225"/>
      <c r="KBG181" s="225"/>
      <c r="KBH181" s="225"/>
      <c r="KBI181" s="225"/>
      <c r="KBJ181" s="225"/>
      <c r="KBK181" s="225"/>
      <c r="KBL181" s="225"/>
      <c r="KBM181" s="225"/>
      <c r="KBN181" s="225"/>
      <c r="KBO181" s="225"/>
      <c r="KBP181" s="225"/>
      <c r="KBQ181" s="225"/>
      <c r="KBR181" s="225"/>
      <c r="KBS181" s="225"/>
      <c r="KBT181" s="225"/>
      <c r="KBU181" s="225"/>
      <c r="KBV181" s="225"/>
      <c r="KBW181" s="225"/>
      <c r="KBX181" s="225"/>
      <c r="KBY181" s="225"/>
      <c r="KBZ181" s="225"/>
      <c r="KCA181" s="225"/>
      <c r="KCB181" s="225"/>
      <c r="KCC181" s="225"/>
      <c r="KCD181" s="225"/>
      <c r="KCE181" s="225"/>
      <c r="KCF181" s="225"/>
      <c r="KCG181" s="225"/>
      <c r="KCH181" s="225"/>
      <c r="KCI181" s="225"/>
      <c r="KCJ181" s="225"/>
      <c r="KCK181" s="225"/>
      <c r="KCL181" s="225"/>
      <c r="KCM181" s="225"/>
      <c r="KCN181" s="225"/>
      <c r="KCO181" s="225"/>
      <c r="KCP181" s="225"/>
      <c r="KCQ181" s="225"/>
      <c r="KCR181" s="225"/>
      <c r="KCS181" s="225"/>
      <c r="KCT181" s="225"/>
      <c r="KCU181" s="225"/>
      <c r="KCV181" s="225"/>
      <c r="KCW181" s="225"/>
      <c r="KCX181" s="225"/>
      <c r="KCY181" s="225"/>
      <c r="KCZ181" s="225"/>
      <c r="KDA181" s="225"/>
      <c r="KDB181" s="225"/>
      <c r="KDC181" s="225"/>
      <c r="KDD181" s="225"/>
      <c r="KDE181" s="225"/>
      <c r="KDF181" s="225"/>
      <c r="KDG181" s="225"/>
      <c r="KDH181" s="225"/>
      <c r="KDI181" s="225"/>
      <c r="KDJ181" s="225"/>
      <c r="KDK181" s="225"/>
      <c r="KDL181" s="225"/>
      <c r="KDM181" s="225"/>
      <c r="KDN181" s="225"/>
      <c r="KDO181" s="225"/>
      <c r="KDP181" s="225"/>
      <c r="KDQ181" s="225"/>
      <c r="KDR181" s="225"/>
      <c r="KDS181" s="225"/>
      <c r="KDT181" s="225"/>
      <c r="KDU181" s="225"/>
      <c r="KDV181" s="225"/>
      <c r="KDW181" s="225"/>
      <c r="KDX181" s="225"/>
      <c r="KDY181" s="225"/>
      <c r="KDZ181" s="225"/>
      <c r="KEA181" s="225"/>
      <c r="KEB181" s="225"/>
      <c r="KEC181" s="225"/>
      <c r="KED181" s="225"/>
      <c r="KEE181" s="225"/>
      <c r="KEF181" s="225"/>
      <c r="KEG181" s="225"/>
      <c r="KEH181" s="225"/>
      <c r="KEI181" s="225"/>
      <c r="KEJ181" s="225"/>
      <c r="KEK181" s="225"/>
      <c r="KEL181" s="225"/>
      <c r="KEM181" s="225"/>
      <c r="KEN181" s="225"/>
      <c r="KEO181" s="225"/>
      <c r="KEP181" s="225"/>
      <c r="KEQ181" s="225"/>
      <c r="KER181" s="225"/>
      <c r="KES181" s="225"/>
      <c r="KET181" s="225"/>
      <c r="KEU181" s="225"/>
      <c r="KEV181" s="225"/>
      <c r="KEW181" s="225"/>
      <c r="KEX181" s="225"/>
      <c r="KEY181" s="225"/>
      <c r="KEZ181" s="225"/>
      <c r="KFA181" s="225"/>
      <c r="KFB181" s="225"/>
      <c r="KFC181" s="225"/>
      <c r="KFD181" s="225"/>
      <c r="KFE181" s="225"/>
      <c r="KFF181" s="225"/>
      <c r="KFG181" s="225"/>
      <c r="KFH181" s="225"/>
      <c r="KFI181" s="225"/>
      <c r="KFJ181" s="225"/>
      <c r="KFK181" s="225"/>
      <c r="KFL181" s="225"/>
      <c r="KFM181" s="225"/>
      <c r="KFN181" s="225"/>
      <c r="KFO181" s="225"/>
      <c r="KFP181" s="225"/>
      <c r="KFQ181" s="225"/>
      <c r="KFR181" s="225"/>
      <c r="KFS181" s="225"/>
      <c r="KFT181" s="225"/>
      <c r="KFU181" s="225"/>
      <c r="KFV181" s="225"/>
      <c r="KFW181" s="225"/>
      <c r="KFX181" s="225"/>
      <c r="KFY181" s="225"/>
      <c r="KFZ181" s="225"/>
      <c r="KGA181" s="225"/>
      <c r="KGB181" s="225"/>
      <c r="KGC181" s="225"/>
      <c r="KGD181" s="225"/>
      <c r="KGE181" s="225"/>
      <c r="KGF181" s="225"/>
      <c r="KGG181" s="225"/>
      <c r="KGH181" s="225"/>
      <c r="KGI181" s="225"/>
      <c r="KGJ181" s="225"/>
      <c r="KGK181" s="225"/>
      <c r="KGL181" s="225"/>
      <c r="KGM181" s="225"/>
      <c r="KGN181" s="225"/>
      <c r="KGO181" s="225"/>
      <c r="KGP181" s="225"/>
      <c r="KGQ181" s="225"/>
      <c r="KGR181" s="225"/>
      <c r="KGS181" s="225"/>
      <c r="KGT181" s="225"/>
      <c r="KGU181" s="225"/>
      <c r="KGV181" s="225"/>
      <c r="KGW181" s="225"/>
      <c r="KGX181" s="225"/>
      <c r="KGY181" s="225"/>
      <c r="KGZ181" s="225"/>
      <c r="KHA181" s="225"/>
      <c r="KHB181" s="225"/>
      <c r="KHC181" s="225"/>
      <c r="KHD181" s="225"/>
      <c r="KHE181" s="225"/>
      <c r="KHF181" s="225"/>
      <c r="KHG181" s="225"/>
      <c r="KHH181" s="225"/>
      <c r="KHI181" s="225"/>
      <c r="KHJ181" s="225"/>
      <c r="KHK181" s="225"/>
      <c r="KHL181" s="225"/>
      <c r="KHM181" s="225"/>
      <c r="KHN181" s="225"/>
      <c r="KHO181" s="225"/>
      <c r="KHP181" s="225"/>
      <c r="KHQ181" s="225"/>
      <c r="KHR181" s="225"/>
      <c r="KHS181" s="225"/>
      <c r="KHT181" s="225"/>
      <c r="KHU181" s="225"/>
      <c r="KHV181" s="225"/>
      <c r="KHW181" s="225"/>
      <c r="KHX181" s="225"/>
      <c r="KHY181" s="225"/>
      <c r="KHZ181" s="225"/>
      <c r="KIA181" s="225"/>
      <c r="KIB181" s="225"/>
      <c r="KIC181" s="225"/>
      <c r="KID181" s="225"/>
      <c r="KIE181" s="225"/>
      <c r="KIF181" s="225"/>
      <c r="KIG181" s="225"/>
      <c r="KIH181" s="225"/>
      <c r="KII181" s="225"/>
      <c r="KIJ181" s="225"/>
      <c r="KIK181" s="225"/>
      <c r="KIL181" s="225"/>
      <c r="KIM181" s="225"/>
      <c r="KIN181" s="225"/>
      <c r="KIO181" s="225"/>
      <c r="KIP181" s="225"/>
      <c r="KIQ181" s="225"/>
      <c r="KIR181" s="225"/>
      <c r="KIS181" s="225"/>
      <c r="KIT181" s="225"/>
      <c r="KIU181" s="225"/>
      <c r="KIV181" s="225"/>
      <c r="KIW181" s="225"/>
      <c r="KIX181" s="225"/>
      <c r="KIY181" s="225"/>
      <c r="KIZ181" s="225"/>
      <c r="KJA181" s="225"/>
      <c r="KJB181" s="225"/>
      <c r="KJC181" s="225"/>
      <c r="KJD181" s="225"/>
      <c r="KJE181" s="225"/>
      <c r="KJF181" s="225"/>
      <c r="KJG181" s="225"/>
      <c r="KJH181" s="225"/>
      <c r="KJI181" s="225"/>
      <c r="KJJ181" s="225"/>
      <c r="KJK181" s="225"/>
      <c r="KJL181" s="225"/>
      <c r="KJM181" s="225"/>
      <c r="KJN181" s="225"/>
      <c r="KJO181" s="225"/>
      <c r="KJP181" s="225"/>
      <c r="KJQ181" s="225"/>
      <c r="KJR181" s="225"/>
      <c r="KJS181" s="225"/>
      <c r="KJT181" s="225"/>
      <c r="KJU181" s="225"/>
      <c r="KJV181" s="225"/>
      <c r="KJW181" s="225"/>
      <c r="KJX181" s="225"/>
      <c r="KJY181" s="225"/>
      <c r="KJZ181" s="225"/>
      <c r="KKA181" s="225"/>
      <c r="KKB181" s="225"/>
      <c r="KKC181" s="225"/>
      <c r="KKD181" s="225"/>
      <c r="KKE181" s="225"/>
      <c r="KKF181" s="225"/>
      <c r="KKG181" s="225"/>
      <c r="KKH181" s="225"/>
      <c r="KKI181" s="225"/>
      <c r="KKJ181" s="225"/>
      <c r="KKK181" s="225"/>
      <c r="KKL181" s="225"/>
      <c r="KKM181" s="225"/>
      <c r="KKN181" s="225"/>
      <c r="KKO181" s="225"/>
      <c r="KKP181" s="225"/>
      <c r="KKQ181" s="225"/>
      <c r="KKR181" s="225"/>
      <c r="KKS181" s="225"/>
      <c r="KKT181" s="225"/>
      <c r="KKU181" s="225"/>
      <c r="KKV181" s="225"/>
      <c r="KKW181" s="225"/>
      <c r="KKX181" s="225"/>
      <c r="KKY181" s="225"/>
      <c r="KKZ181" s="225"/>
      <c r="KLA181" s="225"/>
      <c r="KLB181" s="225"/>
      <c r="KLC181" s="225"/>
      <c r="KLD181" s="225"/>
      <c r="KLE181" s="225"/>
      <c r="KLF181" s="225"/>
      <c r="KLG181" s="225"/>
      <c r="KLH181" s="225"/>
      <c r="KLI181" s="225"/>
      <c r="KLJ181" s="225"/>
      <c r="KLK181" s="225"/>
      <c r="KLL181" s="225"/>
      <c r="KLM181" s="225"/>
      <c r="KLN181" s="225"/>
      <c r="KLO181" s="225"/>
      <c r="KLP181" s="225"/>
      <c r="KLQ181" s="225"/>
      <c r="KLR181" s="225"/>
      <c r="KLS181" s="225"/>
      <c r="KLT181" s="225"/>
      <c r="KLU181" s="225"/>
      <c r="KLV181" s="225"/>
      <c r="KLW181" s="225"/>
      <c r="KLX181" s="225"/>
      <c r="KLY181" s="225"/>
      <c r="KLZ181" s="225"/>
      <c r="KMA181" s="225"/>
      <c r="KMB181" s="225"/>
      <c r="KMC181" s="225"/>
      <c r="KMD181" s="225"/>
      <c r="KME181" s="225"/>
      <c r="KMF181" s="225"/>
      <c r="KMG181" s="225"/>
      <c r="KMH181" s="225"/>
      <c r="KMI181" s="225"/>
      <c r="KMJ181" s="225"/>
      <c r="KMK181" s="225"/>
      <c r="KML181" s="225"/>
      <c r="KMM181" s="225"/>
      <c r="KMN181" s="225"/>
      <c r="KMO181" s="225"/>
      <c r="KMP181" s="225"/>
      <c r="KMQ181" s="225"/>
      <c r="KMR181" s="225"/>
      <c r="KMS181" s="225"/>
      <c r="KMT181" s="225"/>
      <c r="KMU181" s="225"/>
      <c r="KMV181" s="225"/>
      <c r="KMW181" s="225"/>
      <c r="KMX181" s="225"/>
      <c r="KMY181" s="225"/>
      <c r="KMZ181" s="225"/>
      <c r="KNA181" s="225"/>
      <c r="KNB181" s="225"/>
      <c r="KNC181" s="225"/>
      <c r="KND181" s="225"/>
      <c r="KNE181" s="225"/>
      <c r="KNF181" s="225"/>
      <c r="KNG181" s="225"/>
      <c r="KNH181" s="225"/>
      <c r="KNI181" s="225"/>
      <c r="KNJ181" s="225"/>
      <c r="KNK181" s="225"/>
      <c r="KNL181" s="225"/>
      <c r="KNM181" s="225"/>
      <c r="KNN181" s="225"/>
      <c r="KNO181" s="225"/>
      <c r="KNP181" s="225"/>
      <c r="KNQ181" s="225"/>
      <c r="KNR181" s="225"/>
      <c r="KNS181" s="225"/>
      <c r="KNT181" s="225"/>
      <c r="KNU181" s="225"/>
      <c r="KNV181" s="225"/>
      <c r="KNW181" s="225"/>
      <c r="KNX181" s="225"/>
      <c r="KNY181" s="225"/>
      <c r="KNZ181" s="225"/>
      <c r="KOA181" s="225"/>
      <c r="KOB181" s="225"/>
      <c r="KOC181" s="225"/>
      <c r="KOD181" s="225"/>
      <c r="KOE181" s="225"/>
      <c r="KOF181" s="225"/>
      <c r="KOG181" s="225"/>
      <c r="KOH181" s="225"/>
      <c r="KOI181" s="225"/>
      <c r="KOJ181" s="225"/>
      <c r="KOK181" s="225"/>
      <c r="KOL181" s="225"/>
      <c r="KOM181" s="225"/>
      <c r="KON181" s="225"/>
      <c r="KOO181" s="225"/>
      <c r="KOP181" s="225"/>
      <c r="KOQ181" s="225"/>
      <c r="KOR181" s="225"/>
      <c r="KOS181" s="225"/>
      <c r="KOT181" s="225"/>
      <c r="KOU181" s="225"/>
      <c r="KOV181" s="225"/>
      <c r="KOW181" s="225"/>
      <c r="KOX181" s="225"/>
      <c r="KOY181" s="225"/>
      <c r="KOZ181" s="225"/>
      <c r="KPA181" s="225"/>
      <c r="KPB181" s="225"/>
      <c r="KPC181" s="225"/>
      <c r="KPD181" s="225"/>
      <c r="KPE181" s="225"/>
      <c r="KPF181" s="225"/>
      <c r="KPG181" s="225"/>
      <c r="KPH181" s="225"/>
      <c r="KPI181" s="225"/>
      <c r="KPJ181" s="225"/>
      <c r="KPK181" s="225"/>
      <c r="KPL181" s="225"/>
      <c r="KPM181" s="225"/>
      <c r="KPN181" s="225"/>
      <c r="KPO181" s="225"/>
      <c r="KPP181" s="225"/>
      <c r="KPQ181" s="225"/>
      <c r="KPR181" s="225"/>
      <c r="KPS181" s="225"/>
      <c r="KPT181" s="225"/>
      <c r="KPU181" s="225"/>
      <c r="KPV181" s="225"/>
      <c r="KPW181" s="225"/>
      <c r="KPX181" s="225"/>
      <c r="KPY181" s="225"/>
      <c r="KPZ181" s="225"/>
      <c r="KQA181" s="225"/>
      <c r="KQB181" s="225"/>
      <c r="KQC181" s="225"/>
      <c r="KQD181" s="225"/>
      <c r="KQE181" s="225"/>
      <c r="KQF181" s="225"/>
      <c r="KQG181" s="225"/>
      <c r="KQH181" s="225"/>
      <c r="KQI181" s="225"/>
      <c r="KQJ181" s="225"/>
      <c r="KQK181" s="225"/>
      <c r="KQL181" s="225"/>
      <c r="KQM181" s="225"/>
      <c r="KQN181" s="225"/>
      <c r="KQO181" s="225"/>
      <c r="KQP181" s="225"/>
      <c r="KQQ181" s="225"/>
      <c r="KQR181" s="225"/>
      <c r="KQS181" s="225"/>
      <c r="KQT181" s="225"/>
      <c r="KQU181" s="225"/>
      <c r="KQV181" s="225"/>
      <c r="KQW181" s="225"/>
      <c r="KQX181" s="225"/>
      <c r="KQY181" s="225"/>
      <c r="KQZ181" s="225"/>
      <c r="KRA181" s="225"/>
      <c r="KRB181" s="225"/>
      <c r="KRC181" s="225"/>
      <c r="KRD181" s="225"/>
      <c r="KRE181" s="225"/>
      <c r="KRF181" s="225"/>
      <c r="KRG181" s="225"/>
      <c r="KRH181" s="225"/>
      <c r="KRI181" s="225"/>
      <c r="KRJ181" s="225"/>
      <c r="KRK181" s="225"/>
      <c r="KRL181" s="225"/>
      <c r="KRM181" s="225"/>
      <c r="KRN181" s="225"/>
      <c r="KRO181" s="225"/>
      <c r="KRP181" s="225"/>
      <c r="KRQ181" s="225"/>
      <c r="KRR181" s="225"/>
      <c r="KRS181" s="225"/>
      <c r="KRT181" s="225"/>
      <c r="KRU181" s="225"/>
      <c r="KRV181" s="225"/>
      <c r="KRW181" s="225"/>
      <c r="KRX181" s="225"/>
      <c r="KRY181" s="225"/>
      <c r="KRZ181" s="225"/>
      <c r="KSA181" s="225"/>
      <c r="KSB181" s="225"/>
      <c r="KSC181" s="225"/>
      <c r="KSD181" s="225"/>
      <c r="KSE181" s="225"/>
      <c r="KSF181" s="225"/>
      <c r="KSG181" s="225"/>
      <c r="KSH181" s="225"/>
      <c r="KSI181" s="225"/>
      <c r="KSJ181" s="225"/>
      <c r="KSK181" s="225"/>
      <c r="KSL181" s="225"/>
      <c r="KSM181" s="225"/>
      <c r="KSN181" s="225"/>
      <c r="KSO181" s="225"/>
      <c r="KSP181" s="225"/>
      <c r="KSQ181" s="225"/>
      <c r="KSR181" s="225"/>
      <c r="KSS181" s="225"/>
      <c r="KST181" s="225"/>
      <c r="KSU181" s="225"/>
      <c r="KSV181" s="225"/>
      <c r="KSW181" s="225"/>
      <c r="KSX181" s="225"/>
      <c r="KSY181" s="225"/>
      <c r="KSZ181" s="225"/>
      <c r="KTA181" s="225"/>
      <c r="KTB181" s="225"/>
      <c r="KTC181" s="225"/>
      <c r="KTD181" s="225"/>
      <c r="KTE181" s="225"/>
      <c r="KTF181" s="225"/>
      <c r="KTG181" s="225"/>
      <c r="KTH181" s="225"/>
      <c r="KTI181" s="225"/>
      <c r="KTJ181" s="225"/>
      <c r="KTK181" s="225"/>
      <c r="KTL181" s="225"/>
      <c r="KTM181" s="225"/>
      <c r="KTN181" s="225"/>
      <c r="KTO181" s="225"/>
      <c r="KTP181" s="225"/>
      <c r="KTQ181" s="225"/>
      <c r="KTR181" s="225"/>
      <c r="KTS181" s="225"/>
      <c r="KTT181" s="225"/>
      <c r="KTU181" s="225"/>
      <c r="KTV181" s="225"/>
      <c r="KTW181" s="225"/>
      <c r="KTX181" s="225"/>
      <c r="KTY181" s="225"/>
      <c r="KTZ181" s="225"/>
      <c r="KUA181" s="225"/>
      <c r="KUB181" s="225"/>
      <c r="KUC181" s="225"/>
      <c r="KUD181" s="225"/>
      <c r="KUE181" s="225"/>
      <c r="KUF181" s="225"/>
      <c r="KUG181" s="225"/>
      <c r="KUH181" s="225"/>
      <c r="KUI181" s="225"/>
      <c r="KUJ181" s="225"/>
      <c r="KUK181" s="225"/>
      <c r="KUL181" s="225"/>
      <c r="KUM181" s="225"/>
      <c r="KUN181" s="225"/>
      <c r="KUO181" s="225"/>
      <c r="KUP181" s="225"/>
      <c r="KUQ181" s="225"/>
      <c r="KUR181" s="225"/>
      <c r="KUS181" s="225"/>
      <c r="KUT181" s="225"/>
      <c r="KUU181" s="225"/>
      <c r="KUV181" s="225"/>
      <c r="KUW181" s="225"/>
      <c r="KUX181" s="225"/>
      <c r="KUY181" s="225"/>
      <c r="KUZ181" s="225"/>
      <c r="KVA181" s="225"/>
      <c r="KVB181" s="225"/>
      <c r="KVC181" s="225"/>
      <c r="KVD181" s="225"/>
      <c r="KVE181" s="225"/>
      <c r="KVF181" s="225"/>
      <c r="KVG181" s="225"/>
      <c r="KVH181" s="225"/>
      <c r="KVI181" s="225"/>
      <c r="KVJ181" s="225"/>
      <c r="KVK181" s="225"/>
      <c r="KVL181" s="225"/>
      <c r="KVM181" s="225"/>
      <c r="KVN181" s="225"/>
      <c r="KVO181" s="225"/>
      <c r="KVP181" s="225"/>
      <c r="KVQ181" s="225"/>
      <c r="KVR181" s="225"/>
      <c r="KVS181" s="225"/>
      <c r="KVT181" s="225"/>
      <c r="KVU181" s="225"/>
      <c r="KVV181" s="225"/>
      <c r="KVW181" s="225"/>
      <c r="KVX181" s="225"/>
      <c r="KVY181" s="225"/>
      <c r="KVZ181" s="225"/>
      <c r="KWA181" s="225"/>
      <c r="KWB181" s="225"/>
      <c r="KWC181" s="225"/>
      <c r="KWD181" s="225"/>
      <c r="KWE181" s="225"/>
      <c r="KWF181" s="225"/>
      <c r="KWG181" s="225"/>
      <c r="KWH181" s="225"/>
      <c r="KWI181" s="225"/>
      <c r="KWJ181" s="225"/>
      <c r="KWK181" s="225"/>
      <c r="KWL181" s="225"/>
      <c r="KWM181" s="225"/>
      <c r="KWN181" s="225"/>
      <c r="KWO181" s="225"/>
      <c r="KWP181" s="225"/>
      <c r="KWQ181" s="225"/>
      <c r="KWR181" s="225"/>
      <c r="KWS181" s="225"/>
      <c r="KWT181" s="225"/>
      <c r="KWU181" s="225"/>
      <c r="KWV181" s="225"/>
      <c r="KWW181" s="225"/>
      <c r="KWX181" s="225"/>
      <c r="KWY181" s="225"/>
      <c r="KWZ181" s="225"/>
      <c r="KXA181" s="225"/>
      <c r="KXB181" s="225"/>
      <c r="KXC181" s="225"/>
      <c r="KXD181" s="225"/>
      <c r="KXE181" s="225"/>
      <c r="KXF181" s="225"/>
      <c r="KXG181" s="225"/>
      <c r="KXH181" s="225"/>
      <c r="KXI181" s="225"/>
      <c r="KXJ181" s="225"/>
      <c r="KXK181" s="225"/>
      <c r="KXL181" s="225"/>
      <c r="KXM181" s="225"/>
      <c r="KXN181" s="225"/>
      <c r="KXO181" s="225"/>
      <c r="KXP181" s="225"/>
      <c r="KXQ181" s="225"/>
      <c r="KXR181" s="225"/>
      <c r="KXS181" s="225"/>
      <c r="KXT181" s="225"/>
      <c r="KXU181" s="225"/>
      <c r="KXV181" s="225"/>
      <c r="KXW181" s="225"/>
      <c r="KXX181" s="225"/>
      <c r="KXY181" s="225"/>
      <c r="KXZ181" s="225"/>
      <c r="KYA181" s="225"/>
      <c r="KYB181" s="225"/>
      <c r="KYC181" s="225"/>
      <c r="KYD181" s="225"/>
      <c r="KYE181" s="225"/>
      <c r="KYF181" s="225"/>
      <c r="KYG181" s="225"/>
      <c r="KYH181" s="225"/>
      <c r="KYI181" s="225"/>
      <c r="KYJ181" s="225"/>
      <c r="KYK181" s="225"/>
      <c r="KYL181" s="225"/>
      <c r="KYM181" s="225"/>
      <c r="KYN181" s="225"/>
      <c r="KYO181" s="225"/>
      <c r="KYP181" s="225"/>
      <c r="KYQ181" s="225"/>
      <c r="KYR181" s="225"/>
      <c r="KYS181" s="225"/>
      <c r="KYT181" s="225"/>
      <c r="KYU181" s="225"/>
      <c r="KYV181" s="225"/>
      <c r="KYW181" s="225"/>
      <c r="KYX181" s="225"/>
      <c r="KYY181" s="225"/>
      <c r="KYZ181" s="225"/>
      <c r="KZA181" s="225"/>
      <c r="KZB181" s="225"/>
      <c r="KZC181" s="225"/>
      <c r="KZD181" s="225"/>
      <c r="KZE181" s="225"/>
      <c r="KZF181" s="225"/>
      <c r="KZG181" s="225"/>
      <c r="KZH181" s="225"/>
      <c r="KZI181" s="225"/>
      <c r="KZJ181" s="225"/>
      <c r="KZK181" s="225"/>
      <c r="KZL181" s="225"/>
      <c r="KZM181" s="225"/>
      <c r="KZN181" s="225"/>
      <c r="KZO181" s="225"/>
      <c r="KZP181" s="225"/>
      <c r="KZQ181" s="225"/>
      <c r="KZR181" s="225"/>
      <c r="KZS181" s="225"/>
      <c r="KZT181" s="225"/>
      <c r="KZU181" s="225"/>
      <c r="KZV181" s="225"/>
      <c r="KZW181" s="225"/>
      <c r="KZX181" s="225"/>
      <c r="KZY181" s="225"/>
      <c r="KZZ181" s="225"/>
      <c r="LAA181" s="225"/>
      <c r="LAB181" s="225"/>
      <c r="LAC181" s="225"/>
      <c r="LAD181" s="225"/>
      <c r="LAE181" s="225"/>
      <c r="LAF181" s="225"/>
      <c r="LAG181" s="225"/>
      <c r="LAH181" s="225"/>
      <c r="LAI181" s="225"/>
      <c r="LAJ181" s="225"/>
      <c r="LAK181" s="225"/>
      <c r="LAL181" s="225"/>
      <c r="LAM181" s="225"/>
      <c r="LAN181" s="225"/>
      <c r="LAO181" s="225"/>
      <c r="LAP181" s="225"/>
      <c r="LAQ181" s="225"/>
      <c r="LAR181" s="225"/>
      <c r="LAS181" s="225"/>
      <c r="LAT181" s="225"/>
      <c r="LAU181" s="225"/>
      <c r="LAV181" s="225"/>
      <c r="LAW181" s="225"/>
      <c r="LAX181" s="225"/>
      <c r="LAY181" s="225"/>
      <c r="LAZ181" s="225"/>
      <c r="LBA181" s="225"/>
      <c r="LBB181" s="225"/>
      <c r="LBC181" s="225"/>
      <c r="LBD181" s="225"/>
      <c r="LBE181" s="225"/>
      <c r="LBF181" s="225"/>
      <c r="LBG181" s="225"/>
      <c r="LBH181" s="225"/>
      <c r="LBI181" s="225"/>
      <c r="LBJ181" s="225"/>
      <c r="LBK181" s="225"/>
      <c r="LBL181" s="225"/>
      <c r="LBM181" s="225"/>
      <c r="LBN181" s="225"/>
      <c r="LBO181" s="225"/>
      <c r="LBP181" s="225"/>
      <c r="LBQ181" s="225"/>
      <c r="LBR181" s="225"/>
      <c r="LBS181" s="225"/>
      <c r="LBT181" s="225"/>
      <c r="LBU181" s="225"/>
      <c r="LBV181" s="225"/>
      <c r="LBW181" s="225"/>
      <c r="LBX181" s="225"/>
      <c r="LBY181" s="225"/>
      <c r="LBZ181" s="225"/>
      <c r="LCA181" s="225"/>
      <c r="LCB181" s="225"/>
      <c r="LCC181" s="225"/>
      <c r="LCD181" s="225"/>
      <c r="LCE181" s="225"/>
      <c r="LCF181" s="225"/>
      <c r="LCG181" s="225"/>
      <c r="LCH181" s="225"/>
      <c r="LCI181" s="225"/>
      <c r="LCJ181" s="225"/>
      <c r="LCK181" s="225"/>
      <c r="LCL181" s="225"/>
      <c r="LCM181" s="225"/>
      <c r="LCN181" s="225"/>
      <c r="LCO181" s="225"/>
      <c r="LCP181" s="225"/>
      <c r="LCQ181" s="225"/>
      <c r="LCR181" s="225"/>
      <c r="LCS181" s="225"/>
      <c r="LCT181" s="225"/>
      <c r="LCU181" s="225"/>
      <c r="LCV181" s="225"/>
      <c r="LCW181" s="225"/>
      <c r="LCX181" s="225"/>
      <c r="LCY181" s="225"/>
      <c r="LCZ181" s="225"/>
      <c r="LDA181" s="225"/>
      <c r="LDB181" s="225"/>
      <c r="LDC181" s="225"/>
      <c r="LDD181" s="225"/>
      <c r="LDE181" s="225"/>
      <c r="LDF181" s="225"/>
      <c r="LDG181" s="225"/>
      <c r="LDH181" s="225"/>
      <c r="LDI181" s="225"/>
      <c r="LDJ181" s="225"/>
      <c r="LDK181" s="225"/>
      <c r="LDL181" s="225"/>
      <c r="LDM181" s="225"/>
      <c r="LDN181" s="225"/>
      <c r="LDO181" s="225"/>
      <c r="LDP181" s="225"/>
      <c r="LDQ181" s="225"/>
      <c r="LDR181" s="225"/>
      <c r="LDS181" s="225"/>
      <c r="LDT181" s="225"/>
      <c r="LDU181" s="225"/>
      <c r="LDV181" s="225"/>
      <c r="LDW181" s="225"/>
      <c r="LDX181" s="225"/>
      <c r="LDY181" s="225"/>
      <c r="LDZ181" s="225"/>
      <c r="LEA181" s="225"/>
      <c r="LEB181" s="225"/>
      <c r="LEC181" s="225"/>
      <c r="LED181" s="225"/>
      <c r="LEE181" s="225"/>
      <c r="LEF181" s="225"/>
      <c r="LEG181" s="225"/>
      <c r="LEH181" s="225"/>
      <c r="LEI181" s="225"/>
      <c r="LEJ181" s="225"/>
      <c r="LEK181" s="225"/>
      <c r="LEL181" s="225"/>
      <c r="LEM181" s="225"/>
      <c r="LEN181" s="225"/>
      <c r="LEO181" s="225"/>
      <c r="LEP181" s="225"/>
      <c r="LEQ181" s="225"/>
      <c r="LER181" s="225"/>
      <c r="LES181" s="225"/>
      <c r="LET181" s="225"/>
      <c r="LEU181" s="225"/>
      <c r="LEV181" s="225"/>
      <c r="LEW181" s="225"/>
      <c r="LEX181" s="225"/>
      <c r="LEY181" s="225"/>
      <c r="LEZ181" s="225"/>
      <c r="LFA181" s="225"/>
      <c r="LFB181" s="225"/>
      <c r="LFC181" s="225"/>
      <c r="LFD181" s="225"/>
      <c r="LFE181" s="225"/>
      <c r="LFF181" s="225"/>
      <c r="LFG181" s="225"/>
      <c r="LFH181" s="225"/>
      <c r="LFI181" s="225"/>
      <c r="LFJ181" s="225"/>
      <c r="LFK181" s="225"/>
      <c r="LFL181" s="225"/>
      <c r="LFM181" s="225"/>
      <c r="LFN181" s="225"/>
      <c r="LFO181" s="225"/>
      <c r="LFP181" s="225"/>
      <c r="LFQ181" s="225"/>
      <c r="LFR181" s="225"/>
      <c r="LFS181" s="225"/>
      <c r="LFT181" s="225"/>
      <c r="LFU181" s="225"/>
      <c r="LFV181" s="225"/>
      <c r="LFW181" s="225"/>
      <c r="LFX181" s="225"/>
      <c r="LFY181" s="225"/>
      <c r="LFZ181" s="225"/>
      <c r="LGA181" s="225"/>
      <c r="LGB181" s="225"/>
      <c r="LGC181" s="225"/>
      <c r="LGD181" s="225"/>
      <c r="LGE181" s="225"/>
      <c r="LGF181" s="225"/>
      <c r="LGG181" s="225"/>
      <c r="LGH181" s="225"/>
      <c r="LGI181" s="225"/>
      <c r="LGJ181" s="225"/>
      <c r="LGK181" s="225"/>
      <c r="LGL181" s="225"/>
      <c r="LGM181" s="225"/>
      <c r="LGN181" s="225"/>
      <c r="LGO181" s="225"/>
      <c r="LGP181" s="225"/>
      <c r="LGQ181" s="225"/>
      <c r="LGR181" s="225"/>
      <c r="LGS181" s="225"/>
      <c r="LGT181" s="225"/>
      <c r="LGU181" s="225"/>
      <c r="LGV181" s="225"/>
      <c r="LGW181" s="225"/>
      <c r="LGX181" s="225"/>
      <c r="LGY181" s="225"/>
      <c r="LGZ181" s="225"/>
      <c r="LHA181" s="225"/>
      <c r="LHB181" s="225"/>
      <c r="LHC181" s="225"/>
      <c r="LHD181" s="225"/>
      <c r="LHE181" s="225"/>
      <c r="LHF181" s="225"/>
      <c r="LHG181" s="225"/>
      <c r="LHH181" s="225"/>
      <c r="LHI181" s="225"/>
      <c r="LHJ181" s="225"/>
      <c r="LHK181" s="225"/>
      <c r="LHL181" s="225"/>
      <c r="LHM181" s="225"/>
      <c r="LHN181" s="225"/>
      <c r="LHO181" s="225"/>
      <c r="LHP181" s="225"/>
      <c r="LHQ181" s="225"/>
      <c r="LHR181" s="225"/>
      <c r="LHS181" s="225"/>
      <c r="LHT181" s="225"/>
      <c r="LHU181" s="225"/>
      <c r="LHV181" s="225"/>
      <c r="LHW181" s="225"/>
      <c r="LHX181" s="225"/>
      <c r="LHY181" s="225"/>
      <c r="LHZ181" s="225"/>
      <c r="LIA181" s="225"/>
      <c r="LIB181" s="225"/>
      <c r="LIC181" s="225"/>
      <c r="LID181" s="225"/>
      <c r="LIE181" s="225"/>
      <c r="LIF181" s="225"/>
      <c r="LIG181" s="225"/>
      <c r="LIH181" s="225"/>
      <c r="LII181" s="225"/>
      <c r="LIJ181" s="225"/>
      <c r="LIK181" s="225"/>
      <c r="LIL181" s="225"/>
      <c r="LIM181" s="225"/>
      <c r="LIN181" s="225"/>
      <c r="LIO181" s="225"/>
      <c r="LIP181" s="225"/>
      <c r="LIQ181" s="225"/>
      <c r="LIR181" s="225"/>
      <c r="LIS181" s="225"/>
      <c r="LIT181" s="225"/>
      <c r="LIU181" s="225"/>
      <c r="LIV181" s="225"/>
      <c r="LIW181" s="225"/>
      <c r="LIX181" s="225"/>
      <c r="LIY181" s="225"/>
      <c r="LIZ181" s="225"/>
      <c r="LJA181" s="225"/>
      <c r="LJB181" s="225"/>
      <c r="LJC181" s="225"/>
      <c r="LJD181" s="225"/>
      <c r="LJE181" s="225"/>
      <c r="LJF181" s="225"/>
      <c r="LJG181" s="225"/>
      <c r="LJH181" s="225"/>
      <c r="LJI181" s="225"/>
      <c r="LJJ181" s="225"/>
      <c r="LJK181" s="225"/>
      <c r="LJL181" s="225"/>
      <c r="LJM181" s="225"/>
      <c r="LJN181" s="225"/>
      <c r="LJO181" s="225"/>
      <c r="LJP181" s="225"/>
      <c r="LJQ181" s="225"/>
      <c r="LJR181" s="225"/>
      <c r="LJS181" s="225"/>
      <c r="LJT181" s="225"/>
      <c r="LJU181" s="225"/>
      <c r="LJV181" s="225"/>
      <c r="LJW181" s="225"/>
      <c r="LJX181" s="225"/>
      <c r="LJY181" s="225"/>
      <c r="LJZ181" s="225"/>
      <c r="LKA181" s="225"/>
      <c r="LKB181" s="225"/>
      <c r="LKC181" s="225"/>
      <c r="LKD181" s="225"/>
      <c r="LKE181" s="225"/>
      <c r="LKF181" s="225"/>
      <c r="LKG181" s="225"/>
      <c r="LKH181" s="225"/>
      <c r="LKI181" s="225"/>
      <c r="LKJ181" s="225"/>
      <c r="LKK181" s="225"/>
      <c r="LKL181" s="225"/>
      <c r="LKM181" s="225"/>
      <c r="LKN181" s="225"/>
      <c r="LKO181" s="225"/>
      <c r="LKP181" s="225"/>
      <c r="LKQ181" s="225"/>
      <c r="LKR181" s="225"/>
      <c r="LKS181" s="225"/>
      <c r="LKT181" s="225"/>
      <c r="LKU181" s="225"/>
      <c r="LKV181" s="225"/>
      <c r="LKW181" s="225"/>
      <c r="LKX181" s="225"/>
      <c r="LKY181" s="225"/>
      <c r="LKZ181" s="225"/>
      <c r="LLA181" s="225"/>
      <c r="LLB181" s="225"/>
      <c r="LLC181" s="225"/>
      <c r="LLD181" s="225"/>
      <c r="LLE181" s="225"/>
      <c r="LLF181" s="225"/>
      <c r="LLG181" s="225"/>
      <c r="LLH181" s="225"/>
      <c r="LLI181" s="225"/>
      <c r="LLJ181" s="225"/>
      <c r="LLK181" s="225"/>
      <c r="LLL181" s="225"/>
      <c r="LLM181" s="225"/>
      <c r="LLN181" s="225"/>
      <c r="LLO181" s="225"/>
      <c r="LLP181" s="225"/>
      <c r="LLQ181" s="225"/>
      <c r="LLR181" s="225"/>
      <c r="LLS181" s="225"/>
      <c r="LLT181" s="225"/>
      <c r="LLU181" s="225"/>
      <c r="LLV181" s="225"/>
      <c r="LLW181" s="225"/>
      <c r="LLX181" s="225"/>
      <c r="LLY181" s="225"/>
      <c r="LLZ181" s="225"/>
      <c r="LMA181" s="225"/>
      <c r="LMB181" s="225"/>
      <c r="LMC181" s="225"/>
      <c r="LMD181" s="225"/>
      <c r="LME181" s="225"/>
      <c r="LMF181" s="225"/>
      <c r="LMG181" s="225"/>
      <c r="LMH181" s="225"/>
      <c r="LMI181" s="225"/>
      <c r="LMJ181" s="225"/>
      <c r="LMK181" s="225"/>
      <c r="LML181" s="225"/>
      <c r="LMM181" s="225"/>
      <c r="LMN181" s="225"/>
      <c r="LMO181" s="225"/>
      <c r="LMP181" s="225"/>
      <c r="LMQ181" s="225"/>
      <c r="LMR181" s="225"/>
      <c r="LMS181" s="225"/>
      <c r="LMT181" s="225"/>
      <c r="LMU181" s="225"/>
      <c r="LMV181" s="225"/>
      <c r="LMW181" s="225"/>
      <c r="LMX181" s="225"/>
      <c r="LMY181" s="225"/>
      <c r="LMZ181" s="225"/>
      <c r="LNA181" s="225"/>
      <c r="LNB181" s="225"/>
      <c r="LNC181" s="225"/>
      <c r="LND181" s="225"/>
      <c r="LNE181" s="225"/>
      <c r="LNF181" s="225"/>
      <c r="LNG181" s="225"/>
      <c r="LNH181" s="225"/>
      <c r="LNI181" s="225"/>
      <c r="LNJ181" s="225"/>
      <c r="LNK181" s="225"/>
      <c r="LNL181" s="225"/>
      <c r="LNM181" s="225"/>
      <c r="LNN181" s="225"/>
      <c r="LNO181" s="225"/>
      <c r="LNP181" s="225"/>
      <c r="LNQ181" s="225"/>
      <c r="LNR181" s="225"/>
      <c r="LNS181" s="225"/>
      <c r="LNT181" s="225"/>
      <c r="LNU181" s="225"/>
      <c r="LNV181" s="225"/>
      <c r="LNW181" s="225"/>
      <c r="LNX181" s="225"/>
      <c r="LNY181" s="225"/>
      <c r="LNZ181" s="225"/>
      <c r="LOA181" s="225"/>
      <c r="LOB181" s="225"/>
      <c r="LOC181" s="225"/>
      <c r="LOD181" s="225"/>
      <c r="LOE181" s="225"/>
      <c r="LOF181" s="225"/>
      <c r="LOG181" s="225"/>
      <c r="LOH181" s="225"/>
      <c r="LOI181" s="225"/>
      <c r="LOJ181" s="225"/>
      <c r="LOK181" s="225"/>
      <c r="LOL181" s="225"/>
      <c r="LOM181" s="225"/>
      <c r="LON181" s="225"/>
      <c r="LOO181" s="225"/>
      <c r="LOP181" s="225"/>
      <c r="LOQ181" s="225"/>
      <c r="LOR181" s="225"/>
      <c r="LOS181" s="225"/>
      <c r="LOT181" s="225"/>
      <c r="LOU181" s="225"/>
      <c r="LOV181" s="225"/>
      <c r="LOW181" s="225"/>
      <c r="LOX181" s="225"/>
      <c r="LOY181" s="225"/>
      <c r="LOZ181" s="225"/>
      <c r="LPA181" s="225"/>
      <c r="LPB181" s="225"/>
      <c r="LPC181" s="225"/>
      <c r="LPD181" s="225"/>
      <c r="LPE181" s="225"/>
      <c r="LPF181" s="225"/>
      <c r="LPG181" s="225"/>
      <c r="LPH181" s="225"/>
      <c r="LPI181" s="225"/>
      <c r="LPJ181" s="225"/>
      <c r="LPK181" s="225"/>
      <c r="LPL181" s="225"/>
      <c r="LPM181" s="225"/>
      <c r="LPN181" s="225"/>
      <c r="LPO181" s="225"/>
      <c r="LPP181" s="225"/>
      <c r="LPQ181" s="225"/>
      <c r="LPR181" s="225"/>
      <c r="LPS181" s="225"/>
      <c r="LPT181" s="225"/>
      <c r="LPU181" s="225"/>
      <c r="LPV181" s="225"/>
      <c r="LPW181" s="225"/>
      <c r="LPX181" s="225"/>
      <c r="LPY181" s="225"/>
      <c r="LPZ181" s="225"/>
      <c r="LQA181" s="225"/>
      <c r="LQB181" s="225"/>
      <c r="LQC181" s="225"/>
      <c r="LQD181" s="225"/>
      <c r="LQE181" s="225"/>
      <c r="LQF181" s="225"/>
      <c r="LQG181" s="225"/>
      <c r="LQH181" s="225"/>
      <c r="LQI181" s="225"/>
      <c r="LQJ181" s="225"/>
      <c r="LQK181" s="225"/>
      <c r="LQL181" s="225"/>
      <c r="LQM181" s="225"/>
      <c r="LQN181" s="225"/>
      <c r="LQO181" s="225"/>
      <c r="LQP181" s="225"/>
      <c r="LQQ181" s="225"/>
      <c r="LQR181" s="225"/>
      <c r="LQS181" s="225"/>
      <c r="LQT181" s="225"/>
      <c r="LQU181" s="225"/>
      <c r="LQV181" s="225"/>
      <c r="LQW181" s="225"/>
      <c r="LQX181" s="225"/>
      <c r="LQY181" s="225"/>
      <c r="LQZ181" s="225"/>
      <c r="LRA181" s="225"/>
      <c r="LRB181" s="225"/>
      <c r="LRC181" s="225"/>
      <c r="LRD181" s="225"/>
      <c r="LRE181" s="225"/>
      <c r="LRF181" s="225"/>
      <c r="LRG181" s="225"/>
      <c r="LRH181" s="225"/>
      <c r="LRI181" s="225"/>
      <c r="LRJ181" s="225"/>
      <c r="LRK181" s="225"/>
      <c r="LRL181" s="225"/>
      <c r="LRM181" s="225"/>
      <c r="LRN181" s="225"/>
      <c r="LRO181" s="225"/>
      <c r="LRP181" s="225"/>
      <c r="LRQ181" s="225"/>
      <c r="LRR181" s="225"/>
      <c r="LRS181" s="225"/>
      <c r="LRT181" s="225"/>
      <c r="LRU181" s="225"/>
      <c r="LRV181" s="225"/>
      <c r="LRW181" s="225"/>
      <c r="LRX181" s="225"/>
      <c r="LRY181" s="225"/>
      <c r="LRZ181" s="225"/>
      <c r="LSA181" s="225"/>
      <c r="LSB181" s="225"/>
      <c r="LSC181" s="225"/>
      <c r="LSD181" s="225"/>
      <c r="LSE181" s="225"/>
      <c r="LSF181" s="225"/>
      <c r="LSG181" s="225"/>
      <c r="LSH181" s="225"/>
      <c r="LSI181" s="225"/>
      <c r="LSJ181" s="225"/>
      <c r="LSK181" s="225"/>
      <c r="LSL181" s="225"/>
      <c r="LSM181" s="225"/>
      <c r="LSN181" s="225"/>
      <c r="LSO181" s="225"/>
      <c r="LSP181" s="225"/>
      <c r="LSQ181" s="225"/>
      <c r="LSR181" s="225"/>
      <c r="LSS181" s="225"/>
      <c r="LST181" s="225"/>
      <c r="LSU181" s="225"/>
      <c r="LSV181" s="225"/>
      <c r="LSW181" s="225"/>
      <c r="LSX181" s="225"/>
      <c r="LSY181" s="225"/>
      <c r="LSZ181" s="225"/>
      <c r="LTA181" s="225"/>
      <c r="LTB181" s="225"/>
      <c r="LTC181" s="225"/>
      <c r="LTD181" s="225"/>
      <c r="LTE181" s="225"/>
      <c r="LTF181" s="225"/>
      <c r="LTG181" s="225"/>
      <c r="LTH181" s="225"/>
      <c r="LTI181" s="225"/>
      <c r="LTJ181" s="225"/>
      <c r="LTK181" s="225"/>
      <c r="LTL181" s="225"/>
      <c r="LTM181" s="225"/>
      <c r="LTN181" s="225"/>
      <c r="LTO181" s="225"/>
      <c r="LTP181" s="225"/>
      <c r="LTQ181" s="225"/>
      <c r="LTR181" s="225"/>
      <c r="LTS181" s="225"/>
      <c r="LTT181" s="225"/>
      <c r="LTU181" s="225"/>
      <c r="LTV181" s="225"/>
      <c r="LTW181" s="225"/>
      <c r="LTX181" s="225"/>
      <c r="LTY181" s="225"/>
      <c r="LTZ181" s="225"/>
      <c r="LUA181" s="225"/>
      <c r="LUB181" s="225"/>
      <c r="LUC181" s="225"/>
      <c r="LUD181" s="225"/>
      <c r="LUE181" s="225"/>
      <c r="LUF181" s="225"/>
      <c r="LUG181" s="225"/>
      <c r="LUH181" s="225"/>
      <c r="LUI181" s="225"/>
      <c r="LUJ181" s="225"/>
      <c r="LUK181" s="225"/>
      <c r="LUL181" s="225"/>
      <c r="LUM181" s="225"/>
      <c r="LUN181" s="225"/>
      <c r="LUO181" s="225"/>
      <c r="LUP181" s="225"/>
      <c r="LUQ181" s="225"/>
      <c r="LUR181" s="225"/>
      <c r="LUS181" s="225"/>
      <c r="LUT181" s="225"/>
      <c r="LUU181" s="225"/>
      <c r="LUV181" s="225"/>
      <c r="LUW181" s="225"/>
      <c r="LUX181" s="225"/>
      <c r="LUY181" s="225"/>
      <c r="LUZ181" s="225"/>
      <c r="LVA181" s="225"/>
      <c r="LVB181" s="225"/>
      <c r="LVC181" s="225"/>
      <c r="LVD181" s="225"/>
      <c r="LVE181" s="225"/>
      <c r="LVF181" s="225"/>
      <c r="LVG181" s="225"/>
      <c r="LVH181" s="225"/>
      <c r="LVI181" s="225"/>
      <c r="LVJ181" s="225"/>
      <c r="LVK181" s="225"/>
      <c r="LVL181" s="225"/>
      <c r="LVM181" s="225"/>
      <c r="LVN181" s="225"/>
      <c r="LVO181" s="225"/>
      <c r="LVP181" s="225"/>
      <c r="LVQ181" s="225"/>
      <c r="LVR181" s="225"/>
      <c r="LVS181" s="225"/>
      <c r="LVT181" s="225"/>
      <c r="LVU181" s="225"/>
      <c r="LVV181" s="225"/>
      <c r="LVW181" s="225"/>
      <c r="LVX181" s="225"/>
      <c r="LVY181" s="225"/>
      <c r="LVZ181" s="225"/>
      <c r="LWA181" s="225"/>
      <c r="LWB181" s="225"/>
      <c r="LWC181" s="225"/>
      <c r="LWD181" s="225"/>
      <c r="LWE181" s="225"/>
      <c r="LWF181" s="225"/>
      <c r="LWG181" s="225"/>
      <c r="LWH181" s="225"/>
      <c r="LWI181" s="225"/>
      <c r="LWJ181" s="225"/>
      <c r="LWK181" s="225"/>
      <c r="LWL181" s="225"/>
      <c r="LWM181" s="225"/>
      <c r="LWN181" s="225"/>
      <c r="LWO181" s="225"/>
      <c r="LWP181" s="225"/>
      <c r="LWQ181" s="225"/>
      <c r="LWR181" s="225"/>
      <c r="LWS181" s="225"/>
      <c r="LWT181" s="225"/>
      <c r="LWU181" s="225"/>
      <c r="LWV181" s="225"/>
      <c r="LWW181" s="225"/>
      <c r="LWX181" s="225"/>
      <c r="LWY181" s="225"/>
      <c r="LWZ181" s="225"/>
      <c r="LXA181" s="225"/>
      <c r="LXB181" s="225"/>
      <c r="LXC181" s="225"/>
      <c r="LXD181" s="225"/>
      <c r="LXE181" s="225"/>
      <c r="LXF181" s="225"/>
      <c r="LXG181" s="225"/>
      <c r="LXH181" s="225"/>
      <c r="LXI181" s="225"/>
      <c r="LXJ181" s="225"/>
      <c r="LXK181" s="225"/>
      <c r="LXL181" s="225"/>
      <c r="LXM181" s="225"/>
      <c r="LXN181" s="225"/>
      <c r="LXO181" s="225"/>
      <c r="LXP181" s="225"/>
      <c r="LXQ181" s="225"/>
      <c r="LXR181" s="225"/>
      <c r="LXS181" s="225"/>
      <c r="LXT181" s="225"/>
      <c r="LXU181" s="225"/>
      <c r="LXV181" s="225"/>
      <c r="LXW181" s="225"/>
      <c r="LXX181" s="225"/>
      <c r="LXY181" s="225"/>
      <c r="LXZ181" s="225"/>
      <c r="LYA181" s="225"/>
      <c r="LYB181" s="225"/>
      <c r="LYC181" s="225"/>
      <c r="LYD181" s="225"/>
      <c r="LYE181" s="225"/>
      <c r="LYF181" s="225"/>
      <c r="LYG181" s="225"/>
      <c r="LYH181" s="225"/>
      <c r="LYI181" s="225"/>
      <c r="LYJ181" s="225"/>
      <c r="LYK181" s="225"/>
      <c r="LYL181" s="225"/>
      <c r="LYM181" s="225"/>
      <c r="LYN181" s="225"/>
      <c r="LYO181" s="225"/>
      <c r="LYP181" s="225"/>
      <c r="LYQ181" s="225"/>
      <c r="LYR181" s="225"/>
      <c r="LYS181" s="225"/>
      <c r="LYT181" s="225"/>
      <c r="LYU181" s="225"/>
      <c r="LYV181" s="225"/>
      <c r="LYW181" s="225"/>
      <c r="LYX181" s="225"/>
      <c r="LYY181" s="225"/>
      <c r="LYZ181" s="225"/>
      <c r="LZA181" s="225"/>
      <c r="LZB181" s="225"/>
      <c r="LZC181" s="225"/>
      <c r="LZD181" s="225"/>
      <c r="LZE181" s="225"/>
      <c r="LZF181" s="225"/>
      <c r="LZG181" s="225"/>
      <c r="LZH181" s="225"/>
      <c r="LZI181" s="225"/>
      <c r="LZJ181" s="225"/>
      <c r="LZK181" s="225"/>
      <c r="LZL181" s="225"/>
      <c r="LZM181" s="225"/>
      <c r="LZN181" s="225"/>
      <c r="LZO181" s="225"/>
      <c r="LZP181" s="225"/>
      <c r="LZQ181" s="225"/>
      <c r="LZR181" s="225"/>
      <c r="LZS181" s="225"/>
      <c r="LZT181" s="225"/>
      <c r="LZU181" s="225"/>
      <c r="LZV181" s="225"/>
      <c r="LZW181" s="225"/>
      <c r="LZX181" s="225"/>
      <c r="LZY181" s="225"/>
      <c r="LZZ181" s="225"/>
      <c r="MAA181" s="225"/>
      <c r="MAB181" s="225"/>
      <c r="MAC181" s="225"/>
      <c r="MAD181" s="225"/>
      <c r="MAE181" s="225"/>
      <c r="MAF181" s="225"/>
      <c r="MAG181" s="225"/>
      <c r="MAH181" s="225"/>
      <c r="MAI181" s="225"/>
      <c r="MAJ181" s="225"/>
      <c r="MAK181" s="225"/>
      <c r="MAL181" s="225"/>
      <c r="MAM181" s="225"/>
      <c r="MAN181" s="225"/>
      <c r="MAO181" s="225"/>
      <c r="MAP181" s="225"/>
      <c r="MAQ181" s="225"/>
      <c r="MAR181" s="225"/>
      <c r="MAS181" s="225"/>
      <c r="MAT181" s="225"/>
      <c r="MAU181" s="225"/>
      <c r="MAV181" s="225"/>
      <c r="MAW181" s="225"/>
      <c r="MAX181" s="225"/>
      <c r="MAY181" s="225"/>
      <c r="MAZ181" s="225"/>
      <c r="MBA181" s="225"/>
      <c r="MBB181" s="225"/>
      <c r="MBC181" s="225"/>
      <c r="MBD181" s="225"/>
      <c r="MBE181" s="225"/>
      <c r="MBF181" s="225"/>
      <c r="MBG181" s="225"/>
      <c r="MBH181" s="225"/>
      <c r="MBI181" s="225"/>
      <c r="MBJ181" s="225"/>
      <c r="MBK181" s="225"/>
      <c r="MBL181" s="225"/>
      <c r="MBM181" s="225"/>
      <c r="MBN181" s="225"/>
      <c r="MBO181" s="225"/>
      <c r="MBP181" s="225"/>
      <c r="MBQ181" s="225"/>
      <c r="MBR181" s="225"/>
      <c r="MBS181" s="225"/>
      <c r="MBT181" s="225"/>
      <c r="MBU181" s="225"/>
      <c r="MBV181" s="225"/>
      <c r="MBW181" s="225"/>
      <c r="MBX181" s="225"/>
      <c r="MBY181" s="225"/>
      <c r="MBZ181" s="225"/>
      <c r="MCA181" s="225"/>
      <c r="MCB181" s="225"/>
      <c r="MCC181" s="225"/>
      <c r="MCD181" s="225"/>
      <c r="MCE181" s="225"/>
      <c r="MCF181" s="225"/>
      <c r="MCG181" s="225"/>
      <c r="MCH181" s="225"/>
      <c r="MCI181" s="225"/>
      <c r="MCJ181" s="225"/>
      <c r="MCK181" s="225"/>
      <c r="MCL181" s="225"/>
      <c r="MCM181" s="225"/>
      <c r="MCN181" s="225"/>
      <c r="MCO181" s="225"/>
      <c r="MCP181" s="225"/>
      <c r="MCQ181" s="225"/>
      <c r="MCR181" s="225"/>
      <c r="MCS181" s="225"/>
      <c r="MCT181" s="225"/>
      <c r="MCU181" s="225"/>
      <c r="MCV181" s="225"/>
      <c r="MCW181" s="225"/>
      <c r="MCX181" s="225"/>
      <c r="MCY181" s="225"/>
      <c r="MCZ181" s="225"/>
      <c r="MDA181" s="225"/>
      <c r="MDB181" s="225"/>
      <c r="MDC181" s="225"/>
      <c r="MDD181" s="225"/>
      <c r="MDE181" s="225"/>
      <c r="MDF181" s="225"/>
      <c r="MDG181" s="225"/>
      <c r="MDH181" s="225"/>
      <c r="MDI181" s="225"/>
      <c r="MDJ181" s="225"/>
      <c r="MDK181" s="225"/>
      <c r="MDL181" s="225"/>
      <c r="MDM181" s="225"/>
      <c r="MDN181" s="225"/>
      <c r="MDO181" s="225"/>
      <c r="MDP181" s="225"/>
      <c r="MDQ181" s="225"/>
      <c r="MDR181" s="225"/>
      <c r="MDS181" s="225"/>
      <c r="MDT181" s="225"/>
      <c r="MDU181" s="225"/>
      <c r="MDV181" s="225"/>
      <c r="MDW181" s="225"/>
      <c r="MDX181" s="225"/>
      <c r="MDY181" s="225"/>
      <c r="MDZ181" s="225"/>
      <c r="MEA181" s="225"/>
      <c r="MEB181" s="225"/>
      <c r="MEC181" s="225"/>
      <c r="MED181" s="225"/>
      <c r="MEE181" s="225"/>
      <c r="MEF181" s="225"/>
      <c r="MEG181" s="225"/>
      <c r="MEH181" s="225"/>
      <c r="MEI181" s="225"/>
      <c r="MEJ181" s="225"/>
      <c r="MEK181" s="225"/>
      <c r="MEL181" s="225"/>
      <c r="MEM181" s="225"/>
      <c r="MEN181" s="225"/>
      <c r="MEO181" s="225"/>
      <c r="MEP181" s="225"/>
      <c r="MEQ181" s="225"/>
      <c r="MER181" s="225"/>
      <c r="MES181" s="225"/>
      <c r="MET181" s="225"/>
      <c r="MEU181" s="225"/>
      <c r="MEV181" s="225"/>
      <c r="MEW181" s="225"/>
      <c r="MEX181" s="225"/>
      <c r="MEY181" s="225"/>
      <c r="MEZ181" s="225"/>
      <c r="MFA181" s="225"/>
      <c r="MFB181" s="225"/>
      <c r="MFC181" s="225"/>
      <c r="MFD181" s="225"/>
      <c r="MFE181" s="225"/>
      <c r="MFF181" s="225"/>
      <c r="MFG181" s="225"/>
      <c r="MFH181" s="225"/>
      <c r="MFI181" s="225"/>
      <c r="MFJ181" s="225"/>
      <c r="MFK181" s="225"/>
      <c r="MFL181" s="225"/>
      <c r="MFM181" s="225"/>
      <c r="MFN181" s="225"/>
      <c r="MFO181" s="225"/>
      <c r="MFP181" s="225"/>
      <c r="MFQ181" s="225"/>
      <c r="MFR181" s="225"/>
      <c r="MFS181" s="225"/>
      <c r="MFT181" s="225"/>
      <c r="MFU181" s="225"/>
      <c r="MFV181" s="225"/>
      <c r="MFW181" s="225"/>
      <c r="MFX181" s="225"/>
      <c r="MFY181" s="225"/>
      <c r="MFZ181" s="225"/>
      <c r="MGA181" s="225"/>
      <c r="MGB181" s="225"/>
      <c r="MGC181" s="225"/>
      <c r="MGD181" s="225"/>
      <c r="MGE181" s="225"/>
      <c r="MGF181" s="225"/>
      <c r="MGG181" s="225"/>
      <c r="MGH181" s="225"/>
      <c r="MGI181" s="225"/>
      <c r="MGJ181" s="225"/>
      <c r="MGK181" s="225"/>
      <c r="MGL181" s="225"/>
      <c r="MGM181" s="225"/>
      <c r="MGN181" s="225"/>
      <c r="MGO181" s="225"/>
      <c r="MGP181" s="225"/>
      <c r="MGQ181" s="225"/>
      <c r="MGR181" s="225"/>
      <c r="MGS181" s="225"/>
      <c r="MGT181" s="225"/>
      <c r="MGU181" s="225"/>
      <c r="MGV181" s="225"/>
      <c r="MGW181" s="225"/>
      <c r="MGX181" s="225"/>
      <c r="MGY181" s="225"/>
      <c r="MGZ181" s="225"/>
      <c r="MHA181" s="225"/>
      <c r="MHB181" s="225"/>
      <c r="MHC181" s="225"/>
      <c r="MHD181" s="225"/>
      <c r="MHE181" s="225"/>
      <c r="MHF181" s="225"/>
      <c r="MHG181" s="225"/>
      <c r="MHH181" s="225"/>
      <c r="MHI181" s="225"/>
      <c r="MHJ181" s="225"/>
      <c r="MHK181" s="225"/>
      <c r="MHL181" s="225"/>
      <c r="MHM181" s="225"/>
      <c r="MHN181" s="225"/>
      <c r="MHO181" s="225"/>
      <c r="MHP181" s="225"/>
      <c r="MHQ181" s="225"/>
      <c r="MHR181" s="225"/>
      <c r="MHS181" s="225"/>
      <c r="MHT181" s="225"/>
      <c r="MHU181" s="225"/>
      <c r="MHV181" s="225"/>
      <c r="MHW181" s="225"/>
      <c r="MHX181" s="225"/>
      <c r="MHY181" s="225"/>
      <c r="MHZ181" s="225"/>
      <c r="MIA181" s="225"/>
      <c r="MIB181" s="225"/>
      <c r="MIC181" s="225"/>
      <c r="MID181" s="225"/>
      <c r="MIE181" s="225"/>
      <c r="MIF181" s="225"/>
      <c r="MIG181" s="225"/>
      <c r="MIH181" s="225"/>
      <c r="MII181" s="225"/>
      <c r="MIJ181" s="225"/>
      <c r="MIK181" s="225"/>
      <c r="MIL181" s="225"/>
      <c r="MIM181" s="225"/>
      <c r="MIN181" s="225"/>
      <c r="MIO181" s="225"/>
      <c r="MIP181" s="225"/>
      <c r="MIQ181" s="225"/>
      <c r="MIR181" s="225"/>
      <c r="MIS181" s="225"/>
      <c r="MIT181" s="225"/>
      <c r="MIU181" s="225"/>
      <c r="MIV181" s="225"/>
      <c r="MIW181" s="225"/>
      <c r="MIX181" s="225"/>
      <c r="MIY181" s="225"/>
      <c r="MIZ181" s="225"/>
      <c r="MJA181" s="225"/>
      <c r="MJB181" s="225"/>
      <c r="MJC181" s="225"/>
      <c r="MJD181" s="225"/>
      <c r="MJE181" s="225"/>
      <c r="MJF181" s="225"/>
      <c r="MJG181" s="225"/>
      <c r="MJH181" s="225"/>
      <c r="MJI181" s="225"/>
      <c r="MJJ181" s="225"/>
      <c r="MJK181" s="225"/>
      <c r="MJL181" s="225"/>
      <c r="MJM181" s="225"/>
      <c r="MJN181" s="225"/>
      <c r="MJO181" s="225"/>
      <c r="MJP181" s="225"/>
      <c r="MJQ181" s="225"/>
      <c r="MJR181" s="225"/>
      <c r="MJS181" s="225"/>
      <c r="MJT181" s="225"/>
      <c r="MJU181" s="225"/>
      <c r="MJV181" s="225"/>
      <c r="MJW181" s="225"/>
      <c r="MJX181" s="225"/>
      <c r="MJY181" s="225"/>
      <c r="MJZ181" s="225"/>
      <c r="MKA181" s="225"/>
      <c r="MKB181" s="225"/>
      <c r="MKC181" s="225"/>
      <c r="MKD181" s="225"/>
      <c r="MKE181" s="225"/>
      <c r="MKF181" s="225"/>
      <c r="MKG181" s="225"/>
      <c r="MKH181" s="225"/>
      <c r="MKI181" s="225"/>
      <c r="MKJ181" s="225"/>
      <c r="MKK181" s="225"/>
      <c r="MKL181" s="225"/>
      <c r="MKM181" s="225"/>
      <c r="MKN181" s="225"/>
      <c r="MKO181" s="225"/>
      <c r="MKP181" s="225"/>
      <c r="MKQ181" s="225"/>
      <c r="MKR181" s="225"/>
      <c r="MKS181" s="225"/>
      <c r="MKT181" s="225"/>
      <c r="MKU181" s="225"/>
      <c r="MKV181" s="225"/>
      <c r="MKW181" s="225"/>
      <c r="MKX181" s="225"/>
      <c r="MKY181" s="225"/>
      <c r="MKZ181" s="225"/>
      <c r="MLA181" s="225"/>
      <c r="MLB181" s="225"/>
      <c r="MLC181" s="225"/>
      <c r="MLD181" s="225"/>
      <c r="MLE181" s="225"/>
      <c r="MLF181" s="225"/>
      <c r="MLG181" s="225"/>
      <c r="MLH181" s="225"/>
      <c r="MLI181" s="225"/>
      <c r="MLJ181" s="225"/>
      <c r="MLK181" s="225"/>
      <c r="MLL181" s="225"/>
      <c r="MLM181" s="225"/>
      <c r="MLN181" s="225"/>
      <c r="MLO181" s="225"/>
      <c r="MLP181" s="225"/>
      <c r="MLQ181" s="225"/>
      <c r="MLR181" s="225"/>
      <c r="MLS181" s="225"/>
      <c r="MLT181" s="225"/>
      <c r="MLU181" s="225"/>
      <c r="MLV181" s="225"/>
      <c r="MLW181" s="225"/>
      <c r="MLX181" s="225"/>
      <c r="MLY181" s="225"/>
      <c r="MLZ181" s="225"/>
      <c r="MMA181" s="225"/>
      <c r="MMB181" s="225"/>
      <c r="MMC181" s="225"/>
      <c r="MMD181" s="225"/>
      <c r="MME181" s="225"/>
      <c r="MMF181" s="225"/>
      <c r="MMG181" s="225"/>
      <c r="MMH181" s="225"/>
      <c r="MMI181" s="225"/>
      <c r="MMJ181" s="225"/>
      <c r="MMK181" s="225"/>
      <c r="MML181" s="225"/>
      <c r="MMM181" s="225"/>
      <c r="MMN181" s="225"/>
      <c r="MMO181" s="225"/>
      <c r="MMP181" s="225"/>
      <c r="MMQ181" s="225"/>
      <c r="MMR181" s="225"/>
      <c r="MMS181" s="225"/>
      <c r="MMT181" s="225"/>
      <c r="MMU181" s="225"/>
      <c r="MMV181" s="225"/>
      <c r="MMW181" s="225"/>
      <c r="MMX181" s="225"/>
      <c r="MMY181" s="225"/>
      <c r="MMZ181" s="225"/>
      <c r="MNA181" s="225"/>
      <c r="MNB181" s="225"/>
      <c r="MNC181" s="225"/>
      <c r="MND181" s="225"/>
      <c r="MNE181" s="225"/>
      <c r="MNF181" s="225"/>
      <c r="MNG181" s="225"/>
      <c r="MNH181" s="225"/>
      <c r="MNI181" s="225"/>
      <c r="MNJ181" s="225"/>
      <c r="MNK181" s="225"/>
      <c r="MNL181" s="225"/>
      <c r="MNM181" s="225"/>
      <c r="MNN181" s="225"/>
      <c r="MNO181" s="225"/>
      <c r="MNP181" s="225"/>
      <c r="MNQ181" s="225"/>
      <c r="MNR181" s="225"/>
      <c r="MNS181" s="225"/>
      <c r="MNT181" s="225"/>
      <c r="MNU181" s="225"/>
      <c r="MNV181" s="225"/>
      <c r="MNW181" s="225"/>
      <c r="MNX181" s="225"/>
      <c r="MNY181" s="225"/>
      <c r="MNZ181" s="225"/>
      <c r="MOA181" s="225"/>
      <c r="MOB181" s="225"/>
      <c r="MOC181" s="225"/>
      <c r="MOD181" s="225"/>
      <c r="MOE181" s="225"/>
      <c r="MOF181" s="225"/>
      <c r="MOG181" s="225"/>
      <c r="MOH181" s="225"/>
      <c r="MOI181" s="225"/>
      <c r="MOJ181" s="225"/>
      <c r="MOK181" s="225"/>
      <c r="MOL181" s="225"/>
      <c r="MOM181" s="225"/>
      <c r="MON181" s="225"/>
      <c r="MOO181" s="225"/>
      <c r="MOP181" s="225"/>
      <c r="MOQ181" s="225"/>
      <c r="MOR181" s="225"/>
      <c r="MOS181" s="225"/>
      <c r="MOT181" s="225"/>
      <c r="MOU181" s="225"/>
      <c r="MOV181" s="225"/>
      <c r="MOW181" s="225"/>
      <c r="MOX181" s="225"/>
      <c r="MOY181" s="225"/>
      <c r="MOZ181" s="225"/>
      <c r="MPA181" s="225"/>
      <c r="MPB181" s="225"/>
      <c r="MPC181" s="225"/>
      <c r="MPD181" s="225"/>
      <c r="MPE181" s="225"/>
      <c r="MPF181" s="225"/>
      <c r="MPG181" s="225"/>
      <c r="MPH181" s="225"/>
      <c r="MPI181" s="225"/>
      <c r="MPJ181" s="225"/>
      <c r="MPK181" s="225"/>
      <c r="MPL181" s="225"/>
      <c r="MPM181" s="225"/>
      <c r="MPN181" s="225"/>
      <c r="MPO181" s="225"/>
      <c r="MPP181" s="225"/>
      <c r="MPQ181" s="225"/>
      <c r="MPR181" s="225"/>
      <c r="MPS181" s="225"/>
      <c r="MPT181" s="225"/>
      <c r="MPU181" s="225"/>
      <c r="MPV181" s="225"/>
      <c r="MPW181" s="225"/>
      <c r="MPX181" s="225"/>
      <c r="MPY181" s="225"/>
      <c r="MPZ181" s="225"/>
      <c r="MQA181" s="225"/>
      <c r="MQB181" s="225"/>
      <c r="MQC181" s="225"/>
      <c r="MQD181" s="225"/>
      <c r="MQE181" s="225"/>
      <c r="MQF181" s="225"/>
      <c r="MQG181" s="225"/>
      <c r="MQH181" s="225"/>
      <c r="MQI181" s="225"/>
      <c r="MQJ181" s="225"/>
      <c r="MQK181" s="225"/>
      <c r="MQL181" s="225"/>
      <c r="MQM181" s="225"/>
      <c r="MQN181" s="225"/>
      <c r="MQO181" s="225"/>
      <c r="MQP181" s="225"/>
      <c r="MQQ181" s="225"/>
      <c r="MQR181" s="225"/>
      <c r="MQS181" s="225"/>
      <c r="MQT181" s="225"/>
      <c r="MQU181" s="225"/>
      <c r="MQV181" s="225"/>
      <c r="MQW181" s="225"/>
      <c r="MQX181" s="225"/>
      <c r="MQY181" s="225"/>
      <c r="MQZ181" s="225"/>
      <c r="MRA181" s="225"/>
      <c r="MRB181" s="225"/>
      <c r="MRC181" s="225"/>
      <c r="MRD181" s="225"/>
      <c r="MRE181" s="225"/>
      <c r="MRF181" s="225"/>
      <c r="MRG181" s="225"/>
      <c r="MRH181" s="225"/>
      <c r="MRI181" s="225"/>
      <c r="MRJ181" s="225"/>
      <c r="MRK181" s="225"/>
      <c r="MRL181" s="225"/>
      <c r="MRM181" s="225"/>
      <c r="MRN181" s="225"/>
      <c r="MRO181" s="225"/>
      <c r="MRP181" s="225"/>
      <c r="MRQ181" s="225"/>
      <c r="MRR181" s="225"/>
      <c r="MRS181" s="225"/>
      <c r="MRT181" s="225"/>
      <c r="MRU181" s="225"/>
      <c r="MRV181" s="225"/>
      <c r="MRW181" s="225"/>
      <c r="MRX181" s="225"/>
      <c r="MRY181" s="225"/>
      <c r="MRZ181" s="225"/>
      <c r="MSA181" s="225"/>
      <c r="MSB181" s="225"/>
      <c r="MSC181" s="225"/>
      <c r="MSD181" s="225"/>
      <c r="MSE181" s="225"/>
      <c r="MSF181" s="225"/>
      <c r="MSG181" s="225"/>
      <c r="MSH181" s="225"/>
      <c r="MSI181" s="225"/>
      <c r="MSJ181" s="225"/>
      <c r="MSK181" s="225"/>
      <c r="MSL181" s="225"/>
      <c r="MSM181" s="225"/>
      <c r="MSN181" s="225"/>
      <c r="MSO181" s="225"/>
      <c r="MSP181" s="225"/>
      <c r="MSQ181" s="225"/>
      <c r="MSR181" s="225"/>
      <c r="MSS181" s="225"/>
      <c r="MST181" s="225"/>
      <c r="MSU181" s="225"/>
      <c r="MSV181" s="225"/>
      <c r="MSW181" s="225"/>
      <c r="MSX181" s="225"/>
      <c r="MSY181" s="225"/>
      <c r="MSZ181" s="225"/>
      <c r="MTA181" s="225"/>
      <c r="MTB181" s="225"/>
      <c r="MTC181" s="225"/>
      <c r="MTD181" s="225"/>
      <c r="MTE181" s="225"/>
      <c r="MTF181" s="225"/>
      <c r="MTG181" s="225"/>
      <c r="MTH181" s="225"/>
      <c r="MTI181" s="225"/>
      <c r="MTJ181" s="225"/>
      <c r="MTK181" s="225"/>
      <c r="MTL181" s="225"/>
      <c r="MTM181" s="225"/>
      <c r="MTN181" s="225"/>
      <c r="MTO181" s="225"/>
      <c r="MTP181" s="225"/>
      <c r="MTQ181" s="225"/>
      <c r="MTR181" s="225"/>
      <c r="MTS181" s="225"/>
      <c r="MTT181" s="225"/>
      <c r="MTU181" s="225"/>
      <c r="MTV181" s="225"/>
      <c r="MTW181" s="225"/>
      <c r="MTX181" s="225"/>
      <c r="MTY181" s="225"/>
      <c r="MTZ181" s="225"/>
      <c r="MUA181" s="225"/>
      <c r="MUB181" s="225"/>
      <c r="MUC181" s="225"/>
      <c r="MUD181" s="225"/>
      <c r="MUE181" s="225"/>
      <c r="MUF181" s="225"/>
      <c r="MUG181" s="225"/>
      <c r="MUH181" s="225"/>
      <c r="MUI181" s="225"/>
      <c r="MUJ181" s="225"/>
      <c r="MUK181" s="225"/>
      <c r="MUL181" s="225"/>
      <c r="MUM181" s="225"/>
      <c r="MUN181" s="225"/>
      <c r="MUO181" s="225"/>
      <c r="MUP181" s="225"/>
      <c r="MUQ181" s="225"/>
      <c r="MUR181" s="225"/>
      <c r="MUS181" s="225"/>
      <c r="MUT181" s="225"/>
      <c r="MUU181" s="225"/>
      <c r="MUV181" s="225"/>
      <c r="MUW181" s="225"/>
      <c r="MUX181" s="225"/>
      <c r="MUY181" s="225"/>
      <c r="MUZ181" s="225"/>
      <c r="MVA181" s="225"/>
      <c r="MVB181" s="225"/>
      <c r="MVC181" s="225"/>
      <c r="MVD181" s="225"/>
      <c r="MVE181" s="225"/>
      <c r="MVF181" s="225"/>
      <c r="MVG181" s="225"/>
      <c r="MVH181" s="225"/>
      <c r="MVI181" s="225"/>
      <c r="MVJ181" s="225"/>
      <c r="MVK181" s="225"/>
      <c r="MVL181" s="225"/>
      <c r="MVM181" s="225"/>
      <c r="MVN181" s="225"/>
      <c r="MVO181" s="225"/>
      <c r="MVP181" s="225"/>
      <c r="MVQ181" s="225"/>
      <c r="MVR181" s="225"/>
      <c r="MVS181" s="225"/>
      <c r="MVT181" s="225"/>
      <c r="MVU181" s="225"/>
      <c r="MVV181" s="225"/>
      <c r="MVW181" s="225"/>
      <c r="MVX181" s="225"/>
      <c r="MVY181" s="225"/>
      <c r="MVZ181" s="225"/>
      <c r="MWA181" s="225"/>
      <c r="MWB181" s="225"/>
      <c r="MWC181" s="225"/>
      <c r="MWD181" s="225"/>
      <c r="MWE181" s="225"/>
      <c r="MWF181" s="225"/>
      <c r="MWG181" s="225"/>
      <c r="MWH181" s="225"/>
      <c r="MWI181" s="225"/>
      <c r="MWJ181" s="225"/>
      <c r="MWK181" s="225"/>
      <c r="MWL181" s="225"/>
      <c r="MWM181" s="225"/>
      <c r="MWN181" s="225"/>
      <c r="MWO181" s="225"/>
      <c r="MWP181" s="225"/>
      <c r="MWQ181" s="225"/>
      <c r="MWR181" s="225"/>
      <c r="MWS181" s="225"/>
      <c r="MWT181" s="225"/>
      <c r="MWU181" s="225"/>
      <c r="MWV181" s="225"/>
      <c r="MWW181" s="225"/>
      <c r="MWX181" s="225"/>
      <c r="MWY181" s="225"/>
      <c r="MWZ181" s="225"/>
      <c r="MXA181" s="225"/>
      <c r="MXB181" s="225"/>
      <c r="MXC181" s="225"/>
      <c r="MXD181" s="225"/>
      <c r="MXE181" s="225"/>
      <c r="MXF181" s="225"/>
      <c r="MXG181" s="225"/>
      <c r="MXH181" s="225"/>
      <c r="MXI181" s="225"/>
      <c r="MXJ181" s="225"/>
      <c r="MXK181" s="225"/>
      <c r="MXL181" s="225"/>
      <c r="MXM181" s="225"/>
      <c r="MXN181" s="225"/>
      <c r="MXO181" s="225"/>
      <c r="MXP181" s="225"/>
      <c r="MXQ181" s="225"/>
      <c r="MXR181" s="225"/>
      <c r="MXS181" s="225"/>
      <c r="MXT181" s="225"/>
      <c r="MXU181" s="225"/>
      <c r="MXV181" s="225"/>
      <c r="MXW181" s="225"/>
      <c r="MXX181" s="225"/>
      <c r="MXY181" s="225"/>
      <c r="MXZ181" s="225"/>
      <c r="MYA181" s="225"/>
      <c r="MYB181" s="225"/>
      <c r="MYC181" s="225"/>
      <c r="MYD181" s="225"/>
      <c r="MYE181" s="225"/>
      <c r="MYF181" s="225"/>
      <c r="MYG181" s="225"/>
      <c r="MYH181" s="225"/>
      <c r="MYI181" s="225"/>
      <c r="MYJ181" s="225"/>
      <c r="MYK181" s="225"/>
      <c r="MYL181" s="225"/>
      <c r="MYM181" s="225"/>
      <c r="MYN181" s="225"/>
      <c r="MYO181" s="225"/>
      <c r="MYP181" s="225"/>
      <c r="MYQ181" s="225"/>
      <c r="MYR181" s="225"/>
      <c r="MYS181" s="225"/>
      <c r="MYT181" s="225"/>
      <c r="MYU181" s="225"/>
      <c r="MYV181" s="225"/>
      <c r="MYW181" s="225"/>
      <c r="MYX181" s="225"/>
      <c r="MYY181" s="225"/>
      <c r="MYZ181" s="225"/>
      <c r="MZA181" s="225"/>
      <c r="MZB181" s="225"/>
      <c r="MZC181" s="225"/>
      <c r="MZD181" s="225"/>
      <c r="MZE181" s="225"/>
      <c r="MZF181" s="225"/>
      <c r="MZG181" s="225"/>
      <c r="MZH181" s="225"/>
      <c r="MZI181" s="225"/>
      <c r="MZJ181" s="225"/>
      <c r="MZK181" s="225"/>
      <c r="MZL181" s="225"/>
      <c r="MZM181" s="225"/>
      <c r="MZN181" s="225"/>
      <c r="MZO181" s="225"/>
      <c r="MZP181" s="225"/>
      <c r="MZQ181" s="225"/>
      <c r="MZR181" s="225"/>
      <c r="MZS181" s="225"/>
      <c r="MZT181" s="225"/>
      <c r="MZU181" s="225"/>
      <c r="MZV181" s="225"/>
      <c r="MZW181" s="225"/>
      <c r="MZX181" s="225"/>
      <c r="MZY181" s="225"/>
      <c r="MZZ181" s="225"/>
      <c r="NAA181" s="225"/>
      <c r="NAB181" s="225"/>
      <c r="NAC181" s="225"/>
      <c r="NAD181" s="225"/>
      <c r="NAE181" s="225"/>
      <c r="NAF181" s="225"/>
      <c r="NAG181" s="225"/>
      <c r="NAH181" s="225"/>
      <c r="NAI181" s="225"/>
      <c r="NAJ181" s="225"/>
      <c r="NAK181" s="225"/>
      <c r="NAL181" s="225"/>
      <c r="NAM181" s="225"/>
      <c r="NAN181" s="225"/>
      <c r="NAO181" s="225"/>
      <c r="NAP181" s="225"/>
      <c r="NAQ181" s="225"/>
      <c r="NAR181" s="225"/>
      <c r="NAS181" s="225"/>
      <c r="NAT181" s="225"/>
      <c r="NAU181" s="225"/>
      <c r="NAV181" s="225"/>
      <c r="NAW181" s="225"/>
      <c r="NAX181" s="225"/>
      <c r="NAY181" s="225"/>
      <c r="NAZ181" s="225"/>
      <c r="NBA181" s="225"/>
      <c r="NBB181" s="225"/>
      <c r="NBC181" s="225"/>
      <c r="NBD181" s="225"/>
      <c r="NBE181" s="225"/>
      <c r="NBF181" s="225"/>
      <c r="NBG181" s="225"/>
      <c r="NBH181" s="225"/>
      <c r="NBI181" s="225"/>
      <c r="NBJ181" s="225"/>
      <c r="NBK181" s="225"/>
      <c r="NBL181" s="225"/>
      <c r="NBM181" s="225"/>
      <c r="NBN181" s="225"/>
      <c r="NBO181" s="225"/>
      <c r="NBP181" s="225"/>
      <c r="NBQ181" s="225"/>
      <c r="NBR181" s="225"/>
      <c r="NBS181" s="225"/>
      <c r="NBT181" s="225"/>
      <c r="NBU181" s="225"/>
      <c r="NBV181" s="225"/>
      <c r="NBW181" s="225"/>
      <c r="NBX181" s="225"/>
      <c r="NBY181" s="225"/>
      <c r="NBZ181" s="225"/>
      <c r="NCA181" s="225"/>
      <c r="NCB181" s="225"/>
      <c r="NCC181" s="225"/>
      <c r="NCD181" s="225"/>
      <c r="NCE181" s="225"/>
      <c r="NCF181" s="225"/>
      <c r="NCG181" s="225"/>
      <c r="NCH181" s="225"/>
      <c r="NCI181" s="225"/>
      <c r="NCJ181" s="225"/>
      <c r="NCK181" s="225"/>
      <c r="NCL181" s="225"/>
      <c r="NCM181" s="225"/>
      <c r="NCN181" s="225"/>
      <c r="NCO181" s="225"/>
      <c r="NCP181" s="225"/>
      <c r="NCQ181" s="225"/>
      <c r="NCR181" s="225"/>
      <c r="NCS181" s="225"/>
      <c r="NCT181" s="225"/>
      <c r="NCU181" s="225"/>
      <c r="NCV181" s="225"/>
      <c r="NCW181" s="225"/>
      <c r="NCX181" s="225"/>
      <c r="NCY181" s="225"/>
      <c r="NCZ181" s="225"/>
      <c r="NDA181" s="225"/>
      <c r="NDB181" s="225"/>
      <c r="NDC181" s="225"/>
      <c r="NDD181" s="225"/>
      <c r="NDE181" s="225"/>
      <c r="NDF181" s="225"/>
      <c r="NDG181" s="225"/>
      <c r="NDH181" s="225"/>
      <c r="NDI181" s="225"/>
      <c r="NDJ181" s="225"/>
      <c r="NDK181" s="225"/>
      <c r="NDL181" s="225"/>
      <c r="NDM181" s="225"/>
      <c r="NDN181" s="225"/>
      <c r="NDO181" s="225"/>
      <c r="NDP181" s="225"/>
      <c r="NDQ181" s="225"/>
      <c r="NDR181" s="225"/>
      <c r="NDS181" s="225"/>
      <c r="NDT181" s="225"/>
      <c r="NDU181" s="225"/>
      <c r="NDV181" s="225"/>
      <c r="NDW181" s="225"/>
      <c r="NDX181" s="225"/>
      <c r="NDY181" s="225"/>
      <c r="NDZ181" s="225"/>
      <c r="NEA181" s="225"/>
      <c r="NEB181" s="225"/>
      <c r="NEC181" s="225"/>
      <c r="NED181" s="225"/>
      <c r="NEE181" s="225"/>
      <c r="NEF181" s="225"/>
      <c r="NEG181" s="225"/>
      <c r="NEH181" s="225"/>
      <c r="NEI181" s="225"/>
      <c r="NEJ181" s="225"/>
      <c r="NEK181" s="225"/>
      <c r="NEL181" s="225"/>
      <c r="NEM181" s="225"/>
      <c r="NEN181" s="225"/>
      <c r="NEO181" s="225"/>
      <c r="NEP181" s="225"/>
      <c r="NEQ181" s="225"/>
      <c r="NER181" s="225"/>
      <c r="NES181" s="225"/>
      <c r="NET181" s="225"/>
      <c r="NEU181" s="225"/>
      <c r="NEV181" s="225"/>
      <c r="NEW181" s="225"/>
      <c r="NEX181" s="225"/>
      <c r="NEY181" s="225"/>
      <c r="NEZ181" s="225"/>
      <c r="NFA181" s="225"/>
      <c r="NFB181" s="225"/>
      <c r="NFC181" s="225"/>
      <c r="NFD181" s="225"/>
      <c r="NFE181" s="225"/>
      <c r="NFF181" s="225"/>
      <c r="NFG181" s="225"/>
      <c r="NFH181" s="225"/>
      <c r="NFI181" s="225"/>
      <c r="NFJ181" s="225"/>
      <c r="NFK181" s="225"/>
      <c r="NFL181" s="225"/>
      <c r="NFM181" s="225"/>
      <c r="NFN181" s="225"/>
      <c r="NFO181" s="225"/>
      <c r="NFP181" s="225"/>
      <c r="NFQ181" s="225"/>
      <c r="NFR181" s="225"/>
      <c r="NFS181" s="225"/>
      <c r="NFT181" s="225"/>
      <c r="NFU181" s="225"/>
      <c r="NFV181" s="225"/>
      <c r="NFW181" s="225"/>
      <c r="NFX181" s="225"/>
      <c r="NFY181" s="225"/>
      <c r="NFZ181" s="225"/>
      <c r="NGA181" s="225"/>
      <c r="NGB181" s="225"/>
      <c r="NGC181" s="225"/>
      <c r="NGD181" s="225"/>
      <c r="NGE181" s="225"/>
      <c r="NGF181" s="225"/>
      <c r="NGG181" s="225"/>
      <c r="NGH181" s="225"/>
      <c r="NGI181" s="225"/>
      <c r="NGJ181" s="225"/>
      <c r="NGK181" s="225"/>
      <c r="NGL181" s="225"/>
      <c r="NGM181" s="225"/>
      <c r="NGN181" s="225"/>
      <c r="NGO181" s="225"/>
      <c r="NGP181" s="225"/>
      <c r="NGQ181" s="225"/>
      <c r="NGR181" s="225"/>
      <c r="NGS181" s="225"/>
      <c r="NGT181" s="225"/>
      <c r="NGU181" s="225"/>
      <c r="NGV181" s="225"/>
      <c r="NGW181" s="225"/>
      <c r="NGX181" s="225"/>
      <c r="NGY181" s="225"/>
      <c r="NGZ181" s="225"/>
      <c r="NHA181" s="225"/>
      <c r="NHB181" s="225"/>
      <c r="NHC181" s="225"/>
      <c r="NHD181" s="225"/>
      <c r="NHE181" s="225"/>
      <c r="NHF181" s="225"/>
      <c r="NHG181" s="225"/>
      <c r="NHH181" s="225"/>
      <c r="NHI181" s="225"/>
      <c r="NHJ181" s="225"/>
      <c r="NHK181" s="225"/>
      <c r="NHL181" s="225"/>
      <c r="NHM181" s="225"/>
      <c r="NHN181" s="225"/>
      <c r="NHO181" s="225"/>
      <c r="NHP181" s="225"/>
      <c r="NHQ181" s="225"/>
      <c r="NHR181" s="225"/>
      <c r="NHS181" s="225"/>
      <c r="NHT181" s="225"/>
      <c r="NHU181" s="225"/>
      <c r="NHV181" s="225"/>
      <c r="NHW181" s="225"/>
      <c r="NHX181" s="225"/>
      <c r="NHY181" s="225"/>
      <c r="NHZ181" s="225"/>
      <c r="NIA181" s="225"/>
      <c r="NIB181" s="225"/>
      <c r="NIC181" s="225"/>
      <c r="NID181" s="225"/>
      <c r="NIE181" s="225"/>
      <c r="NIF181" s="225"/>
      <c r="NIG181" s="225"/>
      <c r="NIH181" s="225"/>
      <c r="NII181" s="225"/>
      <c r="NIJ181" s="225"/>
      <c r="NIK181" s="225"/>
      <c r="NIL181" s="225"/>
      <c r="NIM181" s="225"/>
      <c r="NIN181" s="225"/>
      <c r="NIO181" s="225"/>
      <c r="NIP181" s="225"/>
      <c r="NIQ181" s="225"/>
      <c r="NIR181" s="225"/>
      <c r="NIS181" s="225"/>
      <c r="NIT181" s="225"/>
      <c r="NIU181" s="225"/>
      <c r="NIV181" s="225"/>
      <c r="NIW181" s="225"/>
      <c r="NIX181" s="225"/>
      <c r="NIY181" s="225"/>
      <c r="NIZ181" s="225"/>
      <c r="NJA181" s="225"/>
      <c r="NJB181" s="225"/>
      <c r="NJC181" s="225"/>
      <c r="NJD181" s="225"/>
      <c r="NJE181" s="225"/>
      <c r="NJF181" s="225"/>
      <c r="NJG181" s="225"/>
      <c r="NJH181" s="225"/>
      <c r="NJI181" s="225"/>
      <c r="NJJ181" s="225"/>
      <c r="NJK181" s="225"/>
      <c r="NJL181" s="225"/>
      <c r="NJM181" s="225"/>
      <c r="NJN181" s="225"/>
      <c r="NJO181" s="225"/>
      <c r="NJP181" s="225"/>
      <c r="NJQ181" s="225"/>
      <c r="NJR181" s="225"/>
      <c r="NJS181" s="225"/>
      <c r="NJT181" s="225"/>
      <c r="NJU181" s="225"/>
      <c r="NJV181" s="225"/>
      <c r="NJW181" s="225"/>
      <c r="NJX181" s="225"/>
      <c r="NJY181" s="225"/>
      <c r="NJZ181" s="225"/>
      <c r="NKA181" s="225"/>
      <c r="NKB181" s="225"/>
      <c r="NKC181" s="225"/>
      <c r="NKD181" s="225"/>
      <c r="NKE181" s="225"/>
      <c r="NKF181" s="225"/>
      <c r="NKG181" s="225"/>
      <c r="NKH181" s="225"/>
      <c r="NKI181" s="225"/>
      <c r="NKJ181" s="225"/>
      <c r="NKK181" s="225"/>
      <c r="NKL181" s="225"/>
      <c r="NKM181" s="225"/>
      <c r="NKN181" s="225"/>
      <c r="NKO181" s="225"/>
      <c r="NKP181" s="225"/>
      <c r="NKQ181" s="225"/>
      <c r="NKR181" s="225"/>
      <c r="NKS181" s="225"/>
      <c r="NKT181" s="225"/>
      <c r="NKU181" s="225"/>
      <c r="NKV181" s="225"/>
      <c r="NKW181" s="225"/>
      <c r="NKX181" s="225"/>
      <c r="NKY181" s="225"/>
      <c r="NKZ181" s="225"/>
      <c r="NLA181" s="225"/>
      <c r="NLB181" s="225"/>
      <c r="NLC181" s="225"/>
      <c r="NLD181" s="225"/>
      <c r="NLE181" s="225"/>
      <c r="NLF181" s="225"/>
      <c r="NLG181" s="225"/>
      <c r="NLH181" s="225"/>
      <c r="NLI181" s="225"/>
      <c r="NLJ181" s="225"/>
      <c r="NLK181" s="225"/>
      <c r="NLL181" s="225"/>
      <c r="NLM181" s="225"/>
      <c r="NLN181" s="225"/>
      <c r="NLO181" s="225"/>
      <c r="NLP181" s="225"/>
      <c r="NLQ181" s="225"/>
      <c r="NLR181" s="225"/>
      <c r="NLS181" s="225"/>
      <c r="NLT181" s="225"/>
      <c r="NLU181" s="225"/>
      <c r="NLV181" s="225"/>
      <c r="NLW181" s="225"/>
      <c r="NLX181" s="225"/>
      <c r="NLY181" s="225"/>
      <c r="NLZ181" s="225"/>
      <c r="NMA181" s="225"/>
      <c r="NMB181" s="225"/>
      <c r="NMC181" s="225"/>
      <c r="NMD181" s="225"/>
      <c r="NME181" s="225"/>
      <c r="NMF181" s="225"/>
      <c r="NMG181" s="225"/>
      <c r="NMH181" s="225"/>
      <c r="NMI181" s="225"/>
      <c r="NMJ181" s="225"/>
      <c r="NMK181" s="225"/>
      <c r="NML181" s="225"/>
      <c r="NMM181" s="225"/>
      <c r="NMN181" s="225"/>
      <c r="NMO181" s="225"/>
      <c r="NMP181" s="225"/>
      <c r="NMQ181" s="225"/>
      <c r="NMR181" s="225"/>
      <c r="NMS181" s="225"/>
      <c r="NMT181" s="225"/>
      <c r="NMU181" s="225"/>
      <c r="NMV181" s="225"/>
      <c r="NMW181" s="225"/>
      <c r="NMX181" s="225"/>
      <c r="NMY181" s="225"/>
      <c r="NMZ181" s="225"/>
      <c r="NNA181" s="225"/>
      <c r="NNB181" s="225"/>
      <c r="NNC181" s="225"/>
      <c r="NND181" s="225"/>
      <c r="NNE181" s="225"/>
      <c r="NNF181" s="225"/>
      <c r="NNG181" s="225"/>
      <c r="NNH181" s="225"/>
      <c r="NNI181" s="225"/>
      <c r="NNJ181" s="225"/>
      <c r="NNK181" s="225"/>
      <c r="NNL181" s="225"/>
      <c r="NNM181" s="225"/>
      <c r="NNN181" s="225"/>
      <c r="NNO181" s="225"/>
      <c r="NNP181" s="225"/>
      <c r="NNQ181" s="225"/>
      <c r="NNR181" s="225"/>
      <c r="NNS181" s="225"/>
      <c r="NNT181" s="225"/>
      <c r="NNU181" s="225"/>
      <c r="NNV181" s="225"/>
      <c r="NNW181" s="225"/>
      <c r="NNX181" s="225"/>
      <c r="NNY181" s="225"/>
      <c r="NNZ181" s="225"/>
      <c r="NOA181" s="225"/>
      <c r="NOB181" s="225"/>
      <c r="NOC181" s="225"/>
      <c r="NOD181" s="225"/>
      <c r="NOE181" s="225"/>
      <c r="NOF181" s="225"/>
      <c r="NOG181" s="225"/>
      <c r="NOH181" s="225"/>
      <c r="NOI181" s="225"/>
      <c r="NOJ181" s="225"/>
      <c r="NOK181" s="225"/>
      <c r="NOL181" s="225"/>
      <c r="NOM181" s="225"/>
      <c r="NON181" s="225"/>
      <c r="NOO181" s="225"/>
      <c r="NOP181" s="225"/>
      <c r="NOQ181" s="225"/>
      <c r="NOR181" s="225"/>
      <c r="NOS181" s="225"/>
      <c r="NOT181" s="225"/>
      <c r="NOU181" s="225"/>
      <c r="NOV181" s="225"/>
      <c r="NOW181" s="225"/>
      <c r="NOX181" s="225"/>
      <c r="NOY181" s="225"/>
      <c r="NOZ181" s="225"/>
      <c r="NPA181" s="225"/>
      <c r="NPB181" s="225"/>
      <c r="NPC181" s="225"/>
      <c r="NPD181" s="225"/>
      <c r="NPE181" s="225"/>
      <c r="NPF181" s="225"/>
      <c r="NPG181" s="225"/>
      <c r="NPH181" s="225"/>
      <c r="NPI181" s="225"/>
      <c r="NPJ181" s="225"/>
      <c r="NPK181" s="225"/>
      <c r="NPL181" s="225"/>
      <c r="NPM181" s="225"/>
      <c r="NPN181" s="225"/>
      <c r="NPO181" s="225"/>
      <c r="NPP181" s="225"/>
      <c r="NPQ181" s="225"/>
      <c r="NPR181" s="225"/>
      <c r="NPS181" s="225"/>
      <c r="NPT181" s="225"/>
      <c r="NPU181" s="225"/>
      <c r="NPV181" s="225"/>
      <c r="NPW181" s="225"/>
      <c r="NPX181" s="225"/>
      <c r="NPY181" s="225"/>
      <c r="NPZ181" s="225"/>
      <c r="NQA181" s="225"/>
      <c r="NQB181" s="225"/>
      <c r="NQC181" s="225"/>
      <c r="NQD181" s="225"/>
      <c r="NQE181" s="225"/>
      <c r="NQF181" s="225"/>
      <c r="NQG181" s="225"/>
      <c r="NQH181" s="225"/>
      <c r="NQI181" s="225"/>
      <c r="NQJ181" s="225"/>
      <c r="NQK181" s="225"/>
      <c r="NQL181" s="225"/>
      <c r="NQM181" s="225"/>
      <c r="NQN181" s="225"/>
      <c r="NQO181" s="225"/>
      <c r="NQP181" s="225"/>
      <c r="NQQ181" s="225"/>
      <c r="NQR181" s="225"/>
      <c r="NQS181" s="225"/>
      <c r="NQT181" s="225"/>
      <c r="NQU181" s="225"/>
      <c r="NQV181" s="225"/>
      <c r="NQW181" s="225"/>
      <c r="NQX181" s="225"/>
      <c r="NQY181" s="225"/>
      <c r="NQZ181" s="225"/>
      <c r="NRA181" s="225"/>
      <c r="NRB181" s="225"/>
      <c r="NRC181" s="225"/>
      <c r="NRD181" s="225"/>
      <c r="NRE181" s="225"/>
      <c r="NRF181" s="225"/>
      <c r="NRG181" s="225"/>
      <c r="NRH181" s="225"/>
      <c r="NRI181" s="225"/>
      <c r="NRJ181" s="225"/>
      <c r="NRK181" s="225"/>
      <c r="NRL181" s="225"/>
      <c r="NRM181" s="225"/>
      <c r="NRN181" s="225"/>
      <c r="NRO181" s="225"/>
      <c r="NRP181" s="225"/>
      <c r="NRQ181" s="225"/>
      <c r="NRR181" s="225"/>
      <c r="NRS181" s="225"/>
      <c r="NRT181" s="225"/>
      <c r="NRU181" s="225"/>
      <c r="NRV181" s="225"/>
      <c r="NRW181" s="225"/>
      <c r="NRX181" s="225"/>
      <c r="NRY181" s="225"/>
      <c r="NRZ181" s="225"/>
      <c r="NSA181" s="225"/>
      <c r="NSB181" s="225"/>
      <c r="NSC181" s="225"/>
      <c r="NSD181" s="225"/>
      <c r="NSE181" s="225"/>
      <c r="NSF181" s="225"/>
      <c r="NSG181" s="225"/>
      <c r="NSH181" s="225"/>
      <c r="NSI181" s="225"/>
      <c r="NSJ181" s="225"/>
      <c r="NSK181" s="225"/>
      <c r="NSL181" s="225"/>
      <c r="NSM181" s="225"/>
      <c r="NSN181" s="225"/>
      <c r="NSO181" s="225"/>
      <c r="NSP181" s="225"/>
      <c r="NSQ181" s="225"/>
      <c r="NSR181" s="225"/>
      <c r="NSS181" s="225"/>
      <c r="NST181" s="225"/>
      <c r="NSU181" s="225"/>
      <c r="NSV181" s="225"/>
      <c r="NSW181" s="225"/>
      <c r="NSX181" s="225"/>
      <c r="NSY181" s="225"/>
      <c r="NSZ181" s="225"/>
      <c r="NTA181" s="225"/>
      <c r="NTB181" s="225"/>
      <c r="NTC181" s="225"/>
      <c r="NTD181" s="225"/>
      <c r="NTE181" s="225"/>
      <c r="NTF181" s="225"/>
      <c r="NTG181" s="225"/>
      <c r="NTH181" s="225"/>
      <c r="NTI181" s="225"/>
      <c r="NTJ181" s="225"/>
      <c r="NTK181" s="225"/>
      <c r="NTL181" s="225"/>
      <c r="NTM181" s="225"/>
      <c r="NTN181" s="225"/>
      <c r="NTO181" s="225"/>
      <c r="NTP181" s="225"/>
      <c r="NTQ181" s="225"/>
      <c r="NTR181" s="225"/>
      <c r="NTS181" s="225"/>
      <c r="NTT181" s="225"/>
      <c r="NTU181" s="225"/>
      <c r="NTV181" s="225"/>
      <c r="NTW181" s="225"/>
      <c r="NTX181" s="225"/>
      <c r="NTY181" s="225"/>
      <c r="NTZ181" s="225"/>
      <c r="NUA181" s="225"/>
      <c r="NUB181" s="225"/>
      <c r="NUC181" s="225"/>
      <c r="NUD181" s="225"/>
      <c r="NUE181" s="225"/>
      <c r="NUF181" s="225"/>
      <c r="NUG181" s="225"/>
      <c r="NUH181" s="225"/>
      <c r="NUI181" s="225"/>
      <c r="NUJ181" s="225"/>
      <c r="NUK181" s="225"/>
      <c r="NUL181" s="225"/>
      <c r="NUM181" s="225"/>
      <c r="NUN181" s="225"/>
      <c r="NUO181" s="225"/>
      <c r="NUP181" s="225"/>
      <c r="NUQ181" s="225"/>
      <c r="NUR181" s="225"/>
      <c r="NUS181" s="225"/>
      <c r="NUT181" s="225"/>
      <c r="NUU181" s="225"/>
      <c r="NUV181" s="225"/>
      <c r="NUW181" s="225"/>
      <c r="NUX181" s="225"/>
      <c r="NUY181" s="225"/>
      <c r="NUZ181" s="225"/>
      <c r="NVA181" s="225"/>
      <c r="NVB181" s="225"/>
      <c r="NVC181" s="225"/>
      <c r="NVD181" s="225"/>
      <c r="NVE181" s="225"/>
      <c r="NVF181" s="225"/>
      <c r="NVG181" s="225"/>
      <c r="NVH181" s="225"/>
      <c r="NVI181" s="225"/>
      <c r="NVJ181" s="225"/>
      <c r="NVK181" s="225"/>
      <c r="NVL181" s="225"/>
      <c r="NVM181" s="225"/>
      <c r="NVN181" s="225"/>
      <c r="NVO181" s="225"/>
      <c r="NVP181" s="225"/>
      <c r="NVQ181" s="225"/>
      <c r="NVR181" s="225"/>
      <c r="NVS181" s="225"/>
      <c r="NVT181" s="225"/>
      <c r="NVU181" s="225"/>
      <c r="NVV181" s="225"/>
      <c r="NVW181" s="225"/>
      <c r="NVX181" s="225"/>
      <c r="NVY181" s="225"/>
      <c r="NVZ181" s="225"/>
      <c r="NWA181" s="225"/>
      <c r="NWB181" s="225"/>
      <c r="NWC181" s="225"/>
      <c r="NWD181" s="225"/>
      <c r="NWE181" s="225"/>
      <c r="NWF181" s="225"/>
      <c r="NWG181" s="225"/>
      <c r="NWH181" s="225"/>
      <c r="NWI181" s="225"/>
      <c r="NWJ181" s="225"/>
      <c r="NWK181" s="225"/>
      <c r="NWL181" s="225"/>
      <c r="NWM181" s="225"/>
      <c r="NWN181" s="225"/>
      <c r="NWO181" s="225"/>
      <c r="NWP181" s="225"/>
      <c r="NWQ181" s="225"/>
      <c r="NWR181" s="225"/>
      <c r="NWS181" s="225"/>
      <c r="NWT181" s="225"/>
      <c r="NWU181" s="225"/>
      <c r="NWV181" s="225"/>
      <c r="NWW181" s="225"/>
      <c r="NWX181" s="225"/>
      <c r="NWY181" s="225"/>
      <c r="NWZ181" s="225"/>
      <c r="NXA181" s="225"/>
      <c r="NXB181" s="225"/>
      <c r="NXC181" s="225"/>
      <c r="NXD181" s="225"/>
      <c r="NXE181" s="225"/>
      <c r="NXF181" s="225"/>
      <c r="NXG181" s="225"/>
      <c r="NXH181" s="225"/>
      <c r="NXI181" s="225"/>
      <c r="NXJ181" s="225"/>
      <c r="NXK181" s="225"/>
      <c r="NXL181" s="225"/>
      <c r="NXM181" s="225"/>
      <c r="NXN181" s="225"/>
      <c r="NXO181" s="225"/>
      <c r="NXP181" s="225"/>
      <c r="NXQ181" s="225"/>
      <c r="NXR181" s="225"/>
      <c r="NXS181" s="225"/>
      <c r="NXT181" s="225"/>
      <c r="NXU181" s="225"/>
      <c r="NXV181" s="225"/>
      <c r="NXW181" s="225"/>
      <c r="NXX181" s="225"/>
      <c r="NXY181" s="225"/>
      <c r="NXZ181" s="225"/>
      <c r="NYA181" s="225"/>
      <c r="NYB181" s="225"/>
      <c r="NYC181" s="225"/>
      <c r="NYD181" s="225"/>
      <c r="NYE181" s="225"/>
      <c r="NYF181" s="225"/>
      <c r="NYG181" s="225"/>
      <c r="NYH181" s="225"/>
      <c r="NYI181" s="225"/>
      <c r="NYJ181" s="225"/>
      <c r="NYK181" s="225"/>
      <c r="NYL181" s="225"/>
      <c r="NYM181" s="225"/>
      <c r="NYN181" s="225"/>
      <c r="NYO181" s="225"/>
      <c r="NYP181" s="225"/>
      <c r="NYQ181" s="225"/>
      <c r="NYR181" s="225"/>
      <c r="NYS181" s="225"/>
      <c r="NYT181" s="225"/>
      <c r="NYU181" s="225"/>
      <c r="NYV181" s="225"/>
      <c r="NYW181" s="225"/>
      <c r="NYX181" s="225"/>
      <c r="NYY181" s="225"/>
      <c r="NYZ181" s="225"/>
      <c r="NZA181" s="225"/>
      <c r="NZB181" s="225"/>
      <c r="NZC181" s="225"/>
      <c r="NZD181" s="225"/>
      <c r="NZE181" s="225"/>
      <c r="NZF181" s="225"/>
      <c r="NZG181" s="225"/>
      <c r="NZH181" s="225"/>
      <c r="NZI181" s="225"/>
      <c r="NZJ181" s="225"/>
      <c r="NZK181" s="225"/>
      <c r="NZL181" s="225"/>
      <c r="NZM181" s="225"/>
      <c r="NZN181" s="225"/>
      <c r="NZO181" s="225"/>
      <c r="NZP181" s="225"/>
      <c r="NZQ181" s="225"/>
      <c r="NZR181" s="225"/>
      <c r="NZS181" s="225"/>
      <c r="NZT181" s="225"/>
      <c r="NZU181" s="225"/>
      <c r="NZV181" s="225"/>
      <c r="NZW181" s="225"/>
      <c r="NZX181" s="225"/>
      <c r="NZY181" s="225"/>
      <c r="NZZ181" s="225"/>
      <c r="OAA181" s="225"/>
      <c r="OAB181" s="225"/>
      <c r="OAC181" s="225"/>
      <c r="OAD181" s="225"/>
      <c r="OAE181" s="225"/>
      <c r="OAF181" s="225"/>
      <c r="OAG181" s="225"/>
      <c r="OAH181" s="225"/>
      <c r="OAI181" s="225"/>
      <c r="OAJ181" s="225"/>
      <c r="OAK181" s="225"/>
      <c r="OAL181" s="225"/>
      <c r="OAM181" s="225"/>
      <c r="OAN181" s="225"/>
      <c r="OAO181" s="225"/>
      <c r="OAP181" s="225"/>
      <c r="OAQ181" s="225"/>
      <c r="OAR181" s="225"/>
      <c r="OAS181" s="225"/>
      <c r="OAT181" s="225"/>
      <c r="OAU181" s="225"/>
      <c r="OAV181" s="225"/>
      <c r="OAW181" s="225"/>
      <c r="OAX181" s="225"/>
      <c r="OAY181" s="225"/>
      <c r="OAZ181" s="225"/>
      <c r="OBA181" s="225"/>
      <c r="OBB181" s="225"/>
      <c r="OBC181" s="225"/>
      <c r="OBD181" s="225"/>
      <c r="OBE181" s="225"/>
      <c r="OBF181" s="225"/>
      <c r="OBG181" s="225"/>
      <c r="OBH181" s="225"/>
      <c r="OBI181" s="225"/>
      <c r="OBJ181" s="225"/>
      <c r="OBK181" s="225"/>
      <c r="OBL181" s="225"/>
      <c r="OBM181" s="225"/>
      <c r="OBN181" s="225"/>
      <c r="OBO181" s="225"/>
      <c r="OBP181" s="225"/>
      <c r="OBQ181" s="225"/>
      <c r="OBR181" s="225"/>
      <c r="OBS181" s="225"/>
      <c r="OBT181" s="225"/>
      <c r="OBU181" s="225"/>
      <c r="OBV181" s="225"/>
      <c r="OBW181" s="225"/>
      <c r="OBX181" s="225"/>
      <c r="OBY181" s="225"/>
      <c r="OBZ181" s="225"/>
      <c r="OCA181" s="225"/>
      <c r="OCB181" s="225"/>
      <c r="OCC181" s="225"/>
      <c r="OCD181" s="225"/>
      <c r="OCE181" s="225"/>
      <c r="OCF181" s="225"/>
      <c r="OCG181" s="225"/>
      <c r="OCH181" s="225"/>
      <c r="OCI181" s="225"/>
      <c r="OCJ181" s="225"/>
      <c r="OCK181" s="225"/>
      <c r="OCL181" s="225"/>
      <c r="OCM181" s="225"/>
      <c r="OCN181" s="225"/>
      <c r="OCO181" s="225"/>
      <c r="OCP181" s="225"/>
      <c r="OCQ181" s="225"/>
      <c r="OCR181" s="225"/>
      <c r="OCS181" s="225"/>
      <c r="OCT181" s="225"/>
      <c r="OCU181" s="225"/>
      <c r="OCV181" s="225"/>
      <c r="OCW181" s="225"/>
      <c r="OCX181" s="225"/>
      <c r="OCY181" s="225"/>
      <c r="OCZ181" s="225"/>
      <c r="ODA181" s="225"/>
      <c r="ODB181" s="225"/>
      <c r="ODC181" s="225"/>
      <c r="ODD181" s="225"/>
      <c r="ODE181" s="225"/>
      <c r="ODF181" s="225"/>
      <c r="ODG181" s="225"/>
      <c r="ODH181" s="225"/>
      <c r="ODI181" s="225"/>
      <c r="ODJ181" s="225"/>
      <c r="ODK181" s="225"/>
      <c r="ODL181" s="225"/>
      <c r="ODM181" s="225"/>
      <c r="ODN181" s="225"/>
      <c r="ODO181" s="225"/>
      <c r="ODP181" s="225"/>
      <c r="ODQ181" s="225"/>
      <c r="ODR181" s="225"/>
      <c r="ODS181" s="225"/>
      <c r="ODT181" s="225"/>
      <c r="ODU181" s="225"/>
      <c r="ODV181" s="225"/>
      <c r="ODW181" s="225"/>
      <c r="ODX181" s="225"/>
      <c r="ODY181" s="225"/>
      <c r="ODZ181" s="225"/>
      <c r="OEA181" s="225"/>
      <c r="OEB181" s="225"/>
      <c r="OEC181" s="225"/>
      <c r="OED181" s="225"/>
      <c r="OEE181" s="225"/>
      <c r="OEF181" s="225"/>
      <c r="OEG181" s="225"/>
      <c r="OEH181" s="225"/>
      <c r="OEI181" s="225"/>
      <c r="OEJ181" s="225"/>
      <c r="OEK181" s="225"/>
      <c r="OEL181" s="225"/>
      <c r="OEM181" s="225"/>
      <c r="OEN181" s="225"/>
      <c r="OEO181" s="225"/>
      <c r="OEP181" s="225"/>
      <c r="OEQ181" s="225"/>
      <c r="OER181" s="225"/>
      <c r="OES181" s="225"/>
      <c r="OET181" s="225"/>
      <c r="OEU181" s="225"/>
      <c r="OEV181" s="225"/>
      <c r="OEW181" s="225"/>
      <c r="OEX181" s="225"/>
      <c r="OEY181" s="225"/>
      <c r="OEZ181" s="225"/>
      <c r="OFA181" s="225"/>
      <c r="OFB181" s="225"/>
      <c r="OFC181" s="225"/>
      <c r="OFD181" s="225"/>
      <c r="OFE181" s="225"/>
      <c r="OFF181" s="225"/>
      <c r="OFG181" s="225"/>
      <c r="OFH181" s="225"/>
      <c r="OFI181" s="225"/>
      <c r="OFJ181" s="225"/>
      <c r="OFK181" s="225"/>
      <c r="OFL181" s="225"/>
      <c r="OFM181" s="225"/>
      <c r="OFN181" s="225"/>
      <c r="OFO181" s="225"/>
      <c r="OFP181" s="225"/>
      <c r="OFQ181" s="225"/>
      <c r="OFR181" s="225"/>
      <c r="OFS181" s="225"/>
      <c r="OFT181" s="225"/>
      <c r="OFU181" s="225"/>
      <c r="OFV181" s="225"/>
      <c r="OFW181" s="225"/>
      <c r="OFX181" s="225"/>
      <c r="OFY181" s="225"/>
      <c r="OFZ181" s="225"/>
      <c r="OGA181" s="225"/>
      <c r="OGB181" s="225"/>
      <c r="OGC181" s="225"/>
      <c r="OGD181" s="225"/>
      <c r="OGE181" s="225"/>
      <c r="OGF181" s="225"/>
      <c r="OGG181" s="225"/>
      <c r="OGH181" s="225"/>
      <c r="OGI181" s="225"/>
      <c r="OGJ181" s="225"/>
      <c r="OGK181" s="225"/>
      <c r="OGL181" s="225"/>
      <c r="OGM181" s="225"/>
      <c r="OGN181" s="225"/>
      <c r="OGO181" s="225"/>
      <c r="OGP181" s="225"/>
      <c r="OGQ181" s="225"/>
      <c r="OGR181" s="225"/>
      <c r="OGS181" s="225"/>
      <c r="OGT181" s="225"/>
      <c r="OGU181" s="225"/>
      <c r="OGV181" s="225"/>
      <c r="OGW181" s="225"/>
      <c r="OGX181" s="225"/>
      <c r="OGY181" s="225"/>
      <c r="OGZ181" s="225"/>
      <c r="OHA181" s="225"/>
      <c r="OHB181" s="225"/>
      <c r="OHC181" s="225"/>
      <c r="OHD181" s="225"/>
      <c r="OHE181" s="225"/>
      <c r="OHF181" s="225"/>
      <c r="OHG181" s="225"/>
      <c r="OHH181" s="225"/>
      <c r="OHI181" s="225"/>
      <c r="OHJ181" s="225"/>
      <c r="OHK181" s="225"/>
      <c r="OHL181" s="225"/>
      <c r="OHM181" s="225"/>
      <c r="OHN181" s="225"/>
      <c r="OHO181" s="225"/>
      <c r="OHP181" s="225"/>
      <c r="OHQ181" s="225"/>
      <c r="OHR181" s="225"/>
      <c r="OHS181" s="225"/>
      <c r="OHT181" s="225"/>
      <c r="OHU181" s="225"/>
      <c r="OHV181" s="225"/>
      <c r="OHW181" s="225"/>
      <c r="OHX181" s="225"/>
      <c r="OHY181" s="225"/>
      <c r="OHZ181" s="225"/>
      <c r="OIA181" s="225"/>
      <c r="OIB181" s="225"/>
      <c r="OIC181" s="225"/>
      <c r="OID181" s="225"/>
      <c r="OIE181" s="225"/>
      <c r="OIF181" s="225"/>
      <c r="OIG181" s="225"/>
      <c r="OIH181" s="225"/>
      <c r="OII181" s="225"/>
      <c r="OIJ181" s="225"/>
      <c r="OIK181" s="225"/>
      <c r="OIL181" s="225"/>
      <c r="OIM181" s="225"/>
      <c r="OIN181" s="225"/>
      <c r="OIO181" s="225"/>
      <c r="OIP181" s="225"/>
      <c r="OIQ181" s="225"/>
      <c r="OIR181" s="225"/>
      <c r="OIS181" s="225"/>
      <c r="OIT181" s="225"/>
      <c r="OIU181" s="225"/>
      <c r="OIV181" s="225"/>
      <c r="OIW181" s="225"/>
      <c r="OIX181" s="225"/>
      <c r="OIY181" s="225"/>
      <c r="OIZ181" s="225"/>
      <c r="OJA181" s="225"/>
      <c r="OJB181" s="225"/>
      <c r="OJC181" s="225"/>
      <c r="OJD181" s="225"/>
      <c r="OJE181" s="225"/>
      <c r="OJF181" s="225"/>
      <c r="OJG181" s="225"/>
      <c r="OJH181" s="225"/>
      <c r="OJI181" s="225"/>
      <c r="OJJ181" s="225"/>
      <c r="OJK181" s="225"/>
      <c r="OJL181" s="225"/>
      <c r="OJM181" s="225"/>
      <c r="OJN181" s="225"/>
      <c r="OJO181" s="225"/>
      <c r="OJP181" s="225"/>
      <c r="OJQ181" s="225"/>
      <c r="OJR181" s="225"/>
      <c r="OJS181" s="225"/>
      <c r="OJT181" s="225"/>
      <c r="OJU181" s="225"/>
      <c r="OJV181" s="225"/>
      <c r="OJW181" s="225"/>
      <c r="OJX181" s="225"/>
      <c r="OJY181" s="225"/>
      <c r="OJZ181" s="225"/>
      <c r="OKA181" s="225"/>
      <c r="OKB181" s="225"/>
      <c r="OKC181" s="225"/>
      <c r="OKD181" s="225"/>
      <c r="OKE181" s="225"/>
      <c r="OKF181" s="225"/>
      <c r="OKG181" s="225"/>
      <c r="OKH181" s="225"/>
      <c r="OKI181" s="225"/>
      <c r="OKJ181" s="225"/>
      <c r="OKK181" s="225"/>
      <c r="OKL181" s="225"/>
      <c r="OKM181" s="225"/>
      <c r="OKN181" s="225"/>
      <c r="OKO181" s="225"/>
      <c r="OKP181" s="225"/>
      <c r="OKQ181" s="225"/>
      <c r="OKR181" s="225"/>
      <c r="OKS181" s="225"/>
      <c r="OKT181" s="225"/>
      <c r="OKU181" s="225"/>
      <c r="OKV181" s="225"/>
      <c r="OKW181" s="225"/>
      <c r="OKX181" s="225"/>
      <c r="OKY181" s="225"/>
      <c r="OKZ181" s="225"/>
      <c r="OLA181" s="225"/>
      <c r="OLB181" s="225"/>
      <c r="OLC181" s="225"/>
      <c r="OLD181" s="225"/>
      <c r="OLE181" s="225"/>
      <c r="OLF181" s="225"/>
      <c r="OLG181" s="225"/>
      <c r="OLH181" s="225"/>
      <c r="OLI181" s="225"/>
      <c r="OLJ181" s="225"/>
      <c r="OLK181" s="225"/>
      <c r="OLL181" s="225"/>
      <c r="OLM181" s="225"/>
      <c r="OLN181" s="225"/>
      <c r="OLO181" s="225"/>
      <c r="OLP181" s="225"/>
      <c r="OLQ181" s="225"/>
      <c r="OLR181" s="225"/>
      <c r="OLS181" s="225"/>
      <c r="OLT181" s="225"/>
      <c r="OLU181" s="225"/>
      <c r="OLV181" s="225"/>
      <c r="OLW181" s="225"/>
      <c r="OLX181" s="225"/>
      <c r="OLY181" s="225"/>
      <c r="OLZ181" s="225"/>
      <c r="OMA181" s="225"/>
      <c r="OMB181" s="225"/>
      <c r="OMC181" s="225"/>
      <c r="OMD181" s="225"/>
      <c r="OME181" s="225"/>
      <c r="OMF181" s="225"/>
      <c r="OMG181" s="225"/>
      <c r="OMH181" s="225"/>
      <c r="OMI181" s="225"/>
      <c r="OMJ181" s="225"/>
      <c r="OMK181" s="225"/>
      <c r="OML181" s="225"/>
      <c r="OMM181" s="225"/>
      <c r="OMN181" s="225"/>
      <c r="OMO181" s="225"/>
      <c r="OMP181" s="225"/>
      <c r="OMQ181" s="225"/>
      <c r="OMR181" s="225"/>
      <c r="OMS181" s="225"/>
      <c r="OMT181" s="225"/>
      <c r="OMU181" s="225"/>
      <c r="OMV181" s="225"/>
      <c r="OMW181" s="225"/>
      <c r="OMX181" s="225"/>
      <c r="OMY181" s="225"/>
      <c r="OMZ181" s="225"/>
      <c r="ONA181" s="225"/>
      <c r="ONB181" s="225"/>
      <c r="ONC181" s="225"/>
      <c r="OND181" s="225"/>
      <c r="ONE181" s="225"/>
      <c r="ONF181" s="225"/>
      <c r="ONG181" s="225"/>
      <c r="ONH181" s="225"/>
      <c r="ONI181" s="225"/>
      <c r="ONJ181" s="225"/>
      <c r="ONK181" s="225"/>
      <c r="ONL181" s="225"/>
      <c r="ONM181" s="225"/>
      <c r="ONN181" s="225"/>
      <c r="ONO181" s="225"/>
      <c r="ONP181" s="225"/>
      <c r="ONQ181" s="225"/>
      <c r="ONR181" s="225"/>
      <c r="ONS181" s="225"/>
      <c r="ONT181" s="225"/>
      <c r="ONU181" s="225"/>
      <c r="ONV181" s="225"/>
      <c r="ONW181" s="225"/>
      <c r="ONX181" s="225"/>
      <c r="ONY181" s="225"/>
      <c r="ONZ181" s="225"/>
      <c r="OOA181" s="225"/>
      <c r="OOB181" s="225"/>
      <c r="OOC181" s="225"/>
      <c r="OOD181" s="225"/>
      <c r="OOE181" s="225"/>
      <c r="OOF181" s="225"/>
      <c r="OOG181" s="225"/>
      <c r="OOH181" s="225"/>
      <c r="OOI181" s="225"/>
      <c r="OOJ181" s="225"/>
      <c r="OOK181" s="225"/>
      <c r="OOL181" s="225"/>
      <c r="OOM181" s="225"/>
      <c r="OON181" s="225"/>
      <c r="OOO181" s="225"/>
      <c r="OOP181" s="225"/>
      <c r="OOQ181" s="225"/>
      <c r="OOR181" s="225"/>
      <c r="OOS181" s="225"/>
      <c r="OOT181" s="225"/>
      <c r="OOU181" s="225"/>
      <c r="OOV181" s="225"/>
      <c r="OOW181" s="225"/>
      <c r="OOX181" s="225"/>
      <c r="OOY181" s="225"/>
      <c r="OOZ181" s="225"/>
      <c r="OPA181" s="225"/>
      <c r="OPB181" s="225"/>
      <c r="OPC181" s="225"/>
      <c r="OPD181" s="225"/>
      <c r="OPE181" s="225"/>
      <c r="OPF181" s="225"/>
      <c r="OPG181" s="225"/>
      <c r="OPH181" s="225"/>
      <c r="OPI181" s="225"/>
      <c r="OPJ181" s="225"/>
      <c r="OPK181" s="225"/>
      <c r="OPL181" s="225"/>
      <c r="OPM181" s="225"/>
      <c r="OPN181" s="225"/>
      <c r="OPO181" s="225"/>
      <c r="OPP181" s="225"/>
      <c r="OPQ181" s="225"/>
      <c r="OPR181" s="225"/>
      <c r="OPS181" s="225"/>
      <c r="OPT181" s="225"/>
      <c r="OPU181" s="225"/>
      <c r="OPV181" s="225"/>
      <c r="OPW181" s="225"/>
      <c r="OPX181" s="225"/>
      <c r="OPY181" s="225"/>
      <c r="OPZ181" s="225"/>
      <c r="OQA181" s="225"/>
      <c r="OQB181" s="225"/>
      <c r="OQC181" s="225"/>
      <c r="OQD181" s="225"/>
      <c r="OQE181" s="225"/>
      <c r="OQF181" s="225"/>
      <c r="OQG181" s="225"/>
      <c r="OQH181" s="225"/>
      <c r="OQI181" s="225"/>
      <c r="OQJ181" s="225"/>
      <c r="OQK181" s="225"/>
      <c r="OQL181" s="225"/>
      <c r="OQM181" s="225"/>
      <c r="OQN181" s="225"/>
      <c r="OQO181" s="225"/>
      <c r="OQP181" s="225"/>
      <c r="OQQ181" s="225"/>
      <c r="OQR181" s="225"/>
      <c r="OQS181" s="225"/>
      <c r="OQT181" s="225"/>
      <c r="OQU181" s="225"/>
      <c r="OQV181" s="225"/>
      <c r="OQW181" s="225"/>
      <c r="OQX181" s="225"/>
      <c r="OQY181" s="225"/>
      <c r="OQZ181" s="225"/>
      <c r="ORA181" s="225"/>
      <c r="ORB181" s="225"/>
      <c r="ORC181" s="225"/>
      <c r="ORD181" s="225"/>
      <c r="ORE181" s="225"/>
      <c r="ORF181" s="225"/>
      <c r="ORG181" s="225"/>
      <c r="ORH181" s="225"/>
      <c r="ORI181" s="225"/>
      <c r="ORJ181" s="225"/>
      <c r="ORK181" s="225"/>
      <c r="ORL181" s="225"/>
      <c r="ORM181" s="225"/>
      <c r="ORN181" s="225"/>
      <c r="ORO181" s="225"/>
      <c r="ORP181" s="225"/>
      <c r="ORQ181" s="225"/>
      <c r="ORR181" s="225"/>
      <c r="ORS181" s="225"/>
      <c r="ORT181" s="225"/>
      <c r="ORU181" s="225"/>
      <c r="ORV181" s="225"/>
      <c r="ORW181" s="225"/>
      <c r="ORX181" s="225"/>
      <c r="ORY181" s="225"/>
      <c r="ORZ181" s="225"/>
      <c r="OSA181" s="225"/>
      <c r="OSB181" s="225"/>
      <c r="OSC181" s="225"/>
      <c r="OSD181" s="225"/>
      <c r="OSE181" s="225"/>
      <c r="OSF181" s="225"/>
      <c r="OSG181" s="225"/>
      <c r="OSH181" s="225"/>
      <c r="OSI181" s="225"/>
      <c r="OSJ181" s="225"/>
      <c r="OSK181" s="225"/>
      <c r="OSL181" s="225"/>
      <c r="OSM181" s="225"/>
      <c r="OSN181" s="225"/>
      <c r="OSO181" s="225"/>
      <c r="OSP181" s="225"/>
      <c r="OSQ181" s="225"/>
      <c r="OSR181" s="225"/>
      <c r="OSS181" s="225"/>
      <c r="OST181" s="225"/>
      <c r="OSU181" s="225"/>
      <c r="OSV181" s="225"/>
      <c r="OSW181" s="225"/>
      <c r="OSX181" s="225"/>
      <c r="OSY181" s="225"/>
      <c r="OSZ181" s="225"/>
      <c r="OTA181" s="225"/>
      <c r="OTB181" s="225"/>
      <c r="OTC181" s="225"/>
      <c r="OTD181" s="225"/>
      <c r="OTE181" s="225"/>
      <c r="OTF181" s="225"/>
      <c r="OTG181" s="225"/>
      <c r="OTH181" s="225"/>
      <c r="OTI181" s="225"/>
      <c r="OTJ181" s="225"/>
      <c r="OTK181" s="225"/>
      <c r="OTL181" s="225"/>
      <c r="OTM181" s="225"/>
      <c r="OTN181" s="225"/>
      <c r="OTO181" s="225"/>
      <c r="OTP181" s="225"/>
      <c r="OTQ181" s="225"/>
      <c r="OTR181" s="225"/>
      <c r="OTS181" s="225"/>
      <c r="OTT181" s="225"/>
      <c r="OTU181" s="225"/>
      <c r="OTV181" s="225"/>
      <c r="OTW181" s="225"/>
      <c r="OTX181" s="225"/>
      <c r="OTY181" s="225"/>
      <c r="OTZ181" s="225"/>
      <c r="OUA181" s="225"/>
      <c r="OUB181" s="225"/>
      <c r="OUC181" s="225"/>
      <c r="OUD181" s="225"/>
      <c r="OUE181" s="225"/>
      <c r="OUF181" s="225"/>
      <c r="OUG181" s="225"/>
      <c r="OUH181" s="225"/>
      <c r="OUI181" s="225"/>
      <c r="OUJ181" s="225"/>
      <c r="OUK181" s="225"/>
      <c r="OUL181" s="225"/>
      <c r="OUM181" s="225"/>
      <c r="OUN181" s="225"/>
      <c r="OUO181" s="225"/>
      <c r="OUP181" s="225"/>
      <c r="OUQ181" s="225"/>
      <c r="OUR181" s="225"/>
      <c r="OUS181" s="225"/>
      <c r="OUT181" s="225"/>
      <c r="OUU181" s="225"/>
      <c r="OUV181" s="225"/>
      <c r="OUW181" s="225"/>
      <c r="OUX181" s="225"/>
      <c r="OUY181" s="225"/>
      <c r="OUZ181" s="225"/>
      <c r="OVA181" s="225"/>
      <c r="OVB181" s="225"/>
      <c r="OVC181" s="225"/>
      <c r="OVD181" s="225"/>
      <c r="OVE181" s="225"/>
      <c r="OVF181" s="225"/>
      <c r="OVG181" s="225"/>
      <c r="OVH181" s="225"/>
      <c r="OVI181" s="225"/>
      <c r="OVJ181" s="225"/>
      <c r="OVK181" s="225"/>
      <c r="OVL181" s="225"/>
      <c r="OVM181" s="225"/>
      <c r="OVN181" s="225"/>
      <c r="OVO181" s="225"/>
      <c r="OVP181" s="225"/>
      <c r="OVQ181" s="225"/>
      <c r="OVR181" s="225"/>
      <c r="OVS181" s="225"/>
      <c r="OVT181" s="225"/>
      <c r="OVU181" s="225"/>
      <c r="OVV181" s="225"/>
      <c r="OVW181" s="225"/>
      <c r="OVX181" s="225"/>
      <c r="OVY181" s="225"/>
      <c r="OVZ181" s="225"/>
      <c r="OWA181" s="225"/>
      <c r="OWB181" s="225"/>
      <c r="OWC181" s="225"/>
      <c r="OWD181" s="225"/>
      <c r="OWE181" s="225"/>
      <c r="OWF181" s="225"/>
      <c r="OWG181" s="225"/>
      <c r="OWH181" s="225"/>
      <c r="OWI181" s="225"/>
      <c r="OWJ181" s="225"/>
      <c r="OWK181" s="225"/>
      <c r="OWL181" s="225"/>
      <c r="OWM181" s="225"/>
      <c r="OWN181" s="225"/>
      <c r="OWO181" s="225"/>
      <c r="OWP181" s="225"/>
      <c r="OWQ181" s="225"/>
      <c r="OWR181" s="225"/>
      <c r="OWS181" s="225"/>
      <c r="OWT181" s="225"/>
      <c r="OWU181" s="225"/>
      <c r="OWV181" s="225"/>
      <c r="OWW181" s="225"/>
      <c r="OWX181" s="225"/>
      <c r="OWY181" s="225"/>
      <c r="OWZ181" s="225"/>
      <c r="OXA181" s="225"/>
      <c r="OXB181" s="225"/>
      <c r="OXC181" s="225"/>
      <c r="OXD181" s="225"/>
      <c r="OXE181" s="225"/>
      <c r="OXF181" s="225"/>
      <c r="OXG181" s="225"/>
      <c r="OXH181" s="225"/>
      <c r="OXI181" s="225"/>
      <c r="OXJ181" s="225"/>
      <c r="OXK181" s="225"/>
      <c r="OXL181" s="225"/>
      <c r="OXM181" s="225"/>
      <c r="OXN181" s="225"/>
      <c r="OXO181" s="225"/>
      <c r="OXP181" s="225"/>
      <c r="OXQ181" s="225"/>
      <c r="OXR181" s="225"/>
      <c r="OXS181" s="225"/>
      <c r="OXT181" s="225"/>
      <c r="OXU181" s="225"/>
      <c r="OXV181" s="225"/>
      <c r="OXW181" s="225"/>
      <c r="OXX181" s="225"/>
      <c r="OXY181" s="225"/>
      <c r="OXZ181" s="225"/>
      <c r="OYA181" s="225"/>
      <c r="OYB181" s="225"/>
      <c r="OYC181" s="225"/>
      <c r="OYD181" s="225"/>
      <c r="OYE181" s="225"/>
      <c r="OYF181" s="225"/>
      <c r="OYG181" s="225"/>
      <c r="OYH181" s="225"/>
      <c r="OYI181" s="225"/>
      <c r="OYJ181" s="225"/>
      <c r="OYK181" s="225"/>
      <c r="OYL181" s="225"/>
      <c r="OYM181" s="225"/>
      <c r="OYN181" s="225"/>
      <c r="OYO181" s="225"/>
      <c r="OYP181" s="225"/>
      <c r="OYQ181" s="225"/>
      <c r="OYR181" s="225"/>
      <c r="OYS181" s="225"/>
      <c r="OYT181" s="225"/>
      <c r="OYU181" s="225"/>
      <c r="OYV181" s="225"/>
      <c r="OYW181" s="225"/>
      <c r="OYX181" s="225"/>
      <c r="OYY181" s="225"/>
      <c r="OYZ181" s="225"/>
      <c r="OZA181" s="225"/>
      <c r="OZB181" s="225"/>
      <c r="OZC181" s="225"/>
      <c r="OZD181" s="225"/>
      <c r="OZE181" s="225"/>
      <c r="OZF181" s="225"/>
      <c r="OZG181" s="225"/>
      <c r="OZH181" s="225"/>
      <c r="OZI181" s="225"/>
      <c r="OZJ181" s="225"/>
      <c r="OZK181" s="225"/>
      <c r="OZL181" s="225"/>
      <c r="OZM181" s="225"/>
      <c r="OZN181" s="225"/>
      <c r="OZO181" s="225"/>
      <c r="OZP181" s="225"/>
      <c r="OZQ181" s="225"/>
      <c r="OZR181" s="225"/>
      <c r="OZS181" s="225"/>
      <c r="OZT181" s="225"/>
      <c r="OZU181" s="225"/>
      <c r="OZV181" s="225"/>
      <c r="OZW181" s="225"/>
      <c r="OZX181" s="225"/>
      <c r="OZY181" s="225"/>
      <c r="OZZ181" s="225"/>
      <c r="PAA181" s="225"/>
      <c r="PAB181" s="225"/>
      <c r="PAC181" s="225"/>
      <c r="PAD181" s="225"/>
      <c r="PAE181" s="225"/>
      <c r="PAF181" s="225"/>
      <c r="PAG181" s="225"/>
      <c r="PAH181" s="225"/>
      <c r="PAI181" s="225"/>
      <c r="PAJ181" s="225"/>
      <c r="PAK181" s="225"/>
      <c r="PAL181" s="225"/>
      <c r="PAM181" s="225"/>
      <c r="PAN181" s="225"/>
      <c r="PAO181" s="225"/>
      <c r="PAP181" s="225"/>
      <c r="PAQ181" s="225"/>
      <c r="PAR181" s="225"/>
      <c r="PAS181" s="225"/>
      <c r="PAT181" s="225"/>
      <c r="PAU181" s="225"/>
      <c r="PAV181" s="225"/>
      <c r="PAW181" s="225"/>
      <c r="PAX181" s="225"/>
      <c r="PAY181" s="225"/>
      <c r="PAZ181" s="225"/>
      <c r="PBA181" s="225"/>
      <c r="PBB181" s="225"/>
      <c r="PBC181" s="225"/>
      <c r="PBD181" s="225"/>
      <c r="PBE181" s="225"/>
      <c r="PBF181" s="225"/>
      <c r="PBG181" s="225"/>
      <c r="PBH181" s="225"/>
      <c r="PBI181" s="225"/>
      <c r="PBJ181" s="225"/>
      <c r="PBK181" s="225"/>
      <c r="PBL181" s="225"/>
      <c r="PBM181" s="225"/>
      <c r="PBN181" s="225"/>
      <c r="PBO181" s="225"/>
      <c r="PBP181" s="225"/>
      <c r="PBQ181" s="225"/>
      <c r="PBR181" s="225"/>
      <c r="PBS181" s="225"/>
      <c r="PBT181" s="225"/>
      <c r="PBU181" s="225"/>
      <c r="PBV181" s="225"/>
      <c r="PBW181" s="225"/>
      <c r="PBX181" s="225"/>
      <c r="PBY181" s="225"/>
      <c r="PBZ181" s="225"/>
      <c r="PCA181" s="225"/>
      <c r="PCB181" s="225"/>
      <c r="PCC181" s="225"/>
      <c r="PCD181" s="225"/>
      <c r="PCE181" s="225"/>
      <c r="PCF181" s="225"/>
      <c r="PCG181" s="225"/>
      <c r="PCH181" s="225"/>
      <c r="PCI181" s="225"/>
      <c r="PCJ181" s="225"/>
      <c r="PCK181" s="225"/>
      <c r="PCL181" s="225"/>
      <c r="PCM181" s="225"/>
      <c r="PCN181" s="225"/>
      <c r="PCO181" s="225"/>
      <c r="PCP181" s="225"/>
      <c r="PCQ181" s="225"/>
      <c r="PCR181" s="225"/>
      <c r="PCS181" s="225"/>
      <c r="PCT181" s="225"/>
      <c r="PCU181" s="225"/>
      <c r="PCV181" s="225"/>
      <c r="PCW181" s="225"/>
      <c r="PCX181" s="225"/>
      <c r="PCY181" s="225"/>
      <c r="PCZ181" s="225"/>
      <c r="PDA181" s="225"/>
      <c r="PDB181" s="225"/>
      <c r="PDC181" s="225"/>
      <c r="PDD181" s="225"/>
      <c r="PDE181" s="225"/>
      <c r="PDF181" s="225"/>
      <c r="PDG181" s="225"/>
      <c r="PDH181" s="225"/>
      <c r="PDI181" s="225"/>
      <c r="PDJ181" s="225"/>
      <c r="PDK181" s="225"/>
      <c r="PDL181" s="225"/>
      <c r="PDM181" s="225"/>
      <c r="PDN181" s="225"/>
      <c r="PDO181" s="225"/>
      <c r="PDP181" s="225"/>
      <c r="PDQ181" s="225"/>
      <c r="PDR181" s="225"/>
      <c r="PDS181" s="225"/>
      <c r="PDT181" s="225"/>
      <c r="PDU181" s="225"/>
      <c r="PDV181" s="225"/>
      <c r="PDW181" s="225"/>
      <c r="PDX181" s="225"/>
      <c r="PDY181" s="225"/>
      <c r="PDZ181" s="225"/>
      <c r="PEA181" s="225"/>
      <c r="PEB181" s="225"/>
      <c r="PEC181" s="225"/>
      <c r="PED181" s="225"/>
      <c r="PEE181" s="225"/>
      <c r="PEF181" s="225"/>
      <c r="PEG181" s="225"/>
      <c r="PEH181" s="225"/>
      <c r="PEI181" s="225"/>
      <c r="PEJ181" s="225"/>
      <c r="PEK181" s="225"/>
      <c r="PEL181" s="225"/>
      <c r="PEM181" s="225"/>
      <c r="PEN181" s="225"/>
      <c r="PEO181" s="225"/>
      <c r="PEP181" s="225"/>
      <c r="PEQ181" s="225"/>
      <c r="PER181" s="225"/>
      <c r="PES181" s="225"/>
      <c r="PET181" s="225"/>
      <c r="PEU181" s="225"/>
      <c r="PEV181" s="225"/>
      <c r="PEW181" s="225"/>
      <c r="PEX181" s="225"/>
      <c r="PEY181" s="225"/>
      <c r="PEZ181" s="225"/>
      <c r="PFA181" s="225"/>
      <c r="PFB181" s="225"/>
      <c r="PFC181" s="225"/>
      <c r="PFD181" s="225"/>
      <c r="PFE181" s="225"/>
      <c r="PFF181" s="225"/>
      <c r="PFG181" s="225"/>
      <c r="PFH181" s="225"/>
      <c r="PFI181" s="225"/>
      <c r="PFJ181" s="225"/>
      <c r="PFK181" s="225"/>
      <c r="PFL181" s="225"/>
      <c r="PFM181" s="225"/>
      <c r="PFN181" s="225"/>
      <c r="PFO181" s="225"/>
      <c r="PFP181" s="225"/>
      <c r="PFQ181" s="225"/>
      <c r="PFR181" s="225"/>
      <c r="PFS181" s="225"/>
      <c r="PFT181" s="225"/>
      <c r="PFU181" s="225"/>
      <c r="PFV181" s="225"/>
      <c r="PFW181" s="225"/>
      <c r="PFX181" s="225"/>
      <c r="PFY181" s="225"/>
      <c r="PFZ181" s="225"/>
      <c r="PGA181" s="225"/>
      <c r="PGB181" s="225"/>
      <c r="PGC181" s="225"/>
      <c r="PGD181" s="225"/>
      <c r="PGE181" s="225"/>
      <c r="PGF181" s="225"/>
      <c r="PGG181" s="225"/>
      <c r="PGH181" s="225"/>
      <c r="PGI181" s="225"/>
      <c r="PGJ181" s="225"/>
      <c r="PGK181" s="225"/>
      <c r="PGL181" s="225"/>
      <c r="PGM181" s="225"/>
      <c r="PGN181" s="225"/>
      <c r="PGO181" s="225"/>
      <c r="PGP181" s="225"/>
      <c r="PGQ181" s="225"/>
      <c r="PGR181" s="225"/>
      <c r="PGS181" s="225"/>
      <c r="PGT181" s="225"/>
      <c r="PGU181" s="225"/>
      <c r="PGV181" s="225"/>
      <c r="PGW181" s="225"/>
      <c r="PGX181" s="225"/>
      <c r="PGY181" s="225"/>
      <c r="PGZ181" s="225"/>
      <c r="PHA181" s="225"/>
      <c r="PHB181" s="225"/>
      <c r="PHC181" s="225"/>
      <c r="PHD181" s="225"/>
      <c r="PHE181" s="225"/>
      <c r="PHF181" s="225"/>
      <c r="PHG181" s="225"/>
      <c r="PHH181" s="225"/>
      <c r="PHI181" s="225"/>
      <c r="PHJ181" s="225"/>
      <c r="PHK181" s="225"/>
      <c r="PHL181" s="225"/>
      <c r="PHM181" s="225"/>
      <c r="PHN181" s="225"/>
      <c r="PHO181" s="225"/>
      <c r="PHP181" s="225"/>
      <c r="PHQ181" s="225"/>
      <c r="PHR181" s="225"/>
      <c r="PHS181" s="225"/>
      <c r="PHT181" s="225"/>
      <c r="PHU181" s="225"/>
      <c r="PHV181" s="225"/>
      <c r="PHW181" s="225"/>
      <c r="PHX181" s="225"/>
      <c r="PHY181" s="225"/>
      <c r="PHZ181" s="225"/>
      <c r="PIA181" s="225"/>
      <c r="PIB181" s="225"/>
      <c r="PIC181" s="225"/>
      <c r="PID181" s="225"/>
      <c r="PIE181" s="225"/>
      <c r="PIF181" s="225"/>
      <c r="PIG181" s="225"/>
      <c r="PIH181" s="225"/>
      <c r="PII181" s="225"/>
      <c r="PIJ181" s="225"/>
      <c r="PIK181" s="225"/>
      <c r="PIL181" s="225"/>
      <c r="PIM181" s="225"/>
      <c r="PIN181" s="225"/>
      <c r="PIO181" s="225"/>
      <c r="PIP181" s="225"/>
      <c r="PIQ181" s="225"/>
      <c r="PIR181" s="225"/>
      <c r="PIS181" s="225"/>
      <c r="PIT181" s="225"/>
      <c r="PIU181" s="225"/>
      <c r="PIV181" s="225"/>
      <c r="PIW181" s="225"/>
      <c r="PIX181" s="225"/>
      <c r="PIY181" s="225"/>
      <c r="PIZ181" s="225"/>
      <c r="PJA181" s="225"/>
      <c r="PJB181" s="225"/>
      <c r="PJC181" s="225"/>
      <c r="PJD181" s="225"/>
      <c r="PJE181" s="225"/>
      <c r="PJF181" s="225"/>
      <c r="PJG181" s="225"/>
      <c r="PJH181" s="225"/>
      <c r="PJI181" s="225"/>
      <c r="PJJ181" s="225"/>
      <c r="PJK181" s="225"/>
      <c r="PJL181" s="225"/>
      <c r="PJM181" s="225"/>
      <c r="PJN181" s="225"/>
      <c r="PJO181" s="225"/>
      <c r="PJP181" s="225"/>
      <c r="PJQ181" s="225"/>
      <c r="PJR181" s="225"/>
      <c r="PJS181" s="225"/>
      <c r="PJT181" s="225"/>
      <c r="PJU181" s="225"/>
      <c r="PJV181" s="225"/>
      <c r="PJW181" s="225"/>
      <c r="PJX181" s="225"/>
      <c r="PJY181" s="225"/>
      <c r="PJZ181" s="225"/>
      <c r="PKA181" s="225"/>
      <c r="PKB181" s="225"/>
      <c r="PKC181" s="225"/>
      <c r="PKD181" s="225"/>
      <c r="PKE181" s="225"/>
      <c r="PKF181" s="225"/>
      <c r="PKG181" s="225"/>
      <c r="PKH181" s="225"/>
      <c r="PKI181" s="225"/>
      <c r="PKJ181" s="225"/>
      <c r="PKK181" s="225"/>
      <c r="PKL181" s="225"/>
      <c r="PKM181" s="225"/>
      <c r="PKN181" s="225"/>
      <c r="PKO181" s="225"/>
      <c r="PKP181" s="225"/>
      <c r="PKQ181" s="225"/>
      <c r="PKR181" s="225"/>
      <c r="PKS181" s="225"/>
      <c r="PKT181" s="225"/>
      <c r="PKU181" s="225"/>
      <c r="PKV181" s="225"/>
      <c r="PKW181" s="225"/>
      <c r="PKX181" s="225"/>
      <c r="PKY181" s="225"/>
      <c r="PKZ181" s="225"/>
      <c r="PLA181" s="225"/>
      <c r="PLB181" s="225"/>
      <c r="PLC181" s="225"/>
      <c r="PLD181" s="225"/>
      <c r="PLE181" s="225"/>
      <c r="PLF181" s="225"/>
      <c r="PLG181" s="225"/>
      <c r="PLH181" s="225"/>
      <c r="PLI181" s="225"/>
      <c r="PLJ181" s="225"/>
      <c r="PLK181" s="225"/>
      <c r="PLL181" s="225"/>
      <c r="PLM181" s="225"/>
      <c r="PLN181" s="225"/>
      <c r="PLO181" s="225"/>
      <c r="PLP181" s="225"/>
      <c r="PLQ181" s="225"/>
      <c r="PLR181" s="225"/>
      <c r="PLS181" s="225"/>
      <c r="PLT181" s="225"/>
      <c r="PLU181" s="225"/>
      <c r="PLV181" s="225"/>
      <c r="PLW181" s="225"/>
      <c r="PLX181" s="225"/>
      <c r="PLY181" s="225"/>
      <c r="PLZ181" s="225"/>
      <c r="PMA181" s="225"/>
      <c r="PMB181" s="225"/>
      <c r="PMC181" s="225"/>
      <c r="PMD181" s="225"/>
      <c r="PME181" s="225"/>
      <c r="PMF181" s="225"/>
      <c r="PMG181" s="225"/>
      <c r="PMH181" s="225"/>
      <c r="PMI181" s="225"/>
      <c r="PMJ181" s="225"/>
      <c r="PMK181" s="225"/>
      <c r="PML181" s="225"/>
      <c r="PMM181" s="225"/>
      <c r="PMN181" s="225"/>
      <c r="PMO181" s="225"/>
      <c r="PMP181" s="225"/>
      <c r="PMQ181" s="225"/>
      <c r="PMR181" s="225"/>
      <c r="PMS181" s="225"/>
      <c r="PMT181" s="225"/>
      <c r="PMU181" s="225"/>
      <c r="PMV181" s="225"/>
      <c r="PMW181" s="225"/>
      <c r="PMX181" s="225"/>
      <c r="PMY181" s="225"/>
      <c r="PMZ181" s="225"/>
      <c r="PNA181" s="225"/>
      <c r="PNB181" s="225"/>
      <c r="PNC181" s="225"/>
      <c r="PND181" s="225"/>
      <c r="PNE181" s="225"/>
      <c r="PNF181" s="225"/>
      <c r="PNG181" s="225"/>
      <c r="PNH181" s="225"/>
      <c r="PNI181" s="225"/>
      <c r="PNJ181" s="225"/>
      <c r="PNK181" s="225"/>
      <c r="PNL181" s="225"/>
      <c r="PNM181" s="225"/>
      <c r="PNN181" s="225"/>
      <c r="PNO181" s="225"/>
      <c r="PNP181" s="225"/>
      <c r="PNQ181" s="225"/>
      <c r="PNR181" s="225"/>
      <c r="PNS181" s="225"/>
      <c r="PNT181" s="225"/>
      <c r="PNU181" s="225"/>
      <c r="PNV181" s="225"/>
      <c r="PNW181" s="225"/>
      <c r="PNX181" s="225"/>
      <c r="PNY181" s="225"/>
      <c r="PNZ181" s="225"/>
      <c r="POA181" s="225"/>
      <c r="POB181" s="225"/>
      <c r="POC181" s="225"/>
      <c r="POD181" s="225"/>
      <c r="POE181" s="225"/>
      <c r="POF181" s="225"/>
      <c r="POG181" s="225"/>
      <c r="POH181" s="225"/>
      <c r="POI181" s="225"/>
      <c r="POJ181" s="225"/>
      <c r="POK181" s="225"/>
      <c r="POL181" s="225"/>
      <c r="POM181" s="225"/>
      <c r="PON181" s="225"/>
      <c r="POO181" s="225"/>
      <c r="POP181" s="225"/>
      <c r="POQ181" s="225"/>
      <c r="POR181" s="225"/>
      <c r="POS181" s="225"/>
      <c r="POT181" s="225"/>
      <c r="POU181" s="225"/>
      <c r="POV181" s="225"/>
      <c r="POW181" s="225"/>
      <c r="POX181" s="225"/>
      <c r="POY181" s="225"/>
      <c r="POZ181" s="225"/>
      <c r="PPA181" s="225"/>
      <c r="PPB181" s="225"/>
      <c r="PPC181" s="225"/>
      <c r="PPD181" s="225"/>
      <c r="PPE181" s="225"/>
      <c r="PPF181" s="225"/>
      <c r="PPG181" s="225"/>
      <c r="PPH181" s="225"/>
      <c r="PPI181" s="225"/>
      <c r="PPJ181" s="225"/>
      <c r="PPK181" s="225"/>
      <c r="PPL181" s="225"/>
      <c r="PPM181" s="225"/>
      <c r="PPN181" s="225"/>
      <c r="PPO181" s="225"/>
      <c r="PPP181" s="225"/>
      <c r="PPQ181" s="225"/>
      <c r="PPR181" s="225"/>
      <c r="PPS181" s="225"/>
      <c r="PPT181" s="225"/>
      <c r="PPU181" s="225"/>
      <c r="PPV181" s="225"/>
      <c r="PPW181" s="225"/>
      <c r="PPX181" s="225"/>
      <c r="PPY181" s="225"/>
      <c r="PPZ181" s="225"/>
      <c r="PQA181" s="225"/>
      <c r="PQB181" s="225"/>
      <c r="PQC181" s="225"/>
      <c r="PQD181" s="225"/>
      <c r="PQE181" s="225"/>
      <c r="PQF181" s="225"/>
      <c r="PQG181" s="225"/>
      <c r="PQH181" s="225"/>
      <c r="PQI181" s="225"/>
      <c r="PQJ181" s="225"/>
      <c r="PQK181" s="225"/>
      <c r="PQL181" s="225"/>
      <c r="PQM181" s="225"/>
      <c r="PQN181" s="225"/>
      <c r="PQO181" s="225"/>
      <c r="PQP181" s="225"/>
      <c r="PQQ181" s="225"/>
      <c r="PQR181" s="225"/>
      <c r="PQS181" s="225"/>
      <c r="PQT181" s="225"/>
      <c r="PQU181" s="225"/>
      <c r="PQV181" s="225"/>
      <c r="PQW181" s="225"/>
      <c r="PQX181" s="225"/>
      <c r="PQY181" s="225"/>
      <c r="PQZ181" s="225"/>
      <c r="PRA181" s="225"/>
      <c r="PRB181" s="225"/>
      <c r="PRC181" s="225"/>
      <c r="PRD181" s="225"/>
      <c r="PRE181" s="225"/>
      <c r="PRF181" s="225"/>
      <c r="PRG181" s="225"/>
      <c r="PRH181" s="225"/>
      <c r="PRI181" s="225"/>
      <c r="PRJ181" s="225"/>
      <c r="PRK181" s="225"/>
      <c r="PRL181" s="225"/>
      <c r="PRM181" s="225"/>
      <c r="PRN181" s="225"/>
      <c r="PRO181" s="225"/>
      <c r="PRP181" s="225"/>
      <c r="PRQ181" s="225"/>
      <c r="PRR181" s="225"/>
      <c r="PRS181" s="225"/>
      <c r="PRT181" s="225"/>
      <c r="PRU181" s="225"/>
      <c r="PRV181" s="225"/>
      <c r="PRW181" s="225"/>
      <c r="PRX181" s="225"/>
      <c r="PRY181" s="225"/>
      <c r="PRZ181" s="225"/>
      <c r="PSA181" s="225"/>
      <c r="PSB181" s="225"/>
      <c r="PSC181" s="225"/>
      <c r="PSD181" s="225"/>
      <c r="PSE181" s="225"/>
      <c r="PSF181" s="225"/>
      <c r="PSG181" s="225"/>
      <c r="PSH181" s="225"/>
      <c r="PSI181" s="225"/>
      <c r="PSJ181" s="225"/>
      <c r="PSK181" s="225"/>
      <c r="PSL181" s="225"/>
      <c r="PSM181" s="225"/>
      <c r="PSN181" s="225"/>
      <c r="PSO181" s="225"/>
      <c r="PSP181" s="225"/>
      <c r="PSQ181" s="225"/>
      <c r="PSR181" s="225"/>
      <c r="PSS181" s="225"/>
      <c r="PST181" s="225"/>
      <c r="PSU181" s="225"/>
      <c r="PSV181" s="225"/>
      <c r="PSW181" s="225"/>
      <c r="PSX181" s="225"/>
      <c r="PSY181" s="225"/>
      <c r="PSZ181" s="225"/>
      <c r="PTA181" s="225"/>
      <c r="PTB181" s="225"/>
      <c r="PTC181" s="225"/>
      <c r="PTD181" s="225"/>
      <c r="PTE181" s="225"/>
      <c r="PTF181" s="225"/>
      <c r="PTG181" s="225"/>
      <c r="PTH181" s="225"/>
      <c r="PTI181" s="225"/>
      <c r="PTJ181" s="225"/>
      <c r="PTK181" s="225"/>
      <c r="PTL181" s="225"/>
      <c r="PTM181" s="225"/>
      <c r="PTN181" s="225"/>
      <c r="PTO181" s="225"/>
      <c r="PTP181" s="225"/>
      <c r="PTQ181" s="225"/>
      <c r="PTR181" s="225"/>
      <c r="PTS181" s="225"/>
      <c r="PTT181" s="225"/>
      <c r="PTU181" s="225"/>
      <c r="PTV181" s="225"/>
      <c r="PTW181" s="225"/>
      <c r="PTX181" s="225"/>
      <c r="PTY181" s="225"/>
      <c r="PTZ181" s="225"/>
      <c r="PUA181" s="225"/>
      <c r="PUB181" s="225"/>
      <c r="PUC181" s="225"/>
      <c r="PUD181" s="225"/>
      <c r="PUE181" s="225"/>
      <c r="PUF181" s="225"/>
      <c r="PUG181" s="225"/>
      <c r="PUH181" s="225"/>
      <c r="PUI181" s="225"/>
      <c r="PUJ181" s="225"/>
      <c r="PUK181" s="225"/>
      <c r="PUL181" s="225"/>
      <c r="PUM181" s="225"/>
      <c r="PUN181" s="225"/>
      <c r="PUO181" s="225"/>
      <c r="PUP181" s="225"/>
      <c r="PUQ181" s="225"/>
      <c r="PUR181" s="225"/>
      <c r="PUS181" s="225"/>
      <c r="PUT181" s="225"/>
      <c r="PUU181" s="225"/>
      <c r="PUV181" s="225"/>
      <c r="PUW181" s="225"/>
      <c r="PUX181" s="225"/>
      <c r="PUY181" s="225"/>
      <c r="PUZ181" s="225"/>
      <c r="PVA181" s="225"/>
      <c r="PVB181" s="225"/>
      <c r="PVC181" s="225"/>
      <c r="PVD181" s="225"/>
      <c r="PVE181" s="225"/>
      <c r="PVF181" s="225"/>
      <c r="PVG181" s="225"/>
      <c r="PVH181" s="225"/>
      <c r="PVI181" s="225"/>
      <c r="PVJ181" s="225"/>
      <c r="PVK181" s="225"/>
      <c r="PVL181" s="225"/>
      <c r="PVM181" s="225"/>
      <c r="PVN181" s="225"/>
      <c r="PVO181" s="225"/>
      <c r="PVP181" s="225"/>
      <c r="PVQ181" s="225"/>
      <c r="PVR181" s="225"/>
      <c r="PVS181" s="225"/>
      <c r="PVT181" s="225"/>
      <c r="PVU181" s="225"/>
      <c r="PVV181" s="225"/>
      <c r="PVW181" s="225"/>
      <c r="PVX181" s="225"/>
      <c r="PVY181" s="225"/>
      <c r="PVZ181" s="225"/>
      <c r="PWA181" s="225"/>
      <c r="PWB181" s="225"/>
      <c r="PWC181" s="225"/>
      <c r="PWD181" s="225"/>
      <c r="PWE181" s="225"/>
      <c r="PWF181" s="225"/>
      <c r="PWG181" s="225"/>
      <c r="PWH181" s="225"/>
      <c r="PWI181" s="225"/>
      <c r="PWJ181" s="225"/>
      <c r="PWK181" s="225"/>
      <c r="PWL181" s="225"/>
      <c r="PWM181" s="225"/>
      <c r="PWN181" s="225"/>
      <c r="PWO181" s="225"/>
      <c r="PWP181" s="225"/>
      <c r="PWQ181" s="225"/>
      <c r="PWR181" s="225"/>
      <c r="PWS181" s="225"/>
      <c r="PWT181" s="225"/>
      <c r="PWU181" s="225"/>
      <c r="PWV181" s="225"/>
      <c r="PWW181" s="225"/>
      <c r="PWX181" s="225"/>
      <c r="PWY181" s="225"/>
      <c r="PWZ181" s="225"/>
      <c r="PXA181" s="225"/>
      <c r="PXB181" s="225"/>
      <c r="PXC181" s="225"/>
      <c r="PXD181" s="225"/>
      <c r="PXE181" s="225"/>
      <c r="PXF181" s="225"/>
      <c r="PXG181" s="225"/>
      <c r="PXH181" s="225"/>
      <c r="PXI181" s="225"/>
      <c r="PXJ181" s="225"/>
      <c r="PXK181" s="225"/>
      <c r="PXL181" s="225"/>
      <c r="PXM181" s="225"/>
      <c r="PXN181" s="225"/>
      <c r="PXO181" s="225"/>
      <c r="PXP181" s="225"/>
      <c r="PXQ181" s="225"/>
      <c r="PXR181" s="225"/>
      <c r="PXS181" s="225"/>
      <c r="PXT181" s="225"/>
      <c r="PXU181" s="225"/>
      <c r="PXV181" s="225"/>
      <c r="PXW181" s="225"/>
      <c r="PXX181" s="225"/>
      <c r="PXY181" s="225"/>
      <c r="PXZ181" s="225"/>
      <c r="PYA181" s="225"/>
      <c r="PYB181" s="225"/>
      <c r="PYC181" s="225"/>
      <c r="PYD181" s="225"/>
      <c r="PYE181" s="225"/>
      <c r="PYF181" s="225"/>
      <c r="PYG181" s="225"/>
      <c r="PYH181" s="225"/>
      <c r="PYI181" s="225"/>
      <c r="PYJ181" s="225"/>
      <c r="PYK181" s="225"/>
      <c r="PYL181" s="225"/>
      <c r="PYM181" s="225"/>
      <c r="PYN181" s="225"/>
      <c r="PYO181" s="225"/>
      <c r="PYP181" s="225"/>
      <c r="PYQ181" s="225"/>
      <c r="PYR181" s="225"/>
      <c r="PYS181" s="225"/>
      <c r="PYT181" s="225"/>
      <c r="PYU181" s="225"/>
      <c r="PYV181" s="225"/>
      <c r="PYW181" s="225"/>
      <c r="PYX181" s="225"/>
      <c r="PYY181" s="225"/>
      <c r="PYZ181" s="225"/>
      <c r="PZA181" s="225"/>
      <c r="PZB181" s="225"/>
      <c r="PZC181" s="225"/>
      <c r="PZD181" s="225"/>
      <c r="PZE181" s="225"/>
      <c r="PZF181" s="225"/>
      <c r="PZG181" s="225"/>
      <c r="PZH181" s="225"/>
      <c r="PZI181" s="225"/>
      <c r="PZJ181" s="225"/>
      <c r="PZK181" s="225"/>
      <c r="PZL181" s="225"/>
      <c r="PZM181" s="225"/>
      <c r="PZN181" s="225"/>
      <c r="PZO181" s="225"/>
      <c r="PZP181" s="225"/>
      <c r="PZQ181" s="225"/>
      <c r="PZR181" s="225"/>
      <c r="PZS181" s="225"/>
      <c r="PZT181" s="225"/>
      <c r="PZU181" s="225"/>
      <c r="PZV181" s="225"/>
      <c r="PZW181" s="225"/>
      <c r="PZX181" s="225"/>
      <c r="PZY181" s="225"/>
      <c r="PZZ181" s="225"/>
      <c r="QAA181" s="225"/>
      <c r="QAB181" s="225"/>
      <c r="QAC181" s="225"/>
      <c r="QAD181" s="225"/>
      <c r="QAE181" s="225"/>
      <c r="QAF181" s="225"/>
      <c r="QAG181" s="225"/>
      <c r="QAH181" s="225"/>
      <c r="QAI181" s="225"/>
      <c r="QAJ181" s="225"/>
      <c r="QAK181" s="225"/>
      <c r="QAL181" s="225"/>
      <c r="QAM181" s="225"/>
      <c r="QAN181" s="225"/>
      <c r="QAO181" s="225"/>
      <c r="QAP181" s="225"/>
      <c r="QAQ181" s="225"/>
      <c r="QAR181" s="225"/>
      <c r="QAS181" s="225"/>
      <c r="QAT181" s="225"/>
      <c r="QAU181" s="225"/>
      <c r="QAV181" s="225"/>
      <c r="QAW181" s="225"/>
      <c r="QAX181" s="225"/>
      <c r="QAY181" s="225"/>
      <c r="QAZ181" s="225"/>
      <c r="QBA181" s="225"/>
      <c r="QBB181" s="225"/>
      <c r="QBC181" s="225"/>
      <c r="QBD181" s="225"/>
      <c r="QBE181" s="225"/>
      <c r="QBF181" s="225"/>
      <c r="QBG181" s="225"/>
      <c r="QBH181" s="225"/>
      <c r="QBI181" s="225"/>
      <c r="QBJ181" s="225"/>
      <c r="QBK181" s="225"/>
      <c r="QBL181" s="225"/>
      <c r="QBM181" s="225"/>
      <c r="QBN181" s="225"/>
      <c r="QBO181" s="225"/>
      <c r="QBP181" s="225"/>
      <c r="QBQ181" s="225"/>
      <c r="QBR181" s="225"/>
      <c r="QBS181" s="225"/>
      <c r="QBT181" s="225"/>
      <c r="QBU181" s="225"/>
      <c r="QBV181" s="225"/>
      <c r="QBW181" s="225"/>
      <c r="QBX181" s="225"/>
      <c r="QBY181" s="225"/>
      <c r="QBZ181" s="225"/>
      <c r="QCA181" s="225"/>
      <c r="QCB181" s="225"/>
      <c r="QCC181" s="225"/>
      <c r="QCD181" s="225"/>
      <c r="QCE181" s="225"/>
      <c r="QCF181" s="225"/>
      <c r="QCG181" s="225"/>
      <c r="QCH181" s="225"/>
      <c r="QCI181" s="225"/>
      <c r="QCJ181" s="225"/>
      <c r="QCK181" s="225"/>
      <c r="QCL181" s="225"/>
      <c r="QCM181" s="225"/>
      <c r="QCN181" s="225"/>
      <c r="QCO181" s="225"/>
      <c r="QCP181" s="225"/>
      <c r="QCQ181" s="225"/>
      <c r="QCR181" s="225"/>
      <c r="QCS181" s="225"/>
      <c r="QCT181" s="225"/>
      <c r="QCU181" s="225"/>
      <c r="QCV181" s="225"/>
      <c r="QCW181" s="225"/>
      <c r="QCX181" s="225"/>
      <c r="QCY181" s="225"/>
      <c r="QCZ181" s="225"/>
      <c r="QDA181" s="225"/>
      <c r="QDB181" s="225"/>
      <c r="QDC181" s="225"/>
      <c r="QDD181" s="225"/>
      <c r="QDE181" s="225"/>
      <c r="QDF181" s="225"/>
      <c r="QDG181" s="225"/>
      <c r="QDH181" s="225"/>
      <c r="QDI181" s="225"/>
      <c r="QDJ181" s="225"/>
      <c r="QDK181" s="225"/>
      <c r="QDL181" s="225"/>
      <c r="QDM181" s="225"/>
      <c r="QDN181" s="225"/>
      <c r="QDO181" s="225"/>
      <c r="QDP181" s="225"/>
      <c r="QDQ181" s="225"/>
      <c r="QDR181" s="225"/>
      <c r="QDS181" s="225"/>
      <c r="QDT181" s="225"/>
      <c r="QDU181" s="225"/>
      <c r="QDV181" s="225"/>
      <c r="QDW181" s="225"/>
      <c r="QDX181" s="225"/>
      <c r="QDY181" s="225"/>
      <c r="QDZ181" s="225"/>
      <c r="QEA181" s="225"/>
      <c r="QEB181" s="225"/>
      <c r="QEC181" s="225"/>
      <c r="QED181" s="225"/>
      <c r="QEE181" s="225"/>
      <c r="QEF181" s="225"/>
      <c r="QEG181" s="225"/>
      <c r="QEH181" s="225"/>
      <c r="QEI181" s="225"/>
      <c r="QEJ181" s="225"/>
      <c r="QEK181" s="225"/>
      <c r="QEL181" s="225"/>
      <c r="QEM181" s="225"/>
      <c r="QEN181" s="225"/>
      <c r="QEO181" s="225"/>
      <c r="QEP181" s="225"/>
      <c r="QEQ181" s="225"/>
      <c r="QER181" s="225"/>
      <c r="QES181" s="225"/>
      <c r="QET181" s="225"/>
      <c r="QEU181" s="225"/>
      <c r="QEV181" s="225"/>
      <c r="QEW181" s="225"/>
      <c r="QEX181" s="225"/>
      <c r="QEY181" s="225"/>
      <c r="QEZ181" s="225"/>
      <c r="QFA181" s="225"/>
      <c r="QFB181" s="225"/>
      <c r="QFC181" s="225"/>
      <c r="QFD181" s="225"/>
      <c r="QFE181" s="225"/>
      <c r="QFF181" s="225"/>
      <c r="QFG181" s="225"/>
      <c r="QFH181" s="225"/>
      <c r="QFI181" s="225"/>
      <c r="QFJ181" s="225"/>
      <c r="QFK181" s="225"/>
      <c r="QFL181" s="225"/>
      <c r="QFM181" s="225"/>
      <c r="QFN181" s="225"/>
      <c r="QFO181" s="225"/>
      <c r="QFP181" s="225"/>
      <c r="QFQ181" s="225"/>
      <c r="QFR181" s="225"/>
      <c r="QFS181" s="225"/>
      <c r="QFT181" s="225"/>
      <c r="QFU181" s="225"/>
      <c r="QFV181" s="225"/>
      <c r="QFW181" s="225"/>
      <c r="QFX181" s="225"/>
      <c r="QFY181" s="225"/>
      <c r="QFZ181" s="225"/>
      <c r="QGA181" s="225"/>
      <c r="QGB181" s="225"/>
      <c r="QGC181" s="225"/>
      <c r="QGD181" s="225"/>
      <c r="QGE181" s="225"/>
      <c r="QGF181" s="225"/>
      <c r="QGG181" s="225"/>
      <c r="QGH181" s="225"/>
      <c r="QGI181" s="225"/>
      <c r="QGJ181" s="225"/>
      <c r="QGK181" s="225"/>
      <c r="QGL181" s="225"/>
      <c r="QGM181" s="225"/>
      <c r="QGN181" s="225"/>
      <c r="QGO181" s="225"/>
      <c r="QGP181" s="225"/>
      <c r="QGQ181" s="225"/>
      <c r="QGR181" s="225"/>
      <c r="QGS181" s="225"/>
      <c r="QGT181" s="225"/>
      <c r="QGU181" s="225"/>
      <c r="QGV181" s="225"/>
      <c r="QGW181" s="225"/>
      <c r="QGX181" s="225"/>
      <c r="QGY181" s="225"/>
      <c r="QGZ181" s="225"/>
      <c r="QHA181" s="225"/>
      <c r="QHB181" s="225"/>
      <c r="QHC181" s="225"/>
      <c r="QHD181" s="225"/>
      <c r="QHE181" s="225"/>
      <c r="QHF181" s="225"/>
      <c r="QHG181" s="225"/>
      <c r="QHH181" s="225"/>
      <c r="QHI181" s="225"/>
      <c r="QHJ181" s="225"/>
      <c r="QHK181" s="225"/>
      <c r="QHL181" s="225"/>
      <c r="QHM181" s="225"/>
      <c r="QHN181" s="225"/>
      <c r="QHO181" s="225"/>
      <c r="QHP181" s="225"/>
      <c r="QHQ181" s="225"/>
      <c r="QHR181" s="225"/>
      <c r="QHS181" s="225"/>
      <c r="QHT181" s="225"/>
      <c r="QHU181" s="225"/>
      <c r="QHV181" s="225"/>
      <c r="QHW181" s="225"/>
      <c r="QHX181" s="225"/>
      <c r="QHY181" s="225"/>
      <c r="QHZ181" s="225"/>
      <c r="QIA181" s="225"/>
      <c r="QIB181" s="225"/>
      <c r="QIC181" s="225"/>
      <c r="QID181" s="225"/>
      <c r="QIE181" s="225"/>
      <c r="QIF181" s="225"/>
      <c r="QIG181" s="225"/>
      <c r="QIH181" s="225"/>
      <c r="QII181" s="225"/>
      <c r="QIJ181" s="225"/>
      <c r="QIK181" s="225"/>
      <c r="QIL181" s="225"/>
      <c r="QIM181" s="225"/>
      <c r="QIN181" s="225"/>
      <c r="QIO181" s="225"/>
      <c r="QIP181" s="225"/>
      <c r="QIQ181" s="225"/>
      <c r="QIR181" s="225"/>
      <c r="QIS181" s="225"/>
      <c r="QIT181" s="225"/>
      <c r="QIU181" s="225"/>
      <c r="QIV181" s="225"/>
      <c r="QIW181" s="225"/>
      <c r="QIX181" s="225"/>
      <c r="QIY181" s="225"/>
      <c r="QIZ181" s="225"/>
      <c r="QJA181" s="225"/>
      <c r="QJB181" s="225"/>
      <c r="QJC181" s="225"/>
      <c r="QJD181" s="225"/>
      <c r="QJE181" s="225"/>
      <c r="QJF181" s="225"/>
      <c r="QJG181" s="225"/>
      <c r="QJH181" s="225"/>
      <c r="QJI181" s="225"/>
      <c r="QJJ181" s="225"/>
      <c r="QJK181" s="225"/>
      <c r="QJL181" s="225"/>
      <c r="QJM181" s="225"/>
      <c r="QJN181" s="225"/>
      <c r="QJO181" s="225"/>
      <c r="QJP181" s="225"/>
      <c r="QJQ181" s="225"/>
      <c r="QJR181" s="225"/>
      <c r="QJS181" s="225"/>
      <c r="QJT181" s="225"/>
      <c r="QJU181" s="225"/>
      <c r="QJV181" s="225"/>
      <c r="QJW181" s="225"/>
      <c r="QJX181" s="225"/>
      <c r="QJY181" s="225"/>
      <c r="QJZ181" s="225"/>
      <c r="QKA181" s="225"/>
      <c r="QKB181" s="225"/>
      <c r="QKC181" s="225"/>
      <c r="QKD181" s="225"/>
      <c r="QKE181" s="225"/>
      <c r="QKF181" s="225"/>
      <c r="QKG181" s="225"/>
      <c r="QKH181" s="225"/>
      <c r="QKI181" s="225"/>
      <c r="QKJ181" s="225"/>
      <c r="QKK181" s="225"/>
      <c r="QKL181" s="225"/>
      <c r="QKM181" s="225"/>
      <c r="QKN181" s="225"/>
      <c r="QKO181" s="225"/>
      <c r="QKP181" s="225"/>
      <c r="QKQ181" s="225"/>
      <c r="QKR181" s="225"/>
      <c r="QKS181" s="225"/>
      <c r="QKT181" s="225"/>
      <c r="QKU181" s="225"/>
      <c r="QKV181" s="225"/>
      <c r="QKW181" s="225"/>
      <c r="QKX181" s="225"/>
      <c r="QKY181" s="225"/>
      <c r="QKZ181" s="225"/>
      <c r="QLA181" s="225"/>
      <c r="QLB181" s="225"/>
      <c r="QLC181" s="225"/>
      <c r="QLD181" s="225"/>
      <c r="QLE181" s="225"/>
      <c r="QLF181" s="225"/>
      <c r="QLG181" s="225"/>
      <c r="QLH181" s="225"/>
      <c r="QLI181" s="225"/>
      <c r="QLJ181" s="225"/>
      <c r="QLK181" s="225"/>
      <c r="QLL181" s="225"/>
      <c r="QLM181" s="225"/>
      <c r="QLN181" s="225"/>
      <c r="QLO181" s="225"/>
      <c r="QLP181" s="225"/>
      <c r="QLQ181" s="225"/>
      <c r="QLR181" s="225"/>
      <c r="QLS181" s="225"/>
      <c r="QLT181" s="225"/>
      <c r="QLU181" s="225"/>
      <c r="QLV181" s="225"/>
      <c r="QLW181" s="225"/>
      <c r="QLX181" s="225"/>
      <c r="QLY181" s="225"/>
      <c r="QLZ181" s="225"/>
      <c r="QMA181" s="225"/>
      <c r="QMB181" s="225"/>
      <c r="QMC181" s="225"/>
      <c r="QMD181" s="225"/>
      <c r="QME181" s="225"/>
      <c r="QMF181" s="225"/>
      <c r="QMG181" s="225"/>
      <c r="QMH181" s="225"/>
      <c r="QMI181" s="225"/>
      <c r="QMJ181" s="225"/>
      <c r="QMK181" s="225"/>
      <c r="QML181" s="225"/>
      <c r="QMM181" s="225"/>
      <c r="QMN181" s="225"/>
      <c r="QMO181" s="225"/>
      <c r="QMP181" s="225"/>
      <c r="QMQ181" s="225"/>
      <c r="QMR181" s="225"/>
      <c r="QMS181" s="225"/>
      <c r="QMT181" s="225"/>
      <c r="QMU181" s="225"/>
      <c r="QMV181" s="225"/>
      <c r="QMW181" s="225"/>
      <c r="QMX181" s="225"/>
      <c r="QMY181" s="225"/>
      <c r="QMZ181" s="225"/>
      <c r="QNA181" s="225"/>
      <c r="QNB181" s="225"/>
      <c r="QNC181" s="225"/>
      <c r="QND181" s="225"/>
      <c r="QNE181" s="225"/>
      <c r="QNF181" s="225"/>
      <c r="QNG181" s="225"/>
      <c r="QNH181" s="225"/>
      <c r="QNI181" s="225"/>
      <c r="QNJ181" s="225"/>
      <c r="QNK181" s="225"/>
      <c r="QNL181" s="225"/>
      <c r="QNM181" s="225"/>
      <c r="QNN181" s="225"/>
      <c r="QNO181" s="225"/>
      <c r="QNP181" s="225"/>
      <c r="QNQ181" s="225"/>
      <c r="QNR181" s="225"/>
      <c r="QNS181" s="225"/>
      <c r="QNT181" s="225"/>
      <c r="QNU181" s="225"/>
      <c r="QNV181" s="225"/>
      <c r="QNW181" s="225"/>
      <c r="QNX181" s="225"/>
      <c r="QNY181" s="225"/>
      <c r="QNZ181" s="225"/>
      <c r="QOA181" s="225"/>
      <c r="QOB181" s="225"/>
      <c r="QOC181" s="225"/>
      <c r="QOD181" s="225"/>
      <c r="QOE181" s="225"/>
      <c r="QOF181" s="225"/>
      <c r="QOG181" s="225"/>
      <c r="QOH181" s="225"/>
      <c r="QOI181" s="225"/>
      <c r="QOJ181" s="225"/>
      <c r="QOK181" s="225"/>
      <c r="QOL181" s="225"/>
      <c r="QOM181" s="225"/>
      <c r="QON181" s="225"/>
      <c r="QOO181" s="225"/>
      <c r="QOP181" s="225"/>
      <c r="QOQ181" s="225"/>
      <c r="QOR181" s="225"/>
      <c r="QOS181" s="225"/>
      <c r="QOT181" s="225"/>
      <c r="QOU181" s="225"/>
      <c r="QOV181" s="225"/>
      <c r="QOW181" s="225"/>
      <c r="QOX181" s="225"/>
      <c r="QOY181" s="225"/>
      <c r="QOZ181" s="225"/>
      <c r="QPA181" s="225"/>
      <c r="QPB181" s="225"/>
      <c r="QPC181" s="225"/>
      <c r="QPD181" s="225"/>
      <c r="QPE181" s="225"/>
      <c r="QPF181" s="225"/>
      <c r="QPG181" s="225"/>
      <c r="QPH181" s="225"/>
      <c r="QPI181" s="225"/>
      <c r="QPJ181" s="225"/>
      <c r="QPK181" s="225"/>
      <c r="QPL181" s="225"/>
      <c r="QPM181" s="225"/>
      <c r="QPN181" s="225"/>
      <c r="QPO181" s="225"/>
      <c r="QPP181" s="225"/>
      <c r="QPQ181" s="225"/>
      <c r="QPR181" s="225"/>
      <c r="QPS181" s="225"/>
      <c r="QPT181" s="225"/>
      <c r="QPU181" s="225"/>
      <c r="QPV181" s="225"/>
      <c r="QPW181" s="225"/>
      <c r="QPX181" s="225"/>
      <c r="QPY181" s="225"/>
      <c r="QPZ181" s="225"/>
      <c r="QQA181" s="225"/>
      <c r="QQB181" s="225"/>
      <c r="QQC181" s="225"/>
      <c r="QQD181" s="225"/>
      <c r="QQE181" s="225"/>
      <c r="QQF181" s="225"/>
      <c r="QQG181" s="225"/>
      <c r="QQH181" s="225"/>
      <c r="QQI181" s="225"/>
      <c r="QQJ181" s="225"/>
      <c r="QQK181" s="225"/>
      <c r="QQL181" s="225"/>
      <c r="QQM181" s="225"/>
      <c r="QQN181" s="225"/>
      <c r="QQO181" s="225"/>
      <c r="QQP181" s="225"/>
      <c r="QQQ181" s="225"/>
      <c r="QQR181" s="225"/>
      <c r="QQS181" s="225"/>
      <c r="QQT181" s="225"/>
      <c r="QQU181" s="225"/>
      <c r="QQV181" s="225"/>
      <c r="QQW181" s="225"/>
      <c r="QQX181" s="225"/>
      <c r="QQY181" s="225"/>
      <c r="QQZ181" s="225"/>
      <c r="QRA181" s="225"/>
      <c r="QRB181" s="225"/>
      <c r="QRC181" s="225"/>
      <c r="QRD181" s="225"/>
      <c r="QRE181" s="225"/>
      <c r="QRF181" s="225"/>
      <c r="QRG181" s="225"/>
      <c r="QRH181" s="225"/>
      <c r="QRI181" s="225"/>
      <c r="QRJ181" s="225"/>
      <c r="QRK181" s="225"/>
      <c r="QRL181" s="225"/>
      <c r="QRM181" s="225"/>
      <c r="QRN181" s="225"/>
      <c r="QRO181" s="225"/>
      <c r="QRP181" s="225"/>
      <c r="QRQ181" s="225"/>
      <c r="QRR181" s="225"/>
      <c r="QRS181" s="225"/>
      <c r="QRT181" s="225"/>
      <c r="QRU181" s="225"/>
      <c r="QRV181" s="225"/>
      <c r="QRW181" s="225"/>
      <c r="QRX181" s="225"/>
      <c r="QRY181" s="225"/>
      <c r="QRZ181" s="225"/>
      <c r="QSA181" s="225"/>
      <c r="QSB181" s="225"/>
      <c r="QSC181" s="225"/>
      <c r="QSD181" s="225"/>
      <c r="QSE181" s="225"/>
      <c r="QSF181" s="225"/>
      <c r="QSG181" s="225"/>
      <c r="QSH181" s="225"/>
      <c r="QSI181" s="225"/>
      <c r="QSJ181" s="225"/>
      <c r="QSK181" s="225"/>
      <c r="QSL181" s="225"/>
      <c r="QSM181" s="225"/>
      <c r="QSN181" s="225"/>
      <c r="QSO181" s="225"/>
      <c r="QSP181" s="225"/>
      <c r="QSQ181" s="225"/>
      <c r="QSR181" s="225"/>
      <c r="QSS181" s="225"/>
      <c r="QST181" s="225"/>
      <c r="QSU181" s="225"/>
      <c r="QSV181" s="225"/>
      <c r="QSW181" s="225"/>
      <c r="QSX181" s="225"/>
      <c r="QSY181" s="225"/>
      <c r="QSZ181" s="225"/>
      <c r="QTA181" s="225"/>
      <c r="QTB181" s="225"/>
      <c r="QTC181" s="225"/>
      <c r="QTD181" s="225"/>
      <c r="QTE181" s="225"/>
      <c r="QTF181" s="225"/>
      <c r="QTG181" s="225"/>
      <c r="QTH181" s="225"/>
      <c r="QTI181" s="225"/>
      <c r="QTJ181" s="225"/>
      <c r="QTK181" s="225"/>
      <c r="QTL181" s="225"/>
      <c r="QTM181" s="225"/>
      <c r="QTN181" s="225"/>
      <c r="QTO181" s="225"/>
      <c r="QTP181" s="225"/>
      <c r="QTQ181" s="225"/>
      <c r="QTR181" s="225"/>
      <c r="QTS181" s="225"/>
      <c r="QTT181" s="225"/>
      <c r="QTU181" s="225"/>
      <c r="QTV181" s="225"/>
      <c r="QTW181" s="225"/>
      <c r="QTX181" s="225"/>
      <c r="QTY181" s="225"/>
      <c r="QTZ181" s="225"/>
      <c r="QUA181" s="225"/>
      <c r="QUB181" s="225"/>
      <c r="QUC181" s="225"/>
      <c r="QUD181" s="225"/>
      <c r="QUE181" s="225"/>
      <c r="QUF181" s="225"/>
      <c r="QUG181" s="225"/>
      <c r="QUH181" s="225"/>
      <c r="QUI181" s="225"/>
      <c r="QUJ181" s="225"/>
      <c r="QUK181" s="225"/>
      <c r="QUL181" s="225"/>
      <c r="QUM181" s="225"/>
      <c r="QUN181" s="225"/>
      <c r="QUO181" s="225"/>
      <c r="QUP181" s="225"/>
      <c r="QUQ181" s="225"/>
      <c r="QUR181" s="225"/>
      <c r="QUS181" s="225"/>
      <c r="QUT181" s="225"/>
      <c r="QUU181" s="225"/>
      <c r="QUV181" s="225"/>
      <c r="QUW181" s="225"/>
      <c r="QUX181" s="225"/>
      <c r="QUY181" s="225"/>
      <c r="QUZ181" s="225"/>
      <c r="QVA181" s="225"/>
      <c r="QVB181" s="225"/>
      <c r="QVC181" s="225"/>
      <c r="QVD181" s="225"/>
      <c r="QVE181" s="225"/>
      <c r="QVF181" s="225"/>
      <c r="QVG181" s="225"/>
      <c r="QVH181" s="225"/>
      <c r="QVI181" s="225"/>
      <c r="QVJ181" s="225"/>
      <c r="QVK181" s="225"/>
      <c r="QVL181" s="225"/>
      <c r="QVM181" s="225"/>
      <c r="QVN181" s="225"/>
      <c r="QVO181" s="225"/>
      <c r="QVP181" s="225"/>
      <c r="QVQ181" s="225"/>
      <c r="QVR181" s="225"/>
      <c r="QVS181" s="225"/>
      <c r="QVT181" s="225"/>
      <c r="QVU181" s="225"/>
      <c r="QVV181" s="225"/>
      <c r="QVW181" s="225"/>
      <c r="QVX181" s="225"/>
      <c r="QVY181" s="225"/>
      <c r="QVZ181" s="225"/>
      <c r="QWA181" s="225"/>
      <c r="QWB181" s="225"/>
      <c r="QWC181" s="225"/>
      <c r="QWD181" s="225"/>
      <c r="QWE181" s="225"/>
      <c r="QWF181" s="225"/>
      <c r="QWG181" s="225"/>
      <c r="QWH181" s="225"/>
      <c r="QWI181" s="225"/>
      <c r="QWJ181" s="225"/>
      <c r="QWK181" s="225"/>
      <c r="QWL181" s="225"/>
      <c r="QWM181" s="225"/>
      <c r="QWN181" s="225"/>
      <c r="QWO181" s="225"/>
      <c r="QWP181" s="225"/>
      <c r="QWQ181" s="225"/>
      <c r="QWR181" s="225"/>
      <c r="QWS181" s="225"/>
      <c r="QWT181" s="225"/>
      <c r="QWU181" s="225"/>
      <c r="QWV181" s="225"/>
      <c r="QWW181" s="225"/>
      <c r="QWX181" s="225"/>
      <c r="QWY181" s="225"/>
      <c r="QWZ181" s="225"/>
      <c r="QXA181" s="225"/>
      <c r="QXB181" s="225"/>
      <c r="QXC181" s="225"/>
      <c r="QXD181" s="225"/>
      <c r="QXE181" s="225"/>
      <c r="QXF181" s="225"/>
      <c r="QXG181" s="225"/>
      <c r="QXH181" s="225"/>
      <c r="QXI181" s="225"/>
      <c r="QXJ181" s="225"/>
      <c r="QXK181" s="225"/>
      <c r="QXL181" s="225"/>
      <c r="QXM181" s="225"/>
      <c r="QXN181" s="225"/>
      <c r="QXO181" s="225"/>
      <c r="QXP181" s="225"/>
      <c r="QXQ181" s="225"/>
      <c r="QXR181" s="225"/>
      <c r="QXS181" s="225"/>
      <c r="QXT181" s="225"/>
      <c r="QXU181" s="225"/>
      <c r="QXV181" s="225"/>
      <c r="QXW181" s="225"/>
      <c r="QXX181" s="225"/>
      <c r="QXY181" s="225"/>
      <c r="QXZ181" s="225"/>
      <c r="QYA181" s="225"/>
      <c r="QYB181" s="225"/>
      <c r="QYC181" s="225"/>
      <c r="QYD181" s="225"/>
      <c r="QYE181" s="225"/>
      <c r="QYF181" s="225"/>
      <c r="QYG181" s="225"/>
      <c r="QYH181" s="225"/>
      <c r="QYI181" s="225"/>
      <c r="QYJ181" s="225"/>
      <c r="QYK181" s="225"/>
      <c r="QYL181" s="225"/>
      <c r="QYM181" s="225"/>
      <c r="QYN181" s="225"/>
      <c r="QYO181" s="225"/>
      <c r="QYP181" s="225"/>
      <c r="QYQ181" s="225"/>
      <c r="QYR181" s="225"/>
      <c r="QYS181" s="225"/>
      <c r="QYT181" s="225"/>
      <c r="QYU181" s="225"/>
      <c r="QYV181" s="225"/>
      <c r="QYW181" s="225"/>
      <c r="QYX181" s="225"/>
      <c r="QYY181" s="225"/>
      <c r="QYZ181" s="225"/>
      <c r="QZA181" s="225"/>
      <c r="QZB181" s="225"/>
      <c r="QZC181" s="225"/>
      <c r="QZD181" s="225"/>
      <c r="QZE181" s="225"/>
      <c r="QZF181" s="225"/>
      <c r="QZG181" s="225"/>
      <c r="QZH181" s="225"/>
      <c r="QZI181" s="225"/>
      <c r="QZJ181" s="225"/>
      <c r="QZK181" s="225"/>
      <c r="QZL181" s="225"/>
      <c r="QZM181" s="225"/>
      <c r="QZN181" s="225"/>
      <c r="QZO181" s="225"/>
      <c r="QZP181" s="225"/>
      <c r="QZQ181" s="225"/>
      <c r="QZR181" s="225"/>
      <c r="QZS181" s="225"/>
      <c r="QZT181" s="225"/>
      <c r="QZU181" s="225"/>
      <c r="QZV181" s="225"/>
      <c r="QZW181" s="225"/>
      <c r="QZX181" s="225"/>
      <c r="QZY181" s="225"/>
      <c r="QZZ181" s="225"/>
      <c r="RAA181" s="225"/>
      <c r="RAB181" s="225"/>
      <c r="RAC181" s="225"/>
      <c r="RAD181" s="225"/>
      <c r="RAE181" s="225"/>
      <c r="RAF181" s="225"/>
      <c r="RAG181" s="225"/>
      <c r="RAH181" s="225"/>
      <c r="RAI181" s="225"/>
      <c r="RAJ181" s="225"/>
      <c r="RAK181" s="225"/>
      <c r="RAL181" s="225"/>
      <c r="RAM181" s="225"/>
      <c r="RAN181" s="225"/>
      <c r="RAO181" s="225"/>
      <c r="RAP181" s="225"/>
      <c r="RAQ181" s="225"/>
      <c r="RAR181" s="225"/>
      <c r="RAS181" s="225"/>
      <c r="RAT181" s="225"/>
      <c r="RAU181" s="225"/>
      <c r="RAV181" s="225"/>
      <c r="RAW181" s="225"/>
      <c r="RAX181" s="225"/>
      <c r="RAY181" s="225"/>
      <c r="RAZ181" s="225"/>
      <c r="RBA181" s="225"/>
      <c r="RBB181" s="225"/>
      <c r="RBC181" s="225"/>
      <c r="RBD181" s="225"/>
      <c r="RBE181" s="225"/>
      <c r="RBF181" s="225"/>
      <c r="RBG181" s="225"/>
      <c r="RBH181" s="225"/>
      <c r="RBI181" s="225"/>
      <c r="RBJ181" s="225"/>
      <c r="RBK181" s="225"/>
      <c r="RBL181" s="225"/>
      <c r="RBM181" s="225"/>
      <c r="RBN181" s="225"/>
      <c r="RBO181" s="225"/>
      <c r="RBP181" s="225"/>
      <c r="RBQ181" s="225"/>
      <c r="RBR181" s="225"/>
      <c r="RBS181" s="225"/>
      <c r="RBT181" s="225"/>
      <c r="RBU181" s="225"/>
      <c r="RBV181" s="225"/>
      <c r="RBW181" s="225"/>
      <c r="RBX181" s="225"/>
      <c r="RBY181" s="225"/>
      <c r="RBZ181" s="225"/>
      <c r="RCA181" s="225"/>
      <c r="RCB181" s="225"/>
      <c r="RCC181" s="225"/>
      <c r="RCD181" s="225"/>
      <c r="RCE181" s="225"/>
      <c r="RCF181" s="225"/>
      <c r="RCG181" s="225"/>
      <c r="RCH181" s="225"/>
      <c r="RCI181" s="225"/>
      <c r="RCJ181" s="225"/>
      <c r="RCK181" s="225"/>
      <c r="RCL181" s="225"/>
      <c r="RCM181" s="225"/>
      <c r="RCN181" s="225"/>
      <c r="RCO181" s="225"/>
      <c r="RCP181" s="225"/>
      <c r="RCQ181" s="225"/>
      <c r="RCR181" s="225"/>
      <c r="RCS181" s="225"/>
      <c r="RCT181" s="225"/>
      <c r="RCU181" s="225"/>
      <c r="RCV181" s="225"/>
      <c r="RCW181" s="225"/>
      <c r="RCX181" s="225"/>
      <c r="RCY181" s="225"/>
      <c r="RCZ181" s="225"/>
      <c r="RDA181" s="225"/>
      <c r="RDB181" s="225"/>
      <c r="RDC181" s="225"/>
      <c r="RDD181" s="225"/>
      <c r="RDE181" s="225"/>
      <c r="RDF181" s="225"/>
      <c r="RDG181" s="225"/>
      <c r="RDH181" s="225"/>
      <c r="RDI181" s="225"/>
      <c r="RDJ181" s="225"/>
      <c r="RDK181" s="225"/>
      <c r="RDL181" s="225"/>
      <c r="RDM181" s="225"/>
      <c r="RDN181" s="225"/>
      <c r="RDO181" s="225"/>
      <c r="RDP181" s="225"/>
      <c r="RDQ181" s="225"/>
      <c r="RDR181" s="225"/>
      <c r="RDS181" s="225"/>
      <c r="RDT181" s="225"/>
      <c r="RDU181" s="225"/>
      <c r="RDV181" s="225"/>
      <c r="RDW181" s="225"/>
      <c r="RDX181" s="225"/>
      <c r="RDY181" s="225"/>
      <c r="RDZ181" s="225"/>
      <c r="REA181" s="225"/>
      <c r="REB181" s="225"/>
      <c r="REC181" s="225"/>
      <c r="RED181" s="225"/>
      <c r="REE181" s="225"/>
      <c r="REF181" s="225"/>
      <c r="REG181" s="225"/>
      <c r="REH181" s="225"/>
      <c r="REI181" s="225"/>
      <c r="REJ181" s="225"/>
      <c r="REK181" s="225"/>
      <c r="REL181" s="225"/>
      <c r="REM181" s="225"/>
      <c r="REN181" s="225"/>
      <c r="REO181" s="225"/>
      <c r="REP181" s="225"/>
      <c r="REQ181" s="225"/>
      <c r="RER181" s="225"/>
      <c r="RES181" s="225"/>
      <c r="RET181" s="225"/>
      <c r="REU181" s="225"/>
      <c r="REV181" s="225"/>
      <c r="REW181" s="225"/>
      <c r="REX181" s="225"/>
      <c r="REY181" s="225"/>
      <c r="REZ181" s="225"/>
      <c r="RFA181" s="225"/>
      <c r="RFB181" s="225"/>
      <c r="RFC181" s="225"/>
      <c r="RFD181" s="225"/>
      <c r="RFE181" s="225"/>
      <c r="RFF181" s="225"/>
      <c r="RFG181" s="225"/>
      <c r="RFH181" s="225"/>
      <c r="RFI181" s="225"/>
      <c r="RFJ181" s="225"/>
      <c r="RFK181" s="225"/>
      <c r="RFL181" s="225"/>
      <c r="RFM181" s="225"/>
      <c r="RFN181" s="225"/>
      <c r="RFO181" s="225"/>
      <c r="RFP181" s="225"/>
      <c r="RFQ181" s="225"/>
      <c r="RFR181" s="225"/>
      <c r="RFS181" s="225"/>
      <c r="RFT181" s="225"/>
      <c r="RFU181" s="225"/>
      <c r="RFV181" s="225"/>
      <c r="RFW181" s="225"/>
      <c r="RFX181" s="225"/>
      <c r="RFY181" s="225"/>
      <c r="RFZ181" s="225"/>
      <c r="RGA181" s="225"/>
      <c r="RGB181" s="225"/>
      <c r="RGC181" s="225"/>
      <c r="RGD181" s="225"/>
      <c r="RGE181" s="225"/>
      <c r="RGF181" s="225"/>
      <c r="RGG181" s="225"/>
      <c r="RGH181" s="225"/>
      <c r="RGI181" s="225"/>
      <c r="RGJ181" s="225"/>
      <c r="RGK181" s="225"/>
      <c r="RGL181" s="225"/>
      <c r="RGM181" s="225"/>
      <c r="RGN181" s="225"/>
      <c r="RGO181" s="225"/>
      <c r="RGP181" s="225"/>
      <c r="RGQ181" s="225"/>
      <c r="RGR181" s="225"/>
      <c r="RGS181" s="225"/>
      <c r="RGT181" s="225"/>
      <c r="RGU181" s="225"/>
      <c r="RGV181" s="225"/>
      <c r="RGW181" s="225"/>
      <c r="RGX181" s="225"/>
      <c r="RGY181" s="225"/>
      <c r="RGZ181" s="225"/>
      <c r="RHA181" s="225"/>
      <c r="RHB181" s="225"/>
      <c r="RHC181" s="225"/>
      <c r="RHD181" s="225"/>
      <c r="RHE181" s="225"/>
      <c r="RHF181" s="225"/>
      <c r="RHG181" s="225"/>
      <c r="RHH181" s="225"/>
      <c r="RHI181" s="225"/>
      <c r="RHJ181" s="225"/>
      <c r="RHK181" s="225"/>
      <c r="RHL181" s="225"/>
      <c r="RHM181" s="225"/>
      <c r="RHN181" s="225"/>
      <c r="RHO181" s="225"/>
      <c r="RHP181" s="225"/>
      <c r="RHQ181" s="225"/>
      <c r="RHR181" s="225"/>
      <c r="RHS181" s="225"/>
      <c r="RHT181" s="225"/>
      <c r="RHU181" s="225"/>
      <c r="RHV181" s="225"/>
      <c r="RHW181" s="225"/>
      <c r="RHX181" s="225"/>
      <c r="RHY181" s="225"/>
      <c r="RHZ181" s="225"/>
      <c r="RIA181" s="225"/>
      <c r="RIB181" s="225"/>
      <c r="RIC181" s="225"/>
      <c r="RID181" s="225"/>
      <c r="RIE181" s="225"/>
      <c r="RIF181" s="225"/>
      <c r="RIG181" s="225"/>
      <c r="RIH181" s="225"/>
      <c r="RII181" s="225"/>
      <c r="RIJ181" s="225"/>
      <c r="RIK181" s="225"/>
      <c r="RIL181" s="225"/>
      <c r="RIM181" s="225"/>
      <c r="RIN181" s="225"/>
      <c r="RIO181" s="225"/>
      <c r="RIP181" s="225"/>
      <c r="RIQ181" s="225"/>
      <c r="RIR181" s="225"/>
      <c r="RIS181" s="225"/>
      <c r="RIT181" s="225"/>
      <c r="RIU181" s="225"/>
      <c r="RIV181" s="225"/>
      <c r="RIW181" s="225"/>
      <c r="RIX181" s="225"/>
      <c r="RIY181" s="225"/>
      <c r="RIZ181" s="225"/>
      <c r="RJA181" s="225"/>
      <c r="RJB181" s="225"/>
      <c r="RJC181" s="225"/>
      <c r="RJD181" s="225"/>
      <c r="RJE181" s="225"/>
      <c r="RJF181" s="225"/>
      <c r="RJG181" s="225"/>
      <c r="RJH181" s="225"/>
      <c r="RJI181" s="225"/>
      <c r="RJJ181" s="225"/>
      <c r="RJK181" s="225"/>
      <c r="RJL181" s="225"/>
      <c r="RJM181" s="225"/>
      <c r="RJN181" s="225"/>
      <c r="RJO181" s="225"/>
      <c r="RJP181" s="225"/>
      <c r="RJQ181" s="225"/>
      <c r="RJR181" s="225"/>
      <c r="RJS181" s="225"/>
      <c r="RJT181" s="225"/>
      <c r="RJU181" s="225"/>
      <c r="RJV181" s="225"/>
      <c r="RJW181" s="225"/>
      <c r="RJX181" s="225"/>
      <c r="RJY181" s="225"/>
      <c r="RJZ181" s="225"/>
      <c r="RKA181" s="225"/>
      <c r="RKB181" s="225"/>
      <c r="RKC181" s="225"/>
      <c r="RKD181" s="225"/>
      <c r="RKE181" s="225"/>
      <c r="RKF181" s="225"/>
      <c r="RKG181" s="225"/>
      <c r="RKH181" s="225"/>
      <c r="RKI181" s="225"/>
      <c r="RKJ181" s="225"/>
      <c r="RKK181" s="225"/>
      <c r="RKL181" s="225"/>
      <c r="RKM181" s="225"/>
      <c r="RKN181" s="225"/>
      <c r="RKO181" s="225"/>
      <c r="RKP181" s="225"/>
      <c r="RKQ181" s="225"/>
      <c r="RKR181" s="225"/>
      <c r="RKS181" s="225"/>
      <c r="RKT181" s="225"/>
      <c r="RKU181" s="225"/>
      <c r="RKV181" s="225"/>
      <c r="RKW181" s="225"/>
      <c r="RKX181" s="225"/>
      <c r="RKY181" s="225"/>
      <c r="RKZ181" s="225"/>
      <c r="RLA181" s="225"/>
      <c r="RLB181" s="225"/>
      <c r="RLC181" s="225"/>
      <c r="RLD181" s="225"/>
      <c r="RLE181" s="225"/>
      <c r="RLF181" s="225"/>
      <c r="RLG181" s="225"/>
      <c r="RLH181" s="225"/>
      <c r="RLI181" s="225"/>
      <c r="RLJ181" s="225"/>
      <c r="RLK181" s="225"/>
      <c r="RLL181" s="225"/>
      <c r="RLM181" s="225"/>
      <c r="RLN181" s="225"/>
      <c r="RLO181" s="225"/>
      <c r="RLP181" s="225"/>
      <c r="RLQ181" s="225"/>
      <c r="RLR181" s="225"/>
      <c r="RLS181" s="225"/>
      <c r="RLT181" s="225"/>
      <c r="RLU181" s="225"/>
      <c r="RLV181" s="225"/>
      <c r="RLW181" s="225"/>
      <c r="RLX181" s="225"/>
      <c r="RLY181" s="225"/>
      <c r="RLZ181" s="225"/>
      <c r="RMA181" s="225"/>
      <c r="RMB181" s="225"/>
      <c r="RMC181" s="225"/>
      <c r="RMD181" s="225"/>
      <c r="RME181" s="225"/>
      <c r="RMF181" s="225"/>
      <c r="RMG181" s="225"/>
      <c r="RMH181" s="225"/>
      <c r="RMI181" s="225"/>
      <c r="RMJ181" s="225"/>
      <c r="RMK181" s="225"/>
      <c r="RML181" s="225"/>
      <c r="RMM181" s="225"/>
      <c r="RMN181" s="225"/>
      <c r="RMO181" s="225"/>
      <c r="RMP181" s="225"/>
      <c r="RMQ181" s="225"/>
      <c r="RMR181" s="225"/>
      <c r="RMS181" s="225"/>
      <c r="RMT181" s="225"/>
      <c r="RMU181" s="225"/>
      <c r="RMV181" s="225"/>
      <c r="RMW181" s="225"/>
      <c r="RMX181" s="225"/>
      <c r="RMY181" s="225"/>
      <c r="RMZ181" s="225"/>
      <c r="RNA181" s="225"/>
      <c r="RNB181" s="225"/>
      <c r="RNC181" s="225"/>
      <c r="RND181" s="225"/>
      <c r="RNE181" s="225"/>
      <c r="RNF181" s="225"/>
      <c r="RNG181" s="225"/>
      <c r="RNH181" s="225"/>
      <c r="RNI181" s="225"/>
      <c r="RNJ181" s="225"/>
      <c r="RNK181" s="225"/>
      <c r="RNL181" s="225"/>
      <c r="RNM181" s="225"/>
      <c r="RNN181" s="225"/>
      <c r="RNO181" s="225"/>
      <c r="RNP181" s="225"/>
      <c r="RNQ181" s="225"/>
      <c r="RNR181" s="225"/>
      <c r="RNS181" s="225"/>
      <c r="RNT181" s="225"/>
      <c r="RNU181" s="225"/>
      <c r="RNV181" s="225"/>
      <c r="RNW181" s="225"/>
      <c r="RNX181" s="225"/>
      <c r="RNY181" s="225"/>
      <c r="RNZ181" s="225"/>
      <c r="ROA181" s="225"/>
      <c r="ROB181" s="225"/>
      <c r="ROC181" s="225"/>
      <c r="ROD181" s="225"/>
      <c r="ROE181" s="225"/>
      <c r="ROF181" s="225"/>
      <c r="ROG181" s="225"/>
      <c r="ROH181" s="225"/>
      <c r="ROI181" s="225"/>
      <c r="ROJ181" s="225"/>
      <c r="ROK181" s="225"/>
      <c r="ROL181" s="225"/>
      <c r="ROM181" s="225"/>
      <c r="RON181" s="225"/>
      <c r="ROO181" s="225"/>
      <c r="ROP181" s="225"/>
      <c r="ROQ181" s="225"/>
      <c r="ROR181" s="225"/>
      <c r="ROS181" s="225"/>
      <c r="ROT181" s="225"/>
      <c r="ROU181" s="225"/>
      <c r="ROV181" s="225"/>
      <c r="ROW181" s="225"/>
      <c r="ROX181" s="225"/>
      <c r="ROY181" s="225"/>
      <c r="ROZ181" s="225"/>
      <c r="RPA181" s="225"/>
      <c r="RPB181" s="225"/>
      <c r="RPC181" s="225"/>
      <c r="RPD181" s="225"/>
      <c r="RPE181" s="225"/>
      <c r="RPF181" s="225"/>
      <c r="RPG181" s="225"/>
      <c r="RPH181" s="225"/>
      <c r="RPI181" s="225"/>
      <c r="RPJ181" s="225"/>
      <c r="RPK181" s="225"/>
      <c r="RPL181" s="225"/>
      <c r="RPM181" s="225"/>
      <c r="RPN181" s="225"/>
      <c r="RPO181" s="225"/>
      <c r="RPP181" s="225"/>
      <c r="RPQ181" s="225"/>
      <c r="RPR181" s="225"/>
      <c r="RPS181" s="225"/>
      <c r="RPT181" s="225"/>
      <c r="RPU181" s="225"/>
      <c r="RPV181" s="225"/>
      <c r="RPW181" s="225"/>
      <c r="RPX181" s="225"/>
      <c r="RPY181" s="225"/>
      <c r="RPZ181" s="225"/>
      <c r="RQA181" s="225"/>
      <c r="RQB181" s="225"/>
      <c r="RQC181" s="225"/>
      <c r="RQD181" s="225"/>
      <c r="RQE181" s="225"/>
      <c r="RQF181" s="225"/>
      <c r="RQG181" s="225"/>
      <c r="RQH181" s="225"/>
      <c r="RQI181" s="225"/>
      <c r="RQJ181" s="225"/>
      <c r="RQK181" s="225"/>
      <c r="RQL181" s="225"/>
      <c r="RQM181" s="225"/>
      <c r="RQN181" s="225"/>
      <c r="RQO181" s="225"/>
      <c r="RQP181" s="225"/>
      <c r="RQQ181" s="225"/>
      <c r="RQR181" s="225"/>
      <c r="RQS181" s="225"/>
      <c r="RQT181" s="225"/>
      <c r="RQU181" s="225"/>
      <c r="RQV181" s="225"/>
      <c r="RQW181" s="225"/>
      <c r="RQX181" s="225"/>
      <c r="RQY181" s="225"/>
      <c r="RQZ181" s="225"/>
      <c r="RRA181" s="225"/>
      <c r="RRB181" s="225"/>
      <c r="RRC181" s="225"/>
      <c r="RRD181" s="225"/>
      <c r="RRE181" s="225"/>
      <c r="RRF181" s="225"/>
      <c r="RRG181" s="225"/>
      <c r="RRH181" s="225"/>
      <c r="RRI181" s="225"/>
      <c r="RRJ181" s="225"/>
      <c r="RRK181" s="225"/>
      <c r="RRL181" s="225"/>
      <c r="RRM181" s="225"/>
      <c r="RRN181" s="225"/>
      <c r="RRO181" s="225"/>
      <c r="RRP181" s="225"/>
      <c r="RRQ181" s="225"/>
      <c r="RRR181" s="225"/>
      <c r="RRS181" s="225"/>
      <c r="RRT181" s="225"/>
      <c r="RRU181" s="225"/>
      <c r="RRV181" s="225"/>
      <c r="RRW181" s="225"/>
      <c r="RRX181" s="225"/>
      <c r="RRY181" s="225"/>
      <c r="RRZ181" s="225"/>
      <c r="RSA181" s="225"/>
      <c r="RSB181" s="225"/>
      <c r="RSC181" s="225"/>
      <c r="RSD181" s="225"/>
      <c r="RSE181" s="225"/>
      <c r="RSF181" s="225"/>
      <c r="RSG181" s="225"/>
      <c r="RSH181" s="225"/>
      <c r="RSI181" s="225"/>
      <c r="RSJ181" s="225"/>
      <c r="RSK181" s="225"/>
      <c r="RSL181" s="225"/>
      <c r="RSM181" s="225"/>
      <c r="RSN181" s="225"/>
      <c r="RSO181" s="225"/>
      <c r="RSP181" s="225"/>
      <c r="RSQ181" s="225"/>
      <c r="RSR181" s="225"/>
      <c r="RSS181" s="225"/>
      <c r="RST181" s="225"/>
      <c r="RSU181" s="225"/>
      <c r="RSV181" s="225"/>
      <c r="RSW181" s="225"/>
      <c r="RSX181" s="225"/>
      <c r="RSY181" s="225"/>
      <c r="RSZ181" s="225"/>
      <c r="RTA181" s="225"/>
      <c r="RTB181" s="225"/>
      <c r="RTC181" s="225"/>
      <c r="RTD181" s="225"/>
      <c r="RTE181" s="225"/>
      <c r="RTF181" s="225"/>
      <c r="RTG181" s="225"/>
      <c r="RTH181" s="225"/>
      <c r="RTI181" s="225"/>
      <c r="RTJ181" s="225"/>
      <c r="RTK181" s="225"/>
      <c r="RTL181" s="225"/>
      <c r="RTM181" s="225"/>
      <c r="RTN181" s="225"/>
      <c r="RTO181" s="225"/>
      <c r="RTP181" s="225"/>
      <c r="RTQ181" s="225"/>
      <c r="RTR181" s="225"/>
      <c r="RTS181" s="225"/>
      <c r="RTT181" s="225"/>
      <c r="RTU181" s="225"/>
      <c r="RTV181" s="225"/>
      <c r="RTW181" s="225"/>
      <c r="RTX181" s="225"/>
      <c r="RTY181" s="225"/>
      <c r="RTZ181" s="225"/>
      <c r="RUA181" s="225"/>
      <c r="RUB181" s="225"/>
      <c r="RUC181" s="225"/>
      <c r="RUD181" s="225"/>
      <c r="RUE181" s="225"/>
      <c r="RUF181" s="225"/>
      <c r="RUG181" s="225"/>
      <c r="RUH181" s="225"/>
      <c r="RUI181" s="225"/>
      <c r="RUJ181" s="225"/>
      <c r="RUK181" s="225"/>
      <c r="RUL181" s="225"/>
      <c r="RUM181" s="225"/>
      <c r="RUN181" s="225"/>
      <c r="RUO181" s="225"/>
      <c r="RUP181" s="225"/>
      <c r="RUQ181" s="225"/>
      <c r="RUR181" s="225"/>
      <c r="RUS181" s="225"/>
      <c r="RUT181" s="225"/>
      <c r="RUU181" s="225"/>
      <c r="RUV181" s="225"/>
      <c r="RUW181" s="225"/>
      <c r="RUX181" s="225"/>
      <c r="RUY181" s="225"/>
      <c r="RUZ181" s="225"/>
      <c r="RVA181" s="225"/>
      <c r="RVB181" s="225"/>
      <c r="RVC181" s="225"/>
      <c r="RVD181" s="225"/>
      <c r="RVE181" s="225"/>
      <c r="RVF181" s="225"/>
      <c r="RVG181" s="225"/>
      <c r="RVH181" s="225"/>
      <c r="RVI181" s="225"/>
      <c r="RVJ181" s="225"/>
      <c r="RVK181" s="225"/>
      <c r="RVL181" s="225"/>
      <c r="RVM181" s="225"/>
      <c r="RVN181" s="225"/>
      <c r="RVO181" s="225"/>
      <c r="RVP181" s="225"/>
      <c r="RVQ181" s="225"/>
      <c r="RVR181" s="225"/>
      <c r="RVS181" s="225"/>
      <c r="RVT181" s="225"/>
      <c r="RVU181" s="225"/>
      <c r="RVV181" s="225"/>
      <c r="RVW181" s="225"/>
      <c r="RVX181" s="225"/>
      <c r="RVY181" s="225"/>
      <c r="RVZ181" s="225"/>
      <c r="RWA181" s="225"/>
      <c r="RWB181" s="225"/>
      <c r="RWC181" s="225"/>
      <c r="RWD181" s="225"/>
      <c r="RWE181" s="225"/>
      <c r="RWF181" s="225"/>
      <c r="RWG181" s="225"/>
      <c r="RWH181" s="225"/>
      <c r="RWI181" s="225"/>
      <c r="RWJ181" s="225"/>
      <c r="RWK181" s="225"/>
      <c r="RWL181" s="225"/>
      <c r="RWM181" s="225"/>
      <c r="RWN181" s="225"/>
      <c r="RWO181" s="225"/>
      <c r="RWP181" s="225"/>
      <c r="RWQ181" s="225"/>
      <c r="RWR181" s="225"/>
      <c r="RWS181" s="225"/>
      <c r="RWT181" s="225"/>
      <c r="RWU181" s="225"/>
      <c r="RWV181" s="225"/>
      <c r="RWW181" s="225"/>
      <c r="RWX181" s="225"/>
      <c r="RWY181" s="225"/>
      <c r="RWZ181" s="225"/>
      <c r="RXA181" s="225"/>
      <c r="RXB181" s="225"/>
      <c r="RXC181" s="225"/>
      <c r="RXD181" s="225"/>
      <c r="RXE181" s="225"/>
      <c r="RXF181" s="225"/>
      <c r="RXG181" s="225"/>
      <c r="RXH181" s="225"/>
      <c r="RXI181" s="225"/>
      <c r="RXJ181" s="225"/>
      <c r="RXK181" s="225"/>
      <c r="RXL181" s="225"/>
      <c r="RXM181" s="225"/>
      <c r="RXN181" s="225"/>
      <c r="RXO181" s="225"/>
      <c r="RXP181" s="225"/>
      <c r="RXQ181" s="225"/>
      <c r="RXR181" s="225"/>
      <c r="RXS181" s="225"/>
      <c r="RXT181" s="225"/>
      <c r="RXU181" s="225"/>
      <c r="RXV181" s="225"/>
      <c r="RXW181" s="225"/>
      <c r="RXX181" s="225"/>
      <c r="RXY181" s="225"/>
      <c r="RXZ181" s="225"/>
      <c r="RYA181" s="225"/>
      <c r="RYB181" s="225"/>
      <c r="RYC181" s="225"/>
      <c r="RYD181" s="225"/>
      <c r="RYE181" s="225"/>
      <c r="RYF181" s="225"/>
      <c r="RYG181" s="225"/>
      <c r="RYH181" s="225"/>
      <c r="RYI181" s="225"/>
      <c r="RYJ181" s="225"/>
      <c r="RYK181" s="225"/>
      <c r="RYL181" s="225"/>
      <c r="RYM181" s="225"/>
      <c r="RYN181" s="225"/>
      <c r="RYO181" s="225"/>
      <c r="RYP181" s="225"/>
      <c r="RYQ181" s="225"/>
      <c r="RYR181" s="225"/>
      <c r="RYS181" s="225"/>
      <c r="RYT181" s="225"/>
      <c r="RYU181" s="225"/>
      <c r="RYV181" s="225"/>
      <c r="RYW181" s="225"/>
      <c r="RYX181" s="225"/>
      <c r="RYY181" s="225"/>
      <c r="RYZ181" s="225"/>
      <c r="RZA181" s="225"/>
      <c r="RZB181" s="225"/>
      <c r="RZC181" s="225"/>
      <c r="RZD181" s="225"/>
      <c r="RZE181" s="225"/>
      <c r="RZF181" s="225"/>
      <c r="RZG181" s="225"/>
      <c r="RZH181" s="225"/>
      <c r="RZI181" s="225"/>
      <c r="RZJ181" s="225"/>
      <c r="RZK181" s="225"/>
      <c r="RZL181" s="225"/>
      <c r="RZM181" s="225"/>
      <c r="RZN181" s="225"/>
      <c r="RZO181" s="225"/>
      <c r="RZP181" s="225"/>
      <c r="RZQ181" s="225"/>
      <c r="RZR181" s="225"/>
      <c r="RZS181" s="225"/>
      <c r="RZT181" s="225"/>
      <c r="RZU181" s="225"/>
      <c r="RZV181" s="225"/>
      <c r="RZW181" s="225"/>
      <c r="RZX181" s="225"/>
      <c r="RZY181" s="225"/>
      <c r="RZZ181" s="225"/>
      <c r="SAA181" s="225"/>
      <c r="SAB181" s="225"/>
      <c r="SAC181" s="225"/>
      <c r="SAD181" s="225"/>
      <c r="SAE181" s="225"/>
      <c r="SAF181" s="225"/>
      <c r="SAG181" s="225"/>
      <c r="SAH181" s="225"/>
      <c r="SAI181" s="225"/>
      <c r="SAJ181" s="225"/>
      <c r="SAK181" s="225"/>
      <c r="SAL181" s="225"/>
      <c r="SAM181" s="225"/>
      <c r="SAN181" s="225"/>
      <c r="SAO181" s="225"/>
      <c r="SAP181" s="225"/>
      <c r="SAQ181" s="225"/>
      <c r="SAR181" s="225"/>
      <c r="SAS181" s="225"/>
      <c r="SAT181" s="225"/>
      <c r="SAU181" s="225"/>
      <c r="SAV181" s="225"/>
      <c r="SAW181" s="225"/>
      <c r="SAX181" s="225"/>
      <c r="SAY181" s="225"/>
      <c r="SAZ181" s="225"/>
      <c r="SBA181" s="225"/>
      <c r="SBB181" s="225"/>
      <c r="SBC181" s="225"/>
      <c r="SBD181" s="225"/>
      <c r="SBE181" s="225"/>
      <c r="SBF181" s="225"/>
      <c r="SBG181" s="225"/>
      <c r="SBH181" s="225"/>
      <c r="SBI181" s="225"/>
      <c r="SBJ181" s="225"/>
      <c r="SBK181" s="225"/>
      <c r="SBL181" s="225"/>
      <c r="SBM181" s="225"/>
      <c r="SBN181" s="225"/>
      <c r="SBO181" s="225"/>
      <c r="SBP181" s="225"/>
      <c r="SBQ181" s="225"/>
      <c r="SBR181" s="225"/>
      <c r="SBS181" s="225"/>
      <c r="SBT181" s="225"/>
      <c r="SBU181" s="225"/>
      <c r="SBV181" s="225"/>
      <c r="SBW181" s="225"/>
      <c r="SBX181" s="225"/>
      <c r="SBY181" s="225"/>
      <c r="SBZ181" s="225"/>
      <c r="SCA181" s="225"/>
      <c r="SCB181" s="225"/>
      <c r="SCC181" s="225"/>
      <c r="SCD181" s="225"/>
      <c r="SCE181" s="225"/>
      <c r="SCF181" s="225"/>
      <c r="SCG181" s="225"/>
      <c r="SCH181" s="225"/>
      <c r="SCI181" s="225"/>
      <c r="SCJ181" s="225"/>
      <c r="SCK181" s="225"/>
      <c r="SCL181" s="225"/>
      <c r="SCM181" s="225"/>
      <c r="SCN181" s="225"/>
      <c r="SCO181" s="225"/>
      <c r="SCP181" s="225"/>
      <c r="SCQ181" s="225"/>
      <c r="SCR181" s="225"/>
      <c r="SCS181" s="225"/>
      <c r="SCT181" s="225"/>
      <c r="SCU181" s="225"/>
      <c r="SCV181" s="225"/>
      <c r="SCW181" s="225"/>
      <c r="SCX181" s="225"/>
      <c r="SCY181" s="225"/>
      <c r="SCZ181" s="225"/>
      <c r="SDA181" s="225"/>
      <c r="SDB181" s="225"/>
      <c r="SDC181" s="225"/>
      <c r="SDD181" s="225"/>
      <c r="SDE181" s="225"/>
      <c r="SDF181" s="225"/>
      <c r="SDG181" s="225"/>
      <c r="SDH181" s="225"/>
      <c r="SDI181" s="225"/>
      <c r="SDJ181" s="225"/>
      <c r="SDK181" s="225"/>
      <c r="SDL181" s="225"/>
      <c r="SDM181" s="225"/>
      <c r="SDN181" s="225"/>
      <c r="SDO181" s="225"/>
      <c r="SDP181" s="225"/>
      <c r="SDQ181" s="225"/>
      <c r="SDR181" s="225"/>
      <c r="SDS181" s="225"/>
      <c r="SDT181" s="225"/>
      <c r="SDU181" s="225"/>
      <c r="SDV181" s="225"/>
      <c r="SDW181" s="225"/>
      <c r="SDX181" s="225"/>
      <c r="SDY181" s="225"/>
      <c r="SDZ181" s="225"/>
      <c r="SEA181" s="225"/>
      <c r="SEB181" s="225"/>
      <c r="SEC181" s="225"/>
      <c r="SED181" s="225"/>
      <c r="SEE181" s="225"/>
      <c r="SEF181" s="225"/>
      <c r="SEG181" s="225"/>
      <c r="SEH181" s="225"/>
      <c r="SEI181" s="225"/>
      <c r="SEJ181" s="225"/>
      <c r="SEK181" s="225"/>
      <c r="SEL181" s="225"/>
      <c r="SEM181" s="225"/>
      <c r="SEN181" s="225"/>
      <c r="SEO181" s="225"/>
      <c r="SEP181" s="225"/>
      <c r="SEQ181" s="225"/>
      <c r="SER181" s="225"/>
      <c r="SES181" s="225"/>
      <c r="SET181" s="225"/>
      <c r="SEU181" s="225"/>
      <c r="SEV181" s="225"/>
      <c r="SEW181" s="225"/>
      <c r="SEX181" s="225"/>
      <c r="SEY181" s="225"/>
      <c r="SEZ181" s="225"/>
      <c r="SFA181" s="225"/>
      <c r="SFB181" s="225"/>
      <c r="SFC181" s="225"/>
      <c r="SFD181" s="225"/>
      <c r="SFE181" s="225"/>
      <c r="SFF181" s="225"/>
      <c r="SFG181" s="225"/>
      <c r="SFH181" s="225"/>
      <c r="SFI181" s="225"/>
      <c r="SFJ181" s="225"/>
      <c r="SFK181" s="225"/>
      <c r="SFL181" s="225"/>
      <c r="SFM181" s="225"/>
      <c r="SFN181" s="225"/>
      <c r="SFO181" s="225"/>
      <c r="SFP181" s="225"/>
      <c r="SFQ181" s="225"/>
      <c r="SFR181" s="225"/>
      <c r="SFS181" s="225"/>
      <c r="SFT181" s="225"/>
      <c r="SFU181" s="225"/>
      <c r="SFV181" s="225"/>
      <c r="SFW181" s="225"/>
      <c r="SFX181" s="225"/>
      <c r="SFY181" s="225"/>
      <c r="SFZ181" s="225"/>
      <c r="SGA181" s="225"/>
      <c r="SGB181" s="225"/>
      <c r="SGC181" s="225"/>
      <c r="SGD181" s="225"/>
      <c r="SGE181" s="225"/>
      <c r="SGF181" s="225"/>
      <c r="SGG181" s="225"/>
      <c r="SGH181" s="225"/>
      <c r="SGI181" s="225"/>
      <c r="SGJ181" s="225"/>
      <c r="SGK181" s="225"/>
      <c r="SGL181" s="225"/>
      <c r="SGM181" s="225"/>
      <c r="SGN181" s="225"/>
      <c r="SGO181" s="225"/>
      <c r="SGP181" s="225"/>
      <c r="SGQ181" s="225"/>
      <c r="SGR181" s="225"/>
      <c r="SGS181" s="225"/>
      <c r="SGT181" s="225"/>
      <c r="SGU181" s="225"/>
      <c r="SGV181" s="225"/>
      <c r="SGW181" s="225"/>
      <c r="SGX181" s="225"/>
      <c r="SGY181" s="225"/>
      <c r="SGZ181" s="225"/>
      <c r="SHA181" s="225"/>
      <c r="SHB181" s="225"/>
      <c r="SHC181" s="225"/>
      <c r="SHD181" s="225"/>
      <c r="SHE181" s="225"/>
      <c r="SHF181" s="225"/>
      <c r="SHG181" s="225"/>
      <c r="SHH181" s="225"/>
      <c r="SHI181" s="225"/>
      <c r="SHJ181" s="225"/>
      <c r="SHK181" s="225"/>
      <c r="SHL181" s="225"/>
      <c r="SHM181" s="225"/>
      <c r="SHN181" s="225"/>
      <c r="SHO181" s="225"/>
      <c r="SHP181" s="225"/>
      <c r="SHQ181" s="225"/>
      <c r="SHR181" s="225"/>
      <c r="SHS181" s="225"/>
      <c r="SHT181" s="225"/>
      <c r="SHU181" s="225"/>
      <c r="SHV181" s="225"/>
      <c r="SHW181" s="225"/>
      <c r="SHX181" s="225"/>
      <c r="SHY181" s="225"/>
      <c r="SHZ181" s="225"/>
      <c r="SIA181" s="225"/>
      <c r="SIB181" s="225"/>
      <c r="SIC181" s="225"/>
      <c r="SID181" s="225"/>
      <c r="SIE181" s="225"/>
      <c r="SIF181" s="225"/>
      <c r="SIG181" s="225"/>
      <c r="SIH181" s="225"/>
      <c r="SII181" s="225"/>
      <c r="SIJ181" s="225"/>
      <c r="SIK181" s="225"/>
      <c r="SIL181" s="225"/>
      <c r="SIM181" s="225"/>
      <c r="SIN181" s="225"/>
      <c r="SIO181" s="225"/>
      <c r="SIP181" s="225"/>
      <c r="SIQ181" s="225"/>
      <c r="SIR181" s="225"/>
      <c r="SIS181" s="225"/>
      <c r="SIT181" s="225"/>
      <c r="SIU181" s="225"/>
      <c r="SIV181" s="225"/>
      <c r="SIW181" s="225"/>
      <c r="SIX181" s="225"/>
      <c r="SIY181" s="225"/>
      <c r="SIZ181" s="225"/>
      <c r="SJA181" s="225"/>
      <c r="SJB181" s="225"/>
      <c r="SJC181" s="225"/>
      <c r="SJD181" s="225"/>
      <c r="SJE181" s="225"/>
      <c r="SJF181" s="225"/>
      <c r="SJG181" s="225"/>
      <c r="SJH181" s="225"/>
      <c r="SJI181" s="225"/>
      <c r="SJJ181" s="225"/>
      <c r="SJK181" s="225"/>
      <c r="SJL181" s="225"/>
      <c r="SJM181" s="225"/>
      <c r="SJN181" s="225"/>
      <c r="SJO181" s="225"/>
      <c r="SJP181" s="225"/>
      <c r="SJQ181" s="225"/>
      <c r="SJR181" s="225"/>
      <c r="SJS181" s="225"/>
      <c r="SJT181" s="225"/>
      <c r="SJU181" s="225"/>
      <c r="SJV181" s="225"/>
      <c r="SJW181" s="225"/>
      <c r="SJX181" s="225"/>
      <c r="SJY181" s="225"/>
      <c r="SJZ181" s="225"/>
      <c r="SKA181" s="225"/>
      <c r="SKB181" s="225"/>
      <c r="SKC181" s="225"/>
      <c r="SKD181" s="225"/>
      <c r="SKE181" s="225"/>
      <c r="SKF181" s="225"/>
      <c r="SKG181" s="225"/>
      <c r="SKH181" s="225"/>
      <c r="SKI181" s="225"/>
      <c r="SKJ181" s="225"/>
      <c r="SKK181" s="225"/>
      <c r="SKL181" s="225"/>
      <c r="SKM181" s="225"/>
      <c r="SKN181" s="225"/>
      <c r="SKO181" s="225"/>
      <c r="SKP181" s="225"/>
      <c r="SKQ181" s="225"/>
      <c r="SKR181" s="225"/>
      <c r="SKS181" s="225"/>
      <c r="SKT181" s="225"/>
      <c r="SKU181" s="225"/>
      <c r="SKV181" s="225"/>
      <c r="SKW181" s="225"/>
      <c r="SKX181" s="225"/>
      <c r="SKY181" s="225"/>
      <c r="SKZ181" s="225"/>
      <c r="SLA181" s="225"/>
      <c r="SLB181" s="225"/>
      <c r="SLC181" s="225"/>
      <c r="SLD181" s="225"/>
      <c r="SLE181" s="225"/>
      <c r="SLF181" s="225"/>
      <c r="SLG181" s="225"/>
      <c r="SLH181" s="225"/>
      <c r="SLI181" s="225"/>
      <c r="SLJ181" s="225"/>
      <c r="SLK181" s="225"/>
      <c r="SLL181" s="225"/>
      <c r="SLM181" s="225"/>
      <c r="SLN181" s="225"/>
      <c r="SLO181" s="225"/>
      <c r="SLP181" s="225"/>
      <c r="SLQ181" s="225"/>
      <c r="SLR181" s="225"/>
      <c r="SLS181" s="225"/>
      <c r="SLT181" s="225"/>
      <c r="SLU181" s="225"/>
      <c r="SLV181" s="225"/>
      <c r="SLW181" s="225"/>
      <c r="SLX181" s="225"/>
      <c r="SLY181" s="225"/>
      <c r="SLZ181" s="225"/>
      <c r="SMA181" s="225"/>
      <c r="SMB181" s="225"/>
      <c r="SMC181" s="225"/>
      <c r="SMD181" s="225"/>
      <c r="SME181" s="225"/>
      <c r="SMF181" s="225"/>
      <c r="SMG181" s="225"/>
      <c r="SMH181" s="225"/>
      <c r="SMI181" s="225"/>
      <c r="SMJ181" s="225"/>
      <c r="SMK181" s="225"/>
      <c r="SML181" s="225"/>
      <c r="SMM181" s="225"/>
      <c r="SMN181" s="225"/>
      <c r="SMO181" s="225"/>
      <c r="SMP181" s="225"/>
      <c r="SMQ181" s="225"/>
      <c r="SMR181" s="225"/>
      <c r="SMS181" s="225"/>
      <c r="SMT181" s="225"/>
      <c r="SMU181" s="225"/>
      <c r="SMV181" s="225"/>
      <c r="SMW181" s="225"/>
      <c r="SMX181" s="225"/>
      <c r="SMY181" s="225"/>
      <c r="SMZ181" s="225"/>
      <c r="SNA181" s="225"/>
      <c r="SNB181" s="225"/>
      <c r="SNC181" s="225"/>
      <c r="SND181" s="225"/>
      <c r="SNE181" s="225"/>
      <c r="SNF181" s="225"/>
      <c r="SNG181" s="225"/>
      <c r="SNH181" s="225"/>
      <c r="SNI181" s="225"/>
      <c r="SNJ181" s="225"/>
      <c r="SNK181" s="225"/>
      <c r="SNL181" s="225"/>
      <c r="SNM181" s="225"/>
      <c r="SNN181" s="225"/>
      <c r="SNO181" s="225"/>
      <c r="SNP181" s="225"/>
      <c r="SNQ181" s="225"/>
      <c r="SNR181" s="225"/>
      <c r="SNS181" s="225"/>
      <c r="SNT181" s="225"/>
      <c r="SNU181" s="225"/>
      <c r="SNV181" s="225"/>
      <c r="SNW181" s="225"/>
      <c r="SNX181" s="225"/>
      <c r="SNY181" s="225"/>
      <c r="SNZ181" s="225"/>
      <c r="SOA181" s="225"/>
      <c r="SOB181" s="225"/>
      <c r="SOC181" s="225"/>
      <c r="SOD181" s="225"/>
      <c r="SOE181" s="225"/>
      <c r="SOF181" s="225"/>
      <c r="SOG181" s="225"/>
      <c r="SOH181" s="225"/>
      <c r="SOI181" s="225"/>
      <c r="SOJ181" s="225"/>
      <c r="SOK181" s="225"/>
      <c r="SOL181" s="225"/>
      <c r="SOM181" s="225"/>
      <c r="SON181" s="225"/>
      <c r="SOO181" s="225"/>
      <c r="SOP181" s="225"/>
      <c r="SOQ181" s="225"/>
      <c r="SOR181" s="225"/>
      <c r="SOS181" s="225"/>
      <c r="SOT181" s="225"/>
      <c r="SOU181" s="225"/>
      <c r="SOV181" s="225"/>
      <c r="SOW181" s="225"/>
      <c r="SOX181" s="225"/>
      <c r="SOY181" s="225"/>
      <c r="SOZ181" s="225"/>
      <c r="SPA181" s="225"/>
      <c r="SPB181" s="225"/>
      <c r="SPC181" s="225"/>
      <c r="SPD181" s="225"/>
      <c r="SPE181" s="225"/>
      <c r="SPF181" s="225"/>
      <c r="SPG181" s="225"/>
      <c r="SPH181" s="225"/>
      <c r="SPI181" s="225"/>
      <c r="SPJ181" s="225"/>
      <c r="SPK181" s="225"/>
      <c r="SPL181" s="225"/>
      <c r="SPM181" s="225"/>
      <c r="SPN181" s="225"/>
      <c r="SPO181" s="225"/>
      <c r="SPP181" s="225"/>
      <c r="SPQ181" s="225"/>
      <c r="SPR181" s="225"/>
      <c r="SPS181" s="225"/>
      <c r="SPT181" s="225"/>
      <c r="SPU181" s="225"/>
      <c r="SPV181" s="225"/>
      <c r="SPW181" s="225"/>
      <c r="SPX181" s="225"/>
      <c r="SPY181" s="225"/>
      <c r="SPZ181" s="225"/>
      <c r="SQA181" s="225"/>
      <c r="SQB181" s="225"/>
      <c r="SQC181" s="225"/>
      <c r="SQD181" s="225"/>
      <c r="SQE181" s="225"/>
      <c r="SQF181" s="225"/>
      <c r="SQG181" s="225"/>
      <c r="SQH181" s="225"/>
      <c r="SQI181" s="225"/>
      <c r="SQJ181" s="225"/>
      <c r="SQK181" s="225"/>
      <c r="SQL181" s="225"/>
      <c r="SQM181" s="225"/>
      <c r="SQN181" s="225"/>
      <c r="SQO181" s="225"/>
      <c r="SQP181" s="225"/>
      <c r="SQQ181" s="225"/>
      <c r="SQR181" s="225"/>
      <c r="SQS181" s="225"/>
      <c r="SQT181" s="225"/>
      <c r="SQU181" s="225"/>
      <c r="SQV181" s="225"/>
      <c r="SQW181" s="225"/>
      <c r="SQX181" s="225"/>
      <c r="SQY181" s="225"/>
      <c r="SQZ181" s="225"/>
      <c r="SRA181" s="225"/>
      <c r="SRB181" s="225"/>
      <c r="SRC181" s="225"/>
      <c r="SRD181" s="225"/>
      <c r="SRE181" s="225"/>
      <c r="SRF181" s="225"/>
      <c r="SRG181" s="225"/>
      <c r="SRH181" s="225"/>
      <c r="SRI181" s="225"/>
      <c r="SRJ181" s="225"/>
      <c r="SRK181" s="225"/>
      <c r="SRL181" s="225"/>
      <c r="SRM181" s="225"/>
      <c r="SRN181" s="225"/>
      <c r="SRO181" s="225"/>
      <c r="SRP181" s="225"/>
      <c r="SRQ181" s="225"/>
      <c r="SRR181" s="225"/>
      <c r="SRS181" s="225"/>
      <c r="SRT181" s="225"/>
      <c r="SRU181" s="225"/>
      <c r="SRV181" s="225"/>
      <c r="SRW181" s="225"/>
      <c r="SRX181" s="225"/>
      <c r="SRY181" s="225"/>
      <c r="SRZ181" s="225"/>
      <c r="SSA181" s="225"/>
      <c r="SSB181" s="225"/>
      <c r="SSC181" s="225"/>
      <c r="SSD181" s="225"/>
      <c r="SSE181" s="225"/>
      <c r="SSF181" s="225"/>
      <c r="SSG181" s="225"/>
      <c r="SSH181" s="225"/>
      <c r="SSI181" s="225"/>
      <c r="SSJ181" s="225"/>
      <c r="SSK181" s="225"/>
      <c r="SSL181" s="225"/>
      <c r="SSM181" s="225"/>
      <c r="SSN181" s="225"/>
      <c r="SSO181" s="225"/>
      <c r="SSP181" s="225"/>
      <c r="SSQ181" s="225"/>
      <c r="SSR181" s="225"/>
      <c r="SSS181" s="225"/>
      <c r="SST181" s="225"/>
      <c r="SSU181" s="225"/>
      <c r="SSV181" s="225"/>
      <c r="SSW181" s="225"/>
      <c r="SSX181" s="225"/>
      <c r="SSY181" s="225"/>
      <c r="SSZ181" s="225"/>
      <c r="STA181" s="225"/>
      <c r="STB181" s="225"/>
      <c r="STC181" s="225"/>
      <c r="STD181" s="225"/>
      <c r="STE181" s="225"/>
      <c r="STF181" s="225"/>
      <c r="STG181" s="225"/>
      <c r="STH181" s="225"/>
      <c r="STI181" s="225"/>
      <c r="STJ181" s="225"/>
      <c r="STK181" s="225"/>
      <c r="STL181" s="225"/>
      <c r="STM181" s="225"/>
      <c r="STN181" s="225"/>
      <c r="STO181" s="225"/>
      <c r="STP181" s="225"/>
      <c r="STQ181" s="225"/>
      <c r="STR181" s="225"/>
      <c r="STS181" s="225"/>
      <c r="STT181" s="225"/>
      <c r="STU181" s="225"/>
      <c r="STV181" s="225"/>
      <c r="STW181" s="225"/>
      <c r="STX181" s="225"/>
      <c r="STY181" s="225"/>
      <c r="STZ181" s="225"/>
      <c r="SUA181" s="225"/>
      <c r="SUB181" s="225"/>
      <c r="SUC181" s="225"/>
      <c r="SUD181" s="225"/>
      <c r="SUE181" s="225"/>
      <c r="SUF181" s="225"/>
      <c r="SUG181" s="225"/>
      <c r="SUH181" s="225"/>
      <c r="SUI181" s="225"/>
      <c r="SUJ181" s="225"/>
      <c r="SUK181" s="225"/>
      <c r="SUL181" s="225"/>
      <c r="SUM181" s="225"/>
      <c r="SUN181" s="225"/>
      <c r="SUO181" s="225"/>
      <c r="SUP181" s="225"/>
      <c r="SUQ181" s="225"/>
      <c r="SUR181" s="225"/>
      <c r="SUS181" s="225"/>
      <c r="SUT181" s="225"/>
      <c r="SUU181" s="225"/>
      <c r="SUV181" s="225"/>
      <c r="SUW181" s="225"/>
      <c r="SUX181" s="225"/>
      <c r="SUY181" s="225"/>
      <c r="SUZ181" s="225"/>
      <c r="SVA181" s="225"/>
      <c r="SVB181" s="225"/>
      <c r="SVC181" s="225"/>
      <c r="SVD181" s="225"/>
      <c r="SVE181" s="225"/>
      <c r="SVF181" s="225"/>
      <c r="SVG181" s="225"/>
      <c r="SVH181" s="225"/>
      <c r="SVI181" s="225"/>
      <c r="SVJ181" s="225"/>
      <c r="SVK181" s="225"/>
      <c r="SVL181" s="225"/>
      <c r="SVM181" s="225"/>
      <c r="SVN181" s="225"/>
      <c r="SVO181" s="225"/>
      <c r="SVP181" s="225"/>
      <c r="SVQ181" s="225"/>
      <c r="SVR181" s="225"/>
      <c r="SVS181" s="225"/>
      <c r="SVT181" s="225"/>
      <c r="SVU181" s="225"/>
      <c r="SVV181" s="225"/>
      <c r="SVW181" s="225"/>
      <c r="SVX181" s="225"/>
      <c r="SVY181" s="225"/>
      <c r="SVZ181" s="225"/>
      <c r="SWA181" s="225"/>
      <c r="SWB181" s="225"/>
      <c r="SWC181" s="225"/>
      <c r="SWD181" s="225"/>
      <c r="SWE181" s="225"/>
      <c r="SWF181" s="225"/>
      <c r="SWG181" s="225"/>
      <c r="SWH181" s="225"/>
      <c r="SWI181" s="225"/>
      <c r="SWJ181" s="225"/>
      <c r="SWK181" s="225"/>
      <c r="SWL181" s="225"/>
      <c r="SWM181" s="225"/>
      <c r="SWN181" s="225"/>
      <c r="SWO181" s="225"/>
      <c r="SWP181" s="225"/>
      <c r="SWQ181" s="225"/>
      <c r="SWR181" s="225"/>
      <c r="SWS181" s="225"/>
      <c r="SWT181" s="225"/>
      <c r="SWU181" s="225"/>
      <c r="SWV181" s="225"/>
      <c r="SWW181" s="225"/>
      <c r="SWX181" s="225"/>
      <c r="SWY181" s="225"/>
      <c r="SWZ181" s="225"/>
      <c r="SXA181" s="225"/>
      <c r="SXB181" s="225"/>
      <c r="SXC181" s="225"/>
      <c r="SXD181" s="225"/>
      <c r="SXE181" s="225"/>
      <c r="SXF181" s="225"/>
      <c r="SXG181" s="225"/>
      <c r="SXH181" s="225"/>
      <c r="SXI181" s="225"/>
      <c r="SXJ181" s="225"/>
      <c r="SXK181" s="225"/>
      <c r="SXL181" s="225"/>
      <c r="SXM181" s="225"/>
      <c r="SXN181" s="225"/>
      <c r="SXO181" s="225"/>
      <c r="SXP181" s="225"/>
      <c r="SXQ181" s="225"/>
      <c r="SXR181" s="225"/>
      <c r="SXS181" s="225"/>
      <c r="SXT181" s="225"/>
      <c r="SXU181" s="225"/>
      <c r="SXV181" s="225"/>
      <c r="SXW181" s="225"/>
      <c r="SXX181" s="225"/>
      <c r="SXY181" s="225"/>
      <c r="SXZ181" s="225"/>
      <c r="SYA181" s="225"/>
      <c r="SYB181" s="225"/>
      <c r="SYC181" s="225"/>
      <c r="SYD181" s="225"/>
      <c r="SYE181" s="225"/>
      <c r="SYF181" s="225"/>
      <c r="SYG181" s="225"/>
      <c r="SYH181" s="225"/>
      <c r="SYI181" s="225"/>
      <c r="SYJ181" s="225"/>
      <c r="SYK181" s="225"/>
      <c r="SYL181" s="225"/>
      <c r="SYM181" s="225"/>
      <c r="SYN181" s="225"/>
      <c r="SYO181" s="225"/>
      <c r="SYP181" s="225"/>
      <c r="SYQ181" s="225"/>
      <c r="SYR181" s="225"/>
      <c r="SYS181" s="225"/>
      <c r="SYT181" s="225"/>
      <c r="SYU181" s="225"/>
      <c r="SYV181" s="225"/>
      <c r="SYW181" s="225"/>
      <c r="SYX181" s="225"/>
      <c r="SYY181" s="225"/>
      <c r="SYZ181" s="225"/>
      <c r="SZA181" s="225"/>
      <c r="SZB181" s="225"/>
      <c r="SZC181" s="225"/>
      <c r="SZD181" s="225"/>
      <c r="SZE181" s="225"/>
      <c r="SZF181" s="225"/>
      <c r="SZG181" s="225"/>
      <c r="SZH181" s="225"/>
      <c r="SZI181" s="225"/>
      <c r="SZJ181" s="225"/>
      <c r="SZK181" s="225"/>
      <c r="SZL181" s="225"/>
      <c r="SZM181" s="225"/>
      <c r="SZN181" s="225"/>
      <c r="SZO181" s="225"/>
      <c r="SZP181" s="225"/>
      <c r="SZQ181" s="225"/>
      <c r="SZR181" s="225"/>
      <c r="SZS181" s="225"/>
      <c r="SZT181" s="225"/>
      <c r="SZU181" s="225"/>
      <c r="SZV181" s="225"/>
      <c r="SZW181" s="225"/>
      <c r="SZX181" s="225"/>
      <c r="SZY181" s="225"/>
      <c r="SZZ181" s="225"/>
      <c r="TAA181" s="225"/>
      <c r="TAB181" s="225"/>
      <c r="TAC181" s="225"/>
      <c r="TAD181" s="225"/>
      <c r="TAE181" s="225"/>
      <c r="TAF181" s="225"/>
      <c r="TAG181" s="225"/>
      <c r="TAH181" s="225"/>
      <c r="TAI181" s="225"/>
      <c r="TAJ181" s="225"/>
      <c r="TAK181" s="225"/>
      <c r="TAL181" s="225"/>
      <c r="TAM181" s="225"/>
      <c r="TAN181" s="225"/>
      <c r="TAO181" s="225"/>
      <c r="TAP181" s="225"/>
      <c r="TAQ181" s="225"/>
      <c r="TAR181" s="225"/>
      <c r="TAS181" s="225"/>
      <c r="TAT181" s="225"/>
      <c r="TAU181" s="225"/>
      <c r="TAV181" s="225"/>
      <c r="TAW181" s="225"/>
      <c r="TAX181" s="225"/>
      <c r="TAY181" s="225"/>
      <c r="TAZ181" s="225"/>
      <c r="TBA181" s="225"/>
      <c r="TBB181" s="225"/>
      <c r="TBC181" s="225"/>
      <c r="TBD181" s="225"/>
      <c r="TBE181" s="225"/>
      <c r="TBF181" s="225"/>
      <c r="TBG181" s="225"/>
      <c r="TBH181" s="225"/>
      <c r="TBI181" s="225"/>
      <c r="TBJ181" s="225"/>
      <c r="TBK181" s="225"/>
      <c r="TBL181" s="225"/>
      <c r="TBM181" s="225"/>
      <c r="TBN181" s="225"/>
      <c r="TBO181" s="225"/>
      <c r="TBP181" s="225"/>
      <c r="TBQ181" s="225"/>
      <c r="TBR181" s="225"/>
      <c r="TBS181" s="225"/>
      <c r="TBT181" s="225"/>
      <c r="TBU181" s="225"/>
      <c r="TBV181" s="225"/>
      <c r="TBW181" s="225"/>
      <c r="TBX181" s="225"/>
      <c r="TBY181" s="225"/>
      <c r="TBZ181" s="225"/>
      <c r="TCA181" s="225"/>
      <c r="TCB181" s="225"/>
      <c r="TCC181" s="225"/>
      <c r="TCD181" s="225"/>
      <c r="TCE181" s="225"/>
      <c r="TCF181" s="225"/>
      <c r="TCG181" s="225"/>
      <c r="TCH181" s="225"/>
      <c r="TCI181" s="225"/>
      <c r="TCJ181" s="225"/>
      <c r="TCK181" s="225"/>
      <c r="TCL181" s="225"/>
      <c r="TCM181" s="225"/>
      <c r="TCN181" s="225"/>
      <c r="TCO181" s="225"/>
      <c r="TCP181" s="225"/>
      <c r="TCQ181" s="225"/>
      <c r="TCR181" s="225"/>
      <c r="TCS181" s="225"/>
      <c r="TCT181" s="225"/>
      <c r="TCU181" s="225"/>
      <c r="TCV181" s="225"/>
      <c r="TCW181" s="225"/>
      <c r="TCX181" s="225"/>
      <c r="TCY181" s="225"/>
      <c r="TCZ181" s="225"/>
      <c r="TDA181" s="225"/>
      <c r="TDB181" s="225"/>
      <c r="TDC181" s="225"/>
      <c r="TDD181" s="225"/>
      <c r="TDE181" s="225"/>
      <c r="TDF181" s="225"/>
      <c r="TDG181" s="225"/>
      <c r="TDH181" s="225"/>
      <c r="TDI181" s="225"/>
      <c r="TDJ181" s="225"/>
      <c r="TDK181" s="225"/>
      <c r="TDL181" s="225"/>
      <c r="TDM181" s="225"/>
      <c r="TDN181" s="225"/>
      <c r="TDO181" s="225"/>
      <c r="TDP181" s="225"/>
      <c r="TDQ181" s="225"/>
      <c r="TDR181" s="225"/>
      <c r="TDS181" s="225"/>
      <c r="TDT181" s="225"/>
      <c r="TDU181" s="225"/>
      <c r="TDV181" s="225"/>
      <c r="TDW181" s="225"/>
      <c r="TDX181" s="225"/>
      <c r="TDY181" s="225"/>
      <c r="TDZ181" s="225"/>
      <c r="TEA181" s="225"/>
      <c r="TEB181" s="225"/>
      <c r="TEC181" s="225"/>
      <c r="TED181" s="225"/>
      <c r="TEE181" s="225"/>
      <c r="TEF181" s="225"/>
      <c r="TEG181" s="225"/>
      <c r="TEH181" s="225"/>
      <c r="TEI181" s="225"/>
      <c r="TEJ181" s="225"/>
      <c r="TEK181" s="225"/>
      <c r="TEL181" s="225"/>
      <c r="TEM181" s="225"/>
      <c r="TEN181" s="225"/>
      <c r="TEO181" s="225"/>
      <c r="TEP181" s="225"/>
      <c r="TEQ181" s="225"/>
      <c r="TER181" s="225"/>
      <c r="TES181" s="225"/>
      <c r="TET181" s="225"/>
      <c r="TEU181" s="225"/>
      <c r="TEV181" s="225"/>
      <c r="TEW181" s="225"/>
      <c r="TEX181" s="225"/>
      <c r="TEY181" s="225"/>
      <c r="TEZ181" s="225"/>
      <c r="TFA181" s="225"/>
      <c r="TFB181" s="225"/>
      <c r="TFC181" s="225"/>
      <c r="TFD181" s="225"/>
      <c r="TFE181" s="225"/>
      <c r="TFF181" s="225"/>
      <c r="TFG181" s="225"/>
      <c r="TFH181" s="225"/>
      <c r="TFI181" s="225"/>
      <c r="TFJ181" s="225"/>
      <c r="TFK181" s="225"/>
      <c r="TFL181" s="225"/>
      <c r="TFM181" s="225"/>
      <c r="TFN181" s="225"/>
      <c r="TFO181" s="225"/>
      <c r="TFP181" s="225"/>
      <c r="TFQ181" s="225"/>
      <c r="TFR181" s="225"/>
      <c r="TFS181" s="225"/>
      <c r="TFT181" s="225"/>
      <c r="TFU181" s="225"/>
      <c r="TFV181" s="225"/>
      <c r="TFW181" s="225"/>
      <c r="TFX181" s="225"/>
      <c r="TFY181" s="225"/>
      <c r="TFZ181" s="225"/>
      <c r="TGA181" s="225"/>
      <c r="TGB181" s="225"/>
      <c r="TGC181" s="225"/>
      <c r="TGD181" s="225"/>
      <c r="TGE181" s="225"/>
      <c r="TGF181" s="225"/>
      <c r="TGG181" s="225"/>
      <c r="TGH181" s="225"/>
      <c r="TGI181" s="225"/>
      <c r="TGJ181" s="225"/>
      <c r="TGK181" s="225"/>
      <c r="TGL181" s="225"/>
      <c r="TGM181" s="225"/>
      <c r="TGN181" s="225"/>
      <c r="TGO181" s="225"/>
      <c r="TGP181" s="225"/>
      <c r="TGQ181" s="225"/>
      <c r="TGR181" s="225"/>
      <c r="TGS181" s="225"/>
      <c r="TGT181" s="225"/>
      <c r="TGU181" s="225"/>
      <c r="TGV181" s="225"/>
      <c r="TGW181" s="225"/>
      <c r="TGX181" s="225"/>
      <c r="TGY181" s="225"/>
      <c r="TGZ181" s="225"/>
      <c r="THA181" s="225"/>
      <c r="THB181" s="225"/>
      <c r="THC181" s="225"/>
      <c r="THD181" s="225"/>
      <c r="THE181" s="225"/>
      <c r="THF181" s="225"/>
      <c r="THG181" s="225"/>
      <c r="THH181" s="225"/>
      <c r="THI181" s="225"/>
      <c r="THJ181" s="225"/>
      <c r="THK181" s="225"/>
      <c r="THL181" s="225"/>
      <c r="THM181" s="225"/>
      <c r="THN181" s="225"/>
      <c r="THO181" s="225"/>
      <c r="THP181" s="225"/>
      <c r="THQ181" s="225"/>
      <c r="THR181" s="225"/>
      <c r="THS181" s="225"/>
      <c r="THT181" s="225"/>
      <c r="THU181" s="225"/>
      <c r="THV181" s="225"/>
      <c r="THW181" s="225"/>
      <c r="THX181" s="225"/>
      <c r="THY181" s="225"/>
      <c r="THZ181" s="225"/>
      <c r="TIA181" s="225"/>
      <c r="TIB181" s="225"/>
      <c r="TIC181" s="225"/>
      <c r="TID181" s="225"/>
      <c r="TIE181" s="225"/>
      <c r="TIF181" s="225"/>
      <c r="TIG181" s="225"/>
      <c r="TIH181" s="225"/>
      <c r="TII181" s="225"/>
      <c r="TIJ181" s="225"/>
      <c r="TIK181" s="225"/>
      <c r="TIL181" s="225"/>
      <c r="TIM181" s="225"/>
      <c r="TIN181" s="225"/>
      <c r="TIO181" s="225"/>
      <c r="TIP181" s="225"/>
      <c r="TIQ181" s="225"/>
      <c r="TIR181" s="225"/>
      <c r="TIS181" s="225"/>
      <c r="TIT181" s="225"/>
      <c r="TIU181" s="225"/>
      <c r="TIV181" s="225"/>
      <c r="TIW181" s="225"/>
      <c r="TIX181" s="225"/>
      <c r="TIY181" s="225"/>
      <c r="TIZ181" s="225"/>
      <c r="TJA181" s="225"/>
      <c r="TJB181" s="225"/>
      <c r="TJC181" s="225"/>
      <c r="TJD181" s="225"/>
      <c r="TJE181" s="225"/>
      <c r="TJF181" s="225"/>
      <c r="TJG181" s="225"/>
      <c r="TJH181" s="225"/>
      <c r="TJI181" s="225"/>
      <c r="TJJ181" s="225"/>
      <c r="TJK181" s="225"/>
      <c r="TJL181" s="225"/>
      <c r="TJM181" s="225"/>
      <c r="TJN181" s="225"/>
      <c r="TJO181" s="225"/>
      <c r="TJP181" s="225"/>
      <c r="TJQ181" s="225"/>
      <c r="TJR181" s="225"/>
      <c r="TJS181" s="225"/>
      <c r="TJT181" s="225"/>
      <c r="TJU181" s="225"/>
      <c r="TJV181" s="225"/>
      <c r="TJW181" s="225"/>
      <c r="TJX181" s="225"/>
      <c r="TJY181" s="225"/>
      <c r="TJZ181" s="225"/>
      <c r="TKA181" s="225"/>
      <c r="TKB181" s="225"/>
      <c r="TKC181" s="225"/>
      <c r="TKD181" s="225"/>
      <c r="TKE181" s="225"/>
      <c r="TKF181" s="225"/>
      <c r="TKG181" s="225"/>
      <c r="TKH181" s="225"/>
      <c r="TKI181" s="225"/>
      <c r="TKJ181" s="225"/>
      <c r="TKK181" s="225"/>
      <c r="TKL181" s="225"/>
      <c r="TKM181" s="225"/>
      <c r="TKN181" s="225"/>
      <c r="TKO181" s="225"/>
      <c r="TKP181" s="225"/>
      <c r="TKQ181" s="225"/>
      <c r="TKR181" s="225"/>
      <c r="TKS181" s="225"/>
      <c r="TKT181" s="225"/>
      <c r="TKU181" s="225"/>
      <c r="TKV181" s="225"/>
      <c r="TKW181" s="225"/>
      <c r="TKX181" s="225"/>
      <c r="TKY181" s="225"/>
      <c r="TKZ181" s="225"/>
      <c r="TLA181" s="225"/>
      <c r="TLB181" s="225"/>
      <c r="TLC181" s="225"/>
      <c r="TLD181" s="225"/>
      <c r="TLE181" s="225"/>
      <c r="TLF181" s="225"/>
      <c r="TLG181" s="225"/>
      <c r="TLH181" s="225"/>
      <c r="TLI181" s="225"/>
      <c r="TLJ181" s="225"/>
      <c r="TLK181" s="225"/>
      <c r="TLL181" s="225"/>
      <c r="TLM181" s="225"/>
      <c r="TLN181" s="225"/>
      <c r="TLO181" s="225"/>
      <c r="TLP181" s="225"/>
      <c r="TLQ181" s="225"/>
      <c r="TLR181" s="225"/>
      <c r="TLS181" s="225"/>
      <c r="TLT181" s="225"/>
      <c r="TLU181" s="225"/>
      <c r="TLV181" s="225"/>
      <c r="TLW181" s="225"/>
      <c r="TLX181" s="225"/>
      <c r="TLY181" s="225"/>
      <c r="TLZ181" s="225"/>
      <c r="TMA181" s="225"/>
      <c r="TMB181" s="225"/>
      <c r="TMC181" s="225"/>
      <c r="TMD181" s="225"/>
      <c r="TME181" s="225"/>
      <c r="TMF181" s="225"/>
      <c r="TMG181" s="225"/>
      <c r="TMH181" s="225"/>
      <c r="TMI181" s="225"/>
      <c r="TMJ181" s="225"/>
      <c r="TMK181" s="225"/>
      <c r="TML181" s="225"/>
      <c r="TMM181" s="225"/>
      <c r="TMN181" s="225"/>
      <c r="TMO181" s="225"/>
      <c r="TMP181" s="225"/>
      <c r="TMQ181" s="225"/>
      <c r="TMR181" s="225"/>
      <c r="TMS181" s="225"/>
      <c r="TMT181" s="225"/>
      <c r="TMU181" s="225"/>
      <c r="TMV181" s="225"/>
      <c r="TMW181" s="225"/>
      <c r="TMX181" s="225"/>
      <c r="TMY181" s="225"/>
      <c r="TMZ181" s="225"/>
      <c r="TNA181" s="225"/>
      <c r="TNB181" s="225"/>
      <c r="TNC181" s="225"/>
      <c r="TND181" s="225"/>
      <c r="TNE181" s="225"/>
      <c r="TNF181" s="225"/>
      <c r="TNG181" s="225"/>
      <c r="TNH181" s="225"/>
      <c r="TNI181" s="225"/>
      <c r="TNJ181" s="225"/>
      <c r="TNK181" s="225"/>
      <c r="TNL181" s="225"/>
      <c r="TNM181" s="225"/>
      <c r="TNN181" s="225"/>
      <c r="TNO181" s="225"/>
      <c r="TNP181" s="225"/>
      <c r="TNQ181" s="225"/>
      <c r="TNR181" s="225"/>
      <c r="TNS181" s="225"/>
      <c r="TNT181" s="225"/>
      <c r="TNU181" s="225"/>
      <c r="TNV181" s="225"/>
      <c r="TNW181" s="225"/>
      <c r="TNX181" s="225"/>
      <c r="TNY181" s="225"/>
      <c r="TNZ181" s="225"/>
      <c r="TOA181" s="225"/>
      <c r="TOB181" s="225"/>
      <c r="TOC181" s="225"/>
      <c r="TOD181" s="225"/>
      <c r="TOE181" s="225"/>
      <c r="TOF181" s="225"/>
      <c r="TOG181" s="225"/>
      <c r="TOH181" s="225"/>
      <c r="TOI181" s="225"/>
      <c r="TOJ181" s="225"/>
      <c r="TOK181" s="225"/>
      <c r="TOL181" s="225"/>
      <c r="TOM181" s="225"/>
      <c r="TON181" s="225"/>
      <c r="TOO181" s="225"/>
      <c r="TOP181" s="225"/>
      <c r="TOQ181" s="225"/>
      <c r="TOR181" s="225"/>
      <c r="TOS181" s="225"/>
      <c r="TOT181" s="225"/>
      <c r="TOU181" s="225"/>
      <c r="TOV181" s="225"/>
      <c r="TOW181" s="225"/>
      <c r="TOX181" s="225"/>
      <c r="TOY181" s="225"/>
      <c r="TOZ181" s="225"/>
      <c r="TPA181" s="225"/>
      <c r="TPB181" s="225"/>
      <c r="TPC181" s="225"/>
      <c r="TPD181" s="225"/>
      <c r="TPE181" s="225"/>
      <c r="TPF181" s="225"/>
      <c r="TPG181" s="225"/>
      <c r="TPH181" s="225"/>
      <c r="TPI181" s="225"/>
      <c r="TPJ181" s="225"/>
      <c r="TPK181" s="225"/>
      <c r="TPL181" s="225"/>
      <c r="TPM181" s="225"/>
      <c r="TPN181" s="225"/>
      <c r="TPO181" s="225"/>
      <c r="TPP181" s="225"/>
      <c r="TPQ181" s="225"/>
      <c r="TPR181" s="225"/>
      <c r="TPS181" s="225"/>
      <c r="TPT181" s="225"/>
      <c r="TPU181" s="225"/>
      <c r="TPV181" s="225"/>
      <c r="TPW181" s="225"/>
      <c r="TPX181" s="225"/>
      <c r="TPY181" s="225"/>
      <c r="TPZ181" s="225"/>
      <c r="TQA181" s="225"/>
      <c r="TQB181" s="225"/>
      <c r="TQC181" s="225"/>
      <c r="TQD181" s="225"/>
      <c r="TQE181" s="225"/>
      <c r="TQF181" s="225"/>
      <c r="TQG181" s="225"/>
      <c r="TQH181" s="225"/>
      <c r="TQI181" s="225"/>
      <c r="TQJ181" s="225"/>
      <c r="TQK181" s="225"/>
      <c r="TQL181" s="225"/>
      <c r="TQM181" s="225"/>
      <c r="TQN181" s="225"/>
      <c r="TQO181" s="225"/>
      <c r="TQP181" s="225"/>
      <c r="TQQ181" s="225"/>
      <c r="TQR181" s="225"/>
      <c r="TQS181" s="225"/>
      <c r="TQT181" s="225"/>
      <c r="TQU181" s="225"/>
      <c r="TQV181" s="225"/>
      <c r="TQW181" s="225"/>
      <c r="TQX181" s="225"/>
      <c r="TQY181" s="225"/>
      <c r="TQZ181" s="225"/>
      <c r="TRA181" s="225"/>
      <c r="TRB181" s="225"/>
      <c r="TRC181" s="225"/>
      <c r="TRD181" s="225"/>
      <c r="TRE181" s="225"/>
      <c r="TRF181" s="225"/>
      <c r="TRG181" s="225"/>
      <c r="TRH181" s="225"/>
      <c r="TRI181" s="225"/>
      <c r="TRJ181" s="225"/>
      <c r="TRK181" s="225"/>
      <c r="TRL181" s="225"/>
      <c r="TRM181" s="225"/>
      <c r="TRN181" s="225"/>
      <c r="TRO181" s="225"/>
      <c r="TRP181" s="225"/>
      <c r="TRQ181" s="225"/>
      <c r="TRR181" s="225"/>
      <c r="TRS181" s="225"/>
      <c r="TRT181" s="225"/>
      <c r="TRU181" s="225"/>
      <c r="TRV181" s="225"/>
      <c r="TRW181" s="225"/>
      <c r="TRX181" s="225"/>
      <c r="TRY181" s="225"/>
      <c r="TRZ181" s="225"/>
      <c r="TSA181" s="225"/>
      <c r="TSB181" s="225"/>
      <c r="TSC181" s="225"/>
      <c r="TSD181" s="225"/>
      <c r="TSE181" s="225"/>
      <c r="TSF181" s="225"/>
      <c r="TSG181" s="225"/>
      <c r="TSH181" s="225"/>
      <c r="TSI181" s="225"/>
      <c r="TSJ181" s="225"/>
      <c r="TSK181" s="225"/>
      <c r="TSL181" s="225"/>
      <c r="TSM181" s="225"/>
      <c r="TSN181" s="225"/>
      <c r="TSO181" s="225"/>
      <c r="TSP181" s="225"/>
      <c r="TSQ181" s="225"/>
      <c r="TSR181" s="225"/>
      <c r="TSS181" s="225"/>
      <c r="TST181" s="225"/>
      <c r="TSU181" s="225"/>
      <c r="TSV181" s="225"/>
      <c r="TSW181" s="225"/>
      <c r="TSX181" s="225"/>
      <c r="TSY181" s="225"/>
      <c r="TSZ181" s="225"/>
      <c r="TTA181" s="225"/>
      <c r="TTB181" s="225"/>
      <c r="TTC181" s="225"/>
      <c r="TTD181" s="225"/>
      <c r="TTE181" s="225"/>
      <c r="TTF181" s="225"/>
      <c r="TTG181" s="225"/>
      <c r="TTH181" s="225"/>
      <c r="TTI181" s="225"/>
      <c r="TTJ181" s="225"/>
      <c r="TTK181" s="225"/>
      <c r="TTL181" s="225"/>
      <c r="TTM181" s="225"/>
      <c r="TTN181" s="225"/>
      <c r="TTO181" s="225"/>
      <c r="TTP181" s="225"/>
      <c r="TTQ181" s="225"/>
      <c r="TTR181" s="225"/>
      <c r="TTS181" s="225"/>
      <c r="TTT181" s="225"/>
      <c r="TTU181" s="225"/>
      <c r="TTV181" s="225"/>
      <c r="TTW181" s="225"/>
      <c r="TTX181" s="225"/>
      <c r="TTY181" s="225"/>
      <c r="TTZ181" s="225"/>
      <c r="TUA181" s="225"/>
      <c r="TUB181" s="225"/>
      <c r="TUC181" s="225"/>
      <c r="TUD181" s="225"/>
      <c r="TUE181" s="225"/>
      <c r="TUF181" s="225"/>
      <c r="TUG181" s="225"/>
      <c r="TUH181" s="225"/>
      <c r="TUI181" s="225"/>
      <c r="TUJ181" s="225"/>
      <c r="TUK181" s="225"/>
      <c r="TUL181" s="225"/>
      <c r="TUM181" s="225"/>
      <c r="TUN181" s="225"/>
      <c r="TUO181" s="225"/>
      <c r="TUP181" s="225"/>
      <c r="TUQ181" s="225"/>
      <c r="TUR181" s="225"/>
      <c r="TUS181" s="225"/>
      <c r="TUT181" s="225"/>
      <c r="TUU181" s="225"/>
      <c r="TUV181" s="225"/>
      <c r="TUW181" s="225"/>
      <c r="TUX181" s="225"/>
      <c r="TUY181" s="225"/>
      <c r="TUZ181" s="225"/>
      <c r="TVA181" s="225"/>
      <c r="TVB181" s="225"/>
      <c r="TVC181" s="225"/>
      <c r="TVD181" s="225"/>
      <c r="TVE181" s="225"/>
      <c r="TVF181" s="225"/>
      <c r="TVG181" s="225"/>
      <c r="TVH181" s="225"/>
      <c r="TVI181" s="225"/>
      <c r="TVJ181" s="225"/>
      <c r="TVK181" s="225"/>
      <c r="TVL181" s="225"/>
      <c r="TVM181" s="225"/>
      <c r="TVN181" s="225"/>
      <c r="TVO181" s="225"/>
      <c r="TVP181" s="225"/>
      <c r="TVQ181" s="225"/>
      <c r="TVR181" s="225"/>
      <c r="TVS181" s="225"/>
      <c r="TVT181" s="225"/>
      <c r="TVU181" s="225"/>
      <c r="TVV181" s="225"/>
      <c r="TVW181" s="225"/>
      <c r="TVX181" s="225"/>
      <c r="TVY181" s="225"/>
      <c r="TVZ181" s="225"/>
      <c r="TWA181" s="225"/>
      <c r="TWB181" s="225"/>
      <c r="TWC181" s="225"/>
      <c r="TWD181" s="225"/>
      <c r="TWE181" s="225"/>
      <c r="TWF181" s="225"/>
      <c r="TWG181" s="225"/>
      <c r="TWH181" s="225"/>
      <c r="TWI181" s="225"/>
      <c r="TWJ181" s="225"/>
      <c r="TWK181" s="225"/>
      <c r="TWL181" s="225"/>
      <c r="TWM181" s="225"/>
      <c r="TWN181" s="225"/>
      <c r="TWO181" s="225"/>
      <c r="TWP181" s="225"/>
      <c r="TWQ181" s="225"/>
      <c r="TWR181" s="225"/>
      <c r="TWS181" s="225"/>
      <c r="TWT181" s="225"/>
      <c r="TWU181" s="225"/>
      <c r="TWV181" s="225"/>
      <c r="TWW181" s="225"/>
      <c r="TWX181" s="225"/>
      <c r="TWY181" s="225"/>
      <c r="TWZ181" s="225"/>
      <c r="TXA181" s="225"/>
      <c r="TXB181" s="225"/>
      <c r="TXC181" s="225"/>
      <c r="TXD181" s="225"/>
      <c r="TXE181" s="225"/>
      <c r="TXF181" s="225"/>
      <c r="TXG181" s="225"/>
      <c r="TXH181" s="225"/>
      <c r="TXI181" s="225"/>
      <c r="TXJ181" s="225"/>
      <c r="TXK181" s="225"/>
      <c r="TXL181" s="225"/>
      <c r="TXM181" s="225"/>
      <c r="TXN181" s="225"/>
      <c r="TXO181" s="225"/>
      <c r="TXP181" s="225"/>
      <c r="TXQ181" s="225"/>
      <c r="TXR181" s="225"/>
      <c r="TXS181" s="225"/>
      <c r="TXT181" s="225"/>
      <c r="TXU181" s="225"/>
      <c r="TXV181" s="225"/>
      <c r="TXW181" s="225"/>
      <c r="TXX181" s="225"/>
      <c r="TXY181" s="225"/>
      <c r="TXZ181" s="225"/>
      <c r="TYA181" s="225"/>
      <c r="TYB181" s="225"/>
      <c r="TYC181" s="225"/>
      <c r="TYD181" s="225"/>
      <c r="TYE181" s="225"/>
      <c r="TYF181" s="225"/>
      <c r="TYG181" s="225"/>
      <c r="TYH181" s="225"/>
      <c r="TYI181" s="225"/>
      <c r="TYJ181" s="225"/>
      <c r="TYK181" s="225"/>
      <c r="TYL181" s="225"/>
      <c r="TYM181" s="225"/>
      <c r="TYN181" s="225"/>
      <c r="TYO181" s="225"/>
      <c r="TYP181" s="225"/>
      <c r="TYQ181" s="225"/>
      <c r="TYR181" s="225"/>
      <c r="TYS181" s="225"/>
      <c r="TYT181" s="225"/>
      <c r="TYU181" s="225"/>
      <c r="TYV181" s="225"/>
      <c r="TYW181" s="225"/>
      <c r="TYX181" s="225"/>
      <c r="TYY181" s="225"/>
      <c r="TYZ181" s="225"/>
      <c r="TZA181" s="225"/>
      <c r="TZB181" s="225"/>
      <c r="TZC181" s="225"/>
      <c r="TZD181" s="225"/>
      <c r="TZE181" s="225"/>
      <c r="TZF181" s="225"/>
      <c r="TZG181" s="225"/>
      <c r="TZH181" s="225"/>
      <c r="TZI181" s="225"/>
      <c r="TZJ181" s="225"/>
      <c r="TZK181" s="225"/>
      <c r="TZL181" s="225"/>
      <c r="TZM181" s="225"/>
      <c r="TZN181" s="225"/>
      <c r="TZO181" s="225"/>
      <c r="TZP181" s="225"/>
      <c r="TZQ181" s="225"/>
      <c r="TZR181" s="225"/>
      <c r="TZS181" s="225"/>
      <c r="TZT181" s="225"/>
      <c r="TZU181" s="225"/>
      <c r="TZV181" s="225"/>
      <c r="TZW181" s="225"/>
      <c r="TZX181" s="225"/>
      <c r="TZY181" s="225"/>
      <c r="TZZ181" s="225"/>
      <c r="UAA181" s="225"/>
      <c r="UAB181" s="225"/>
      <c r="UAC181" s="225"/>
      <c r="UAD181" s="225"/>
      <c r="UAE181" s="225"/>
      <c r="UAF181" s="225"/>
      <c r="UAG181" s="225"/>
      <c r="UAH181" s="225"/>
      <c r="UAI181" s="225"/>
      <c r="UAJ181" s="225"/>
      <c r="UAK181" s="225"/>
      <c r="UAL181" s="225"/>
      <c r="UAM181" s="225"/>
      <c r="UAN181" s="225"/>
      <c r="UAO181" s="225"/>
      <c r="UAP181" s="225"/>
      <c r="UAQ181" s="225"/>
      <c r="UAR181" s="225"/>
      <c r="UAS181" s="225"/>
      <c r="UAT181" s="225"/>
      <c r="UAU181" s="225"/>
      <c r="UAV181" s="225"/>
      <c r="UAW181" s="225"/>
      <c r="UAX181" s="225"/>
      <c r="UAY181" s="225"/>
      <c r="UAZ181" s="225"/>
      <c r="UBA181" s="225"/>
      <c r="UBB181" s="225"/>
      <c r="UBC181" s="225"/>
      <c r="UBD181" s="225"/>
      <c r="UBE181" s="225"/>
      <c r="UBF181" s="225"/>
      <c r="UBG181" s="225"/>
      <c r="UBH181" s="225"/>
      <c r="UBI181" s="225"/>
      <c r="UBJ181" s="225"/>
      <c r="UBK181" s="225"/>
      <c r="UBL181" s="225"/>
      <c r="UBM181" s="225"/>
      <c r="UBN181" s="225"/>
      <c r="UBO181" s="225"/>
      <c r="UBP181" s="225"/>
      <c r="UBQ181" s="225"/>
      <c r="UBR181" s="225"/>
      <c r="UBS181" s="225"/>
      <c r="UBT181" s="225"/>
      <c r="UBU181" s="225"/>
      <c r="UBV181" s="225"/>
      <c r="UBW181" s="225"/>
      <c r="UBX181" s="225"/>
      <c r="UBY181" s="225"/>
      <c r="UBZ181" s="225"/>
      <c r="UCA181" s="225"/>
      <c r="UCB181" s="225"/>
      <c r="UCC181" s="225"/>
      <c r="UCD181" s="225"/>
      <c r="UCE181" s="225"/>
      <c r="UCF181" s="225"/>
      <c r="UCG181" s="225"/>
      <c r="UCH181" s="225"/>
      <c r="UCI181" s="225"/>
      <c r="UCJ181" s="225"/>
      <c r="UCK181" s="225"/>
      <c r="UCL181" s="225"/>
      <c r="UCM181" s="225"/>
      <c r="UCN181" s="225"/>
      <c r="UCO181" s="225"/>
      <c r="UCP181" s="225"/>
      <c r="UCQ181" s="225"/>
      <c r="UCR181" s="225"/>
      <c r="UCS181" s="225"/>
      <c r="UCT181" s="225"/>
      <c r="UCU181" s="225"/>
      <c r="UCV181" s="225"/>
      <c r="UCW181" s="225"/>
      <c r="UCX181" s="225"/>
      <c r="UCY181" s="225"/>
      <c r="UCZ181" s="225"/>
      <c r="UDA181" s="225"/>
      <c r="UDB181" s="225"/>
      <c r="UDC181" s="225"/>
      <c r="UDD181" s="225"/>
      <c r="UDE181" s="225"/>
      <c r="UDF181" s="225"/>
      <c r="UDG181" s="225"/>
      <c r="UDH181" s="225"/>
      <c r="UDI181" s="225"/>
      <c r="UDJ181" s="225"/>
      <c r="UDK181" s="225"/>
      <c r="UDL181" s="225"/>
      <c r="UDM181" s="225"/>
      <c r="UDN181" s="225"/>
      <c r="UDO181" s="225"/>
      <c r="UDP181" s="225"/>
      <c r="UDQ181" s="225"/>
      <c r="UDR181" s="225"/>
      <c r="UDS181" s="225"/>
      <c r="UDT181" s="225"/>
      <c r="UDU181" s="225"/>
      <c r="UDV181" s="225"/>
      <c r="UDW181" s="225"/>
      <c r="UDX181" s="225"/>
      <c r="UDY181" s="225"/>
      <c r="UDZ181" s="225"/>
      <c r="UEA181" s="225"/>
      <c r="UEB181" s="225"/>
      <c r="UEC181" s="225"/>
      <c r="UED181" s="225"/>
      <c r="UEE181" s="225"/>
      <c r="UEF181" s="225"/>
      <c r="UEG181" s="225"/>
      <c r="UEH181" s="225"/>
      <c r="UEI181" s="225"/>
      <c r="UEJ181" s="225"/>
      <c r="UEK181" s="225"/>
      <c r="UEL181" s="225"/>
      <c r="UEM181" s="225"/>
      <c r="UEN181" s="225"/>
      <c r="UEO181" s="225"/>
      <c r="UEP181" s="225"/>
      <c r="UEQ181" s="225"/>
      <c r="UER181" s="225"/>
      <c r="UES181" s="225"/>
      <c r="UET181" s="225"/>
      <c r="UEU181" s="225"/>
      <c r="UEV181" s="225"/>
      <c r="UEW181" s="225"/>
      <c r="UEX181" s="225"/>
      <c r="UEY181" s="225"/>
      <c r="UEZ181" s="225"/>
      <c r="UFA181" s="225"/>
      <c r="UFB181" s="225"/>
      <c r="UFC181" s="225"/>
      <c r="UFD181" s="225"/>
      <c r="UFE181" s="225"/>
      <c r="UFF181" s="225"/>
      <c r="UFG181" s="225"/>
      <c r="UFH181" s="225"/>
      <c r="UFI181" s="225"/>
      <c r="UFJ181" s="225"/>
      <c r="UFK181" s="225"/>
      <c r="UFL181" s="225"/>
      <c r="UFM181" s="225"/>
      <c r="UFN181" s="225"/>
      <c r="UFO181" s="225"/>
      <c r="UFP181" s="225"/>
      <c r="UFQ181" s="225"/>
      <c r="UFR181" s="225"/>
      <c r="UFS181" s="225"/>
      <c r="UFT181" s="225"/>
      <c r="UFU181" s="225"/>
      <c r="UFV181" s="225"/>
      <c r="UFW181" s="225"/>
      <c r="UFX181" s="225"/>
      <c r="UFY181" s="225"/>
      <c r="UFZ181" s="225"/>
      <c r="UGA181" s="225"/>
      <c r="UGB181" s="225"/>
      <c r="UGC181" s="225"/>
      <c r="UGD181" s="225"/>
      <c r="UGE181" s="225"/>
      <c r="UGF181" s="225"/>
      <c r="UGG181" s="225"/>
      <c r="UGH181" s="225"/>
      <c r="UGI181" s="225"/>
      <c r="UGJ181" s="225"/>
      <c r="UGK181" s="225"/>
      <c r="UGL181" s="225"/>
      <c r="UGM181" s="225"/>
      <c r="UGN181" s="225"/>
      <c r="UGO181" s="225"/>
      <c r="UGP181" s="225"/>
      <c r="UGQ181" s="225"/>
      <c r="UGR181" s="225"/>
      <c r="UGS181" s="225"/>
      <c r="UGT181" s="225"/>
      <c r="UGU181" s="225"/>
      <c r="UGV181" s="225"/>
      <c r="UGW181" s="225"/>
      <c r="UGX181" s="225"/>
      <c r="UGY181" s="225"/>
      <c r="UGZ181" s="225"/>
      <c r="UHA181" s="225"/>
      <c r="UHB181" s="225"/>
      <c r="UHC181" s="225"/>
      <c r="UHD181" s="225"/>
      <c r="UHE181" s="225"/>
      <c r="UHF181" s="225"/>
      <c r="UHG181" s="225"/>
      <c r="UHH181" s="225"/>
      <c r="UHI181" s="225"/>
      <c r="UHJ181" s="225"/>
      <c r="UHK181" s="225"/>
      <c r="UHL181" s="225"/>
      <c r="UHM181" s="225"/>
      <c r="UHN181" s="225"/>
      <c r="UHO181" s="225"/>
      <c r="UHP181" s="225"/>
      <c r="UHQ181" s="225"/>
      <c r="UHR181" s="225"/>
      <c r="UHS181" s="225"/>
      <c r="UHT181" s="225"/>
      <c r="UHU181" s="225"/>
      <c r="UHV181" s="225"/>
      <c r="UHW181" s="225"/>
      <c r="UHX181" s="225"/>
      <c r="UHY181" s="225"/>
      <c r="UHZ181" s="225"/>
      <c r="UIA181" s="225"/>
      <c r="UIB181" s="225"/>
      <c r="UIC181" s="225"/>
      <c r="UID181" s="225"/>
      <c r="UIE181" s="225"/>
      <c r="UIF181" s="225"/>
      <c r="UIG181" s="225"/>
      <c r="UIH181" s="225"/>
      <c r="UII181" s="225"/>
      <c r="UIJ181" s="225"/>
      <c r="UIK181" s="225"/>
      <c r="UIL181" s="225"/>
      <c r="UIM181" s="225"/>
      <c r="UIN181" s="225"/>
      <c r="UIO181" s="225"/>
      <c r="UIP181" s="225"/>
      <c r="UIQ181" s="225"/>
      <c r="UIR181" s="225"/>
      <c r="UIS181" s="225"/>
      <c r="UIT181" s="225"/>
      <c r="UIU181" s="225"/>
      <c r="UIV181" s="225"/>
      <c r="UIW181" s="225"/>
      <c r="UIX181" s="225"/>
      <c r="UIY181" s="225"/>
      <c r="UIZ181" s="225"/>
      <c r="UJA181" s="225"/>
      <c r="UJB181" s="225"/>
      <c r="UJC181" s="225"/>
      <c r="UJD181" s="225"/>
      <c r="UJE181" s="225"/>
      <c r="UJF181" s="225"/>
      <c r="UJG181" s="225"/>
      <c r="UJH181" s="225"/>
      <c r="UJI181" s="225"/>
      <c r="UJJ181" s="225"/>
      <c r="UJK181" s="225"/>
      <c r="UJL181" s="225"/>
      <c r="UJM181" s="225"/>
      <c r="UJN181" s="225"/>
      <c r="UJO181" s="225"/>
      <c r="UJP181" s="225"/>
      <c r="UJQ181" s="225"/>
      <c r="UJR181" s="225"/>
      <c r="UJS181" s="225"/>
      <c r="UJT181" s="225"/>
      <c r="UJU181" s="225"/>
      <c r="UJV181" s="225"/>
      <c r="UJW181" s="225"/>
      <c r="UJX181" s="225"/>
      <c r="UJY181" s="225"/>
      <c r="UJZ181" s="225"/>
      <c r="UKA181" s="225"/>
      <c r="UKB181" s="225"/>
      <c r="UKC181" s="225"/>
      <c r="UKD181" s="225"/>
      <c r="UKE181" s="225"/>
      <c r="UKF181" s="225"/>
      <c r="UKG181" s="225"/>
      <c r="UKH181" s="225"/>
      <c r="UKI181" s="225"/>
      <c r="UKJ181" s="225"/>
      <c r="UKK181" s="225"/>
      <c r="UKL181" s="225"/>
      <c r="UKM181" s="225"/>
      <c r="UKN181" s="225"/>
      <c r="UKO181" s="225"/>
      <c r="UKP181" s="225"/>
      <c r="UKQ181" s="225"/>
      <c r="UKR181" s="225"/>
      <c r="UKS181" s="225"/>
      <c r="UKT181" s="225"/>
      <c r="UKU181" s="225"/>
      <c r="UKV181" s="225"/>
      <c r="UKW181" s="225"/>
      <c r="UKX181" s="225"/>
      <c r="UKY181" s="225"/>
      <c r="UKZ181" s="225"/>
      <c r="ULA181" s="225"/>
      <c r="ULB181" s="225"/>
      <c r="ULC181" s="225"/>
      <c r="ULD181" s="225"/>
      <c r="ULE181" s="225"/>
      <c r="ULF181" s="225"/>
      <c r="ULG181" s="225"/>
      <c r="ULH181" s="225"/>
      <c r="ULI181" s="225"/>
      <c r="ULJ181" s="225"/>
      <c r="ULK181" s="225"/>
      <c r="ULL181" s="225"/>
      <c r="ULM181" s="225"/>
      <c r="ULN181" s="225"/>
      <c r="ULO181" s="225"/>
      <c r="ULP181" s="225"/>
      <c r="ULQ181" s="225"/>
      <c r="ULR181" s="225"/>
      <c r="ULS181" s="225"/>
      <c r="ULT181" s="225"/>
      <c r="ULU181" s="225"/>
      <c r="ULV181" s="225"/>
      <c r="ULW181" s="225"/>
      <c r="ULX181" s="225"/>
      <c r="ULY181" s="225"/>
      <c r="ULZ181" s="225"/>
      <c r="UMA181" s="225"/>
      <c r="UMB181" s="225"/>
      <c r="UMC181" s="225"/>
      <c r="UMD181" s="225"/>
      <c r="UME181" s="225"/>
      <c r="UMF181" s="225"/>
      <c r="UMG181" s="225"/>
      <c r="UMH181" s="225"/>
      <c r="UMI181" s="225"/>
      <c r="UMJ181" s="225"/>
      <c r="UMK181" s="225"/>
      <c r="UML181" s="225"/>
      <c r="UMM181" s="225"/>
      <c r="UMN181" s="225"/>
      <c r="UMO181" s="225"/>
      <c r="UMP181" s="225"/>
      <c r="UMQ181" s="225"/>
      <c r="UMR181" s="225"/>
      <c r="UMS181" s="225"/>
      <c r="UMT181" s="225"/>
      <c r="UMU181" s="225"/>
      <c r="UMV181" s="225"/>
      <c r="UMW181" s="225"/>
      <c r="UMX181" s="225"/>
      <c r="UMY181" s="225"/>
      <c r="UMZ181" s="225"/>
      <c r="UNA181" s="225"/>
      <c r="UNB181" s="225"/>
      <c r="UNC181" s="225"/>
      <c r="UND181" s="225"/>
      <c r="UNE181" s="225"/>
      <c r="UNF181" s="225"/>
      <c r="UNG181" s="225"/>
      <c r="UNH181" s="225"/>
      <c r="UNI181" s="225"/>
      <c r="UNJ181" s="225"/>
      <c r="UNK181" s="225"/>
      <c r="UNL181" s="225"/>
      <c r="UNM181" s="225"/>
      <c r="UNN181" s="225"/>
      <c r="UNO181" s="225"/>
      <c r="UNP181" s="225"/>
      <c r="UNQ181" s="225"/>
      <c r="UNR181" s="225"/>
      <c r="UNS181" s="225"/>
      <c r="UNT181" s="225"/>
      <c r="UNU181" s="225"/>
      <c r="UNV181" s="225"/>
      <c r="UNW181" s="225"/>
      <c r="UNX181" s="225"/>
      <c r="UNY181" s="225"/>
      <c r="UNZ181" s="225"/>
      <c r="UOA181" s="225"/>
      <c r="UOB181" s="225"/>
      <c r="UOC181" s="225"/>
      <c r="UOD181" s="225"/>
      <c r="UOE181" s="225"/>
      <c r="UOF181" s="225"/>
      <c r="UOG181" s="225"/>
      <c r="UOH181" s="225"/>
      <c r="UOI181" s="225"/>
      <c r="UOJ181" s="225"/>
      <c r="UOK181" s="225"/>
      <c r="UOL181" s="225"/>
      <c r="UOM181" s="225"/>
      <c r="UON181" s="225"/>
      <c r="UOO181" s="225"/>
      <c r="UOP181" s="225"/>
      <c r="UOQ181" s="225"/>
      <c r="UOR181" s="225"/>
      <c r="UOS181" s="225"/>
      <c r="UOT181" s="225"/>
      <c r="UOU181" s="225"/>
      <c r="UOV181" s="225"/>
      <c r="UOW181" s="225"/>
      <c r="UOX181" s="225"/>
      <c r="UOY181" s="225"/>
      <c r="UOZ181" s="225"/>
      <c r="UPA181" s="225"/>
      <c r="UPB181" s="225"/>
      <c r="UPC181" s="225"/>
      <c r="UPD181" s="225"/>
      <c r="UPE181" s="225"/>
      <c r="UPF181" s="225"/>
      <c r="UPG181" s="225"/>
      <c r="UPH181" s="225"/>
      <c r="UPI181" s="225"/>
      <c r="UPJ181" s="225"/>
      <c r="UPK181" s="225"/>
      <c r="UPL181" s="225"/>
      <c r="UPM181" s="225"/>
      <c r="UPN181" s="225"/>
      <c r="UPO181" s="225"/>
      <c r="UPP181" s="225"/>
      <c r="UPQ181" s="225"/>
      <c r="UPR181" s="225"/>
      <c r="UPS181" s="225"/>
      <c r="UPT181" s="225"/>
      <c r="UPU181" s="225"/>
      <c r="UPV181" s="225"/>
      <c r="UPW181" s="225"/>
      <c r="UPX181" s="225"/>
      <c r="UPY181" s="225"/>
      <c r="UPZ181" s="225"/>
      <c r="UQA181" s="225"/>
      <c r="UQB181" s="225"/>
      <c r="UQC181" s="225"/>
      <c r="UQD181" s="225"/>
      <c r="UQE181" s="225"/>
      <c r="UQF181" s="225"/>
      <c r="UQG181" s="225"/>
      <c r="UQH181" s="225"/>
      <c r="UQI181" s="225"/>
      <c r="UQJ181" s="225"/>
      <c r="UQK181" s="225"/>
      <c r="UQL181" s="225"/>
      <c r="UQM181" s="225"/>
      <c r="UQN181" s="225"/>
      <c r="UQO181" s="225"/>
      <c r="UQP181" s="225"/>
      <c r="UQQ181" s="225"/>
      <c r="UQR181" s="225"/>
      <c r="UQS181" s="225"/>
      <c r="UQT181" s="225"/>
      <c r="UQU181" s="225"/>
      <c r="UQV181" s="225"/>
      <c r="UQW181" s="225"/>
      <c r="UQX181" s="225"/>
      <c r="UQY181" s="225"/>
      <c r="UQZ181" s="225"/>
      <c r="URA181" s="225"/>
      <c r="URB181" s="225"/>
      <c r="URC181" s="225"/>
      <c r="URD181" s="225"/>
      <c r="URE181" s="225"/>
      <c r="URF181" s="225"/>
      <c r="URG181" s="225"/>
      <c r="URH181" s="225"/>
      <c r="URI181" s="225"/>
      <c r="URJ181" s="225"/>
      <c r="URK181" s="225"/>
      <c r="URL181" s="225"/>
      <c r="URM181" s="225"/>
      <c r="URN181" s="225"/>
      <c r="URO181" s="225"/>
      <c r="URP181" s="225"/>
      <c r="URQ181" s="225"/>
      <c r="URR181" s="225"/>
      <c r="URS181" s="225"/>
      <c r="URT181" s="225"/>
      <c r="URU181" s="225"/>
      <c r="URV181" s="225"/>
      <c r="URW181" s="225"/>
      <c r="URX181" s="225"/>
      <c r="URY181" s="225"/>
      <c r="URZ181" s="225"/>
      <c r="USA181" s="225"/>
      <c r="USB181" s="225"/>
      <c r="USC181" s="225"/>
      <c r="USD181" s="225"/>
      <c r="USE181" s="225"/>
      <c r="USF181" s="225"/>
      <c r="USG181" s="225"/>
      <c r="USH181" s="225"/>
      <c r="USI181" s="225"/>
      <c r="USJ181" s="225"/>
      <c r="USK181" s="225"/>
      <c r="USL181" s="225"/>
      <c r="USM181" s="225"/>
      <c r="USN181" s="225"/>
      <c r="USO181" s="225"/>
      <c r="USP181" s="225"/>
      <c r="USQ181" s="225"/>
      <c r="USR181" s="225"/>
      <c r="USS181" s="225"/>
      <c r="UST181" s="225"/>
      <c r="USU181" s="225"/>
      <c r="USV181" s="225"/>
      <c r="USW181" s="225"/>
      <c r="USX181" s="225"/>
      <c r="USY181" s="225"/>
      <c r="USZ181" s="225"/>
      <c r="UTA181" s="225"/>
      <c r="UTB181" s="225"/>
      <c r="UTC181" s="225"/>
      <c r="UTD181" s="225"/>
      <c r="UTE181" s="225"/>
      <c r="UTF181" s="225"/>
      <c r="UTG181" s="225"/>
      <c r="UTH181" s="225"/>
      <c r="UTI181" s="225"/>
      <c r="UTJ181" s="225"/>
      <c r="UTK181" s="225"/>
      <c r="UTL181" s="225"/>
      <c r="UTM181" s="225"/>
      <c r="UTN181" s="225"/>
      <c r="UTO181" s="225"/>
      <c r="UTP181" s="225"/>
      <c r="UTQ181" s="225"/>
      <c r="UTR181" s="225"/>
      <c r="UTS181" s="225"/>
      <c r="UTT181" s="225"/>
      <c r="UTU181" s="225"/>
      <c r="UTV181" s="225"/>
      <c r="UTW181" s="225"/>
      <c r="UTX181" s="225"/>
      <c r="UTY181" s="225"/>
      <c r="UTZ181" s="225"/>
      <c r="UUA181" s="225"/>
      <c r="UUB181" s="225"/>
      <c r="UUC181" s="225"/>
      <c r="UUD181" s="225"/>
      <c r="UUE181" s="225"/>
      <c r="UUF181" s="225"/>
      <c r="UUG181" s="225"/>
      <c r="UUH181" s="225"/>
      <c r="UUI181" s="225"/>
      <c r="UUJ181" s="225"/>
      <c r="UUK181" s="225"/>
      <c r="UUL181" s="225"/>
      <c r="UUM181" s="225"/>
      <c r="UUN181" s="225"/>
      <c r="UUO181" s="225"/>
      <c r="UUP181" s="225"/>
      <c r="UUQ181" s="225"/>
      <c r="UUR181" s="225"/>
      <c r="UUS181" s="225"/>
      <c r="UUT181" s="225"/>
      <c r="UUU181" s="225"/>
      <c r="UUV181" s="225"/>
      <c r="UUW181" s="225"/>
      <c r="UUX181" s="225"/>
      <c r="UUY181" s="225"/>
      <c r="UUZ181" s="225"/>
      <c r="UVA181" s="225"/>
      <c r="UVB181" s="225"/>
      <c r="UVC181" s="225"/>
      <c r="UVD181" s="225"/>
      <c r="UVE181" s="225"/>
      <c r="UVF181" s="225"/>
      <c r="UVG181" s="225"/>
      <c r="UVH181" s="225"/>
      <c r="UVI181" s="225"/>
      <c r="UVJ181" s="225"/>
      <c r="UVK181" s="225"/>
      <c r="UVL181" s="225"/>
      <c r="UVM181" s="225"/>
      <c r="UVN181" s="225"/>
      <c r="UVO181" s="225"/>
      <c r="UVP181" s="225"/>
      <c r="UVQ181" s="225"/>
      <c r="UVR181" s="225"/>
      <c r="UVS181" s="225"/>
      <c r="UVT181" s="225"/>
      <c r="UVU181" s="225"/>
      <c r="UVV181" s="225"/>
      <c r="UVW181" s="225"/>
      <c r="UVX181" s="225"/>
      <c r="UVY181" s="225"/>
      <c r="UVZ181" s="225"/>
      <c r="UWA181" s="225"/>
      <c r="UWB181" s="225"/>
      <c r="UWC181" s="225"/>
      <c r="UWD181" s="225"/>
      <c r="UWE181" s="225"/>
      <c r="UWF181" s="225"/>
      <c r="UWG181" s="225"/>
      <c r="UWH181" s="225"/>
      <c r="UWI181" s="225"/>
      <c r="UWJ181" s="225"/>
      <c r="UWK181" s="225"/>
      <c r="UWL181" s="225"/>
      <c r="UWM181" s="225"/>
      <c r="UWN181" s="225"/>
      <c r="UWO181" s="225"/>
      <c r="UWP181" s="225"/>
      <c r="UWQ181" s="225"/>
      <c r="UWR181" s="225"/>
      <c r="UWS181" s="225"/>
      <c r="UWT181" s="225"/>
      <c r="UWU181" s="225"/>
      <c r="UWV181" s="225"/>
      <c r="UWW181" s="225"/>
      <c r="UWX181" s="225"/>
      <c r="UWY181" s="225"/>
      <c r="UWZ181" s="225"/>
      <c r="UXA181" s="225"/>
      <c r="UXB181" s="225"/>
      <c r="UXC181" s="225"/>
      <c r="UXD181" s="225"/>
      <c r="UXE181" s="225"/>
      <c r="UXF181" s="225"/>
      <c r="UXG181" s="225"/>
      <c r="UXH181" s="225"/>
      <c r="UXI181" s="225"/>
      <c r="UXJ181" s="225"/>
      <c r="UXK181" s="225"/>
      <c r="UXL181" s="225"/>
      <c r="UXM181" s="225"/>
      <c r="UXN181" s="225"/>
      <c r="UXO181" s="225"/>
      <c r="UXP181" s="225"/>
      <c r="UXQ181" s="225"/>
      <c r="UXR181" s="225"/>
      <c r="UXS181" s="225"/>
      <c r="UXT181" s="225"/>
      <c r="UXU181" s="225"/>
      <c r="UXV181" s="225"/>
      <c r="UXW181" s="225"/>
      <c r="UXX181" s="225"/>
      <c r="UXY181" s="225"/>
      <c r="UXZ181" s="225"/>
      <c r="UYA181" s="225"/>
      <c r="UYB181" s="225"/>
      <c r="UYC181" s="225"/>
      <c r="UYD181" s="225"/>
      <c r="UYE181" s="225"/>
      <c r="UYF181" s="225"/>
      <c r="UYG181" s="225"/>
      <c r="UYH181" s="225"/>
      <c r="UYI181" s="225"/>
      <c r="UYJ181" s="225"/>
      <c r="UYK181" s="225"/>
      <c r="UYL181" s="225"/>
      <c r="UYM181" s="225"/>
      <c r="UYN181" s="225"/>
      <c r="UYO181" s="225"/>
      <c r="UYP181" s="225"/>
      <c r="UYQ181" s="225"/>
      <c r="UYR181" s="225"/>
      <c r="UYS181" s="225"/>
      <c r="UYT181" s="225"/>
      <c r="UYU181" s="225"/>
      <c r="UYV181" s="225"/>
      <c r="UYW181" s="225"/>
      <c r="UYX181" s="225"/>
      <c r="UYY181" s="225"/>
      <c r="UYZ181" s="225"/>
      <c r="UZA181" s="225"/>
      <c r="UZB181" s="225"/>
      <c r="UZC181" s="225"/>
      <c r="UZD181" s="225"/>
      <c r="UZE181" s="225"/>
      <c r="UZF181" s="225"/>
      <c r="UZG181" s="225"/>
      <c r="UZH181" s="225"/>
      <c r="UZI181" s="225"/>
      <c r="UZJ181" s="225"/>
      <c r="UZK181" s="225"/>
      <c r="UZL181" s="225"/>
      <c r="UZM181" s="225"/>
      <c r="UZN181" s="225"/>
      <c r="UZO181" s="225"/>
      <c r="UZP181" s="225"/>
      <c r="UZQ181" s="225"/>
      <c r="UZR181" s="225"/>
      <c r="UZS181" s="225"/>
      <c r="UZT181" s="225"/>
      <c r="UZU181" s="225"/>
      <c r="UZV181" s="225"/>
      <c r="UZW181" s="225"/>
      <c r="UZX181" s="225"/>
      <c r="UZY181" s="225"/>
      <c r="UZZ181" s="225"/>
      <c r="VAA181" s="225"/>
      <c r="VAB181" s="225"/>
      <c r="VAC181" s="225"/>
      <c r="VAD181" s="225"/>
      <c r="VAE181" s="225"/>
      <c r="VAF181" s="225"/>
      <c r="VAG181" s="225"/>
      <c r="VAH181" s="225"/>
      <c r="VAI181" s="225"/>
      <c r="VAJ181" s="225"/>
      <c r="VAK181" s="225"/>
      <c r="VAL181" s="225"/>
      <c r="VAM181" s="225"/>
      <c r="VAN181" s="225"/>
      <c r="VAO181" s="225"/>
      <c r="VAP181" s="225"/>
      <c r="VAQ181" s="225"/>
      <c r="VAR181" s="225"/>
      <c r="VAS181" s="225"/>
      <c r="VAT181" s="225"/>
      <c r="VAU181" s="225"/>
      <c r="VAV181" s="225"/>
      <c r="VAW181" s="225"/>
      <c r="VAX181" s="225"/>
      <c r="VAY181" s="225"/>
      <c r="VAZ181" s="225"/>
      <c r="VBA181" s="225"/>
      <c r="VBB181" s="225"/>
      <c r="VBC181" s="225"/>
      <c r="VBD181" s="225"/>
      <c r="VBE181" s="225"/>
      <c r="VBF181" s="225"/>
      <c r="VBG181" s="225"/>
      <c r="VBH181" s="225"/>
      <c r="VBI181" s="225"/>
      <c r="VBJ181" s="225"/>
      <c r="VBK181" s="225"/>
      <c r="VBL181" s="225"/>
      <c r="VBM181" s="225"/>
      <c r="VBN181" s="225"/>
      <c r="VBO181" s="225"/>
      <c r="VBP181" s="225"/>
      <c r="VBQ181" s="225"/>
      <c r="VBR181" s="225"/>
      <c r="VBS181" s="225"/>
      <c r="VBT181" s="225"/>
      <c r="VBU181" s="225"/>
      <c r="VBV181" s="225"/>
      <c r="VBW181" s="225"/>
      <c r="VBX181" s="225"/>
      <c r="VBY181" s="225"/>
      <c r="VBZ181" s="225"/>
      <c r="VCA181" s="225"/>
      <c r="VCB181" s="225"/>
      <c r="VCC181" s="225"/>
      <c r="VCD181" s="225"/>
      <c r="VCE181" s="225"/>
      <c r="VCF181" s="225"/>
      <c r="VCG181" s="225"/>
      <c r="VCH181" s="225"/>
      <c r="VCI181" s="225"/>
      <c r="VCJ181" s="225"/>
      <c r="VCK181" s="225"/>
      <c r="VCL181" s="225"/>
      <c r="VCM181" s="225"/>
      <c r="VCN181" s="225"/>
      <c r="VCO181" s="225"/>
      <c r="VCP181" s="225"/>
      <c r="VCQ181" s="225"/>
      <c r="VCR181" s="225"/>
      <c r="VCS181" s="225"/>
      <c r="VCT181" s="225"/>
      <c r="VCU181" s="225"/>
      <c r="VCV181" s="225"/>
      <c r="VCW181" s="225"/>
      <c r="VCX181" s="225"/>
      <c r="VCY181" s="225"/>
      <c r="VCZ181" s="225"/>
      <c r="VDA181" s="225"/>
      <c r="VDB181" s="225"/>
      <c r="VDC181" s="225"/>
      <c r="VDD181" s="225"/>
      <c r="VDE181" s="225"/>
      <c r="VDF181" s="225"/>
      <c r="VDG181" s="225"/>
      <c r="VDH181" s="225"/>
      <c r="VDI181" s="225"/>
      <c r="VDJ181" s="225"/>
      <c r="VDK181" s="225"/>
      <c r="VDL181" s="225"/>
      <c r="VDM181" s="225"/>
      <c r="VDN181" s="225"/>
      <c r="VDO181" s="225"/>
      <c r="VDP181" s="225"/>
      <c r="VDQ181" s="225"/>
      <c r="VDR181" s="225"/>
      <c r="VDS181" s="225"/>
      <c r="VDT181" s="225"/>
      <c r="VDU181" s="225"/>
      <c r="VDV181" s="225"/>
      <c r="VDW181" s="225"/>
      <c r="VDX181" s="225"/>
      <c r="VDY181" s="225"/>
      <c r="VDZ181" s="225"/>
      <c r="VEA181" s="225"/>
      <c r="VEB181" s="225"/>
      <c r="VEC181" s="225"/>
      <c r="VED181" s="225"/>
      <c r="VEE181" s="225"/>
      <c r="VEF181" s="225"/>
      <c r="VEG181" s="225"/>
      <c r="VEH181" s="225"/>
      <c r="VEI181" s="225"/>
      <c r="VEJ181" s="225"/>
      <c r="VEK181" s="225"/>
      <c r="VEL181" s="225"/>
      <c r="VEM181" s="225"/>
      <c r="VEN181" s="225"/>
      <c r="VEO181" s="225"/>
      <c r="VEP181" s="225"/>
      <c r="VEQ181" s="225"/>
      <c r="VER181" s="225"/>
      <c r="VES181" s="225"/>
      <c r="VET181" s="225"/>
      <c r="VEU181" s="225"/>
      <c r="VEV181" s="225"/>
      <c r="VEW181" s="225"/>
      <c r="VEX181" s="225"/>
      <c r="VEY181" s="225"/>
      <c r="VEZ181" s="225"/>
      <c r="VFA181" s="225"/>
      <c r="VFB181" s="225"/>
      <c r="VFC181" s="225"/>
      <c r="VFD181" s="225"/>
      <c r="VFE181" s="225"/>
      <c r="VFF181" s="225"/>
      <c r="VFG181" s="225"/>
      <c r="VFH181" s="225"/>
      <c r="VFI181" s="225"/>
      <c r="VFJ181" s="225"/>
      <c r="VFK181" s="225"/>
      <c r="VFL181" s="225"/>
      <c r="VFM181" s="225"/>
      <c r="VFN181" s="225"/>
      <c r="VFO181" s="225"/>
      <c r="VFP181" s="225"/>
      <c r="VFQ181" s="225"/>
      <c r="VFR181" s="225"/>
      <c r="VFS181" s="225"/>
      <c r="VFT181" s="225"/>
      <c r="VFU181" s="225"/>
      <c r="VFV181" s="225"/>
      <c r="VFW181" s="225"/>
      <c r="VFX181" s="225"/>
      <c r="VFY181" s="225"/>
      <c r="VFZ181" s="225"/>
      <c r="VGA181" s="225"/>
      <c r="VGB181" s="225"/>
      <c r="VGC181" s="225"/>
      <c r="VGD181" s="225"/>
      <c r="VGE181" s="225"/>
      <c r="VGF181" s="225"/>
      <c r="VGG181" s="225"/>
      <c r="VGH181" s="225"/>
      <c r="VGI181" s="225"/>
      <c r="VGJ181" s="225"/>
      <c r="VGK181" s="225"/>
      <c r="VGL181" s="225"/>
      <c r="VGM181" s="225"/>
      <c r="VGN181" s="225"/>
      <c r="VGO181" s="225"/>
      <c r="VGP181" s="225"/>
      <c r="VGQ181" s="225"/>
      <c r="VGR181" s="225"/>
      <c r="VGS181" s="225"/>
      <c r="VGT181" s="225"/>
      <c r="VGU181" s="225"/>
      <c r="VGV181" s="225"/>
      <c r="VGW181" s="225"/>
      <c r="VGX181" s="225"/>
      <c r="VGY181" s="225"/>
      <c r="VGZ181" s="225"/>
      <c r="VHA181" s="225"/>
      <c r="VHB181" s="225"/>
      <c r="VHC181" s="225"/>
      <c r="VHD181" s="225"/>
      <c r="VHE181" s="225"/>
      <c r="VHF181" s="225"/>
      <c r="VHG181" s="225"/>
      <c r="VHH181" s="225"/>
      <c r="VHI181" s="225"/>
      <c r="VHJ181" s="225"/>
      <c r="VHK181" s="225"/>
      <c r="VHL181" s="225"/>
      <c r="VHM181" s="225"/>
      <c r="VHN181" s="225"/>
      <c r="VHO181" s="225"/>
      <c r="VHP181" s="225"/>
      <c r="VHQ181" s="225"/>
      <c r="VHR181" s="225"/>
      <c r="VHS181" s="225"/>
      <c r="VHT181" s="225"/>
      <c r="VHU181" s="225"/>
      <c r="VHV181" s="225"/>
      <c r="VHW181" s="225"/>
      <c r="VHX181" s="225"/>
      <c r="VHY181" s="225"/>
      <c r="VHZ181" s="225"/>
      <c r="VIA181" s="225"/>
      <c r="VIB181" s="225"/>
      <c r="VIC181" s="225"/>
      <c r="VID181" s="225"/>
      <c r="VIE181" s="225"/>
      <c r="VIF181" s="225"/>
      <c r="VIG181" s="225"/>
      <c r="VIH181" s="225"/>
      <c r="VII181" s="225"/>
      <c r="VIJ181" s="225"/>
      <c r="VIK181" s="225"/>
      <c r="VIL181" s="225"/>
      <c r="VIM181" s="225"/>
      <c r="VIN181" s="225"/>
      <c r="VIO181" s="225"/>
      <c r="VIP181" s="225"/>
      <c r="VIQ181" s="225"/>
      <c r="VIR181" s="225"/>
      <c r="VIS181" s="225"/>
      <c r="VIT181" s="225"/>
      <c r="VIU181" s="225"/>
      <c r="VIV181" s="225"/>
      <c r="VIW181" s="225"/>
      <c r="VIX181" s="225"/>
      <c r="VIY181" s="225"/>
      <c r="VIZ181" s="225"/>
      <c r="VJA181" s="225"/>
      <c r="VJB181" s="225"/>
      <c r="VJC181" s="225"/>
      <c r="VJD181" s="225"/>
      <c r="VJE181" s="225"/>
      <c r="VJF181" s="225"/>
      <c r="VJG181" s="225"/>
      <c r="VJH181" s="225"/>
      <c r="VJI181" s="225"/>
      <c r="VJJ181" s="225"/>
      <c r="VJK181" s="225"/>
      <c r="VJL181" s="225"/>
      <c r="VJM181" s="225"/>
      <c r="VJN181" s="225"/>
      <c r="VJO181" s="225"/>
      <c r="VJP181" s="225"/>
      <c r="VJQ181" s="225"/>
      <c r="VJR181" s="225"/>
      <c r="VJS181" s="225"/>
      <c r="VJT181" s="225"/>
      <c r="VJU181" s="225"/>
      <c r="VJV181" s="225"/>
      <c r="VJW181" s="225"/>
      <c r="VJX181" s="225"/>
      <c r="VJY181" s="225"/>
      <c r="VJZ181" s="225"/>
      <c r="VKA181" s="225"/>
      <c r="VKB181" s="225"/>
      <c r="VKC181" s="225"/>
      <c r="VKD181" s="225"/>
      <c r="VKE181" s="225"/>
      <c r="VKF181" s="225"/>
      <c r="VKG181" s="225"/>
      <c r="VKH181" s="225"/>
      <c r="VKI181" s="225"/>
      <c r="VKJ181" s="225"/>
      <c r="VKK181" s="225"/>
      <c r="VKL181" s="225"/>
      <c r="VKM181" s="225"/>
      <c r="VKN181" s="225"/>
      <c r="VKO181" s="225"/>
      <c r="VKP181" s="225"/>
      <c r="VKQ181" s="225"/>
      <c r="VKR181" s="225"/>
      <c r="VKS181" s="225"/>
      <c r="VKT181" s="225"/>
      <c r="VKU181" s="225"/>
      <c r="VKV181" s="225"/>
      <c r="VKW181" s="225"/>
      <c r="VKX181" s="225"/>
      <c r="VKY181" s="225"/>
      <c r="VKZ181" s="225"/>
      <c r="VLA181" s="225"/>
      <c r="VLB181" s="225"/>
      <c r="VLC181" s="225"/>
      <c r="VLD181" s="225"/>
      <c r="VLE181" s="225"/>
      <c r="VLF181" s="225"/>
      <c r="VLG181" s="225"/>
      <c r="VLH181" s="225"/>
      <c r="VLI181" s="225"/>
      <c r="VLJ181" s="225"/>
      <c r="VLK181" s="225"/>
      <c r="VLL181" s="225"/>
      <c r="VLM181" s="225"/>
      <c r="VLN181" s="225"/>
      <c r="VLO181" s="225"/>
      <c r="VLP181" s="225"/>
      <c r="VLQ181" s="225"/>
      <c r="VLR181" s="225"/>
      <c r="VLS181" s="225"/>
      <c r="VLT181" s="225"/>
      <c r="VLU181" s="225"/>
      <c r="VLV181" s="225"/>
      <c r="VLW181" s="225"/>
      <c r="VLX181" s="225"/>
      <c r="VLY181" s="225"/>
      <c r="VLZ181" s="225"/>
      <c r="VMA181" s="225"/>
      <c r="VMB181" s="225"/>
      <c r="VMC181" s="225"/>
      <c r="VMD181" s="225"/>
      <c r="VME181" s="225"/>
      <c r="VMF181" s="225"/>
      <c r="VMG181" s="225"/>
      <c r="VMH181" s="225"/>
      <c r="VMI181" s="225"/>
      <c r="VMJ181" s="225"/>
      <c r="VMK181" s="225"/>
      <c r="VML181" s="225"/>
      <c r="VMM181" s="225"/>
      <c r="VMN181" s="225"/>
      <c r="VMO181" s="225"/>
      <c r="VMP181" s="225"/>
      <c r="VMQ181" s="225"/>
      <c r="VMR181" s="225"/>
      <c r="VMS181" s="225"/>
      <c r="VMT181" s="225"/>
      <c r="VMU181" s="225"/>
      <c r="VMV181" s="225"/>
      <c r="VMW181" s="225"/>
      <c r="VMX181" s="225"/>
      <c r="VMY181" s="225"/>
      <c r="VMZ181" s="225"/>
      <c r="VNA181" s="225"/>
      <c r="VNB181" s="225"/>
      <c r="VNC181" s="225"/>
      <c r="VND181" s="225"/>
      <c r="VNE181" s="225"/>
      <c r="VNF181" s="225"/>
      <c r="VNG181" s="225"/>
      <c r="VNH181" s="225"/>
      <c r="VNI181" s="225"/>
      <c r="VNJ181" s="225"/>
      <c r="VNK181" s="225"/>
      <c r="VNL181" s="225"/>
      <c r="VNM181" s="225"/>
      <c r="VNN181" s="225"/>
      <c r="VNO181" s="225"/>
      <c r="VNP181" s="225"/>
      <c r="VNQ181" s="225"/>
      <c r="VNR181" s="225"/>
      <c r="VNS181" s="225"/>
      <c r="VNT181" s="225"/>
      <c r="VNU181" s="225"/>
      <c r="VNV181" s="225"/>
      <c r="VNW181" s="225"/>
      <c r="VNX181" s="225"/>
      <c r="VNY181" s="225"/>
      <c r="VNZ181" s="225"/>
      <c r="VOA181" s="225"/>
      <c r="VOB181" s="225"/>
      <c r="VOC181" s="225"/>
      <c r="VOD181" s="225"/>
      <c r="VOE181" s="225"/>
      <c r="VOF181" s="225"/>
      <c r="VOG181" s="225"/>
      <c r="VOH181" s="225"/>
      <c r="VOI181" s="225"/>
      <c r="VOJ181" s="225"/>
      <c r="VOK181" s="225"/>
      <c r="VOL181" s="225"/>
      <c r="VOM181" s="225"/>
      <c r="VON181" s="225"/>
      <c r="VOO181" s="225"/>
      <c r="VOP181" s="225"/>
      <c r="VOQ181" s="225"/>
      <c r="VOR181" s="225"/>
      <c r="VOS181" s="225"/>
      <c r="VOT181" s="225"/>
      <c r="VOU181" s="225"/>
      <c r="VOV181" s="225"/>
      <c r="VOW181" s="225"/>
      <c r="VOX181" s="225"/>
      <c r="VOY181" s="225"/>
      <c r="VOZ181" s="225"/>
      <c r="VPA181" s="225"/>
      <c r="VPB181" s="225"/>
      <c r="VPC181" s="225"/>
      <c r="VPD181" s="225"/>
      <c r="VPE181" s="225"/>
      <c r="VPF181" s="225"/>
      <c r="VPG181" s="225"/>
      <c r="VPH181" s="225"/>
      <c r="VPI181" s="225"/>
      <c r="VPJ181" s="225"/>
      <c r="VPK181" s="225"/>
      <c r="VPL181" s="225"/>
      <c r="VPM181" s="225"/>
      <c r="VPN181" s="225"/>
      <c r="VPO181" s="225"/>
      <c r="VPP181" s="225"/>
      <c r="VPQ181" s="225"/>
      <c r="VPR181" s="225"/>
      <c r="VPS181" s="225"/>
      <c r="VPT181" s="225"/>
      <c r="VPU181" s="225"/>
      <c r="VPV181" s="225"/>
      <c r="VPW181" s="225"/>
      <c r="VPX181" s="225"/>
      <c r="VPY181" s="225"/>
      <c r="VPZ181" s="225"/>
      <c r="VQA181" s="225"/>
      <c r="VQB181" s="225"/>
      <c r="VQC181" s="225"/>
      <c r="VQD181" s="225"/>
      <c r="VQE181" s="225"/>
      <c r="VQF181" s="225"/>
      <c r="VQG181" s="225"/>
      <c r="VQH181" s="225"/>
      <c r="VQI181" s="225"/>
      <c r="VQJ181" s="225"/>
      <c r="VQK181" s="225"/>
      <c r="VQL181" s="225"/>
      <c r="VQM181" s="225"/>
      <c r="VQN181" s="225"/>
      <c r="VQO181" s="225"/>
      <c r="VQP181" s="225"/>
      <c r="VQQ181" s="225"/>
      <c r="VQR181" s="225"/>
      <c r="VQS181" s="225"/>
      <c r="VQT181" s="225"/>
      <c r="VQU181" s="225"/>
      <c r="VQV181" s="225"/>
      <c r="VQW181" s="225"/>
      <c r="VQX181" s="225"/>
      <c r="VQY181" s="225"/>
      <c r="VQZ181" s="225"/>
      <c r="VRA181" s="225"/>
      <c r="VRB181" s="225"/>
      <c r="VRC181" s="225"/>
      <c r="VRD181" s="225"/>
      <c r="VRE181" s="225"/>
      <c r="VRF181" s="225"/>
      <c r="VRG181" s="225"/>
      <c r="VRH181" s="225"/>
      <c r="VRI181" s="225"/>
      <c r="VRJ181" s="225"/>
      <c r="VRK181" s="225"/>
      <c r="VRL181" s="225"/>
      <c r="VRM181" s="225"/>
      <c r="VRN181" s="225"/>
      <c r="VRO181" s="225"/>
      <c r="VRP181" s="225"/>
      <c r="VRQ181" s="225"/>
      <c r="VRR181" s="225"/>
      <c r="VRS181" s="225"/>
      <c r="VRT181" s="225"/>
      <c r="VRU181" s="225"/>
      <c r="VRV181" s="225"/>
      <c r="VRW181" s="225"/>
      <c r="VRX181" s="225"/>
      <c r="VRY181" s="225"/>
      <c r="VRZ181" s="225"/>
      <c r="VSA181" s="225"/>
      <c r="VSB181" s="225"/>
      <c r="VSC181" s="225"/>
      <c r="VSD181" s="225"/>
      <c r="VSE181" s="225"/>
      <c r="VSF181" s="225"/>
      <c r="VSG181" s="225"/>
      <c r="VSH181" s="225"/>
      <c r="VSI181" s="225"/>
      <c r="VSJ181" s="225"/>
      <c r="VSK181" s="225"/>
      <c r="VSL181" s="225"/>
      <c r="VSM181" s="225"/>
      <c r="VSN181" s="225"/>
      <c r="VSO181" s="225"/>
      <c r="VSP181" s="225"/>
      <c r="VSQ181" s="225"/>
      <c r="VSR181" s="225"/>
      <c r="VSS181" s="225"/>
      <c r="VST181" s="225"/>
      <c r="VSU181" s="225"/>
      <c r="VSV181" s="225"/>
      <c r="VSW181" s="225"/>
      <c r="VSX181" s="225"/>
      <c r="VSY181" s="225"/>
      <c r="VSZ181" s="225"/>
      <c r="VTA181" s="225"/>
      <c r="VTB181" s="225"/>
      <c r="VTC181" s="225"/>
      <c r="VTD181" s="225"/>
      <c r="VTE181" s="225"/>
      <c r="VTF181" s="225"/>
      <c r="VTG181" s="225"/>
      <c r="VTH181" s="225"/>
      <c r="VTI181" s="225"/>
      <c r="VTJ181" s="225"/>
      <c r="VTK181" s="225"/>
      <c r="VTL181" s="225"/>
      <c r="VTM181" s="225"/>
      <c r="VTN181" s="225"/>
      <c r="VTO181" s="225"/>
      <c r="VTP181" s="225"/>
      <c r="VTQ181" s="225"/>
      <c r="VTR181" s="225"/>
      <c r="VTS181" s="225"/>
      <c r="VTT181" s="225"/>
      <c r="VTU181" s="225"/>
      <c r="VTV181" s="225"/>
      <c r="VTW181" s="225"/>
      <c r="VTX181" s="225"/>
      <c r="VTY181" s="225"/>
      <c r="VTZ181" s="225"/>
      <c r="VUA181" s="225"/>
      <c r="VUB181" s="225"/>
      <c r="VUC181" s="225"/>
      <c r="VUD181" s="225"/>
      <c r="VUE181" s="225"/>
      <c r="VUF181" s="225"/>
      <c r="VUG181" s="225"/>
      <c r="VUH181" s="225"/>
      <c r="VUI181" s="225"/>
      <c r="VUJ181" s="225"/>
      <c r="VUK181" s="225"/>
      <c r="VUL181" s="225"/>
      <c r="VUM181" s="225"/>
      <c r="VUN181" s="225"/>
      <c r="VUO181" s="225"/>
      <c r="VUP181" s="225"/>
      <c r="VUQ181" s="225"/>
      <c r="VUR181" s="225"/>
      <c r="VUS181" s="225"/>
      <c r="VUT181" s="225"/>
      <c r="VUU181" s="225"/>
      <c r="VUV181" s="225"/>
      <c r="VUW181" s="225"/>
      <c r="VUX181" s="225"/>
      <c r="VUY181" s="225"/>
      <c r="VUZ181" s="225"/>
      <c r="VVA181" s="225"/>
      <c r="VVB181" s="225"/>
      <c r="VVC181" s="225"/>
      <c r="VVD181" s="225"/>
      <c r="VVE181" s="225"/>
      <c r="VVF181" s="225"/>
      <c r="VVG181" s="225"/>
      <c r="VVH181" s="225"/>
      <c r="VVI181" s="225"/>
      <c r="VVJ181" s="225"/>
      <c r="VVK181" s="225"/>
      <c r="VVL181" s="225"/>
      <c r="VVM181" s="225"/>
      <c r="VVN181" s="225"/>
      <c r="VVO181" s="225"/>
      <c r="VVP181" s="225"/>
      <c r="VVQ181" s="225"/>
      <c r="VVR181" s="225"/>
      <c r="VVS181" s="225"/>
      <c r="VVT181" s="225"/>
      <c r="VVU181" s="225"/>
      <c r="VVV181" s="225"/>
      <c r="VVW181" s="225"/>
      <c r="VVX181" s="225"/>
      <c r="VVY181" s="225"/>
      <c r="VVZ181" s="225"/>
      <c r="VWA181" s="225"/>
      <c r="VWB181" s="225"/>
      <c r="VWC181" s="225"/>
      <c r="VWD181" s="225"/>
      <c r="VWE181" s="225"/>
      <c r="VWF181" s="225"/>
      <c r="VWG181" s="225"/>
      <c r="VWH181" s="225"/>
      <c r="VWI181" s="225"/>
      <c r="VWJ181" s="225"/>
      <c r="VWK181" s="225"/>
      <c r="VWL181" s="225"/>
      <c r="VWM181" s="225"/>
      <c r="VWN181" s="225"/>
      <c r="VWO181" s="225"/>
      <c r="VWP181" s="225"/>
      <c r="VWQ181" s="225"/>
      <c r="VWR181" s="225"/>
      <c r="VWS181" s="225"/>
      <c r="VWT181" s="225"/>
      <c r="VWU181" s="225"/>
      <c r="VWV181" s="225"/>
      <c r="VWW181" s="225"/>
      <c r="VWX181" s="225"/>
      <c r="VWY181" s="225"/>
      <c r="VWZ181" s="225"/>
      <c r="VXA181" s="225"/>
      <c r="VXB181" s="225"/>
      <c r="VXC181" s="225"/>
      <c r="VXD181" s="225"/>
      <c r="VXE181" s="225"/>
      <c r="VXF181" s="225"/>
      <c r="VXG181" s="225"/>
      <c r="VXH181" s="225"/>
      <c r="VXI181" s="225"/>
      <c r="VXJ181" s="225"/>
      <c r="VXK181" s="225"/>
      <c r="VXL181" s="225"/>
      <c r="VXM181" s="225"/>
      <c r="VXN181" s="225"/>
      <c r="VXO181" s="225"/>
      <c r="VXP181" s="225"/>
      <c r="VXQ181" s="225"/>
      <c r="VXR181" s="225"/>
      <c r="VXS181" s="225"/>
      <c r="VXT181" s="225"/>
      <c r="VXU181" s="225"/>
      <c r="VXV181" s="225"/>
      <c r="VXW181" s="225"/>
      <c r="VXX181" s="225"/>
      <c r="VXY181" s="225"/>
      <c r="VXZ181" s="225"/>
      <c r="VYA181" s="225"/>
      <c r="VYB181" s="225"/>
      <c r="VYC181" s="225"/>
      <c r="VYD181" s="225"/>
      <c r="VYE181" s="225"/>
      <c r="VYF181" s="225"/>
      <c r="VYG181" s="225"/>
      <c r="VYH181" s="225"/>
      <c r="VYI181" s="225"/>
      <c r="VYJ181" s="225"/>
      <c r="VYK181" s="225"/>
      <c r="VYL181" s="225"/>
      <c r="VYM181" s="225"/>
      <c r="VYN181" s="225"/>
      <c r="VYO181" s="225"/>
      <c r="VYP181" s="225"/>
      <c r="VYQ181" s="225"/>
      <c r="VYR181" s="225"/>
      <c r="VYS181" s="225"/>
      <c r="VYT181" s="225"/>
      <c r="VYU181" s="225"/>
      <c r="VYV181" s="225"/>
      <c r="VYW181" s="225"/>
      <c r="VYX181" s="225"/>
      <c r="VYY181" s="225"/>
      <c r="VYZ181" s="225"/>
      <c r="VZA181" s="225"/>
      <c r="VZB181" s="225"/>
      <c r="VZC181" s="225"/>
      <c r="VZD181" s="225"/>
      <c r="VZE181" s="225"/>
      <c r="VZF181" s="225"/>
      <c r="VZG181" s="225"/>
      <c r="VZH181" s="225"/>
      <c r="VZI181" s="225"/>
      <c r="VZJ181" s="225"/>
      <c r="VZK181" s="225"/>
      <c r="VZL181" s="225"/>
      <c r="VZM181" s="225"/>
      <c r="VZN181" s="225"/>
      <c r="VZO181" s="225"/>
      <c r="VZP181" s="225"/>
      <c r="VZQ181" s="225"/>
      <c r="VZR181" s="225"/>
      <c r="VZS181" s="225"/>
      <c r="VZT181" s="225"/>
      <c r="VZU181" s="225"/>
      <c r="VZV181" s="225"/>
      <c r="VZW181" s="225"/>
      <c r="VZX181" s="225"/>
      <c r="VZY181" s="225"/>
      <c r="VZZ181" s="225"/>
      <c r="WAA181" s="225"/>
      <c r="WAB181" s="225"/>
      <c r="WAC181" s="225"/>
      <c r="WAD181" s="225"/>
      <c r="WAE181" s="225"/>
      <c r="WAF181" s="225"/>
      <c r="WAG181" s="225"/>
      <c r="WAH181" s="225"/>
      <c r="WAI181" s="225"/>
      <c r="WAJ181" s="225"/>
      <c r="WAK181" s="225"/>
      <c r="WAL181" s="225"/>
      <c r="WAM181" s="225"/>
      <c r="WAN181" s="225"/>
      <c r="WAO181" s="225"/>
      <c r="WAP181" s="225"/>
      <c r="WAQ181" s="225"/>
      <c r="WAR181" s="225"/>
      <c r="WAS181" s="225"/>
      <c r="WAT181" s="225"/>
      <c r="WAU181" s="225"/>
      <c r="WAV181" s="225"/>
      <c r="WAW181" s="225"/>
      <c r="WAX181" s="225"/>
      <c r="WAY181" s="225"/>
      <c r="WAZ181" s="225"/>
      <c r="WBA181" s="225"/>
      <c r="WBB181" s="225"/>
      <c r="WBC181" s="225"/>
      <c r="WBD181" s="225"/>
      <c r="WBE181" s="225"/>
      <c r="WBF181" s="225"/>
      <c r="WBG181" s="225"/>
      <c r="WBH181" s="225"/>
      <c r="WBI181" s="225"/>
      <c r="WBJ181" s="225"/>
      <c r="WBK181" s="225"/>
      <c r="WBL181" s="225"/>
      <c r="WBM181" s="225"/>
      <c r="WBN181" s="225"/>
      <c r="WBO181" s="225"/>
      <c r="WBP181" s="225"/>
      <c r="WBQ181" s="225"/>
      <c r="WBR181" s="225"/>
      <c r="WBS181" s="225"/>
      <c r="WBT181" s="225"/>
      <c r="WBU181" s="225"/>
      <c r="WBV181" s="225"/>
      <c r="WBW181" s="225"/>
      <c r="WBX181" s="225"/>
      <c r="WBY181" s="225"/>
      <c r="WBZ181" s="225"/>
      <c r="WCA181" s="225"/>
      <c r="WCB181" s="225"/>
      <c r="WCC181" s="225"/>
      <c r="WCD181" s="225"/>
      <c r="WCE181" s="225"/>
      <c r="WCF181" s="225"/>
      <c r="WCG181" s="225"/>
      <c r="WCH181" s="225"/>
      <c r="WCI181" s="225"/>
      <c r="WCJ181" s="225"/>
      <c r="WCK181" s="225"/>
      <c r="WCL181" s="225"/>
      <c r="WCM181" s="225"/>
      <c r="WCN181" s="225"/>
      <c r="WCO181" s="225"/>
      <c r="WCP181" s="225"/>
      <c r="WCQ181" s="225"/>
      <c r="WCR181" s="225"/>
      <c r="WCS181" s="225"/>
      <c r="WCT181" s="225"/>
      <c r="WCU181" s="225"/>
      <c r="WCV181" s="225"/>
      <c r="WCW181" s="225"/>
      <c r="WCX181" s="225"/>
      <c r="WCY181" s="225"/>
      <c r="WCZ181" s="225"/>
      <c r="WDA181" s="225"/>
      <c r="WDB181" s="225"/>
      <c r="WDC181" s="225"/>
      <c r="WDD181" s="225"/>
      <c r="WDE181" s="225"/>
      <c r="WDF181" s="225"/>
      <c r="WDG181" s="225"/>
      <c r="WDH181" s="225"/>
      <c r="WDI181" s="225"/>
      <c r="WDJ181" s="225"/>
      <c r="WDK181" s="225"/>
      <c r="WDL181" s="225"/>
      <c r="WDM181" s="225"/>
      <c r="WDN181" s="225"/>
      <c r="WDO181" s="225"/>
      <c r="WDP181" s="225"/>
      <c r="WDQ181" s="225"/>
      <c r="WDR181" s="225"/>
      <c r="WDS181" s="225"/>
      <c r="WDT181" s="225"/>
      <c r="WDU181" s="225"/>
      <c r="WDV181" s="225"/>
      <c r="WDW181" s="225"/>
      <c r="WDX181" s="225"/>
      <c r="WDY181" s="225"/>
      <c r="WDZ181" s="225"/>
      <c r="WEA181" s="225"/>
      <c r="WEB181" s="225"/>
      <c r="WEC181" s="225"/>
      <c r="WED181" s="225"/>
      <c r="WEE181" s="225"/>
      <c r="WEF181" s="225"/>
      <c r="WEG181" s="225"/>
      <c r="WEH181" s="225"/>
      <c r="WEI181" s="225"/>
      <c r="WEJ181" s="225"/>
      <c r="WEK181" s="225"/>
      <c r="WEL181" s="225"/>
      <c r="WEM181" s="225"/>
      <c r="WEN181" s="225"/>
      <c r="WEO181" s="225"/>
      <c r="WEP181" s="225"/>
      <c r="WEQ181" s="225"/>
      <c r="WER181" s="225"/>
      <c r="WES181" s="225"/>
      <c r="WET181" s="225"/>
      <c r="WEU181" s="225"/>
      <c r="WEV181" s="225"/>
      <c r="WEW181" s="225"/>
      <c r="WEX181" s="225"/>
      <c r="WEY181" s="225"/>
      <c r="WEZ181" s="225"/>
      <c r="WFA181" s="225"/>
      <c r="WFB181" s="225"/>
      <c r="WFC181" s="225"/>
      <c r="WFD181" s="225"/>
      <c r="WFE181" s="225"/>
      <c r="WFF181" s="225"/>
      <c r="WFG181" s="225"/>
      <c r="WFH181" s="225"/>
      <c r="WFI181" s="225"/>
      <c r="WFJ181" s="225"/>
      <c r="WFK181" s="225"/>
      <c r="WFL181" s="225"/>
      <c r="WFM181" s="225"/>
      <c r="WFN181" s="225"/>
      <c r="WFO181" s="225"/>
      <c r="WFP181" s="225"/>
      <c r="WFQ181" s="225"/>
      <c r="WFR181" s="225"/>
      <c r="WFS181" s="225"/>
      <c r="WFT181" s="225"/>
      <c r="WFU181" s="225"/>
      <c r="WFV181" s="225"/>
      <c r="WFW181" s="225"/>
      <c r="WFX181" s="225"/>
      <c r="WFY181" s="225"/>
      <c r="WFZ181" s="225"/>
      <c r="WGA181" s="225"/>
      <c r="WGB181" s="225"/>
      <c r="WGC181" s="225"/>
      <c r="WGD181" s="225"/>
      <c r="WGE181" s="225"/>
      <c r="WGF181" s="225"/>
      <c r="WGG181" s="225"/>
      <c r="WGH181" s="225"/>
      <c r="WGI181" s="225"/>
      <c r="WGJ181" s="225"/>
      <c r="WGK181" s="225"/>
      <c r="WGL181" s="225"/>
      <c r="WGM181" s="225"/>
      <c r="WGN181" s="225"/>
      <c r="WGO181" s="225"/>
      <c r="WGP181" s="225"/>
      <c r="WGQ181" s="225"/>
      <c r="WGR181" s="225"/>
      <c r="WGS181" s="225"/>
      <c r="WGT181" s="225"/>
      <c r="WGU181" s="225"/>
      <c r="WGV181" s="225"/>
      <c r="WGW181" s="225"/>
      <c r="WGX181" s="225"/>
      <c r="WGY181" s="225"/>
      <c r="WGZ181" s="225"/>
      <c r="WHA181" s="225"/>
      <c r="WHB181" s="225"/>
      <c r="WHC181" s="225"/>
      <c r="WHD181" s="225"/>
      <c r="WHE181" s="225"/>
      <c r="WHF181" s="225"/>
      <c r="WHG181" s="225"/>
      <c r="WHH181" s="225"/>
      <c r="WHI181" s="225"/>
      <c r="WHJ181" s="225"/>
      <c r="WHK181" s="225"/>
      <c r="WHL181" s="225"/>
      <c r="WHM181" s="225"/>
      <c r="WHN181" s="225"/>
      <c r="WHO181" s="225"/>
      <c r="WHP181" s="225"/>
      <c r="WHQ181" s="225"/>
      <c r="WHR181" s="225"/>
      <c r="WHS181" s="225"/>
      <c r="WHT181" s="225"/>
      <c r="WHU181" s="225"/>
      <c r="WHV181" s="225"/>
      <c r="WHW181" s="225"/>
      <c r="WHX181" s="225"/>
      <c r="WHY181" s="225"/>
      <c r="WHZ181" s="225"/>
      <c r="WIA181" s="225"/>
      <c r="WIB181" s="225"/>
      <c r="WIC181" s="225"/>
      <c r="WID181" s="225"/>
      <c r="WIE181" s="225"/>
      <c r="WIF181" s="225"/>
      <c r="WIG181" s="225"/>
      <c r="WIH181" s="225"/>
      <c r="WII181" s="225"/>
      <c r="WIJ181" s="225"/>
      <c r="WIK181" s="225"/>
      <c r="WIL181" s="225"/>
      <c r="WIM181" s="225"/>
      <c r="WIN181" s="225"/>
      <c r="WIO181" s="225"/>
      <c r="WIP181" s="225"/>
      <c r="WIQ181" s="225"/>
      <c r="WIR181" s="225"/>
      <c r="WIS181" s="225"/>
      <c r="WIT181" s="225"/>
      <c r="WIU181" s="225"/>
      <c r="WIV181" s="225"/>
      <c r="WIW181" s="225"/>
      <c r="WIX181" s="225"/>
      <c r="WIY181" s="225"/>
      <c r="WIZ181" s="225"/>
      <c r="WJA181" s="225"/>
      <c r="WJB181" s="225"/>
      <c r="WJC181" s="225"/>
      <c r="WJD181" s="225"/>
      <c r="WJE181" s="225"/>
      <c r="WJF181" s="225"/>
      <c r="WJG181" s="225"/>
      <c r="WJH181" s="225"/>
      <c r="WJI181" s="225"/>
      <c r="WJJ181" s="225"/>
      <c r="WJK181" s="225"/>
      <c r="WJL181" s="225"/>
      <c r="WJM181" s="225"/>
      <c r="WJN181" s="225"/>
      <c r="WJO181" s="225"/>
      <c r="WJP181" s="225"/>
      <c r="WJQ181" s="225"/>
      <c r="WJR181" s="225"/>
      <c r="WJS181" s="225"/>
      <c r="WJT181" s="225"/>
      <c r="WJU181" s="225"/>
      <c r="WJV181" s="225"/>
      <c r="WJW181" s="225"/>
      <c r="WJX181" s="225"/>
      <c r="WJY181" s="225"/>
      <c r="WJZ181" s="225"/>
      <c r="WKA181" s="225"/>
      <c r="WKB181" s="225"/>
      <c r="WKC181" s="225"/>
      <c r="WKD181" s="225"/>
      <c r="WKE181" s="225"/>
      <c r="WKF181" s="225"/>
      <c r="WKG181" s="225"/>
      <c r="WKH181" s="225"/>
      <c r="WKI181" s="225"/>
      <c r="WKJ181" s="225"/>
      <c r="WKK181" s="225"/>
      <c r="WKL181" s="225"/>
      <c r="WKM181" s="225"/>
      <c r="WKN181" s="225"/>
      <c r="WKO181" s="225"/>
      <c r="WKP181" s="225"/>
      <c r="WKQ181" s="225"/>
      <c r="WKR181" s="225"/>
      <c r="WKS181" s="225"/>
      <c r="WKT181" s="225"/>
      <c r="WKU181" s="225"/>
      <c r="WKV181" s="225"/>
      <c r="WKW181" s="225"/>
      <c r="WKX181" s="225"/>
      <c r="WKY181" s="225"/>
      <c r="WKZ181" s="225"/>
      <c r="WLA181" s="225"/>
      <c r="WLB181" s="225"/>
      <c r="WLC181" s="225"/>
      <c r="WLD181" s="225"/>
      <c r="WLE181" s="225"/>
      <c r="WLF181" s="225"/>
      <c r="WLG181" s="225"/>
      <c r="WLH181" s="225"/>
      <c r="WLI181" s="225"/>
      <c r="WLJ181" s="225"/>
      <c r="WLK181" s="225"/>
      <c r="WLL181" s="225"/>
      <c r="WLM181" s="225"/>
      <c r="WLN181" s="225"/>
      <c r="WLO181" s="225"/>
      <c r="WLP181" s="225"/>
      <c r="WLQ181" s="225"/>
      <c r="WLR181" s="225"/>
      <c r="WLS181" s="225"/>
      <c r="WLT181" s="225"/>
      <c r="WLU181" s="225"/>
      <c r="WLV181" s="225"/>
      <c r="WLW181" s="225"/>
      <c r="WLX181" s="225"/>
      <c r="WLY181" s="225"/>
      <c r="WLZ181" s="225"/>
      <c r="WMA181" s="225"/>
      <c r="WMB181" s="225"/>
      <c r="WMC181" s="225"/>
      <c r="WMD181" s="225"/>
      <c r="WME181" s="225"/>
      <c r="WMF181" s="225"/>
      <c r="WMG181" s="225"/>
      <c r="WMH181" s="225"/>
      <c r="WMI181" s="225"/>
      <c r="WMJ181" s="225"/>
      <c r="WMK181" s="225"/>
      <c r="WML181" s="225"/>
      <c r="WMM181" s="225"/>
      <c r="WMN181" s="225"/>
      <c r="WMO181" s="225"/>
      <c r="WMP181" s="225"/>
      <c r="WMQ181" s="225"/>
      <c r="WMR181" s="225"/>
      <c r="WMS181" s="225"/>
      <c r="WMT181" s="225"/>
      <c r="WMU181" s="225"/>
      <c r="WMV181" s="225"/>
      <c r="WMW181" s="225"/>
      <c r="WMX181" s="225"/>
      <c r="WMY181" s="225"/>
      <c r="WMZ181" s="225"/>
      <c r="WNA181" s="225"/>
      <c r="WNB181" s="225"/>
      <c r="WNC181" s="225"/>
      <c r="WND181" s="225"/>
      <c r="WNE181" s="225"/>
      <c r="WNF181" s="225"/>
      <c r="WNG181" s="225"/>
      <c r="WNH181" s="225"/>
      <c r="WNI181" s="225"/>
      <c r="WNJ181" s="225"/>
      <c r="WNK181" s="225"/>
      <c r="WNL181" s="225"/>
      <c r="WNM181" s="225"/>
      <c r="WNN181" s="225"/>
      <c r="WNO181" s="225"/>
      <c r="WNP181" s="225"/>
      <c r="WNQ181" s="225"/>
      <c r="WNR181" s="225"/>
      <c r="WNS181" s="225"/>
      <c r="WNT181" s="225"/>
      <c r="WNU181" s="225"/>
      <c r="WNV181" s="225"/>
      <c r="WNW181" s="225"/>
      <c r="WNX181" s="225"/>
      <c r="WNY181" s="225"/>
      <c r="WNZ181" s="225"/>
      <c r="WOA181" s="225"/>
      <c r="WOB181" s="225"/>
      <c r="WOC181" s="225"/>
      <c r="WOD181" s="225"/>
      <c r="WOE181" s="225"/>
      <c r="WOF181" s="225"/>
      <c r="WOG181" s="225"/>
      <c r="WOH181" s="225"/>
      <c r="WOI181" s="225"/>
      <c r="WOJ181" s="225"/>
      <c r="WOK181" s="225"/>
      <c r="WOL181" s="225"/>
      <c r="WOM181" s="225"/>
      <c r="WON181" s="225"/>
      <c r="WOO181" s="225"/>
      <c r="WOP181" s="225"/>
      <c r="WOQ181" s="225"/>
      <c r="WOR181" s="225"/>
      <c r="WOS181" s="225"/>
      <c r="WOT181" s="225"/>
      <c r="WOU181" s="225"/>
      <c r="WOV181" s="225"/>
      <c r="WOW181" s="225"/>
      <c r="WOX181" s="225"/>
      <c r="WOY181" s="225"/>
      <c r="WOZ181" s="225"/>
      <c r="WPA181" s="225"/>
      <c r="WPB181" s="225"/>
      <c r="WPC181" s="225"/>
      <c r="WPD181" s="225"/>
      <c r="WPE181" s="225"/>
      <c r="WPF181" s="225"/>
      <c r="WPG181" s="225"/>
      <c r="WPH181" s="225"/>
      <c r="WPI181" s="225"/>
      <c r="WPJ181" s="225"/>
      <c r="WPK181" s="225"/>
      <c r="WPL181" s="225"/>
      <c r="WPM181" s="225"/>
      <c r="WPN181" s="225"/>
      <c r="WPO181" s="225"/>
      <c r="WPP181" s="225"/>
      <c r="WPQ181" s="225"/>
      <c r="WPR181" s="225"/>
      <c r="WPS181" s="225"/>
      <c r="WPT181" s="225"/>
      <c r="WPU181" s="225"/>
      <c r="WPV181" s="225"/>
      <c r="WPW181" s="225"/>
      <c r="WPX181" s="225"/>
      <c r="WPY181" s="225"/>
      <c r="WPZ181" s="225"/>
      <c r="WQA181" s="225"/>
      <c r="WQB181" s="225"/>
      <c r="WQC181" s="225"/>
      <c r="WQD181" s="225"/>
      <c r="WQE181" s="225"/>
      <c r="WQF181" s="225"/>
      <c r="WQG181" s="225"/>
      <c r="WQH181" s="225"/>
      <c r="WQI181" s="225"/>
      <c r="WQJ181" s="225"/>
      <c r="WQK181" s="225"/>
      <c r="WQL181" s="225"/>
      <c r="WQM181" s="225"/>
      <c r="WQN181" s="225"/>
      <c r="WQO181" s="225"/>
      <c r="WQP181" s="225"/>
      <c r="WQQ181" s="225"/>
      <c r="WQR181" s="225"/>
      <c r="WQS181" s="225"/>
      <c r="WQT181" s="225"/>
      <c r="WQU181" s="225"/>
      <c r="WQV181" s="225"/>
      <c r="WQW181" s="225"/>
      <c r="WQX181" s="225"/>
      <c r="WQY181" s="225"/>
      <c r="WQZ181" s="225"/>
      <c r="WRA181" s="225"/>
      <c r="WRB181" s="225"/>
      <c r="WRC181" s="225"/>
      <c r="WRD181" s="225"/>
      <c r="WRE181" s="225"/>
      <c r="WRF181" s="225"/>
      <c r="WRG181" s="225"/>
      <c r="WRH181" s="225"/>
      <c r="WRI181" s="225"/>
      <c r="WRJ181" s="225"/>
      <c r="WRK181" s="225"/>
      <c r="WRL181" s="225"/>
      <c r="WRM181" s="225"/>
      <c r="WRN181" s="225"/>
      <c r="WRO181" s="225"/>
      <c r="WRP181" s="225"/>
      <c r="WRQ181" s="225"/>
      <c r="WRR181" s="225"/>
      <c r="WRS181" s="225"/>
      <c r="WRT181" s="225"/>
      <c r="WRU181" s="225"/>
      <c r="WRV181" s="225"/>
      <c r="WRW181" s="225"/>
      <c r="WRX181" s="225"/>
      <c r="WRY181" s="225"/>
      <c r="WRZ181" s="225"/>
      <c r="WSA181" s="225"/>
      <c r="WSB181" s="225"/>
      <c r="WSC181" s="225"/>
      <c r="WSD181" s="225"/>
      <c r="WSE181" s="225"/>
      <c r="WSF181" s="225"/>
      <c r="WSG181" s="225"/>
      <c r="WSH181" s="225"/>
      <c r="WSI181" s="225"/>
      <c r="WSJ181" s="225"/>
      <c r="WSK181" s="225"/>
      <c r="WSL181" s="225"/>
      <c r="WSM181" s="225"/>
      <c r="WSN181" s="225"/>
      <c r="WSO181" s="225"/>
      <c r="WSP181" s="225"/>
      <c r="WSQ181" s="225"/>
      <c r="WSR181" s="225"/>
      <c r="WSS181" s="225"/>
      <c r="WST181" s="225"/>
      <c r="WSU181" s="225"/>
      <c r="WSV181" s="225"/>
      <c r="WSW181" s="225"/>
      <c r="WSX181" s="225"/>
      <c r="WSY181" s="225"/>
      <c r="WSZ181" s="225"/>
      <c r="WTA181" s="225"/>
      <c r="WTB181" s="225"/>
      <c r="WTC181" s="225"/>
      <c r="WTD181" s="225"/>
      <c r="WTE181" s="225"/>
      <c r="WTF181" s="225"/>
      <c r="WTG181" s="225"/>
      <c r="WTH181" s="225"/>
      <c r="WTI181" s="225"/>
      <c r="WTJ181" s="225"/>
      <c r="WTK181" s="225"/>
      <c r="WTL181" s="225"/>
      <c r="WTM181" s="225"/>
      <c r="WTN181" s="225"/>
      <c r="WTO181" s="225"/>
      <c r="WTP181" s="225"/>
      <c r="WTQ181" s="225"/>
      <c r="WTR181" s="225"/>
      <c r="WTS181" s="225"/>
      <c r="WTT181" s="225"/>
      <c r="WTU181" s="225"/>
      <c r="WTV181" s="225"/>
      <c r="WTW181" s="225"/>
      <c r="WTX181" s="225"/>
      <c r="WTY181" s="225"/>
      <c r="WTZ181" s="225"/>
      <c r="WUA181" s="225"/>
      <c r="WUB181" s="225"/>
      <c r="WUC181" s="225"/>
      <c r="WUD181" s="225"/>
      <c r="WUE181" s="225"/>
      <c r="WUF181" s="225"/>
      <c r="WUG181" s="225"/>
      <c r="WUH181" s="225"/>
      <c r="WUI181" s="225"/>
      <c r="WUJ181" s="225"/>
      <c r="WUK181" s="225"/>
      <c r="WUL181" s="225"/>
      <c r="WUM181" s="225"/>
      <c r="WUN181" s="225"/>
      <c r="WUO181" s="225"/>
      <c r="WUP181" s="225"/>
      <c r="WUQ181" s="225"/>
      <c r="WUR181" s="225"/>
      <c r="WUS181" s="225"/>
      <c r="WUT181" s="225"/>
      <c r="WUU181" s="225"/>
      <c r="WUV181" s="225"/>
      <c r="WUW181" s="225"/>
      <c r="WUX181" s="225"/>
      <c r="WUY181" s="225"/>
      <c r="WUZ181" s="225"/>
      <c r="WVA181" s="225"/>
      <c r="WVB181" s="225"/>
      <c r="WVC181" s="225"/>
      <c r="WVD181" s="225"/>
      <c r="WVE181" s="225"/>
      <c r="WVF181" s="225"/>
      <c r="WVG181" s="225"/>
      <c r="WVH181" s="225"/>
      <c r="WVI181" s="225"/>
      <c r="WVJ181" s="225"/>
      <c r="WVK181" s="225"/>
      <c r="WVL181" s="225"/>
      <c r="WVM181" s="225"/>
      <c r="WVN181" s="225"/>
      <c r="WVO181" s="225"/>
      <c r="WVP181" s="225"/>
      <c r="WVQ181" s="225"/>
      <c r="WVR181" s="225"/>
      <c r="WVS181" s="225"/>
      <c r="WVT181" s="225"/>
      <c r="WVU181" s="225"/>
      <c r="WVV181" s="225"/>
      <c r="WVW181" s="225"/>
      <c r="WVX181" s="225"/>
      <c r="WVY181" s="225"/>
      <c r="WVZ181" s="225"/>
      <c r="WWA181" s="225"/>
      <c r="WWB181" s="225"/>
      <c r="WWC181" s="225"/>
      <c r="WWD181" s="225"/>
      <c r="WWE181" s="225"/>
      <c r="WWF181" s="225"/>
      <c r="WWG181" s="225"/>
      <c r="WWH181" s="225"/>
      <c r="WWI181" s="225"/>
      <c r="WWJ181" s="225"/>
      <c r="WWK181" s="225"/>
      <c r="WWL181" s="225"/>
      <c r="WWM181" s="225"/>
      <c r="WWN181" s="225"/>
      <c r="WWO181" s="225"/>
      <c r="WWP181" s="225"/>
      <c r="WWQ181" s="225"/>
      <c r="WWR181" s="225"/>
      <c r="WWS181" s="225"/>
      <c r="WWT181" s="225"/>
      <c r="WWU181" s="225"/>
      <c r="WWV181" s="225"/>
      <c r="WWW181" s="225"/>
      <c r="WWX181" s="225"/>
      <c r="WWY181" s="225"/>
      <c r="WWZ181" s="225"/>
      <c r="WXA181" s="225"/>
      <c r="WXB181" s="225"/>
      <c r="WXC181" s="225"/>
      <c r="WXD181" s="225"/>
      <c r="WXE181" s="225"/>
      <c r="WXF181" s="225"/>
      <c r="WXG181" s="225"/>
      <c r="WXH181" s="225"/>
      <c r="WXI181" s="225"/>
      <c r="WXJ181" s="225"/>
      <c r="WXK181" s="225"/>
      <c r="WXL181" s="225"/>
      <c r="WXM181" s="225"/>
      <c r="WXN181" s="225"/>
      <c r="WXO181" s="225"/>
      <c r="WXP181" s="225"/>
      <c r="WXQ181" s="225"/>
      <c r="WXR181" s="225"/>
      <c r="WXS181" s="225"/>
      <c r="WXT181" s="225"/>
      <c r="WXU181" s="225"/>
      <c r="WXV181" s="225"/>
      <c r="WXW181" s="225"/>
      <c r="WXX181" s="225"/>
      <c r="WXY181" s="225"/>
      <c r="WXZ181" s="225"/>
      <c r="WYA181" s="225"/>
      <c r="WYB181" s="225"/>
      <c r="WYC181" s="225"/>
      <c r="WYD181" s="225"/>
      <c r="WYE181" s="225"/>
      <c r="WYF181" s="225"/>
      <c r="WYG181" s="225"/>
      <c r="WYH181" s="225"/>
      <c r="WYI181" s="225"/>
      <c r="WYJ181" s="225"/>
      <c r="WYK181" s="225"/>
      <c r="WYL181" s="225"/>
      <c r="WYM181" s="225"/>
      <c r="WYN181" s="225"/>
      <c r="WYO181" s="225"/>
      <c r="WYP181" s="225"/>
      <c r="WYQ181" s="225"/>
      <c r="WYR181" s="225"/>
      <c r="WYS181" s="225"/>
      <c r="WYT181" s="225"/>
      <c r="WYU181" s="225"/>
      <c r="WYV181" s="225"/>
      <c r="WYW181" s="225"/>
      <c r="WYX181" s="225"/>
      <c r="WYY181" s="225"/>
      <c r="WYZ181" s="225"/>
      <c r="WZA181" s="225"/>
      <c r="WZB181" s="225"/>
      <c r="WZC181" s="225"/>
      <c r="WZD181" s="225"/>
      <c r="WZE181" s="225"/>
      <c r="WZF181" s="225"/>
      <c r="WZG181" s="225"/>
      <c r="WZH181" s="225"/>
      <c r="WZI181" s="225"/>
      <c r="WZJ181" s="225"/>
      <c r="WZK181" s="225"/>
      <c r="WZL181" s="225"/>
      <c r="WZM181" s="225"/>
      <c r="WZN181" s="225"/>
      <c r="WZO181" s="225"/>
      <c r="WZP181" s="225"/>
      <c r="WZQ181" s="225"/>
      <c r="WZR181" s="225"/>
      <c r="WZS181" s="225"/>
      <c r="WZT181" s="225"/>
      <c r="WZU181" s="225"/>
      <c r="WZV181" s="225"/>
      <c r="WZW181" s="225"/>
      <c r="WZX181" s="225"/>
      <c r="WZY181" s="225"/>
      <c r="WZZ181" s="225"/>
      <c r="XAA181" s="225"/>
      <c r="XAB181" s="225"/>
      <c r="XAC181" s="225"/>
      <c r="XAD181" s="225"/>
      <c r="XAE181" s="225"/>
      <c r="XAF181" s="225"/>
      <c r="XAG181" s="225"/>
      <c r="XAH181" s="225"/>
      <c r="XAI181" s="225"/>
      <c r="XAJ181" s="225"/>
      <c r="XAK181" s="225"/>
      <c r="XAL181" s="225"/>
      <c r="XAM181" s="225"/>
      <c r="XAN181" s="225"/>
      <c r="XAO181" s="225"/>
      <c r="XAP181" s="225"/>
      <c r="XAQ181" s="225"/>
      <c r="XAR181" s="225"/>
      <c r="XAS181" s="225"/>
      <c r="XAT181" s="225"/>
      <c r="XAU181" s="225"/>
      <c r="XAV181" s="225"/>
      <c r="XAW181" s="225"/>
      <c r="XAX181" s="225"/>
      <c r="XAY181" s="225"/>
      <c r="XAZ181" s="225"/>
      <c r="XBA181" s="225"/>
      <c r="XBB181" s="225"/>
      <c r="XBC181" s="225"/>
      <c r="XBD181" s="225"/>
      <c r="XBE181" s="225"/>
      <c r="XBF181" s="225"/>
      <c r="XBG181" s="225"/>
      <c r="XBH181" s="225"/>
      <c r="XBI181" s="225"/>
      <c r="XBJ181" s="225"/>
      <c r="XBK181" s="225"/>
      <c r="XBL181" s="225"/>
      <c r="XBM181" s="225"/>
      <c r="XBN181" s="225"/>
      <c r="XBO181" s="225"/>
      <c r="XBP181" s="225"/>
      <c r="XBQ181" s="225"/>
      <c r="XBR181" s="225"/>
      <c r="XBS181" s="225"/>
      <c r="XBT181" s="225"/>
      <c r="XBU181" s="225"/>
      <c r="XBV181" s="225"/>
      <c r="XBW181" s="225"/>
      <c r="XBX181" s="225"/>
      <c r="XBY181" s="225"/>
      <c r="XBZ181" s="225"/>
      <c r="XCA181" s="225"/>
      <c r="XCB181" s="225"/>
      <c r="XCC181" s="225"/>
      <c r="XCD181" s="225"/>
      <c r="XCE181" s="225"/>
      <c r="XCF181" s="225"/>
      <c r="XCG181" s="225"/>
      <c r="XCH181" s="225"/>
      <c r="XCI181" s="225"/>
      <c r="XCJ181" s="225"/>
      <c r="XCK181" s="225"/>
      <c r="XCL181" s="225"/>
      <c r="XCM181" s="225"/>
      <c r="XCN181" s="225"/>
      <c r="XCO181" s="225"/>
      <c r="XCP181" s="225"/>
      <c r="XCQ181" s="225"/>
      <c r="XCR181" s="225"/>
      <c r="XCS181" s="225"/>
      <c r="XCT181" s="225"/>
      <c r="XCU181" s="225"/>
      <c r="XCV181" s="225"/>
      <c r="XCW181" s="225"/>
      <c r="XCX181" s="225"/>
      <c r="XCY181" s="225"/>
      <c r="XCZ181" s="225"/>
      <c r="XDA181" s="225"/>
      <c r="XDB181" s="225"/>
      <c r="XDC181" s="225"/>
      <c r="XDD181" s="225"/>
      <c r="XDE181" s="225"/>
      <c r="XDF181" s="225"/>
      <c r="XDG181" s="225"/>
      <c r="XDH181" s="225"/>
      <c r="XDI181" s="225"/>
      <c r="XDJ181" s="225"/>
      <c r="XDK181" s="225"/>
      <c r="XDL181" s="225"/>
      <c r="XDM181" s="225"/>
      <c r="XDN181" s="225"/>
      <c r="XDO181" s="225"/>
      <c r="XDP181" s="225"/>
      <c r="XDQ181" s="225"/>
      <c r="XDR181" s="225"/>
      <c r="XDS181" s="225"/>
      <c r="XDT181" s="225"/>
      <c r="XDU181" s="225"/>
      <c r="XDV181" s="225"/>
      <c r="XDW181" s="225"/>
      <c r="XDX181" s="225"/>
      <c r="XDY181" s="225"/>
      <c r="XDZ181" s="225"/>
      <c r="XEA181" s="225"/>
      <c r="XEB181" s="225"/>
      <c r="XEC181" s="225"/>
      <c r="XED181" s="225"/>
      <c r="XEE181" s="225"/>
      <c r="XEF181" s="225"/>
      <c r="XEG181" s="225"/>
      <c r="XEH181" s="225"/>
      <c r="XEI181" s="225"/>
      <c r="XEJ181" s="225"/>
      <c r="XEK181" s="225"/>
      <c r="XEL181" s="225"/>
      <c r="XEM181" s="225"/>
      <c r="XEN181" s="225"/>
      <c r="XEO181" s="225"/>
      <c r="XEP181" s="225"/>
      <c r="XEQ181" s="225"/>
      <c r="XER181" s="225"/>
      <c r="XES181" s="225"/>
      <c r="XET181" s="225"/>
      <c r="XEU181" s="225"/>
      <c r="XEV181" s="225"/>
      <c r="XEW181" s="225"/>
      <c r="XEX181" s="225"/>
      <c r="XEY181" s="225"/>
      <c r="XEZ181" s="225"/>
      <c r="XFA181" s="225"/>
      <c r="XFB181" s="225"/>
      <c r="XFC181" s="225"/>
    </row>
    <row r="182" spans="1:16383" x14ac:dyDescent="0.35">
      <c r="A182" s="226">
        <v>44095</v>
      </c>
      <c r="B182" s="227">
        <v>104.07749999999999</v>
      </c>
      <c r="C182" s="217">
        <v>5.5100000000000003E-2</v>
      </c>
      <c r="D182" s="228">
        <v>101.14</v>
      </c>
      <c r="E182" s="220">
        <v>6.8500000000000005E-2</v>
      </c>
      <c r="F182" s="227">
        <v>101.01</v>
      </c>
      <c r="G182" s="217">
        <v>7.3900000000000007E-2</v>
      </c>
      <c r="H182" s="229">
        <v>101.03</v>
      </c>
      <c r="I182" s="230">
        <v>7.3999999999999996E-2</v>
      </c>
      <c r="J182" s="231"/>
    </row>
    <row r="183" spans="1:16383" x14ac:dyDescent="0.35">
      <c r="A183" s="232">
        <v>44096</v>
      </c>
      <c r="B183" s="227">
        <v>103.95124999999999</v>
      </c>
      <c r="C183" s="217">
        <v>5.5400000000000005E-2</v>
      </c>
      <c r="D183" s="228">
        <v>100.93</v>
      </c>
      <c r="E183" s="220">
        <v>6.8699999999999997E-2</v>
      </c>
      <c r="F183" s="227">
        <v>101</v>
      </c>
      <c r="G183" s="217">
        <v>7.3900000000000007E-2</v>
      </c>
      <c r="H183" s="228">
        <v>100.86</v>
      </c>
      <c r="I183" s="230">
        <v>7.4200000000000002E-2</v>
      </c>
      <c r="J183" s="233"/>
    </row>
    <row r="184" spans="1:16383" x14ac:dyDescent="0.35">
      <c r="A184" s="234">
        <v>44097</v>
      </c>
      <c r="B184" s="235">
        <v>103.77250000000001</v>
      </c>
      <c r="C184" s="217">
        <v>5.5800000000000002E-2</v>
      </c>
      <c r="D184" s="236">
        <v>100.86</v>
      </c>
      <c r="E184" s="220">
        <v>6.88E-2</v>
      </c>
      <c r="F184" s="235">
        <v>100.94000000000001</v>
      </c>
      <c r="G184" s="217">
        <v>7.3999999999999996E-2</v>
      </c>
      <c r="H184" s="236">
        <v>100.82000000000001</v>
      </c>
      <c r="I184" s="237">
        <v>7.4200000000000002E-2</v>
      </c>
      <c r="J184" s="238"/>
      <c r="K184" s="239"/>
      <c r="L184" s="239"/>
      <c r="M184" s="239"/>
      <c r="N184" s="239"/>
      <c r="O184" s="239"/>
      <c r="P184" s="239"/>
      <c r="Q184" s="239"/>
      <c r="R184" s="239"/>
      <c r="S184" s="239"/>
      <c r="T184" s="239"/>
      <c r="U184" s="239"/>
      <c r="V184" s="239"/>
      <c r="W184" s="239"/>
      <c r="X184" s="239"/>
      <c r="Y184" s="239"/>
      <c r="Z184" s="239"/>
      <c r="AA184" s="239"/>
      <c r="AB184" s="239"/>
      <c r="AC184" s="239"/>
      <c r="AD184" s="239"/>
      <c r="AE184" s="239"/>
      <c r="AF184" s="239"/>
      <c r="AG184" s="239"/>
      <c r="AH184" s="239"/>
      <c r="AI184" s="239"/>
      <c r="AJ184" s="239"/>
      <c r="AK184" s="239"/>
      <c r="AL184" s="239"/>
      <c r="AM184" s="239"/>
      <c r="AN184" s="239"/>
      <c r="AO184" s="239"/>
      <c r="AP184" s="239"/>
      <c r="AQ184" s="239"/>
      <c r="AR184" s="239"/>
      <c r="AS184" s="239"/>
      <c r="AT184" s="239"/>
      <c r="AU184" s="239"/>
      <c r="AV184" s="239"/>
      <c r="AW184" s="239"/>
      <c r="AX184" s="239"/>
      <c r="AY184" s="239"/>
      <c r="AZ184" s="239"/>
      <c r="BA184" s="239"/>
      <c r="BB184" s="239"/>
      <c r="BC184" s="239"/>
      <c r="BD184" s="239"/>
      <c r="BE184" s="239"/>
      <c r="BF184" s="239"/>
      <c r="BG184" s="239"/>
      <c r="BH184" s="239"/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39"/>
      <c r="BS184" s="239"/>
      <c r="BT184" s="239"/>
      <c r="BU184" s="239"/>
      <c r="BV184" s="239"/>
      <c r="BW184" s="239"/>
      <c r="BX184" s="239"/>
      <c r="BY184" s="239"/>
      <c r="BZ184" s="239"/>
      <c r="CA184" s="239"/>
      <c r="CB184" s="239"/>
      <c r="CC184" s="239"/>
      <c r="CD184" s="239"/>
      <c r="CE184" s="239"/>
      <c r="CF184" s="239"/>
      <c r="CG184" s="239"/>
      <c r="CH184" s="239"/>
      <c r="CI184" s="239"/>
      <c r="CJ184" s="239"/>
      <c r="CK184" s="239"/>
      <c r="CL184" s="239"/>
      <c r="CM184" s="239"/>
      <c r="CN184" s="239"/>
      <c r="CO184" s="239"/>
      <c r="CP184" s="239"/>
      <c r="CQ184" s="239"/>
      <c r="CR184" s="239"/>
      <c r="CS184" s="239"/>
      <c r="CT184" s="239"/>
      <c r="CU184" s="239"/>
      <c r="CV184" s="239"/>
      <c r="CW184" s="239"/>
      <c r="CX184" s="239"/>
      <c r="CY184" s="239"/>
      <c r="CZ184" s="239"/>
      <c r="DA184" s="239"/>
      <c r="DB184" s="239"/>
      <c r="DC184" s="239"/>
      <c r="DD184" s="239"/>
      <c r="DE184" s="239"/>
      <c r="DF184" s="239"/>
      <c r="DG184" s="239"/>
      <c r="DH184" s="239"/>
      <c r="DI184" s="239"/>
      <c r="DJ184" s="239"/>
      <c r="DK184" s="239"/>
      <c r="DL184" s="239"/>
      <c r="DM184" s="239"/>
      <c r="DN184" s="239"/>
      <c r="DO184" s="239"/>
      <c r="DP184" s="239"/>
      <c r="DQ184" s="239"/>
      <c r="DR184" s="239"/>
      <c r="DS184" s="239"/>
      <c r="DT184" s="239"/>
      <c r="DU184" s="239"/>
      <c r="DV184" s="239"/>
      <c r="DW184" s="239"/>
      <c r="DX184" s="239"/>
      <c r="DY184" s="239"/>
      <c r="DZ184" s="239"/>
      <c r="EA184" s="239"/>
      <c r="EB184" s="239"/>
      <c r="EC184" s="239"/>
      <c r="ED184" s="239"/>
      <c r="EE184" s="239"/>
      <c r="EF184" s="239"/>
      <c r="EG184" s="239"/>
      <c r="EH184" s="239"/>
      <c r="EI184" s="239"/>
      <c r="EJ184" s="239"/>
      <c r="EK184" s="239"/>
      <c r="EL184" s="239"/>
      <c r="EM184" s="239"/>
      <c r="EN184" s="239"/>
      <c r="EO184" s="239"/>
      <c r="EP184" s="239"/>
      <c r="EQ184" s="239"/>
      <c r="ER184" s="239"/>
      <c r="ES184" s="239"/>
      <c r="ET184" s="239"/>
      <c r="EU184" s="239"/>
      <c r="EV184" s="239"/>
      <c r="EW184" s="239"/>
      <c r="EX184" s="239"/>
      <c r="EY184" s="239"/>
      <c r="EZ184" s="239"/>
      <c r="FA184" s="239"/>
      <c r="FB184" s="239"/>
      <c r="FC184" s="239"/>
      <c r="FD184" s="239"/>
      <c r="FE184" s="239"/>
      <c r="FF184" s="239"/>
      <c r="FG184" s="239"/>
      <c r="FH184" s="239"/>
      <c r="FI184" s="239"/>
      <c r="FJ184" s="239"/>
      <c r="FK184" s="239"/>
      <c r="FL184" s="239"/>
      <c r="FM184" s="239"/>
      <c r="FN184" s="239"/>
      <c r="FO184" s="239"/>
      <c r="FP184" s="239"/>
      <c r="FQ184" s="239"/>
      <c r="FR184" s="239"/>
      <c r="FS184" s="239"/>
      <c r="FT184" s="239"/>
      <c r="FU184" s="239"/>
      <c r="FV184" s="239"/>
      <c r="FW184" s="239"/>
      <c r="FX184" s="239"/>
      <c r="FY184" s="239"/>
      <c r="FZ184" s="239"/>
      <c r="GA184" s="239"/>
      <c r="GB184" s="239"/>
      <c r="GC184" s="239"/>
      <c r="GD184" s="239"/>
      <c r="GE184" s="239"/>
      <c r="GF184" s="239"/>
      <c r="GG184" s="239"/>
      <c r="GH184" s="239"/>
      <c r="GI184" s="239"/>
      <c r="GJ184" s="239"/>
      <c r="GK184" s="239"/>
      <c r="GL184" s="239"/>
      <c r="GM184" s="239"/>
      <c r="GN184" s="239"/>
      <c r="GO184" s="239"/>
      <c r="GP184" s="239"/>
      <c r="GQ184" s="239"/>
      <c r="GR184" s="239"/>
      <c r="GS184" s="239"/>
      <c r="GT184" s="239"/>
      <c r="GU184" s="239"/>
      <c r="GV184" s="239"/>
      <c r="GW184" s="239"/>
      <c r="GX184" s="239"/>
      <c r="GY184" s="239"/>
      <c r="GZ184" s="239"/>
      <c r="HA184" s="239"/>
      <c r="HB184" s="239"/>
      <c r="HC184" s="239"/>
      <c r="HD184" s="239"/>
      <c r="HE184" s="239"/>
      <c r="HF184" s="239"/>
      <c r="HG184" s="239"/>
      <c r="HH184" s="239"/>
      <c r="HI184" s="239"/>
      <c r="HJ184" s="239"/>
      <c r="HK184" s="239"/>
      <c r="HL184" s="239"/>
      <c r="HM184" s="239"/>
      <c r="HN184" s="239"/>
      <c r="HO184" s="239"/>
      <c r="HP184" s="239"/>
      <c r="HQ184" s="239"/>
      <c r="HR184" s="239"/>
      <c r="HS184" s="239"/>
      <c r="HT184" s="239"/>
      <c r="HU184" s="239"/>
      <c r="HV184" s="239"/>
      <c r="HW184" s="239"/>
      <c r="HX184" s="239"/>
      <c r="HY184" s="239"/>
      <c r="HZ184" s="239"/>
      <c r="IA184" s="239"/>
      <c r="IB184" s="239"/>
      <c r="IC184" s="239"/>
      <c r="ID184" s="239"/>
      <c r="IE184" s="239"/>
      <c r="IF184" s="239"/>
      <c r="IG184" s="239"/>
      <c r="IH184" s="239"/>
      <c r="II184" s="239"/>
      <c r="IJ184" s="239"/>
      <c r="IK184" s="239"/>
      <c r="IL184" s="239"/>
      <c r="IM184" s="239"/>
      <c r="IN184" s="239"/>
      <c r="IO184" s="239"/>
      <c r="IP184" s="239"/>
      <c r="IQ184" s="239"/>
      <c r="IR184" s="239"/>
      <c r="IS184" s="239"/>
      <c r="IT184" s="239"/>
      <c r="IU184" s="239"/>
      <c r="IV184" s="239"/>
      <c r="IW184" s="239"/>
      <c r="IX184" s="239"/>
      <c r="IY184" s="239"/>
      <c r="IZ184" s="239"/>
      <c r="JA184" s="239"/>
      <c r="JB184" s="239"/>
      <c r="JC184" s="239"/>
      <c r="JD184" s="239"/>
      <c r="JE184" s="239"/>
      <c r="JF184" s="239"/>
      <c r="JG184" s="239"/>
      <c r="JH184" s="239"/>
      <c r="JI184" s="239"/>
      <c r="JJ184" s="239"/>
      <c r="JK184" s="239"/>
      <c r="JL184" s="239"/>
      <c r="JM184" s="239"/>
      <c r="JN184" s="239"/>
      <c r="JO184" s="239"/>
      <c r="JP184" s="239"/>
      <c r="JQ184" s="239"/>
      <c r="JR184" s="239"/>
      <c r="JS184" s="239"/>
      <c r="JT184" s="239"/>
      <c r="JU184" s="239"/>
      <c r="JV184" s="239"/>
      <c r="JW184" s="239"/>
      <c r="JX184" s="239"/>
      <c r="JY184" s="239"/>
      <c r="JZ184" s="239"/>
      <c r="KA184" s="239"/>
      <c r="KB184" s="239"/>
      <c r="KC184" s="239"/>
      <c r="KD184" s="239"/>
      <c r="KE184" s="239"/>
      <c r="KF184" s="239"/>
      <c r="KG184" s="239"/>
      <c r="KH184" s="239"/>
      <c r="KI184" s="239"/>
      <c r="KJ184" s="239"/>
      <c r="KK184" s="239"/>
      <c r="KL184" s="239"/>
      <c r="KM184" s="239"/>
      <c r="KN184" s="239"/>
      <c r="KO184" s="239"/>
      <c r="KP184" s="239"/>
      <c r="KQ184" s="239"/>
      <c r="KR184" s="239"/>
      <c r="KS184" s="239"/>
      <c r="KT184" s="239"/>
      <c r="KU184" s="239"/>
      <c r="KV184" s="239"/>
      <c r="KW184" s="239"/>
      <c r="KX184" s="239"/>
      <c r="KY184" s="239"/>
      <c r="KZ184" s="239"/>
      <c r="LA184" s="239"/>
      <c r="LB184" s="239"/>
      <c r="LC184" s="239"/>
      <c r="LD184" s="239"/>
      <c r="LE184" s="239"/>
      <c r="LF184" s="239"/>
      <c r="LG184" s="239"/>
      <c r="LH184" s="239"/>
      <c r="LI184" s="239"/>
      <c r="LJ184" s="239"/>
      <c r="LK184" s="239"/>
      <c r="LL184" s="239"/>
      <c r="LM184" s="239"/>
      <c r="LN184" s="239"/>
      <c r="LO184" s="239"/>
      <c r="LP184" s="239"/>
      <c r="LQ184" s="239"/>
      <c r="LR184" s="239"/>
      <c r="LS184" s="239"/>
      <c r="LT184" s="239"/>
      <c r="LU184" s="239"/>
      <c r="LV184" s="239"/>
      <c r="LW184" s="239"/>
      <c r="LX184" s="239"/>
      <c r="LY184" s="239"/>
      <c r="LZ184" s="239"/>
      <c r="MA184" s="239"/>
      <c r="MB184" s="239"/>
      <c r="MC184" s="239"/>
      <c r="MD184" s="239"/>
      <c r="ME184" s="239"/>
      <c r="MF184" s="239"/>
      <c r="MG184" s="239"/>
      <c r="MH184" s="239"/>
      <c r="MI184" s="239"/>
      <c r="MJ184" s="239"/>
      <c r="MK184" s="239"/>
      <c r="ML184" s="239"/>
      <c r="MM184" s="239"/>
      <c r="MN184" s="239"/>
      <c r="MO184" s="239"/>
      <c r="MP184" s="239"/>
      <c r="MQ184" s="239"/>
      <c r="MR184" s="239"/>
      <c r="MS184" s="239"/>
      <c r="MT184" s="239"/>
      <c r="MU184" s="239"/>
      <c r="MV184" s="239"/>
      <c r="MW184" s="239"/>
      <c r="MX184" s="239"/>
      <c r="MY184" s="239"/>
      <c r="MZ184" s="239"/>
      <c r="NA184" s="239"/>
      <c r="NB184" s="239"/>
      <c r="NC184" s="239"/>
      <c r="ND184" s="239"/>
      <c r="NE184" s="239"/>
      <c r="NF184" s="239"/>
      <c r="NG184" s="239"/>
      <c r="NH184" s="239"/>
      <c r="NI184" s="239"/>
      <c r="NJ184" s="239"/>
      <c r="NK184" s="239"/>
      <c r="NL184" s="239"/>
      <c r="NM184" s="239"/>
      <c r="NN184" s="239"/>
      <c r="NO184" s="239"/>
      <c r="NP184" s="239"/>
      <c r="NQ184" s="239"/>
      <c r="NR184" s="239"/>
      <c r="NS184" s="239"/>
      <c r="NT184" s="239"/>
      <c r="NU184" s="239"/>
      <c r="NV184" s="239"/>
      <c r="NW184" s="239"/>
      <c r="NX184" s="239"/>
      <c r="NY184" s="239"/>
      <c r="NZ184" s="239"/>
      <c r="OA184" s="239"/>
      <c r="OB184" s="239"/>
      <c r="OC184" s="239"/>
      <c r="OD184" s="239"/>
      <c r="OE184" s="239"/>
      <c r="OF184" s="239"/>
      <c r="OG184" s="239"/>
      <c r="OH184" s="239"/>
      <c r="OI184" s="239"/>
      <c r="OJ184" s="239"/>
      <c r="OK184" s="239"/>
      <c r="OL184" s="239"/>
      <c r="OM184" s="239"/>
      <c r="ON184" s="239"/>
      <c r="OO184" s="239"/>
      <c r="OP184" s="239"/>
      <c r="OQ184" s="239"/>
      <c r="OR184" s="239"/>
      <c r="OS184" s="239"/>
      <c r="OT184" s="239"/>
      <c r="OU184" s="239"/>
      <c r="OV184" s="239"/>
      <c r="OW184" s="239"/>
      <c r="OX184" s="239"/>
      <c r="OY184" s="239"/>
      <c r="OZ184" s="239"/>
      <c r="PA184" s="239"/>
      <c r="PB184" s="239"/>
      <c r="PC184" s="239"/>
      <c r="PD184" s="239"/>
      <c r="PE184" s="239"/>
      <c r="PF184" s="239"/>
      <c r="PG184" s="239"/>
      <c r="PH184" s="239"/>
      <c r="PI184" s="239"/>
      <c r="PJ184" s="239"/>
      <c r="PK184" s="239"/>
      <c r="PL184" s="239"/>
      <c r="PM184" s="239"/>
      <c r="PN184" s="239"/>
      <c r="PO184" s="239"/>
      <c r="PP184" s="239"/>
      <c r="PQ184" s="239"/>
      <c r="PR184" s="239"/>
      <c r="PS184" s="239"/>
      <c r="PT184" s="239"/>
      <c r="PU184" s="239"/>
      <c r="PV184" s="239"/>
      <c r="PW184" s="239"/>
      <c r="PX184" s="239"/>
      <c r="PY184" s="239"/>
      <c r="PZ184" s="239"/>
      <c r="QA184" s="239"/>
      <c r="QB184" s="239"/>
      <c r="QC184" s="239"/>
      <c r="QD184" s="239"/>
      <c r="QE184" s="239"/>
      <c r="QF184" s="239"/>
      <c r="QG184" s="239"/>
      <c r="QH184" s="239"/>
      <c r="QI184" s="239"/>
      <c r="QJ184" s="239"/>
      <c r="QK184" s="239"/>
      <c r="QL184" s="239"/>
      <c r="QM184" s="239"/>
      <c r="QN184" s="239"/>
      <c r="QO184" s="239"/>
      <c r="QP184" s="239"/>
      <c r="QQ184" s="239"/>
      <c r="QR184" s="239"/>
      <c r="QS184" s="239"/>
      <c r="QT184" s="239"/>
      <c r="QU184" s="239"/>
      <c r="QV184" s="239"/>
      <c r="QW184" s="239"/>
      <c r="QX184" s="239"/>
      <c r="QY184" s="239"/>
      <c r="QZ184" s="239"/>
      <c r="RA184" s="239"/>
      <c r="RB184" s="239"/>
      <c r="RC184" s="239"/>
      <c r="RD184" s="239"/>
      <c r="RE184" s="239"/>
      <c r="RF184" s="239"/>
      <c r="RG184" s="239"/>
      <c r="RH184" s="239"/>
      <c r="RI184" s="239"/>
      <c r="RJ184" s="239"/>
      <c r="RK184" s="239"/>
      <c r="RL184" s="239"/>
      <c r="RM184" s="239"/>
      <c r="RN184" s="239"/>
      <c r="RO184" s="239"/>
      <c r="RP184" s="239"/>
      <c r="RQ184" s="239"/>
      <c r="RR184" s="239"/>
      <c r="RS184" s="239"/>
      <c r="RT184" s="239"/>
      <c r="RU184" s="239"/>
      <c r="RV184" s="239"/>
      <c r="RW184" s="239"/>
      <c r="RX184" s="239"/>
      <c r="RY184" s="239"/>
      <c r="RZ184" s="239"/>
      <c r="SA184" s="239"/>
      <c r="SB184" s="239"/>
      <c r="SC184" s="239"/>
      <c r="SD184" s="239"/>
      <c r="SE184" s="239"/>
      <c r="SF184" s="239"/>
      <c r="SG184" s="239"/>
      <c r="SH184" s="239"/>
      <c r="SI184" s="239"/>
      <c r="SJ184" s="239"/>
      <c r="SK184" s="239"/>
      <c r="SL184" s="239"/>
      <c r="SM184" s="239"/>
      <c r="SN184" s="239"/>
      <c r="SO184" s="239"/>
      <c r="SP184" s="239"/>
      <c r="SQ184" s="239"/>
      <c r="SR184" s="239"/>
      <c r="SS184" s="239"/>
      <c r="ST184" s="239"/>
      <c r="SU184" s="239"/>
      <c r="SV184" s="239"/>
      <c r="SW184" s="239"/>
      <c r="SX184" s="239"/>
      <c r="SY184" s="239"/>
      <c r="SZ184" s="239"/>
      <c r="TA184" s="239"/>
      <c r="TB184" s="239"/>
      <c r="TC184" s="239"/>
      <c r="TD184" s="239"/>
      <c r="TE184" s="239"/>
      <c r="TF184" s="239"/>
      <c r="TG184" s="239"/>
      <c r="TH184" s="239"/>
      <c r="TI184" s="239"/>
      <c r="TJ184" s="239"/>
      <c r="TK184" s="239"/>
      <c r="TL184" s="239"/>
      <c r="TM184" s="239"/>
      <c r="TN184" s="239"/>
      <c r="TO184" s="239"/>
      <c r="TP184" s="239"/>
      <c r="TQ184" s="239"/>
      <c r="TR184" s="239"/>
      <c r="TS184" s="239"/>
      <c r="TT184" s="239"/>
      <c r="TU184" s="239"/>
      <c r="TV184" s="239"/>
      <c r="TW184" s="239"/>
      <c r="TX184" s="239"/>
      <c r="TY184" s="239"/>
      <c r="TZ184" s="239"/>
      <c r="UA184" s="239"/>
      <c r="UB184" s="239"/>
      <c r="UC184" s="239"/>
      <c r="UD184" s="239"/>
      <c r="UE184" s="239"/>
      <c r="UF184" s="239"/>
      <c r="UG184" s="239"/>
      <c r="UH184" s="239"/>
      <c r="UI184" s="239"/>
      <c r="UJ184" s="239"/>
      <c r="UK184" s="239"/>
      <c r="UL184" s="239"/>
      <c r="UM184" s="239"/>
      <c r="UN184" s="239"/>
      <c r="UO184" s="239"/>
      <c r="UP184" s="239"/>
      <c r="UQ184" s="239"/>
      <c r="UR184" s="239"/>
      <c r="US184" s="239"/>
      <c r="UT184" s="239"/>
      <c r="UU184" s="239"/>
      <c r="UV184" s="239"/>
      <c r="UW184" s="239"/>
      <c r="UX184" s="239"/>
      <c r="UY184" s="239"/>
      <c r="UZ184" s="239"/>
      <c r="VA184" s="239"/>
      <c r="VB184" s="239"/>
      <c r="VC184" s="239"/>
      <c r="VD184" s="239"/>
      <c r="VE184" s="239"/>
      <c r="VF184" s="239"/>
      <c r="VG184" s="239"/>
      <c r="VH184" s="239"/>
      <c r="VI184" s="239"/>
      <c r="VJ184" s="239"/>
      <c r="VK184" s="239"/>
      <c r="VL184" s="239"/>
      <c r="VM184" s="239"/>
      <c r="VN184" s="239"/>
      <c r="VO184" s="239"/>
      <c r="VP184" s="239"/>
      <c r="VQ184" s="239"/>
      <c r="VR184" s="239"/>
      <c r="VS184" s="239"/>
      <c r="VT184" s="239"/>
      <c r="VU184" s="239"/>
      <c r="VV184" s="239"/>
      <c r="VW184" s="239"/>
      <c r="VX184" s="239"/>
      <c r="VY184" s="239"/>
      <c r="VZ184" s="239"/>
      <c r="WA184" s="239"/>
      <c r="WB184" s="239"/>
      <c r="WC184" s="239"/>
      <c r="WD184" s="239"/>
      <c r="WE184" s="239"/>
      <c r="WF184" s="239"/>
      <c r="WG184" s="239"/>
      <c r="WH184" s="239"/>
      <c r="WI184" s="239"/>
      <c r="WJ184" s="239"/>
      <c r="WK184" s="239"/>
      <c r="WL184" s="239"/>
      <c r="WM184" s="239"/>
      <c r="WN184" s="239"/>
      <c r="WO184" s="239"/>
      <c r="WP184" s="239"/>
      <c r="WQ184" s="239"/>
      <c r="WR184" s="239"/>
      <c r="WS184" s="239"/>
      <c r="WT184" s="239"/>
      <c r="WU184" s="239"/>
      <c r="WV184" s="239"/>
      <c r="WW184" s="239"/>
      <c r="WX184" s="239"/>
      <c r="WY184" s="239"/>
      <c r="WZ184" s="239"/>
      <c r="XA184" s="239"/>
      <c r="XB184" s="239"/>
      <c r="XC184" s="239"/>
      <c r="XD184" s="239"/>
      <c r="XE184" s="239"/>
      <c r="XF184" s="239"/>
      <c r="XG184" s="239"/>
      <c r="XH184" s="239"/>
      <c r="XI184" s="239"/>
      <c r="XJ184" s="239"/>
      <c r="XK184" s="239"/>
      <c r="XL184" s="239"/>
      <c r="XM184" s="239"/>
      <c r="XN184" s="239"/>
      <c r="XO184" s="239"/>
      <c r="XP184" s="239"/>
      <c r="XQ184" s="239"/>
      <c r="XR184" s="239"/>
      <c r="XS184" s="239"/>
      <c r="XT184" s="239"/>
      <c r="XU184" s="239"/>
      <c r="XV184" s="239"/>
      <c r="XW184" s="239"/>
      <c r="XX184" s="239"/>
      <c r="XY184" s="239"/>
      <c r="XZ184" s="239"/>
      <c r="YA184" s="239"/>
      <c r="YB184" s="239"/>
      <c r="YC184" s="239"/>
      <c r="YD184" s="239"/>
      <c r="YE184" s="239"/>
      <c r="YF184" s="239"/>
      <c r="YG184" s="239"/>
      <c r="YH184" s="239"/>
      <c r="YI184" s="239"/>
      <c r="YJ184" s="239"/>
      <c r="YK184" s="239"/>
      <c r="YL184" s="239"/>
      <c r="YM184" s="239"/>
      <c r="YN184" s="239"/>
      <c r="YO184" s="239"/>
      <c r="YP184" s="239"/>
      <c r="YQ184" s="239"/>
      <c r="YR184" s="239"/>
      <c r="YS184" s="239"/>
      <c r="YT184" s="239"/>
      <c r="YU184" s="239"/>
      <c r="YV184" s="239"/>
      <c r="YW184" s="239"/>
      <c r="YX184" s="239"/>
      <c r="YY184" s="239"/>
      <c r="YZ184" s="239"/>
      <c r="ZA184" s="239"/>
      <c r="ZB184" s="239"/>
      <c r="ZC184" s="239"/>
      <c r="ZD184" s="239"/>
      <c r="ZE184" s="239"/>
      <c r="ZF184" s="239"/>
      <c r="ZG184" s="239"/>
      <c r="ZH184" s="239"/>
      <c r="ZI184" s="239"/>
      <c r="ZJ184" s="239"/>
      <c r="ZK184" s="239"/>
      <c r="ZL184" s="239"/>
      <c r="ZM184" s="239"/>
      <c r="ZN184" s="239"/>
      <c r="ZO184" s="239"/>
      <c r="ZP184" s="239"/>
      <c r="ZQ184" s="239"/>
      <c r="ZR184" s="239"/>
      <c r="ZS184" s="239"/>
      <c r="ZT184" s="239"/>
      <c r="ZU184" s="239"/>
      <c r="ZV184" s="239"/>
      <c r="ZW184" s="239"/>
      <c r="ZX184" s="239"/>
      <c r="ZY184" s="239"/>
      <c r="ZZ184" s="239"/>
      <c r="AAA184" s="239"/>
      <c r="AAB184" s="239"/>
      <c r="AAC184" s="239"/>
      <c r="AAD184" s="239"/>
      <c r="AAE184" s="239"/>
      <c r="AAF184" s="239"/>
      <c r="AAG184" s="239"/>
      <c r="AAH184" s="239"/>
      <c r="AAI184" s="239"/>
      <c r="AAJ184" s="239"/>
      <c r="AAK184" s="239"/>
      <c r="AAL184" s="239"/>
      <c r="AAM184" s="239"/>
      <c r="AAN184" s="239"/>
      <c r="AAO184" s="239"/>
      <c r="AAP184" s="239"/>
      <c r="AAQ184" s="239"/>
      <c r="AAR184" s="239"/>
      <c r="AAS184" s="239"/>
      <c r="AAT184" s="239"/>
      <c r="AAU184" s="239"/>
      <c r="AAV184" s="239"/>
      <c r="AAW184" s="239"/>
      <c r="AAX184" s="239"/>
      <c r="AAY184" s="239"/>
      <c r="AAZ184" s="239"/>
      <c r="ABA184" s="239"/>
      <c r="ABB184" s="239"/>
      <c r="ABC184" s="239"/>
      <c r="ABD184" s="239"/>
      <c r="ABE184" s="239"/>
      <c r="ABF184" s="239"/>
      <c r="ABG184" s="239"/>
      <c r="ABH184" s="239"/>
      <c r="ABI184" s="239"/>
      <c r="ABJ184" s="239"/>
      <c r="ABK184" s="239"/>
      <c r="ABL184" s="239"/>
      <c r="ABM184" s="239"/>
      <c r="ABN184" s="239"/>
      <c r="ABO184" s="239"/>
      <c r="ABP184" s="239"/>
      <c r="ABQ184" s="239"/>
      <c r="ABR184" s="239"/>
      <c r="ABS184" s="239"/>
      <c r="ABT184" s="239"/>
      <c r="ABU184" s="239"/>
      <c r="ABV184" s="239"/>
      <c r="ABW184" s="239"/>
      <c r="ABX184" s="239"/>
      <c r="ABY184" s="239"/>
      <c r="ABZ184" s="239"/>
      <c r="ACA184" s="239"/>
      <c r="ACB184" s="239"/>
      <c r="ACC184" s="239"/>
      <c r="ACD184" s="239"/>
      <c r="ACE184" s="239"/>
      <c r="ACF184" s="239"/>
      <c r="ACG184" s="239"/>
      <c r="ACH184" s="239"/>
      <c r="ACI184" s="239"/>
      <c r="ACJ184" s="239"/>
      <c r="ACK184" s="239"/>
      <c r="ACL184" s="239"/>
      <c r="ACM184" s="239"/>
      <c r="ACN184" s="239"/>
      <c r="ACO184" s="239"/>
      <c r="ACP184" s="239"/>
      <c r="ACQ184" s="239"/>
      <c r="ACR184" s="239"/>
      <c r="ACS184" s="239"/>
      <c r="ACT184" s="239"/>
      <c r="ACU184" s="239"/>
      <c r="ACV184" s="239"/>
      <c r="ACW184" s="239"/>
      <c r="ACX184" s="239"/>
      <c r="ACY184" s="239"/>
      <c r="ACZ184" s="239"/>
      <c r="ADA184" s="239"/>
      <c r="ADB184" s="239"/>
      <c r="ADC184" s="239"/>
      <c r="ADD184" s="239"/>
      <c r="ADE184" s="239"/>
      <c r="ADF184" s="239"/>
      <c r="ADG184" s="239"/>
      <c r="ADH184" s="239"/>
      <c r="ADI184" s="239"/>
      <c r="ADJ184" s="239"/>
      <c r="ADK184" s="239"/>
      <c r="ADL184" s="239"/>
      <c r="ADM184" s="239"/>
      <c r="ADN184" s="239"/>
      <c r="ADO184" s="239"/>
      <c r="ADP184" s="239"/>
      <c r="ADQ184" s="239"/>
      <c r="ADR184" s="239"/>
      <c r="ADS184" s="239"/>
      <c r="ADT184" s="239"/>
      <c r="ADU184" s="239"/>
      <c r="ADV184" s="239"/>
      <c r="ADW184" s="239"/>
      <c r="ADX184" s="239"/>
      <c r="ADY184" s="239"/>
      <c r="ADZ184" s="239"/>
      <c r="AEA184" s="239"/>
      <c r="AEB184" s="239"/>
      <c r="AEC184" s="239"/>
      <c r="AED184" s="239"/>
      <c r="AEE184" s="239"/>
      <c r="AEF184" s="239"/>
      <c r="AEG184" s="239"/>
      <c r="AEH184" s="239"/>
      <c r="AEI184" s="239"/>
      <c r="AEJ184" s="239"/>
      <c r="AEK184" s="239"/>
      <c r="AEL184" s="239"/>
      <c r="AEM184" s="239"/>
      <c r="AEN184" s="239"/>
      <c r="AEO184" s="239"/>
      <c r="AEP184" s="239"/>
      <c r="AEQ184" s="239"/>
      <c r="AER184" s="239"/>
      <c r="AES184" s="239"/>
      <c r="AET184" s="239"/>
      <c r="AEU184" s="239"/>
      <c r="AEV184" s="239"/>
      <c r="AEW184" s="239"/>
      <c r="AEX184" s="239"/>
      <c r="AEY184" s="239"/>
      <c r="AEZ184" s="239"/>
      <c r="AFA184" s="239"/>
      <c r="AFB184" s="239"/>
      <c r="AFC184" s="239"/>
      <c r="AFD184" s="239"/>
      <c r="AFE184" s="239"/>
      <c r="AFF184" s="239"/>
      <c r="AFG184" s="239"/>
      <c r="AFH184" s="239"/>
      <c r="AFI184" s="239"/>
      <c r="AFJ184" s="239"/>
      <c r="AFK184" s="239"/>
      <c r="AFL184" s="239"/>
      <c r="AFM184" s="239"/>
      <c r="AFN184" s="239"/>
      <c r="AFO184" s="239"/>
      <c r="AFP184" s="239"/>
      <c r="AFQ184" s="239"/>
      <c r="AFR184" s="239"/>
      <c r="AFS184" s="239"/>
      <c r="AFT184" s="239"/>
      <c r="AFU184" s="239"/>
      <c r="AFV184" s="239"/>
      <c r="AFW184" s="239"/>
      <c r="AFX184" s="239"/>
      <c r="AFY184" s="239"/>
      <c r="AFZ184" s="239"/>
      <c r="AGA184" s="239"/>
      <c r="AGB184" s="239"/>
      <c r="AGC184" s="239"/>
      <c r="AGD184" s="239"/>
      <c r="AGE184" s="239"/>
      <c r="AGF184" s="239"/>
      <c r="AGG184" s="239"/>
      <c r="AGH184" s="239"/>
      <c r="AGI184" s="239"/>
      <c r="AGJ184" s="239"/>
      <c r="AGK184" s="239"/>
      <c r="AGL184" s="239"/>
      <c r="AGM184" s="239"/>
      <c r="AGN184" s="239"/>
      <c r="AGO184" s="239"/>
      <c r="AGP184" s="239"/>
      <c r="AGQ184" s="239"/>
      <c r="AGR184" s="239"/>
      <c r="AGS184" s="239"/>
      <c r="AGT184" s="239"/>
      <c r="AGU184" s="239"/>
      <c r="AGV184" s="239"/>
      <c r="AGW184" s="239"/>
      <c r="AGX184" s="239"/>
      <c r="AGY184" s="239"/>
      <c r="AGZ184" s="239"/>
      <c r="AHA184" s="239"/>
      <c r="AHB184" s="239"/>
      <c r="AHC184" s="239"/>
      <c r="AHD184" s="239"/>
      <c r="AHE184" s="239"/>
      <c r="AHF184" s="239"/>
      <c r="AHG184" s="239"/>
      <c r="AHH184" s="239"/>
      <c r="AHI184" s="239"/>
      <c r="AHJ184" s="239"/>
      <c r="AHK184" s="239"/>
      <c r="AHL184" s="239"/>
      <c r="AHM184" s="239"/>
      <c r="AHN184" s="239"/>
      <c r="AHO184" s="239"/>
      <c r="AHP184" s="239"/>
      <c r="AHQ184" s="239"/>
      <c r="AHR184" s="239"/>
      <c r="AHS184" s="239"/>
      <c r="AHT184" s="239"/>
      <c r="AHU184" s="239"/>
      <c r="AHV184" s="239"/>
      <c r="AHW184" s="239"/>
      <c r="AHX184" s="239"/>
      <c r="AHY184" s="239"/>
      <c r="AHZ184" s="239"/>
      <c r="AIA184" s="239"/>
      <c r="AIB184" s="239"/>
      <c r="AIC184" s="239"/>
      <c r="AID184" s="239"/>
      <c r="AIE184" s="239"/>
      <c r="AIF184" s="239"/>
      <c r="AIG184" s="239"/>
      <c r="AIH184" s="239"/>
      <c r="AII184" s="239"/>
      <c r="AIJ184" s="239"/>
      <c r="AIK184" s="239"/>
      <c r="AIL184" s="239"/>
      <c r="AIM184" s="239"/>
      <c r="AIN184" s="239"/>
      <c r="AIO184" s="239"/>
      <c r="AIP184" s="239"/>
      <c r="AIQ184" s="239"/>
      <c r="AIR184" s="239"/>
      <c r="AIS184" s="239"/>
      <c r="AIT184" s="239"/>
      <c r="AIU184" s="239"/>
      <c r="AIV184" s="239"/>
      <c r="AIW184" s="239"/>
      <c r="AIX184" s="239"/>
      <c r="AIY184" s="239"/>
      <c r="AIZ184" s="239"/>
      <c r="AJA184" s="239"/>
      <c r="AJB184" s="239"/>
      <c r="AJC184" s="239"/>
      <c r="AJD184" s="239"/>
      <c r="AJE184" s="239"/>
      <c r="AJF184" s="239"/>
      <c r="AJG184" s="239"/>
      <c r="AJH184" s="239"/>
      <c r="AJI184" s="239"/>
      <c r="AJJ184" s="239"/>
      <c r="AJK184" s="239"/>
      <c r="AJL184" s="239"/>
      <c r="AJM184" s="239"/>
      <c r="AJN184" s="239"/>
      <c r="AJO184" s="239"/>
      <c r="AJP184" s="239"/>
      <c r="AJQ184" s="239"/>
      <c r="AJR184" s="239"/>
      <c r="AJS184" s="239"/>
      <c r="AJT184" s="239"/>
      <c r="AJU184" s="239"/>
      <c r="AJV184" s="239"/>
      <c r="AJW184" s="239"/>
      <c r="AJX184" s="239"/>
      <c r="AJY184" s="239"/>
      <c r="AJZ184" s="239"/>
      <c r="AKA184" s="239"/>
      <c r="AKB184" s="239"/>
      <c r="AKC184" s="239"/>
      <c r="AKD184" s="239"/>
      <c r="AKE184" s="239"/>
      <c r="AKF184" s="239"/>
      <c r="AKG184" s="239"/>
      <c r="AKH184" s="239"/>
      <c r="AKI184" s="239"/>
      <c r="AKJ184" s="239"/>
      <c r="AKK184" s="239"/>
      <c r="AKL184" s="239"/>
      <c r="AKM184" s="239"/>
      <c r="AKN184" s="239"/>
      <c r="AKO184" s="239"/>
      <c r="AKP184" s="239"/>
      <c r="AKQ184" s="239"/>
      <c r="AKR184" s="239"/>
      <c r="AKS184" s="239"/>
      <c r="AKT184" s="239"/>
      <c r="AKU184" s="239"/>
      <c r="AKV184" s="239"/>
      <c r="AKW184" s="239"/>
      <c r="AKX184" s="239"/>
      <c r="AKY184" s="239"/>
      <c r="AKZ184" s="239"/>
      <c r="ALA184" s="239"/>
      <c r="ALB184" s="239"/>
      <c r="ALC184" s="239"/>
      <c r="ALD184" s="239"/>
      <c r="ALE184" s="239"/>
      <c r="ALF184" s="239"/>
      <c r="ALG184" s="239"/>
      <c r="ALH184" s="239"/>
      <c r="ALI184" s="239"/>
      <c r="ALJ184" s="239"/>
      <c r="ALK184" s="239"/>
      <c r="ALL184" s="239"/>
      <c r="ALM184" s="239"/>
      <c r="ALN184" s="239"/>
      <c r="ALO184" s="239"/>
      <c r="ALP184" s="239"/>
      <c r="ALQ184" s="239"/>
      <c r="ALR184" s="239"/>
      <c r="ALS184" s="239"/>
      <c r="ALT184" s="239"/>
      <c r="ALU184" s="239"/>
      <c r="ALV184" s="239"/>
      <c r="ALW184" s="239"/>
      <c r="ALX184" s="239"/>
      <c r="ALY184" s="239"/>
      <c r="ALZ184" s="239"/>
      <c r="AMA184" s="239"/>
      <c r="AMB184" s="239"/>
      <c r="AMC184" s="239"/>
      <c r="AMD184" s="239"/>
      <c r="AME184" s="239"/>
      <c r="AMF184" s="239"/>
      <c r="AMG184" s="239"/>
      <c r="AMH184" s="239"/>
      <c r="AMI184" s="239"/>
      <c r="AMJ184" s="239"/>
      <c r="AMK184" s="239"/>
      <c r="AML184" s="239"/>
      <c r="AMM184" s="239"/>
      <c r="AMN184" s="239"/>
      <c r="AMO184" s="239"/>
      <c r="AMP184" s="239"/>
      <c r="AMQ184" s="239"/>
      <c r="AMR184" s="239"/>
      <c r="AMS184" s="239"/>
      <c r="AMT184" s="239"/>
      <c r="AMU184" s="239"/>
      <c r="AMV184" s="239"/>
      <c r="AMW184" s="239"/>
      <c r="AMX184" s="239"/>
      <c r="AMY184" s="239"/>
      <c r="AMZ184" s="239"/>
      <c r="ANA184" s="239"/>
      <c r="ANB184" s="239"/>
      <c r="ANC184" s="239"/>
      <c r="AND184" s="239"/>
      <c r="ANE184" s="239"/>
      <c r="ANF184" s="239"/>
      <c r="ANG184" s="239"/>
      <c r="ANH184" s="239"/>
      <c r="ANI184" s="239"/>
      <c r="ANJ184" s="239"/>
      <c r="ANK184" s="239"/>
      <c r="ANL184" s="239"/>
      <c r="ANM184" s="239"/>
      <c r="ANN184" s="239"/>
      <c r="ANO184" s="239"/>
      <c r="ANP184" s="239"/>
      <c r="ANQ184" s="239"/>
      <c r="ANR184" s="239"/>
      <c r="ANS184" s="239"/>
      <c r="ANT184" s="239"/>
      <c r="ANU184" s="239"/>
      <c r="ANV184" s="239"/>
      <c r="ANW184" s="239"/>
      <c r="ANX184" s="239"/>
      <c r="ANY184" s="239"/>
      <c r="ANZ184" s="239"/>
      <c r="AOA184" s="239"/>
      <c r="AOB184" s="239"/>
      <c r="AOC184" s="239"/>
      <c r="AOD184" s="239"/>
      <c r="AOE184" s="239"/>
      <c r="AOF184" s="239"/>
      <c r="AOG184" s="239"/>
      <c r="AOH184" s="239"/>
      <c r="AOI184" s="239"/>
      <c r="AOJ184" s="239"/>
      <c r="AOK184" s="239"/>
      <c r="AOL184" s="239"/>
      <c r="AOM184" s="239"/>
      <c r="AON184" s="239"/>
      <c r="AOO184" s="239"/>
      <c r="AOP184" s="239"/>
      <c r="AOQ184" s="239"/>
      <c r="AOR184" s="239"/>
      <c r="AOS184" s="239"/>
      <c r="AOT184" s="239"/>
      <c r="AOU184" s="239"/>
      <c r="AOV184" s="239"/>
      <c r="AOW184" s="239"/>
      <c r="AOX184" s="239"/>
      <c r="AOY184" s="239"/>
      <c r="AOZ184" s="239"/>
      <c r="APA184" s="239"/>
      <c r="APB184" s="239"/>
      <c r="APC184" s="239"/>
      <c r="APD184" s="239"/>
      <c r="APE184" s="239"/>
      <c r="APF184" s="239"/>
      <c r="APG184" s="239"/>
      <c r="APH184" s="239"/>
      <c r="API184" s="239"/>
      <c r="APJ184" s="239"/>
      <c r="APK184" s="239"/>
      <c r="APL184" s="239"/>
      <c r="APM184" s="239"/>
      <c r="APN184" s="239"/>
      <c r="APO184" s="239"/>
      <c r="APP184" s="239"/>
      <c r="APQ184" s="239"/>
      <c r="APR184" s="239"/>
      <c r="APS184" s="239"/>
      <c r="APT184" s="239"/>
      <c r="APU184" s="239"/>
      <c r="APV184" s="239"/>
      <c r="APW184" s="239"/>
      <c r="APX184" s="239"/>
      <c r="APY184" s="239"/>
      <c r="APZ184" s="239"/>
      <c r="AQA184" s="239"/>
      <c r="AQB184" s="239"/>
      <c r="AQC184" s="239"/>
      <c r="AQD184" s="239"/>
      <c r="AQE184" s="239"/>
      <c r="AQF184" s="239"/>
      <c r="AQG184" s="239"/>
      <c r="AQH184" s="239"/>
      <c r="AQI184" s="239"/>
      <c r="AQJ184" s="239"/>
      <c r="AQK184" s="239"/>
      <c r="AQL184" s="239"/>
      <c r="AQM184" s="239"/>
      <c r="AQN184" s="239"/>
      <c r="AQO184" s="239"/>
      <c r="AQP184" s="239"/>
      <c r="AQQ184" s="239"/>
      <c r="AQR184" s="239"/>
      <c r="AQS184" s="239"/>
      <c r="AQT184" s="239"/>
      <c r="AQU184" s="239"/>
      <c r="AQV184" s="239"/>
      <c r="AQW184" s="239"/>
      <c r="AQX184" s="239"/>
      <c r="AQY184" s="239"/>
      <c r="AQZ184" s="239"/>
      <c r="ARA184" s="239"/>
      <c r="ARB184" s="239"/>
      <c r="ARC184" s="239"/>
      <c r="ARD184" s="239"/>
      <c r="ARE184" s="239"/>
      <c r="ARF184" s="239"/>
      <c r="ARG184" s="239"/>
      <c r="ARH184" s="239"/>
      <c r="ARI184" s="239"/>
      <c r="ARJ184" s="239"/>
      <c r="ARK184" s="239"/>
      <c r="ARL184" s="239"/>
      <c r="ARM184" s="239"/>
      <c r="ARN184" s="239"/>
      <c r="ARO184" s="239"/>
      <c r="ARP184" s="239"/>
      <c r="ARQ184" s="239"/>
      <c r="ARR184" s="239"/>
      <c r="ARS184" s="239"/>
      <c r="ART184" s="239"/>
      <c r="ARU184" s="239"/>
      <c r="ARV184" s="239"/>
      <c r="ARW184" s="239"/>
      <c r="ARX184" s="239"/>
      <c r="ARY184" s="239"/>
      <c r="ARZ184" s="239"/>
      <c r="ASA184" s="239"/>
      <c r="ASB184" s="239"/>
      <c r="ASC184" s="239"/>
      <c r="ASD184" s="239"/>
      <c r="ASE184" s="239"/>
      <c r="ASF184" s="239"/>
      <c r="ASG184" s="239"/>
      <c r="ASH184" s="239"/>
      <c r="ASI184" s="239"/>
      <c r="ASJ184" s="239"/>
      <c r="ASK184" s="239"/>
      <c r="ASL184" s="239"/>
      <c r="ASM184" s="239"/>
      <c r="ASN184" s="239"/>
      <c r="ASO184" s="239"/>
      <c r="ASP184" s="239"/>
      <c r="ASQ184" s="239"/>
      <c r="ASR184" s="239"/>
      <c r="ASS184" s="239"/>
      <c r="AST184" s="239"/>
      <c r="ASU184" s="239"/>
      <c r="ASV184" s="239"/>
      <c r="ASW184" s="239"/>
      <c r="ASX184" s="239"/>
      <c r="ASY184" s="239"/>
      <c r="ASZ184" s="239"/>
      <c r="ATA184" s="239"/>
      <c r="ATB184" s="239"/>
      <c r="ATC184" s="239"/>
      <c r="ATD184" s="239"/>
      <c r="ATE184" s="239"/>
      <c r="ATF184" s="239"/>
      <c r="ATG184" s="239"/>
      <c r="ATH184" s="239"/>
      <c r="ATI184" s="239"/>
      <c r="ATJ184" s="239"/>
      <c r="ATK184" s="239"/>
      <c r="ATL184" s="239"/>
      <c r="ATM184" s="239"/>
      <c r="ATN184" s="239"/>
      <c r="ATO184" s="239"/>
      <c r="ATP184" s="239"/>
      <c r="ATQ184" s="239"/>
      <c r="ATR184" s="239"/>
      <c r="ATS184" s="239"/>
      <c r="ATT184" s="239"/>
      <c r="ATU184" s="239"/>
      <c r="ATV184" s="239"/>
      <c r="ATW184" s="239"/>
      <c r="ATX184" s="239"/>
      <c r="ATY184" s="239"/>
      <c r="ATZ184" s="239"/>
      <c r="AUA184" s="239"/>
      <c r="AUB184" s="239"/>
      <c r="AUC184" s="239"/>
      <c r="AUD184" s="239"/>
      <c r="AUE184" s="239"/>
      <c r="AUF184" s="239"/>
      <c r="AUG184" s="239"/>
      <c r="AUH184" s="239"/>
      <c r="AUI184" s="239"/>
      <c r="AUJ184" s="239"/>
      <c r="AUK184" s="239"/>
      <c r="AUL184" s="239"/>
      <c r="AUM184" s="239"/>
      <c r="AUN184" s="239"/>
      <c r="AUO184" s="239"/>
      <c r="AUP184" s="239"/>
      <c r="AUQ184" s="239"/>
      <c r="AUR184" s="239"/>
      <c r="AUS184" s="239"/>
      <c r="AUT184" s="239"/>
      <c r="AUU184" s="239"/>
      <c r="AUV184" s="239"/>
      <c r="AUW184" s="239"/>
      <c r="AUX184" s="239"/>
      <c r="AUY184" s="239"/>
      <c r="AUZ184" s="239"/>
      <c r="AVA184" s="239"/>
      <c r="AVB184" s="239"/>
      <c r="AVC184" s="239"/>
      <c r="AVD184" s="239"/>
      <c r="AVE184" s="239"/>
      <c r="AVF184" s="239"/>
      <c r="AVG184" s="239"/>
      <c r="AVH184" s="239"/>
      <c r="AVI184" s="239"/>
      <c r="AVJ184" s="239"/>
      <c r="AVK184" s="239"/>
      <c r="AVL184" s="239"/>
      <c r="AVM184" s="239"/>
      <c r="AVN184" s="239"/>
      <c r="AVO184" s="239"/>
      <c r="AVP184" s="239"/>
      <c r="AVQ184" s="239"/>
      <c r="AVR184" s="239"/>
      <c r="AVS184" s="239"/>
      <c r="AVT184" s="239"/>
      <c r="AVU184" s="239"/>
      <c r="AVV184" s="239"/>
      <c r="AVW184" s="239"/>
      <c r="AVX184" s="239"/>
      <c r="AVY184" s="239"/>
      <c r="AVZ184" s="239"/>
      <c r="AWA184" s="239"/>
      <c r="AWB184" s="239"/>
      <c r="AWC184" s="239"/>
      <c r="AWD184" s="239"/>
      <c r="AWE184" s="239"/>
      <c r="AWF184" s="239"/>
      <c r="AWG184" s="239"/>
      <c r="AWH184" s="239"/>
      <c r="AWI184" s="239"/>
      <c r="AWJ184" s="239"/>
      <c r="AWK184" s="239"/>
      <c r="AWL184" s="239"/>
      <c r="AWM184" s="239"/>
      <c r="AWN184" s="239"/>
      <c r="AWO184" s="239"/>
      <c r="AWP184" s="239"/>
      <c r="AWQ184" s="239"/>
      <c r="AWR184" s="239"/>
      <c r="AWS184" s="239"/>
      <c r="AWT184" s="239"/>
      <c r="AWU184" s="239"/>
      <c r="AWV184" s="239"/>
      <c r="AWW184" s="239"/>
      <c r="AWX184" s="239"/>
      <c r="AWY184" s="239"/>
      <c r="AWZ184" s="239"/>
      <c r="AXA184" s="239"/>
      <c r="AXB184" s="239"/>
      <c r="AXC184" s="239"/>
      <c r="AXD184" s="239"/>
      <c r="AXE184" s="239"/>
      <c r="AXF184" s="239"/>
      <c r="AXG184" s="239"/>
      <c r="AXH184" s="239"/>
      <c r="AXI184" s="239"/>
      <c r="AXJ184" s="239"/>
      <c r="AXK184" s="239"/>
      <c r="AXL184" s="239"/>
      <c r="AXM184" s="239"/>
      <c r="AXN184" s="239"/>
      <c r="AXO184" s="239"/>
      <c r="AXP184" s="239"/>
      <c r="AXQ184" s="239"/>
      <c r="AXR184" s="239"/>
      <c r="AXS184" s="239"/>
      <c r="AXT184" s="239"/>
      <c r="AXU184" s="239"/>
      <c r="AXV184" s="239"/>
      <c r="AXW184" s="239"/>
      <c r="AXX184" s="239"/>
      <c r="AXY184" s="239"/>
      <c r="AXZ184" s="239"/>
      <c r="AYA184" s="239"/>
      <c r="AYB184" s="239"/>
      <c r="AYC184" s="239"/>
      <c r="AYD184" s="239"/>
      <c r="AYE184" s="239"/>
      <c r="AYF184" s="239"/>
      <c r="AYG184" s="239"/>
      <c r="AYH184" s="239"/>
      <c r="AYI184" s="239"/>
      <c r="AYJ184" s="239"/>
      <c r="AYK184" s="239"/>
      <c r="AYL184" s="239"/>
      <c r="AYM184" s="239"/>
      <c r="AYN184" s="239"/>
      <c r="AYO184" s="239"/>
      <c r="AYP184" s="239"/>
      <c r="AYQ184" s="239"/>
      <c r="AYR184" s="239"/>
      <c r="AYS184" s="239"/>
      <c r="AYT184" s="239"/>
      <c r="AYU184" s="239"/>
      <c r="AYV184" s="239"/>
      <c r="AYW184" s="239"/>
      <c r="AYX184" s="239"/>
      <c r="AYY184" s="239"/>
      <c r="AYZ184" s="239"/>
      <c r="AZA184" s="239"/>
      <c r="AZB184" s="239"/>
      <c r="AZC184" s="239"/>
      <c r="AZD184" s="239"/>
      <c r="AZE184" s="239"/>
      <c r="AZF184" s="239"/>
      <c r="AZG184" s="239"/>
      <c r="AZH184" s="239"/>
      <c r="AZI184" s="239"/>
      <c r="AZJ184" s="239"/>
      <c r="AZK184" s="239"/>
      <c r="AZL184" s="239"/>
      <c r="AZM184" s="239"/>
      <c r="AZN184" s="239"/>
      <c r="AZO184" s="239"/>
      <c r="AZP184" s="239"/>
      <c r="AZQ184" s="239"/>
      <c r="AZR184" s="239"/>
      <c r="AZS184" s="239"/>
      <c r="AZT184" s="239"/>
      <c r="AZU184" s="239"/>
      <c r="AZV184" s="239"/>
      <c r="AZW184" s="239"/>
      <c r="AZX184" s="239"/>
      <c r="AZY184" s="239"/>
      <c r="AZZ184" s="239"/>
      <c r="BAA184" s="239"/>
      <c r="BAB184" s="239"/>
      <c r="BAC184" s="239"/>
      <c r="BAD184" s="239"/>
      <c r="BAE184" s="239"/>
      <c r="BAF184" s="239"/>
      <c r="BAG184" s="239"/>
      <c r="BAH184" s="239"/>
      <c r="BAI184" s="239"/>
      <c r="BAJ184" s="239"/>
      <c r="BAK184" s="239"/>
      <c r="BAL184" s="239"/>
      <c r="BAM184" s="239"/>
      <c r="BAN184" s="239"/>
      <c r="BAO184" s="239"/>
      <c r="BAP184" s="239"/>
      <c r="BAQ184" s="239"/>
      <c r="BAR184" s="239"/>
      <c r="BAS184" s="239"/>
      <c r="BAT184" s="239"/>
      <c r="BAU184" s="239"/>
      <c r="BAV184" s="239"/>
      <c r="BAW184" s="239"/>
      <c r="BAX184" s="239"/>
      <c r="BAY184" s="239"/>
      <c r="BAZ184" s="239"/>
      <c r="BBA184" s="239"/>
      <c r="BBB184" s="239"/>
      <c r="BBC184" s="239"/>
      <c r="BBD184" s="239"/>
      <c r="BBE184" s="239"/>
      <c r="BBF184" s="239"/>
      <c r="BBG184" s="239"/>
      <c r="BBH184" s="239"/>
      <c r="BBI184" s="239"/>
      <c r="BBJ184" s="239"/>
      <c r="BBK184" s="239"/>
      <c r="BBL184" s="239"/>
      <c r="BBM184" s="239"/>
      <c r="BBN184" s="239"/>
      <c r="BBO184" s="239"/>
      <c r="BBP184" s="239"/>
      <c r="BBQ184" s="239"/>
      <c r="BBR184" s="239"/>
      <c r="BBS184" s="239"/>
      <c r="BBT184" s="239"/>
      <c r="BBU184" s="239"/>
      <c r="BBV184" s="239"/>
      <c r="BBW184" s="239"/>
      <c r="BBX184" s="239"/>
      <c r="BBY184" s="239"/>
      <c r="BBZ184" s="239"/>
      <c r="BCA184" s="239"/>
      <c r="BCB184" s="239"/>
      <c r="BCC184" s="239"/>
      <c r="BCD184" s="239"/>
      <c r="BCE184" s="239"/>
      <c r="BCF184" s="239"/>
      <c r="BCG184" s="239"/>
      <c r="BCH184" s="239"/>
      <c r="BCI184" s="239"/>
      <c r="BCJ184" s="239"/>
      <c r="BCK184" s="239"/>
      <c r="BCL184" s="239"/>
      <c r="BCM184" s="239"/>
      <c r="BCN184" s="239"/>
      <c r="BCO184" s="239"/>
      <c r="BCP184" s="239"/>
      <c r="BCQ184" s="239"/>
      <c r="BCR184" s="239"/>
      <c r="BCS184" s="239"/>
      <c r="BCT184" s="239"/>
      <c r="BCU184" s="239"/>
      <c r="BCV184" s="239"/>
      <c r="BCW184" s="239"/>
      <c r="BCX184" s="239"/>
      <c r="BCY184" s="239"/>
      <c r="BCZ184" s="239"/>
      <c r="BDA184" s="239"/>
      <c r="BDB184" s="239"/>
      <c r="BDC184" s="239"/>
      <c r="BDD184" s="239"/>
      <c r="BDE184" s="239"/>
      <c r="BDF184" s="239"/>
      <c r="BDG184" s="239"/>
      <c r="BDH184" s="239"/>
      <c r="BDI184" s="239"/>
      <c r="BDJ184" s="239"/>
      <c r="BDK184" s="239"/>
      <c r="BDL184" s="239"/>
      <c r="BDM184" s="239"/>
      <c r="BDN184" s="239"/>
      <c r="BDO184" s="239"/>
      <c r="BDP184" s="239"/>
      <c r="BDQ184" s="239"/>
      <c r="BDR184" s="239"/>
      <c r="BDS184" s="239"/>
      <c r="BDT184" s="239"/>
      <c r="BDU184" s="239"/>
      <c r="BDV184" s="239"/>
      <c r="BDW184" s="239"/>
      <c r="BDX184" s="239"/>
      <c r="BDY184" s="239"/>
      <c r="BDZ184" s="239"/>
      <c r="BEA184" s="239"/>
      <c r="BEB184" s="239"/>
      <c r="BEC184" s="239"/>
      <c r="BED184" s="239"/>
      <c r="BEE184" s="239"/>
      <c r="BEF184" s="239"/>
      <c r="BEG184" s="239"/>
      <c r="BEH184" s="239"/>
      <c r="BEI184" s="239"/>
      <c r="BEJ184" s="239"/>
      <c r="BEK184" s="239"/>
      <c r="BEL184" s="239"/>
      <c r="BEM184" s="239"/>
      <c r="BEN184" s="239"/>
      <c r="BEO184" s="239"/>
      <c r="BEP184" s="239"/>
      <c r="BEQ184" s="239"/>
      <c r="BER184" s="239"/>
      <c r="BES184" s="239"/>
      <c r="BET184" s="239"/>
      <c r="BEU184" s="239"/>
      <c r="BEV184" s="239"/>
      <c r="BEW184" s="239"/>
      <c r="BEX184" s="239"/>
      <c r="BEY184" s="239"/>
      <c r="BEZ184" s="239"/>
      <c r="BFA184" s="239"/>
      <c r="BFB184" s="239"/>
      <c r="BFC184" s="239"/>
      <c r="BFD184" s="239"/>
      <c r="BFE184" s="239"/>
      <c r="BFF184" s="239"/>
      <c r="BFG184" s="239"/>
      <c r="BFH184" s="239"/>
      <c r="BFI184" s="239"/>
      <c r="BFJ184" s="239"/>
      <c r="BFK184" s="239"/>
      <c r="BFL184" s="239"/>
      <c r="BFM184" s="239"/>
      <c r="BFN184" s="239"/>
      <c r="BFO184" s="239"/>
      <c r="BFP184" s="239"/>
      <c r="BFQ184" s="239"/>
      <c r="BFR184" s="239"/>
      <c r="BFS184" s="239"/>
      <c r="BFT184" s="239"/>
      <c r="BFU184" s="239"/>
      <c r="BFV184" s="239"/>
      <c r="BFW184" s="239"/>
      <c r="BFX184" s="239"/>
      <c r="BFY184" s="239"/>
      <c r="BFZ184" s="239"/>
      <c r="BGA184" s="239"/>
      <c r="BGB184" s="239"/>
      <c r="BGC184" s="239"/>
      <c r="BGD184" s="239"/>
      <c r="BGE184" s="239"/>
      <c r="BGF184" s="239"/>
      <c r="BGG184" s="239"/>
      <c r="BGH184" s="239"/>
      <c r="BGI184" s="239"/>
      <c r="BGJ184" s="239"/>
      <c r="BGK184" s="239"/>
      <c r="BGL184" s="239"/>
      <c r="BGM184" s="239"/>
      <c r="BGN184" s="239"/>
      <c r="BGO184" s="239"/>
      <c r="BGP184" s="239"/>
      <c r="BGQ184" s="239"/>
      <c r="BGR184" s="239"/>
      <c r="BGS184" s="239"/>
      <c r="BGT184" s="239"/>
      <c r="BGU184" s="239"/>
      <c r="BGV184" s="239"/>
      <c r="BGW184" s="239"/>
      <c r="BGX184" s="239"/>
      <c r="BGY184" s="239"/>
      <c r="BGZ184" s="239"/>
      <c r="BHA184" s="239"/>
      <c r="BHB184" s="239"/>
      <c r="BHC184" s="239"/>
      <c r="BHD184" s="239"/>
      <c r="BHE184" s="239"/>
      <c r="BHF184" s="239"/>
      <c r="BHG184" s="239"/>
      <c r="BHH184" s="239"/>
      <c r="BHI184" s="239"/>
      <c r="BHJ184" s="239"/>
      <c r="BHK184" s="239"/>
      <c r="BHL184" s="239"/>
      <c r="BHM184" s="239"/>
      <c r="BHN184" s="239"/>
      <c r="BHO184" s="239"/>
      <c r="BHP184" s="239"/>
      <c r="BHQ184" s="239"/>
      <c r="BHR184" s="239"/>
      <c r="BHS184" s="239"/>
      <c r="BHT184" s="239"/>
      <c r="BHU184" s="239"/>
      <c r="BHV184" s="239"/>
      <c r="BHW184" s="239"/>
      <c r="BHX184" s="239"/>
      <c r="BHY184" s="239"/>
      <c r="BHZ184" s="239"/>
      <c r="BIA184" s="239"/>
      <c r="BIB184" s="239"/>
      <c r="BIC184" s="239"/>
      <c r="BID184" s="239"/>
      <c r="BIE184" s="239"/>
      <c r="BIF184" s="239"/>
      <c r="BIG184" s="239"/>
      <c r="BIH184" s="239"/>
      <c r="BII184" s="239"/>
      <c r="BIJ184" s="239"/>
      <c r="BIK184" s="239"/>
      <c r="BIL184" s="239"/>
      <c r="BIM184" s="239"/>
      <c r="BIN184" s="239"/>
      <c r="BIO184" s="239"/>
      <c r="BIP184" s="239"/>
      <c r="BIQ184" s="239"/>
      <c r="BIR184" s="239"/>
      <c r="BIS184" s="239"/>
      <c r="BIT184" s="239"/>
      <c r="BIU184" s="239"/>
      <c r="BIV184" s="239"/>
      <c r="BIW184" s="239"/>
      <c r="BIX184" s="239"/>
      <c r="BIY184" s="239"/>
      <c r="BIZ184" s="239"/>
      <c r="BJA184" s="239"/>
      <c r="BJB184" s="239"/>
      <c r="BJC184" s="239"/>
      <c r="BJD184" s="239"/>
      <c r="BJE184" s="239"/>
      <c r="BJF184" s="239"/>
      <c r="BJG184" s="239"/>
      <c r="BJH184" s="239"/>
      <c r="BJI184" s="239"/>
      <c r="BJJ184" s="239"/>
      <c r="BJK184" s="239"/>
      <c r="BJL184" s="239"/>
      <c r="BJM184" s="239"/>
      <c r="BJN184" s="239"/>
      <c r="BJO184" s="239"/>
      <c r="BJP184" s="239"/>
      <c r="BJQ184" s="239"/>
      <c r="BJR184" s="239"/>
      <c r="BJS184" s="239"/>
      <c r="BJT184" s="239"/>
      <c r="BJU184" s="239"/>
      <c r="BJV184" s="239"/>
      <c r="BJW184" s="239"/>
      <c r="BJX184" s="239"/>
      <c r="BJY184" s="239"/>
      <c r="BJZ184" s="239"/>
      <c r="BKA184" s="239"/>
      <c r="BKB184" s="239"/>
      <c r="BKC184" s="239"/>
      <c r="BKD184" s="239"/>
      <c r="BKE184" s="239"/>
      <c r="BKF184" s="239"/>
      <c r="BKG184" s="239"/>
      <c r="BKH184" s="239"/>
      <c r="BKI184" s="239"/>
      <c r="BKJ184" s="239"/>
      <c r="BKK184" s="239"/>
      <c r="BKL184" s="239"/>
      <c r="BKM184" s="239"/>
      <c r="BKN184" s="239"/>
      <c r="BKO184" s="239"/>
      <c r="BKP184" s="239"/>
      <c r="BKQ184" s="239"/>
      <c r="BKR184" s="239"/>
      <c r="BKS184" s="239"/>
      <c r="BKT184" s="239"/>
      <c r="BKU184" s="239"/>
      <c r="BKV184" s="239"/>
      <c r="BKW184" s="239"/>
      <c r="BKX184" s="239"/>
      <c r="BKY184" s="239"/>
      <c r="BKZ184" s="239"/>
      <c r="BLA184" s="239"/>
      <c r="BLB184" s="239"/>
      <c r="BLC184" s="239"/>
      <c r="BLD184" s="239"/>
      <c r="BLE184" s="239"/>
      <c r="BLF184" s="239"/>
      <c r="BLG184" s="239"/>
      <c r="BLH184" s="239"/>
      <c r="BLI184" s="239"/>
      <c r="BLJ184" s="239"/>
      <c r="BLK184" s="239"/>
      <c r="BLL184" s="239"/>
      <c r="BLM184" s="239"/>
      <c r="BLN184" s="239"/>
      <c r="BLO184" s="239"/>
      <c r="BLP184" s="239"/>
      <c r="BLQ184" s="239"/>
      <c r="BLR184" s="239"/>
      <c r="BLS184" s="239"/>
      <c r="BLT184" s="239"/>
      <c r="BLU184" s="239"/>
      <c r="BLV184" s="239"/>
      <c r="BLW184" s="239"/>
      <c r="BLX184" s="239"/>
      <c r="BLY184" s="239"/>
      <c r="BLZ184" s="239"/>
      <c r="BMA184" s="239"/>
      <c r="BMB184" s="239"/>
      <c r="BMC184" s="239"/>
      <c r="BMD184" s="239"/>
      <c r="BME184" s="239"/>
      <c r="BMF184" s="239"/>
      <c r="BMG184" s="239"/>
      <c r="BMH184" s="239"/>
      <c r="BMI184" s="239"/>
      <c r="BMJ184" s="239"/>
      <c r="BMK184" s="239"/>
      <c r="BML184" s="239"/>
      <c r="BMM184" s="239"/>
      <c r="BMN184" s="239"/>
      <c r="BMO184" s="239"/>
      <c r="BMP184" s="239"/>
      <c r="BMQ184" s="239"/>
      <c r="BMR184" s="239"/>
      <c r="BMS184" s="239"/>
      <c r="BMT184" s="239"/>
      <c r="BMU184" s="239"/>
      <c r="BMV184" s="239"/>
      <c r="BMW184" s="239"/>
      <c r="BMX184" s="239"/>
      <c r="BMY184" s="239"/>
      <c r="BMZ184" s="239"/>
      <c r="BNA184" s="239"/>
      <c r="BNB184" s="239"/>
      <c r="BNC184" s="239"/>
      <c r="BND184" s="239"/>
      <c r="BNE184" s="239"/>
      <c r="BNF184" s="239"/>
      <c r="BNG184" s="239"/>
      <c r="BNH184" s="239"/>
      <c r="BNI184" s="239"/>
      <c r="BNJ184" s="239"/>
      <c r="BNK184" s="239"/>
      <c r="BNL184" s="239"/>
      <c r="BNM184" s="239"/>
      <c r="BNN184" s="239"/>
      <c r="BNO184" s="239"/>
      <c r="BNP184" s="239"/>
      <c r="BNQ184" s="239"/>
      <c r="BNR184" s="239"/>
      <c r="BNS184" s="239"/>
      <c r="BNT184" s="239"/>
      <c r="BNU184" s="239"/>
      <c r="BNV184" s="239"/>
      <c r="BNW184" s="239"/>
      <c r="BNX184" s="239"/>
      <c r="BNY184" s="239"/>
      <c r="BNZ184" s="239"/>
      <c r="BOA184" s="239"/>
      <c r="BOB184" s="239"/>
      <c r="BOC184" s="239"/>
      <c r="BOD184" s="239"/>
      <c r="BOE184" s="239"/>
      <c r="BOF184" s="239"/>
      <c r="BOG184" s="239"/>
      <c r="BOH184" s="239"/>
      <c r="BOI184" s="239"/>
      <c r="BOJ184" s="239"/>
      <c r="BOK184" s="239"/>
      <c r="BOL184" s="239"/>
      <c r="BOM184" s="239"/>
      <c r="BON184" s="239"/>
      <c r="BOO184" s="239"/>
      <c r="BOP184" s="239"/>
      <c r="BOQ184" s="239"/>
      <c r="BOR184" s="239"/>
      <c r="BOS184" s="239"/>
      <c r="BOT184" s="239"/>
      <c r="BOU184" s="239"/>
      <c r="BOV184" s="239"/>
      <c r="BOW184" s="239"/>
      <c r="BOX184" s="239"/>
      <c r="BOY184" s="239"/>
      <c r="BOZ184" s="239"/>
      <c r="BPA184" s="239"/>
      <c r="BPB184" s="239"/>
      <c r="BPC184" s="239"/>
      <c r="BPD184" s="239"/>
      <c r="BPE184" s="239"/>
      <c r="BPF184" s="239"/>
      <c r="BPG184" s="239"/>
      <c r="BPH184" s="239"/>
      <c r="BPI184" s="239"/>
      <c r="BPJ184" s="239"/>
      <c r="BPK184" s="239"/>
      <c r="BPL184" s="239"/>
      <c r="BPM184" s="239"/>
      <c r="BPN184" s="239"/>
      <c r="BPO184" s="239"/>
      <c r="BPP184" s="239"/>
      <c r="BPQ184" s="239"/>
      <c r="BPR184" s="239"/>
      <c r="BPS184" s="239"/>
      <c r="BPT184" s="239"/>
      <c r="BPU184" s="239"/>
      <c r="BPV184" s="239"/>
      <c r="BPW184" s="239"/>
      <c r="BPX184" s="239"/>
      <c r="BPY184" s="239"/>
      <c r="BPZ184" s="239"/>
      <c r="BQA184" s="239"/>
      <c r="BQB184" s="239"/>
      <c r="BQC184" s="239"/>
      <c r="BQD184" s="239"/>
      <c r="BQE184" s="239"/>
      <c r="BQF184" s="239"/>
      <c r="BQG184" s="239"/>
      <c r="BQH184" s="239"/>
      <c r="BQI184" s="239"/>
      <c r="BQJ184" s="239"/>
      <c r="BQK184" s="239"/>
      <c r="BQL184" s="239"/>
      <c r="BQM184" s="239"/>
      <c r="BQN184" s="239"/>
      <c r="BQO184" s="239"/>
      <c r="BQP184" s="239"/>
      <c r="BQQ184" s="239"/>
      <c r="BQR184" s="239"/>
      <c r="BQS184" s="239"/>
      <c r="BQT184" s="239"/>
      <c r="BQU184" s="239"/>
      <c r="BQV184" s="239"/>
      <c r="BQW184" s="239"/>
      <c r="BQX184" s="239"/>
      <c r="BQY184" s="239"/>
      <c r="BQZ184" s="239"/>
      <c r="BRA184" s="239"/>
      <c r="BRB184" s="239"/>
      <c r="BRC184" s="239"/>
      <c r="BRD184" s="239"/>
      <c r="BRE184" s="239"/>
      <c r="BRF184" s="239"/>
      <c r="BRG184" s="239"/>
      <c r="BRH184" s="239"/>
      <c r="BRI184" s="239"/>
      <c r="BRJ184" s="239"/>
      <c r="BRK184" s="239"/>
      <c r="BRL184" s="239"/>
      <c r="BRM184" s="239"/>
      <c r="BRN184" s="239"/>
      <c r="BRO184" s="239"/>
      <c r="BRP184" s="239"/>
      <c r="BRQ184" s="239"/>
      <c r="BRR184" s="239"/>
      <c r="BRS184" s="239"/>
      <c r="BRT184" s="239"/>
      <c r="BRU184" s="239"/>
      <c r="BRV184" s="239"/>
      <c r="BRW184" s="239"/>
      <c r="BRX184" s="239"/>
      <c r="BRY184" s="239"/>
      <c r="BRZ184" s="239"/>
      <c r="BSA184" s="239"/>
      <c r="BSB184" s="239"/>
      <c r="BSC184" s="239"/>
      <c r="BSD184" s="239"/>
      <c r="BSE184" s="239"/>
      <c r="BSF184" s="239"/>
      <c r="BSG184" s="239"/>
      <c r="BSH184" s="239"/>
      <c r="BSI184" s="239"/>
      <c r="BSJ184" s="239"/>
      <c r="BSK184" s="239"/>
      <c r="BSL184" s="239"/>
      <c r="BSM184" s="239"/>
      <c r="BSN184" s="239"/>
      <c r="BSO184" s="239"/>
      <c r="BSP184" s="239"/>
      <c r="BSQ184" s="239"/>
      <c r="BSR184" s="239"/>
      <c r="BSS184" s="239"/>
      <c r="BST184" s="239"/>
      <c r="BSU184" s="239"/>
      <c r="BSV184" s="239"/>
      <c r="BSW184" s="239"/>
      <c r="BSX184" s="239"/>
      <c r="BSY184" s="239"/>
      <c r="BSZ184" s="239"/>
      <c r="BTA184" s="239"/>
      <c r="BTB184" s="239"/>
      <c r="BTC184" s="239"/>
      <c r="BTD184" s="239"/>
      <c r="BTE184" s="239"/>
      <c r="BTF184" s="239"/>
      <c r="BTG184" s="239"/>
      <c r="BTH184" s="239"/>
      <c r="BTI184" s="239"/>
      <c r="BTJ184" s="239"/>
      <c r="BTK184" s="239"/>
      <c r="BTL184" s="239"/>
      <c r="BTM184" s="239"/>
      <c r="BTN184" s="239"/>
      <c r="BTO184" s="239"/>
      <c r="BTP184" s="239"/>
      <c r="BTQ184" s="239"/>
      <c r="BTR184" s="239"/>
      <c r="BTS184" s="239"/>
      <c r="BTT184" s="239"/>
      <c r="BTU184" s="239"/>
      <c r="BTV184" s="239"/>
      <c r="BTW184" s="239"/>
      <c r="BTX184" s="239"/>
      <c r="BTY184" s="239"/>
      <c r="BTZ184" s="239"/>
      <c r="BUA184" s="239"/>
      <c r="BUB184" s="239"/>
      <c r="BUC184" s="239"/>
      <c r="BUD184" s="239"/>
      <c r="BUE184" s="239"/>
      <c r="BUF184" s="239"/>
      <c r="BUG184" s="239"/>
      <c r="BUH184" s="239"/>
      <c r="BUI184" s="239"/>
      <c r="BUJ184" s="239"/>
      <c r="BUK184" s="239"/>
      <c r="BUL184" s="239"/>
      <c r="BUM184" s="239"/>
      <c r="BUN184" s="239"/>
      <c r="BUO184" s="239"/>
      <c r="BUP184" s="239"/>
      <c r="BUQ184" s="239"/>
      <c r="BUR184" s="239"/>
      <c r="BUS184" s="239"/>
      <c r="BUT184" s="239"/>
      <c r="BUU184" s="239"/>
      <c r="BUV184" s="239"/>
      <c r="BUW184" s="239"/>
      <c r="BUX184" s="239"/>
      <c r="BUY184" s="239"/>
      <c r="BUZ184" s="239"/>
      <c r="BVA184" s="239"/>
      <c r="BVB184" s="239"/>
      <c r="BVC184" s="239"/>
      <c r="BVD184" s="239"/>
      <c r="BVE184" s="239"/>
      <c r="BVF184" s="239"/>
      <c r="BVG184" s="239"/>
      <c r="BVH184" s="239"/>
      <c r="BVI184" s="239"/>
      <c r="BVJ184" s="239"/>
      <c r="BVK184" s="239"/>
      <c r="BVL184" s="239"/>
      <c r="BVM184" s="239"/>
      <c r="BVN184" s="239"/>
      <c r="BVO184" s="239"/>
      <c r="BVP184" s="239"/>
      <c r="BVQ184" s="239"/>
      <c r="BVR184" s="239"/>
      <c r="BVS184" s="239"/>
      <c r="BVT184" s="239"/>
      <c r="BVU184" s="239"/>
      <c r="BVV184" s="239"/>
      <c r="BVW184" s="239"/>
      <c r="BVX184" s="239"/>
      <c r="BVY184" s="239"/>
      <c r="BVZ184" s="239"/>
      <c r="BWA184" s="239"/>
      <c r="BWB184" s="239"/>
      <c r="BWC184" s="239"/>
      <c r="BWD184" s="239"/>
      <c r="BWE184" s="239"/>
      <c r="BWF184" s="239"/>
      <c r="BWG184" s="239"/>
      <c r="BWH184" s="239"/>
      <c r="BWI184" s="239"/>
      <c r="BWJ184" s="239"/>
      <c r="BWK184" s="239"/>
      <c r="BWL184" s="239"/>
      <c r="BWM184" s="239"/>
      <c r="BWN184" s="239"/>
      <c r="BWO184" s="239"/>
      <c r="BWP184" s="239"/>
      <c r="BWQ184" s="239"/>
      <c r="BWR184" s="239"/>
      <c r="BWS184" s="239"/>
      <c r="BWT184" s="239"/>
      <c r="BWU184" s="239"/>
      <c r="BWV184" s="239"/>
      <c r="BWW184" s="239"/>
      <c r="BWX184" s="239"/>
      <c r="BWY184" s="239"/>
      <c r="BWZ184" s="239"/>
      <c r="BXA184" s="239"/>
      <c r="BXB184" s="239"/>
      <c r="BXC184" s="239"/>
      <c r="BXD184" s="239"/>
      <c r="BXE184" s="239"/>
      <c r="BXF184" s="239"/>
      <c r="BXG184" s="239"/>
      <c r="BXH184" s="239"/>
      <c r="BXI184" s="239"/>
      <c r="BXJ184" s="239"/>
      <c r="BXK184" s="239"/>
      <c r="BXL184" s="239"/>
      <c r="BXM184" s="239"/>
      <c r="BXN184" s="239"/>
      <c r="BXO184" s="239"/>
      <c r="BXP184" s="239"/>
      <c r="BXQ184" s="239"/>
      <c r="BXR184" s="239"/>
      <c r="BXS184" s="239"/>
      <c r="BXT184" s="239"/>
      <c r="BXU184" s="239"/>
      <c r="BXV184" s="239"/>
      <c r="BXW184" s="239"/>
      <c r="BXX184" s="239"/>
      <c r="BXY184" s="239"/>
      <c r="BXZ184" s="239"/>
      <c r="BYA184" s="239"/>
      <c r="BYB184" s="239"/>
      <c r="BYC184" s="239"/>
      <c r="BYD184" s="239"/>
      <c r="BYE184" s="239"/>
      <c r="BYF184" s="239"/>
      <c r="BYG184" s="239"/>
      <c r="BYH184" s="239"/>
      <c r="BYI184" s="239"/>
      <c r="BYJ184" s="239"/>
      <c r="BYK184" s="239"/>
      <c r="BYL184" s="239"/>
      <c r="BYM184" s="239"/>
      <c r="BYN184" s="239"/>
      <c r="BYO184" s="239"/>
      <c r="BYP184" s="239"/>
      <c r="BYQ184" s="239"/>
      <c r="BYR184" s="239"/>
      <c r="BYS184" s="239"/>
      <c r="BYT184" s="239"/>
      <c r="BYU184" s="239"/>
      <c r="BYV184" s="239"/>
      <c r="BYW184" s="239"/>
      <c r="BYX184" s="239"/>
      <c r="BYY184" s="239"/>
      <c r="BYZ184" s="239"/>
      <c r="BZA184" s="239"/>
      <c r="BZB184" s="239"/>
      <c r="BZC184" s="239"/>
      <c r="BZD184" s="239"/>
      <c r="BZE184" s="239"/>
      <c r="BZF184" s="239"/>
      <c r="BZG184" s="239"/>
      <c r="BZH184" s="239"/>
      <c r="BZI184" s="239"/>
      <c r="BZJ184" s="239"/>
      <c r="BZK184" s="239"/>
      <c r="BZL184" s="239"/>
      <c r="BZM184" s="239"/>
      <c r="BZN184" s="239"/>
      <c r="BZO184" s="239"/>
      <c r="BZP184" s="239"/>
      <c r="BZQ184" s="239"/>
      <c r="BZR184" s="239"/>
      <c r="BZS184" s="239"/>
      <c r="BZT184" s="239"/>
      <c r="BZU184" s="239"/>
      <c r="BZV184" s="239"/>
      <c r="BZW184" s="239"/>
      <c r="BZX184" s="239"/>
      <c r="BZY184" s="239"/>
      <c r="BZZ184" s="239"/>
      <c r="CAA184" s="239"/>
      <c r="CAB184" s="239"/>
      <c r="CAC184" s="239"/>
      <c r="CAD184" s="239"/>
      <c r="CAE184" s="239"/>
      <c r="CAF184" s="239"/>
      <c r="CAG184" s="239"/>
      <c r="CAH184" s="239"/>
      <c r="CAI184" s="239"/>
      <c r="CAJ184" s="239"/>
      <c r="CAK184" s="239"/>
      <c r="CAL184" s="239"/>
      <c r="CAM184" s="239"/>
      <c r="CAN184" s="239"/>
      <c r="CAO184" s="239"/>
      <c r="CAP184" s="239"/>
      <c r="CAQ184" s="239"/>
      <c r="CAR184" s="239"/>
      <c r="CAS184" s="239"/>
      <c r="CAT184" s="239"/>
      <c r="CAU184" s="239"/>
      <c r="CAV184" s="239"/>
      <c r="CAW184" s="239"/>
      <c r="CAX184" s="239"/>
      <c r="CAY184" s="239"/>
      <c r="CAZ184" s="239"/>
      <c r="CBA184" s="239"/>
      <c r="CBB184" s="239"/>
      <c r="CBC184" s="239"/>
      <c r="CBD184" s="239"/>
      <c r="CBE184" s="239"/>
      <c r="CBF184" s="239"/>
      <c r="CBG184" s="239"/>
      <c r="CBH184" s="239"/>
      <c r="CBI184" s="239"/>
      <c r="CBJ184" s="239"/>
      <c r="CBK184" s="239"/>
      <c r="CBL184" s="239"/>
      <c r="CBM184" s="239"/>
      <c r="CBN184" s="239"/>
      <c r="CBO184" s="239"/>
      <c r="CBP184" s="239"/>
      <c r="CBQ184" s="239"/>
      <c r="CBR184" s="239"/>
      <c r="CBS184" s="239"/>
      <c r="CBT184" s="239"/>
      <c r="CBU184" s="239"/>
      <c r="CBV184" s="239"/>
      <c r="CBW184" s="239"/>
      <c r="CBX184" s="239"/>
      <c r="CBY184" s="239"/>
      <c r="CBZ184" s="239"/>
      <c r="CCA184" s="239"/>
      <c r="CCB184" s="239"/>
      <c r="CCC184" s="239"/>
      <c r="CCD184" s="239"/>
      <c r="CCE184" s="239"/>
      <c r="CCF184" s="239"/>
      <c r="CCG184" s="239"/>
      <c r="CCH184" s="239"/>
      <c r="CCI184" s="239"/>
      <c r="CCJ184" s="239"/>
      <c r="CCK184" s="239"/>
      <c r="CCL184" s="239"/>
      <c r="CCM184" s="239"/>
      <c r="CCN184" s="239"/>
      <c r="CCO184" s="239"/>
      <c r="CCP184" s="239"/>
      <c r="CCQ184" s="239"/>
      <c r="CCR184" s="239"/>
      <c r="CCS184" s="239"/>
      <c r="CCT184" s="239"/>
      <c r="CCU184" s="239"/>
      <c r="CCV184" s="239"/>
      <c r="CCW184" s="239"/>
      <c r="CCX184" s="239"/>
      <c r="CCY184" s="239"/>
      <c r="CCZ184" s="239"/>
      <c r="CDA184" s="239"/>
      <c r="CDB184" s="239"/>
      <c r="CDC184" s="239"/>
      <c r="CDD184" s="239"/>
      <c r="CDE184" s="239"/>
      <c r="CDF184" s="239"/>
      <c r="CDG184" s="239"/>
      <c r="CDH184" s="239"/>
      <c r="CDI184" s="239"/>
      <c r="CDJ184" s="239"/>
      <c r="CDK184" s="239"/>
      <c r="CDL184" s="239"/>
      <c r="CDM184" s="239"/>
      <c r="CDN184" s="239"/>
      <c r="CDO184" s="239"/>
      <c r="CDP184" s="239"/>
      <c r="CDQ184" s="239"/>
      <c r="CDR184" s="239"/>
      <c r="CDS184" s="239"/>
      <c r="CDT184" s="239"/>
      <c r="CDU184" s="239"/>
      <c r="CDV184" s="239"/>
      <c r="CDW184" s="239"/>
      <c r="CDX184" s="239"/>
      <c r="CDY184" s="239"/>
      <c r="CDZ184" s="239"/>
      <c r="CEA184" s="239"/>
      <c r="CEB184" s="239"/>
      <c r="CEC184" s="239"/>
      <c r="CED184" s="239"/>
      <c r="CEE184" s="239"/>
      <c r="CEF184" s="239"/>
      <c r="CEG184" s="239"/>
      <c r="CEH184" s="239"/>
      <c r="CEI184" s="239"/>
      <c r="CEJ184" s="239"/>
      <c r="CEK184" s="239"/>
      <c r="CEL184" s="239"/>
      <c r="CEM184" s="239"/>
      <c r="CEN184" s="239"/>
      <c r="CEO184" s="239"/>
      <c r="CEP184" s="239"/>
      <c r="CEQ184" s="239"/>
      <c r="CER184" s="239"/>
      <c r="CES184" s="239"/>
      <c r="CET184" s="239"/>
      <c r="CEU184" s="239"/>
      <c r="CEV184" s="239"/>
      <c r="CEW184" s="239"/>
      <c r="CEX184" s="239"/>
      <c r="CEY184" s="239"/>
      <c r="CEZ184" s="239"/>
      <c r="CFA184" s="239"/>
      <c r="CFB184" s="239"/>
      <c r="CFC184" s="239"/>
      <c r="CFD184" s="239"/>
      <c r="CFE184" s="239"/>
      <c r="CFF184" s="239"/>
      <c r="CFG184" s="239"/>
      <c r="CFH184" s="239"/>
      <c r="CFI184" s="239"/>
      <c r="CFJ184" s="239"/>
      <c r="CFK184" s="239"/>
      <c r="CFL184" s="239"/>
      <c r="CFM184" s="239"/>
      <c r="CFN184" s="239"/>
      <c r="CFO184" s="239"/>
      <c r="CFP184" s="239"/>
      <c r="CFQ184" s="239"/>
      <c r="CFR184" s="239"/>
      <c r="CFS184" s="239"/>
      <c r="CFT184" s="239"/>
      <c r="CFU184" s="239"/>
      <c r="CFV184" s="239"/>
      <c r="CFW184" s="239"/>
      <c r="CFX184" s="239"/>
      <c r="CFY184" s="239"/>
      <c r="CFZ184" s="239"/>
      <c r="CGA184" s="239"/>
      <c r="CGB184" s="239"/>
      <c r="CGC184" s="239"/>
      <c r="CGD184" s="239"/>
      <c r="CGE184" s="239"/>
      <c r="CGF184" s="239"/>
      <c r="CGG184" s="239"/>
      <c r="CGH184" s="239"/>
      <c r="CGI184" s="239"/>
      <c r="CGJ184" s="239"/>
      <c r="CGK184" s="239"/>
      <c r="CGL184" s="239"/>
      <c r="CGM184" s="239"/>
      <c r="CGN184" s="239"/>
      <c r="CGO184" s="239"/>
      <c r="CGP184" s="239"/>
      <c r="CGQ184" s="239"/>
      <c r="CGR184" s="239"/>
      <c r="CGS184" s="239"/>
      <c r="CGT184" s="239"/>
      <c r="CGU184" s="239"/>
      <c r="CGV184" s="239"/>
      <c r="CGW184" s="239"/>
      <c r="CGX184" s="239"/>
      <c r="CGY184" s="239"/>
      <c r="CGZ184" s="239"/>
      <c r="CHA184" s="239"/>
      <c r="CHB184" s="239"/>
      <c r="CHC184" s="239"/>
      <c r="CHD184" s="239"/>
      <c r="CHE184" s="239"/>
      <c r="CHF184" s="239"/>
      <c r="CHG184" s="239"/>
      <c r="CHH184" s="239"/>
      <c r="CHI184" s="239"/>
      <c r="CHJ184" s="239"/>
      <c r="CHK184" s="239"/>
      <c r="CHL184" s="239"/>
      <c r="CHM184" s="239"/>
      <c r="CHN184" s="239"/>
      <c r="CHO184" s="239"/>
      <c r="CHP184" s="239"/>
      <c r="CHQ184" s="239"/>
      <c r="CHR184" s="239"/>
      <c r="CHS184" s="239"/>
      <c r="CHT184" s="239"/>
      <c r="CHU184" s="239"/>
      <c r="CHV184" s="239"/>
      <c r="CHW184" s="239"/>
      <c r="CHX184" s="239"/>
      <c r="CHY184" s="239"/>
      <c r="CHZ184" s="239"/>
      <c r="CIA184" s="239"/>
      <c r="CIB184" s="239"/>
      <c r="CIC184" s="239"/>
      <c r="CID184" s="239"/>
      <c r="CIE184" s="239"/>
      <c r="CIF184" s="239"/>
      <c r="CIG184" s="239"/>
      <c r="CIH184" s="239"/>
      <c r="CII184" s="239"/>
      <c r="CIJ184" s="239"/>
      <c r="CIK184" s="239"/>
      <c r="CIL184" s="239"/>
      <c r="CIM184" s="239"/>
      <c r="CIN184" s="239"/>
      <c r="CIO184" s="239"/>
      <c r="CIP184" s="239"/>
      <c r="CIQ184" s="239"/>
      <c r="CIR184" s="239"/>
      <c r="CIS184" s="239"/>
      <c r="CIT184" s="239"/>
      <c r="CIU184" s="239"/>
      <c r="CIV184" s="239"/>
      <c r="CIW184" s="239"/>
      <c r="CIX184" s="239"/>
      <c r="CIY184" s="239"/>
      <c r="CIZ184" s="239"/>
      <c r="CJA184" s="239"/>
      <c r="CJB184" s="239"/>
      <c r="CJC184" s="239"/>
      <c r="CJD184" s="239"/>
      <c r="CJE184" s="239"/>
      <c r="CJF184" s="239"/>
      <c r="CJG184" s="239"/>
      <c r="CJH184" s="239"/>
      <c r="CJI184" s="239"/>
      <c r="CJJ184" s="239"/>
      <c r="CJK184" s="239"/>
      <c r="CJL184" s="239"/>
      <c r="CJM184" s="239"/>
      <c r="CJN184" s="239"/>
      <c r="CJO184" s="239"/>
      <c r="CJP184" s="239"/>
      <c r="CJQ184" s="239"/>
      <c r="CJR184" s="239"/>
      <c r="CJS184" s="239"/>
      <c r="CJT184" s="239"/>
      <c r="CJU184" s="239"/>
      <c r="CJV184" s="239"/>
      <c r="CJW184" s="239"/>
      <c r="CJX184" s="239"/>
      <c r="CJY184" s="239"/>
      <c r="CJZ184" s="239"/>
      <c r="CKA184" s="239"/>
      <c r="CKB184" s="239"/>
      <c r="CKC184" s="239"/>
      <c r="CKD184" s="239"/>
      <c r="CKE184" s="239"/>
      <c r="CKF184" s="239"/>
      <c r="CKG184" s="239"/>
      <c r="CKH184" s="239"/>
      <c r="CKI184" s="239"/>
      <c r="CKJ184" s="239"/>
      <c r="CKK184" s="239"/>
      <c r="CKL184" s="239"/>
      <c r="CKM184" s="239"/>
      <c r="CKN184" s="239"/>
      <c r="CKO184" s="239"/>
      <c r="CKP184" s="239"/>
      <c r="CKQ184" s="239"/>
      <c r="CKR184" s="239"/>
      <c r="CKS184" s="239"/>
      <c r="CKT184" s="239"/>
      <c r="CKU184" s="239"/>
      <c r="CKV184" s="239"/>
      <c r="CKW184" s="239"/>
      <c r="CKX184" s="239"/>
      <c r="CKY184" s="239"/>
      <c r="CKZ184" s="239"/>
      <c r="CLA184" s="239"/>
      <c r="CLB184" s="239"/>
      <c r="CLC184" s="239"/>
      <c r="CLD184" s="239"/>
      <c r="CLE184" s="239"/>
      <c r="CLF184" s="239"/>
      <c r="CLG184" s="239"/>
      <c r="CLH184" s="239"/>
      <c r="CLI184" s="239"/>
      <c r="CLJ184" s="239"/>
      <c r="CLK184" s="239"/>
      <c r="CLL184" s="239"/>
      <c r="CLM184" s="239"/>
      <c r="CLN184" s="239"/>
      <c r="CLO184" s="239"/>
      <c r="CLP184" s="239"/>
      <c r="CLQ184" s="239"/>
      <c r="CLR184" s="239"/>
      <c r="CLS184" s="239"/>
      <c r="CLT184" s="239"/>
      <c r="CLU184" s="239"/>
      <c r="CLV184" s="239"/>
      <c r="CLW184" s="239"/>
      <c r="CLX184" s="239"/>
      <c r="CLY184" s="239"/>
      <c r="CLZ184" s="239"/>
      <c r="CMA184" s="239"/>
      <c r="CMB184" s="239"/>
      <c r="CMC184" s="239"/>
      <c r="CMD184" s="239"/>
      <c r="CME184" s="239"/>
      <c r="CMF184" s="239"/>
      <c r="CMG184" s="239"/>
      <c r="CMH184" s="239"/>
      <c r="CMI184" s="239"/>
      <c r="CMJ184" s="239"/>
      <c r="CMK184" s="239"/>
      <c r="CML184" s="239"/>
      <c r="CMM184" s="239"/>
      <c r="CMN184" s="239"/>
      <c r="CMO184" s="239"/>
      <c r="CMP184" s="239"/>
      <c r="CMQ184" s="239"/>
      <c r="CMR184" s="239"/>
      <c r="CMS184" s="239"/>
      <c r="CMT184" s="239"/>
      <c r="CMU184" s="239"/>
      <c r="CMV184" s="239"/>
      <c r="CMW184" s="239"/>
      <c r="CMX184" s="239"/>
      <c r="CMY184" s="239"/>
      <c r="CMZ184" s="239"/>
      <c r="CNA184" s="239"/>
      <c r="CNB184" s="239"/>
      <c r="CNC184" s="239"/>
      <c r="CND184" s="239"/>
      <c r="CNE184" s="239"/>
      <c r="CNF184" s="239"/>
      <c r="CNG184" s="239"/>
      <c r="CNH184" s="239"/>
      <c r="CNI184" s="239"/>
      <c r="CNJ184" s="239"/>
      <c r="CNK184" s="239"/>
      <c r="CNL184" s="239"/>
      <c r="CNM184" s="239"/>
      <c r="CNN184" s="239"/>
      <c r="CNO184" s="239"/>
      <c r="CNP184" s="239"/>
      <c r="CNQ184" s="239"/>
      <c r="CNR184" s="239"/>
      <c r="CNS184" s="239"/>
      <c r="CNT184" s="239"/>
      <c r="CNU184" s="239"/>
      <c r="CNV184" s="239"/>
      <c r="CNW184" s="239"/>
      <c r="CNX184" s="239"/>
      <c r="CNY184" s="239"/>
      <c r="CNZ184" s="239"/>
      <c r="COA184" s="239"/>
      <c r="COB184" s="239"/>
      <c r="COC184" s="239"/>
      <c r="COD184" s="239"/>
      <c r="COE184" s="239"/>
      <c r="COF184" s="239"/>
      <c r="COG184" s="239"/>
      <c r="COH184" s="239"/>
      <c r="COI184" s="239"/>
      <c r="COJ184" s="239"/>
      <c r="COK184" s="239"/>
      <c r="COL184" s="239"/>
      <c r="COM184" s="239"/>
      <c r="CON184" s="239"/>
      <c r="COO184" s="239"/>
      <c r="COP184" s="239"/>
      <c r="COQ184" s="239"/>
      <c r="COR184" s="239"/>
      <c r="COS184" s="239"/>
      <c r="COT184" s="239"/>
      <c r="COU184" s="239"/>
      <c r="COV184" s="239"/>
      <c r="COW184" s="239"/>
      <c r="COX184" s="239"/>
      <c r="COY184" s="239"/>
      <c r="COZ184" s="239"/>
      <c r="CPA184" s="239"/>
      <c r="CPB184" s="239"/>
      <c r="CPC184" s="239"/>
      <c r="CPD184" s="239"/>
      <c r="CPE184" s="239"/>
      <c r="CPF184" s="239"/>
      <c r="CPG184" s="239"/>
      <c r="CPH184" s="239"/>
      <c r="CPI184" s="239"/>
      <c r="CPJ184" s="239"/>
      <c r="CPK184" s="239"/>
      <c r="CPL184" s="239"/>
      <c r="CPM184" s="239"/>
      <c r="CPN184" s="239"/>
      <c r="CPO184" s="239"/>
      <c r="CPP184" s="239"/>
      <c r="CPQ184" s="239"/>
      <c r="CPR184" s="239"/>
      <c r="CPS184" s="239"/>
      <c r="CPT184" s="239"/>
      <c r="CPU184" s="239"/>
      <c r="CPV184" s="239"/>
      <c r="CPW184" s="239"/>
      <c r="CPX184" s="239"/>
      <c r="CPY184" s="239"/>
      <c r="CPZ184" s="239"/>
      <c r="CQA184" s="239"/>
      <c r="CQB184" s="239"/>
      <c r="CQC184" s="239"/>
      <c r="CQD184" s="239"/>
      <c r="CQE184" s="239"/>
      <c r="CQF184" s="239"/>
      <c r="CQG184" s="239"/>
      <c r="CQH184" s="239"/>
      <c r="CQI184" s="239"/>
      <c r="CQJ184" s="239"/>
      <c r="CQK184" s="239"/>
      <c r="CQL184" s="239"/>
      <c r="CQM184" s="239"/>
      <c r="CQN184" s="239"/>
      <c r="CQO184" s="239"/>
      <c r="CQP184" s="239"/>
      <c r="CQQ184" s="239"/>
      <c r="CQR184" s="239"/>
      <c r="CQS184" s="239"/>
      <c r="CQT184" s="239"/>
      <c r="CQU184" s="239"/>
      <c r="CQV184" s="239"/>
      <c r="CQW184" s="239"/>
      <c r="CQX184" s="239"/>
      <c r="CQY184" s="239"/>
      <c r="CQZ184" s="239"/>
      <c r="CRA184" s="239"/>
      <c r="CRB184" s="239"/>
      <c r="CRC184" s="239"/>
      <c r="CRD184" s="239"/>
      <c r="CRE184" s="239"/>
      <c r="CRF184" s="239"/>
      <c r="CRG184" s="239"/>
      <c r="CRH184" s="239"/>
      <c r="CRI184" s="239"/>
      <c r="CRJ184" s="239"/>
      <c r="CRK184" s="239"/>
      <c r="CRL184" s="239"/>
      <c r="CRM184" s="239"/>
      <c r="CRN184" s="239"/>
      <c r="CRO184" s="239"/>
      <c r="CRP184" s="239"/>
      <c r="CRQ184" s="239"/>
      <c r="CRR184" s="239"/>
      <c r="CRS184" s="239"/>
      <c r="CRT184" s="239"/>
      <c r="CRU184" s="239"/>
      <c r="CRV184" s="239"/>
      <c r="CRW184" s="239"/>
      <c r="CRX184" s="239"/>
      <c r="CRY184" s="239"/>
      <c r="CRZ184" s="239"/>
      <c r="CSA184" s="239"/>
      <c r="CSB184" s="239"/>
      <c r="CSC184" s="239"/>
      <c r="CSD184" s="239"/>
      <c r="CSE184" s="239"/>
      <c r="CSF184" s="239"/>
      <c r="CSG184" s="239"/>
      <c r="CSH184" s="239"/>
      <c r="CSI184" s="239"/>
      <c r="CSJ184" s="239"/>
      <c r="CSK184" s="239"/>
      <c r="CSL184" s="239"/>
      <c r="CSM184" s="239"/>
      <c r="CSN184" s="239"/>
      <c r="CSO184" s="239"/>
      <c r="CSP184" s="239"/>
      <c r="CSQ184" s="239"/>
      <c r="CSR184" s="239"/>
      <c r="CSS184" s="239"/>
      <c r="CST184" s="239"/>
      <c r="CSU184" s="239"/>
      <c r="CSV184" s="239"/>
      <c r="CSW184" s="239"/>
      <c r="CSX184" s="239"/>
      <c r="CSY184" s="239"/>
      <c r="CSZ184" s="239"/>
      <c r="CTA184" s="239"/>
      <c r="CTB184" s="239"/>
      <c r="CTC184" s="239"/>
      <c r="CTD184" s="239"/>
      <c r="CTE184" s="239"/>
      <c r="CTF184" s="239"/>
      <c r="CTG184" s="239"/>
      <c r="CTH184" s="239"/>
      <c r="CTI184" s="239"/>
      <c r="CTJ184" s="239"/>
      <c r="CTK184" s="239"/>
      <c r="CTL184" s="239"/>
      <c r="CTM184" s="239"/>
      <c r="CTN184" s="239"/>
      <c r="CTO184" s="239"/>
      <c r="CTP184" s="239"/>
      <c r="CTQ184" s="239"/>
      <c r="CTR184" s="239"/>
      <c r="CTS184" s="239"/>
      <c r="CTT184" s="239"/>
      <c r="CTU184" s="239"/>
      <c r="CTV184" s="239"/>
      <c r="CTW184" s="239"/>
      <c r="CTX184" s="239"/>
      <c r="CTY184" s="239"/>
      <c r="CTZ184" s="239"/>
      <c r="CUA184" s="239"/>
      <c r="CUB184" s="239"/>
      <c r="CUC184" s="239"/>
      <c r="CUD184" s="239"/>
      <c r="CUE184" s="239"/>
      <c r="CUF184" s="239"/>
      <c r="CUG184" s="239"/>
      <c r="CUH184" s="239"/>
      <c r="CUI184" s="239"/>
      <c r="CUJ184" s="239"/>
      <c r="CUK184" s="239"/>
      <c r="CUL184" s="239"/>
      <c r="CUM184" s="239"/>
      <c r="CUN184" s="239"/>
      <c r="CUO184" s="239"/>
      <c r="CUP184" s="239"/>
      <c r="CUQ184" s="239"/>
      <c r="CUR184" s="239"/>
      <c r="CUS184" s="239"/>
      <c r="CUT184" s="239"/>
      <c r="CUU184" s="239"/>
      <c r="CUV184" s="239"/>
      <c r="CUW184" s="239"/>
      <c r="CUX184" s="239"/>
      <c r="CUY184" s="239"/>
      <c r="CUZ184" s="239"/>
      <c r="CVA184" s="239"/>
      <c r="CVB184" s="239"/>
      <c r="CVC184" s="239"/>
      <c r="CVD184" s="239"/>
      <c r="CVE184" s="239"/>
      <c r="CVF184" s="239"/>
      <c r="CVG184" s="239"/>
      <c r="CVH184" s="239"/>
      <c r="CVI184" s="239"/>
      <c r="CVJ184" s="239"/>
      <c r="CVK184" s="239"/>
      <c r="CVL184" s="239"/>
      <c r="CVM184" s="239"/>
      <c r="CVN184" s="239"/>
      <c r="CVO184" s="239"/>
      <c r="CVP184" s="239"/>
      <c r="CVQ184" s="239"/>
      <c r="CVR184" s="239"/>
      <c r="CVS184" s="239"/>
      <c r="CVT184" s="239"/>
      <c r="CVU184" s="239"/>
      <c r="CVV184" s="239"/>
      <c r="CVW184" s="239"/>
      <c r="CVX184" s="239"/>
      <c r="CVY184" s="239"/>
      <c r="CVZ184" s="239"/>
      <c r="CWA184" s="239"/>
      <c r="CWB184" s="239"/>
      <c r="CWC184" s="239"/>
      <c r="CWD184" s="239"/>
      <c r="CWE184" s="239"/>
      <c r="CWF184" s="239"/>
      <c r="CWG184" s="239"/>
      <c r="CWH184" s="239"/>
      <c r="CWI184" s="239"/>
      <c r="CWJ184" s="239"/>
      <c r="CWK184" s="239"/>
      <c r="CWL184" s="239"/>
      <c r="CWM184" s="239"/>
      <c r="CWN184" s="239"/>
      <c r="CWO184" s="239"/>
      <c r="CWP184" s="239"/>
      <c r="CWQ184" s="239"/>
      <c r="CWR184" s="239"/>
      <c r="CWS184" s="239"/>
      <c r="CWT184" s="239"/>
      <c r="CWU184" s="239"/>
      <c r="CWV184" s="239"/>
      <c r="CWW184" s="239"/>
      <c r="CWX184" s="239"/>
      <c r="CWY184" s="239"/>
      <c r="CWZ184" s="239"/>
      <c r="CXA184" s="239"/>
      <c r="CXB184" s="239"/>
      <c r="CXC184" s="239"/>
      <c r="CXD184" s="239"/>
      <c r="CXE184" s="239"/>
      <c r="CXF184" s="239"/>
      <c r="CXG184" s="239"/>
      <c r="CXH184" s="239"/>
      <c r="CXI184" s="239"/>
      <c r="CXJ184" s="239"/>
      <c r="CXK184" s="239"/>
      <c r="CXL184" s="239"/>
      <c r="CXM184" s="239"/>
      <c r="CXN184" s="239"/>
      <c r="CXO184" s="239"/>
      <c r="CXP184" s="239"/>
      <c r="CXQ184" s="239"/>
      <c r="CXR184" s="239"/>
      <c r="CXS184" s="239"/>
      <c r="CXT184" s="239"/>
      <c r="CXU184" s="239"/>
      <c r="CXV184" s="239"/>
      <c r="CXW184" s="239"/>
      <c r="CXX184" s="239"/>
      <c r="CXY184" s="239"/>
      <c r="CXZ184" s="239"/>
      <c r="CYA184" s="239"/>
      <c r="CYB184" s="239"/>
      <c r="CYC184" s="239"/>
      <c r="CYD184" s="239"/>
      <c r="CYE184" s="239"/>
      <c r="CYF184" s="239"/>
      <c r="CYG184" s="239"/>
      <c r="CYH184" s="239"/>
      <c r="CYI184" s="239"/>
      <c r="CYJ184" s="239"/>
      <c r="CYK184" s="239"/>
      <c r="CYL184" s="239"/>
      <c r="CYM184" s="239"/>
      <c r="CYN184" s="239"/>
      <c r="CYO184" s="239"/>
      <c r="CYP184" s="239"/>
      <c r="CYQ184" s="239"/>
      <c r="CYR184" s="239"/>
      <c r="CYS184" s="239"/>
      <c r="CYT184" s="239"/>
      <c r="CYU184" s="239"/>
      <c r="CYV184" s="239"/>
      <c r="CYW184" s="239"/>
      <c r="CYX184" s="239"/>
      <c r="CYY184" s="239"/>
      <c r="CYZ184" s="239"/>
      <c r="CZA184" s="239"/>
      <c r="CZB184" s="239"/>
      <c r="CZC184" s="239"/>
      <c r="CZD184" s="239"/>
      <c r="CZE184" s="239"/>
      <c r="CZF184" s="239"/>
      <c r="CZG184" s="239"/>
      <c r="CZH184" s="239"/>
      <c r="CZI184" s="239"/>
      <c r="CZJ184" s="239"/>
      <c r="CZK184" s="239"/>
      <c r="CZL184" s="239"/>
      <c r="CZM184" s="239"/>
      <c r="CZN184" s="239"/>
      <c r="CZO184" s="239"/>
      <c r="CZP184" s="239"/>
      <c r="CZQ184" s="239"/>
      <c r="CZR184" s="239"/>
      <c r="CZS184" s="239"/>
      <c r="CZT184" s="239"/>
      <c r="CZU184" s="239"/>
      <c r="CZV184" s="239"/>
      <c r="CZW184" s="239"/>
      <c r="CZX184" s="239"/>
      <c r="CZY184" s="239"/>
      <c r="CZZ184" s="239"/>
      <c r="DAA184" s="239"/>
      <c r="DAB184" s="239"/>
      <c r="DAC184" s="239"/>
      <c r="DAD184" s="239"/>
      <c r="DAE184" s="239"/>
      <c r="DAF184" s="239"/>
      <c r="DAG184" s="239"/>
      <c r="DAH184" s="239"/>
      <c r="DAI184" s="239"/>
      <c r="DAJ184" s="239"/>
      <c r="DAK184" s="239"/>
      <c r="DAL184" s="239"/>
      <c r="DAM184" s="239"/>
      <c r="DAN184" s="239"/>
      <c r="DAO184" s="239"/>
      <c r="DAP184" s="239"/>
      <c r="DAQ184" s="239"/>
      <c r="DAR184" s="239"/>
      <c r="DAS184" s="239"/>
      <c r="DAT184" s="239"/>
      <c r="DAU184" s="239"/>
      <c r="DAV184" s="239"/>
      <c r="DAW184" s="239"/>
      <c r="DAX184" s="239"/>
      <c r="DAY184" s="239"/>
      <c r="DAZ184" s="239"/>
      <c r="DBA184" s="239"/>
      <c r="DBB184" s="239"/>
      <c r="DBC184" s="239"/>
      <c r="DBD184" s="239"/>
      <c r="DBE184" s="239"/>
      <c r="DBF184" s="239"/>
      <c r="DBG184" s="239"/>
      <c r="DBH184" s="239"/>
      <c r="DBI184" s="239"/>
      <c r="DBJ184" s="239"/>
      <c r="DBK184" s="239"/>
      <c r="DBL184" s="239"/>
      <c r="DBM184" s="239"/>
      <c r="DBN184" s="239"/>
      <c r="DBO184" s="239"/>
      <c r="DBP184" s="239"/>
      <c r="DBQ184" s="239"/>
      <c r="DBR184" s="239"/>
      <c r="DBS184" s="239"/>
      <c r="DBT184" s="239"/>
      <c r="DBU184" s="239"/>
      <c r="DBV184" s="239"/>
      <c r="DBW184" s="239"/>
      <c r="DBX184" s="239"/>
      <c r="DBY184" s="239"/>
      <c r="DBZ184" s="239"/>
      <c r="DCA184" s="239"/>
      <c r="DCB184" s="239"/>
      <c r="DCC184" s="239"/>
      <c r="DCD184" s="239"/>
      <c r="DCE184" s="239"/>
      <c r="DCF184" s="239"/>
      <c r="DCG184" s="239"/>
      <c r="DCH184" s="239"/>
      <c r="DCI184" s="239"/>
      <c r="DCJ184" s="239"/>
      <c r="DCK184" s="239"/>
      <c r="DCL184" s="239"/>
      <c r="DCM184" s="239"/>
      <c r="DCN184" s="239"/>
      <c r="DCO184" s="239"/>
      <c r="DCP184" s="239"/>
      <c r="DCQ184" s="239"/>
      <c r="DCR184" s="239"/>
      <c r="DCS184" s="239"/>
      <c r="DCT184" s="239"/>
      <c r="DCU184" s="239"/>
      <c r="DCV184" s="239"/>
      <c r="DCW184" s="239"/>
      <c r="DCX184" s="239"/>
      <c r="DCY184" s="239"/>
      <c r="DCZ184" s="239"/>
      <c r="DDA184" s="239"/>
      <c r="DDB184" s="239"/>
      <c r="DDC184" s="239"/>
      <c r="DDD184" s="239"/>
      <c r="DDE184" s="239"/>
      <c r="DDF184" s="239"/>
      <c r="DDG184" s="239"/>
      <c r="DDH184" s="239"/>
      <c r="DDI184" s="239"/>
      <c r="DDJ184" s="239"/>
      <c r="DDK184" s="239"/>
      <c r="DDL184" s="239"/>
      <c r="DDM184" s="239"/>
      <c r="DDN184" s="239"/>
      <c r="DDO184" s="239"/>
      <c r="DDP184" s="239"/>
      <c r="DDQ184" s="239"/>
      <c r="DDR184" s="239"/>
      <c r="DDS184" s="239"/>
      <c r="DDT184" s="239"/>
      <c r="DDU184" s="239"/>
      <c r="DDV184" s="239"/>
      <c r="DDW184" s="239"/>
      <c r="DDX184" s="239"/>
      <c r="DDY184" s="239"/>
      <c r="DDZ184" s="239"/>
      <c r="DEA184" s="239"/>
      <c r="DEB184" s="239"/>
      <c r="DEC184" s="239"/>
      <c r="DED184" s="239"/>
      <c r="DEE184" s="239"/>
      <c r="DEF184" s="239"/>
      <c r="DEG184" s="239"/>
      <c r="DEH184" s="239"/>
      <c r="DEI184" s="239"/>
      <c r="DEJ184" s="239"/>
      <c r="DEK184" s="239"/>
      <c r="DEL184" s="239"/>
      <c r="DEM184" s="239"/>
      <c r="DEN184" s="239"/>
      <c r="DEO184" s="239"/>
      <c r="DEP184" s="239"/>
      <c r="DEQ184" s="239"/>
      <c r="DER184" s="239"/>
      <c r="DES184" s="239"/>
      <c r="DET184" s="239"/>
      <c r="DEU184" s="239"/>
      <c r="DEV184" s="239"/>
      <c r="DEW184" s="239"/>
      <c r="DEX184" s="239"/>
      <c r="DEY184" s="239"/>
      <c r="DEZ184" s="239"/>
      <c r="DFA184" s="239"/>
      <c r="DFB184" s="239"/>
      <c r="DFC184" s="239"/>
      <c r="DFD184" s="239"/>
      <c r="DFE184" s="239"/>
      <c r="DFF184" s="239"/>
      <c r="DFG184" s="239"/>
      <c r="DFH184" s="239"/>
      <c r="DFI184" s="239"/>
      <c r="DFJ184" s="239"/>
      <c r="DFK184" s="239"/>
      <c r="DFL184" s="239"/>
      <c r="DFM184" s="239"/>
      <c r="DFN184" s="239"/>
      <c r="DFO184" s="239"/>
      <c r="DFP184" s="239"/>
      <c r="DFQ184" s="239"/>
      <c r="DFR184" s="239"/>
      <c r="DFS184" s="239"/>
      <c r="DFT184" s="239"/>
      <c r="DFU184" s="239"/>
      <c r="DFV184" s="239"/>
      <c r="DFW184" s="239"/>
      <c r="DFX184" s="239"/>
      <c r="DFY184" s="239"/>
      <c r="DFZ184" s="239"/>
      <c r="DGA184" s="239"/>
      <c r="DGB184" s="239"/>
      <c r="DGC184" s="239"/>
      <c r="DGD184" s="239"/>
      <c r="DGE184" s="239"/>
      <c r="DGF184" s="239"/>
      <c r="DGG184" s="239"/>
      <c r="DGH184" s="239"/>
      <c r="DGI184" s="239"/>
      <c r="DGJ184" s="239"/>
      <c r="DGK184" s="239"/>
      <c r="DGL184" s="239"/>
      <c r="DGM184" s="239"/>
      <c r="DGN184" s="239"/>
      <c r="DGO184" s="239"/>
      <c r="DGP184" s="239"/>
      <c r="DGQ184" s="239"/>
      <c r="DGR184" s="239"/>
      <c r="DGS184" s="239"/>
      <c r="DGT184" s="239"/>
      <c r="DGU184" s="239"/>
      <c r="DGV184" s="239"/>
      <c r="DGW184" s="239"/>
      <c r="DGX184" s="239"/>
      <c r="DGY184" s="239"/>
      <c r="DGZ184" s="239"/>
      <c r="DHA184" s="239"/>
      <c r="DHB184" s="239"/>
      <c r="DHC184" s="239"/>
      <c r="DHD184" s="239"/>
      <c r="DHE184" s="239"/>
      <c r="DHF184" s="239"/>
      <c r="DHG184" s="239"/>
      <c r="DHH184" s="239"/>
      <c r="DHI184" s="239"/>
      <c r="DHJ184" s="239"/>
      <c r="DHK184" s="239"/>
      <c r="DHL184" s="239"/>
      <c r="DHM184" s="239"/>
      <c r="DHN184" s="239"/>
      <c r="DHO184" s="239"/>
      <c r="DHP184" s="239"/>
      <c r="DHQ184" s="239"/>
      <c r="DHR184" s="239"/>
      <c r="DHS184" s="239"/>
      <c r="DHT184" s="239"/>
      <c r="DHU184" s="239"/>
      <c r="DHV184" s="239"/>
      <c r="DHW184" s="239"/>
      <c r="DHX184" s="239"/>
      <c r="DHY184" s="239"/>
      <c r="DHZ184" s="239"/>
      <c r="DIA184" s="239"/>
      <c r="DIB184" s="239"/>
      <c r="DIC184" s="239"/>
      <c r="DID184" s="239"/>
      <c r="DIE184" s="239"/>
      <c r="DIF184" s="239"/>
      <c r="DIG184" s="239"/>
      <c r="DIH184" s="239"/>
      <c r="DII184" s="239"/>
      <c r="DIJ184" s="239"/>
      <c r="DIK184" s="239"/>
      <c r="DIL184" s="239"/>
      <c r="DIM184" s="239"/>
      <c r="DIN184" s="239"/>
      <c r="DIO184" s="239"/>
      <c r="DIP184" s="239"/>
      <c r="DIQ184" s="239"/>
      <c r="DIR184" s="239"/>
      <c r="DIS184" s="239"/>
      <c r="DIT184" s="239"/>
      <c r="DIU184" s="239"/>
      <c r="DIV184" s="239"/>
      <c r="DIW184" s="239"/>
      <c r="DIX184" s="239"/>
      <c r="DIY184" s="239"/>
      <c r="DIZ184" s="239"/>
      <c r="DJA184" s="239"/>
      <c r="DJB184" s="239"/>
      <c r="DJC184" s="239"/>
      <c r="DJD184" s="239"/>
      <c r="DJE184" s="239"/>
      <c r="DJF184" s="239"/>
      <c r="DJG184" s="239"/>
      <c r="DJH184" s="239"/>
      <c r="DJI184" s="239"/>
      <c r="DJJ184" s="239"/>
      <c r="DJK184" s="239"/>
      <c r="DJL184" s="239"/>
      <c r="DJM184" s="239"/>
      <c r="DJN184" s="239"/>
      <c r="DJO184" s="239"/>
      <c r="DJP184" s="239"/>
      <c r="DJQ184" s="239"/>
      <c r="DJR184" s="239"/>
      <c r="DJS184" s="239"/>
      <c r="DJT184" s="239"/>
      <c r="DJU184" s="239"/>
      <c r="DJV184" s="239"/>
      <c r="DJW184" s="239"/>
      <c r="DJX184" s="239"/>
      <c r="DJY184" s="239"/>
      <c r="DJZ184" s="239"/>
      <c r="DKA184" s="239"/>
      <c r="DKB184" s="239"/>
      <c r="DKC184" s="239"/>
      <c r="DKD184" s="239"/>
      <c r="DKE184" s="239"/>
      <c r="DKF184" s="239"/>
      <c r="DKG184" s="239"/>
      <c r="DKH184" s="239"/>
      <c r="DKI184" s="239"/>
      <c r="DKJ184" s="239"/>
      <c r="DKK184" s="239"/>
      <c r="DKL184" s="239"/>
      <c r="DKM184" s="239"/>
      <c r="DKN184" s="239"/>
      <c r="DKO184" s="239"/>
      <c r="DKP184" s="239"/>
      <c r="DKQ184" s="239"/>
      <c r="DKR184" s="239"/>
      <c r="DKS184" s="239"/>
      <c r="DKT184" s="239"/>
      <c r="DKU184" s="239"/>
      <c r="DKV184" s="239"/>
      <c r="DKW184" s="239"/>
      <c r="DKX184" s="239"/>
      <c r="DKY184" s="239"/>
      <c r="DKZ184" s="239"/>
      <c r="DLA184" s="239"/>
      <c r="DLB184" s="239"/>
      <c r="DLC184" s="239"/>
      <c r="DLD184" s="239"/>
      <c r="DLE184" s="239"/>
      <c r="DLF184" s="239"/>
      <c r="DLG184" s="239"/>
      <c r="DLH184" s="239"/>
      <c r="DLI184" s="239"/>
      <c r="DLJ184" s="239"/>
      <c r="DLK184" s="239"/>
      <c r="DLL184" s="239"/>
      <c r="DLM184" s="239"/>
      <c r="DLN184" s="239"/>
      <c r="DLO184" s="239"/>
      <c r="DLP184" s="239"/>
      <c r="DLQ184" s="239"/>
      <c r="DLR184" s="239"/>
      <c r="DLS184" s="239"/>
      <c r="DLT184" s="239"/>
      <c r="DLU184" s="239"/>
      <c r="DLV184" s="239"/>
      <c r="DLW184" s="239"/>
      <c r="DLX184" s="239"/>
      <c r="DLY184" s="239"/>
      <c r="DLZ184" s="239"/>
      <c r="DMA184" s="239"/>
      <c r="DMB184" s="239"/>
      <c r="DMC184" s="239"/>
      <c r="DMD184" s="239"/>
      <c r="DME184" s="239"/>
      <c r="DMF184" s="239"/>
      <c r="DMG184" s="239"/>
      <c r="DMH184" s="239"/>
      <c r="DMI184" s="239"/>
      <c r="DMJ184" s="239"/>
      <c r="DMK184" s="239"/>
      <c r="DML184" s="239"/>
      <c r="DMM184" s="239"/>
      <c r="DMN184" s="239"/>
      <c r="DMO184" s="239"/>
      <c r="DMP184" s="239"/>
      <c r="DMQ184" s="239"/>
      <c r="DMR184" s="239"/>
      <c r="DMS184" s="239"/>
      <c r="DMT184" s="239"/>
      <c r="DMU184" s="239"/>
      <c r="DMV184" s="239"/>
      <c r="DMW184" s="239"/>
      <c r="DMX184" s="239"/>
      <c r="DMY184" s="239"/>
      <c r="DMZ184" s="239"/>
      <c r="DNA184" s="239"/>
      <c r="DNB184" s="239"/>
      <c r="DNC184" s="239"/>
      <c r="DND184" s="239"/>
      <c r="DNE184" s="239"/>
      <c r="DNF184" s="239"/>
      <c r="DNG184" s="239"/>
      <c r="DNH184" s="239"/>
      <c r="DNI184" s="239"/>
      <c r="DNJ184" s="239"/>
      <c r="DNK184" s="239"/>
      <c r="DNL184" s="239"/>
      <c r="DNM184" s="239"/>
      <c r="DNN184" s="239"/>
      <c r="DNO184" s="239"/>
      <c r="DNP184" s="239"/>
      <c r="DNQ184" s="239"/>
      <c r="DNR184" s="239"/>
      <c r="DNS184" s="239"/>
      <c r="DNT184" s="239"/>
      <c r="DNU184" s="239"/>
      <c r="DNV184" s="239"/>
      <c r="DNW184" s="239"/>
      <c r="DNX184" s="239"/>
      <c r="DNY184" s="239"/>
      <c r="DNZ184" s="239"/>
      <c r="DOA184" s="239"/>
      <c r="DOB184" s="239"/>
      <c r="DOC184" s="239"/>
      <c r="DOD184" s="239"/>
      <c r="DOE184" s="239"/>
      <c r="DOF184" s="239"/>
      <c r="DOG184" s="239"/>
      <c r="DOH184" s="239"/>
      <c r="DOI184" s="239"/>
      <c r="DOJ184" s="239"/>
      <c r="DOK184" s="239"/>
      <c r="DOL184" s="239"/>
      <c r="DOM184" s="239"/>
      <c r="DON184" s="239"/>
      <c r="DOO184" s="239"/>
      <c r="DOP184" s="239"/>
      <c r="DOQ184" s="239"/>
      <c r="DOR184" s="239"/>
      <c r="DOS184" s="239"/>
      <c r="DOT184" s="239"/>
      <c r="DOU184" s="239"/>
      <c r="DOV184" s="239"/>
      <c r="DOW184" s="239"/>
      <c r="DOX184" s="239"/>
      <c r="DOY184" s="239"/>
      <c r="DOZ184" s="239"/>
      <c r="DPA184" s="239"/>
      <c r="DPB184" s="239"/>
      <c r="DPC184" s="239"/>
      <c r="DPD184" s="239"/>
      <c r="DPE184" s="239"/>
      <c r="DPF184" s="239"/>
      <c r="DPG184" s="239"/>
      <c r="DPH184" s="239"/>
      <c r="DPI184" s="239"/>
      <c r="DPJ184" s="239"/>
      <c r="DPK184" s="239"/>
      <c r="DPL184" s="239"/>
      <c r="DPM184" s="239"/>
      <c r="DPN184" s="239"/>
      <c r="DPO184" s="239"/>
      <c r="DPP184" s="239"/>
      <c r="DPQ184" s="239"/>
      <c r="DPR184" s="239"/>
      <c r="DPS184" s="239"/>
      <c r="DPT184" s="239"/>
      <c r="DPU184" s="239"/>
      <c r="DPV184" s="239"/>
      <c r="DPW184" s="239"/>
      <c r="DPX184" s="239"/>
      <c r="DPY184" s="239"/>
      <c r="DPZ184" s="239"/>
      <c r="DQA184" s="239"/>
      <c r="DQB184" s="239"/>
      <c r="DQC184" s="239"/>
      <c r="DQD184" s="239"/>
      <c r="DQE184" s="239"/>
      <c r="DQF184" s="239"/>
      <c r="DQG184" s="239"/>
      <c r="DQH184" s="239"/>
      <c r="DQI184" s="239"/>
      <c r="DQJ184" s="239"/>
      <c r="DQK184" s="239"/>
      <c r="DQL184" s="239"/>
      <c r="DQM184" s="239"/>
      <c r="DQN184" s="239"/>
      <c r="DQO184" s="239"/>
      <c r="DQP184" s="239"/>
      <c r="DQQ184" s="239"/>
      <c r="DQR184" s="239"/>
      <c r="DQS184" s="239"/>
      <c r="DQT184" s="239"/>
      <c r="DQU184" s="239"/>
      <c r="DQV184" s="239"/>
      <c r="DQW184" s="239"/>
      <c r="DQX184" s="239"/>
      <c r="DQY184" s="239"/>
      <c r="DQZ184" s="239"/>
      <c r="DRA184" s="239"/>
      <c r="DRB184" s="239"/>
      <c r="DRC184" s="239"/>
      <c r="DRD184" s="239"/>
      <c r="DRE184" s="239"/>
      <c r="DRF184" s="239"/>
      <c r="DRG184" s="239"/>
      <c r="DRH184" s="239"/>
      <c r="DRI184" s="239"/>
      <c r="DRJ184" s="239"/>
      <c r="DRK184" s="239"/>
      <c r="DRL184" s="239"/>
      <c r="DRM184" s="239"/>
      <c r="DRN184" s="239"/>
      <c r="DRO184" s="239"/>
      <c r="DRP184" s="239"/>
      <c r="DRQ184" s="239"/>
      <c r="DRR184" s="239"/>
      <c r="DRS184" s="239"/>
      <c r="DRT184" s="239"/>
      <c r="DRU184" s="239"/>
      <c r="DRV184" s="239"/>
      <c r="DRW184" s="239"/>
      <c r="DRX184" s="239"/>
      <c r="DRY184" s="239"/>
      <c r="DRZ184" s="239"/>
      <c r="DSA184" s="239"/>
      <c r="DSB184" s="239"/>
      <c r="DSC184" s="239"/>
      <c r="DSD184" s="239"/>
      <c r="DSE184" s="239"/>
      <c r="DSF184" s="239"/>
      <c r="DSG184" s="239"/>
      <c r="DSH184" s="239"/>
      <c r="DSI184" s="239"/>
      <c r="DSJ184" s="239"/>
      <c r="DSK184" s="239"/>
      <c r="DSL184" s="239"/>
      <c r="DSM184" s="239"/>
      <c r="DSN184" s="239"/>
      <c r="DSO184" s="239"/>
      <c r="DSP184" s="239"/>
      <c r="DSQ184" s="239"/>
      <c r="DSR184" s="239"/>
      <c r="DSS184" s="239"/>
      <c r="DST184" s="239"/>
      <c r="DSU184" s="239"/>
      <c r="DSV184" s="239"/>
      <c r="DSW184" s="239"/>
      <c r="DSX184" s="239"/>
      <c r="DSY184" s="239"/>
      <c r="DSZ184" s="239"/>
      <c r="DTA184" s="239"/>
      <c r="DTB184" s="239"/>
      <c r="DTC184" s="239"/>
      <c r="DTD184" s="239"/>
      <c r="DTE184" s="239"/>
      <c r="DTF184" s="239"/>
      <c r="DTG184" s="239"/>
      <c r="DTH184" s="239"/>
      <c r="DTI184" s="239"/>
      <c r="DTJ184" s="239"/>
      <c r="DTK184" s="239"/>
      <c r="DTL184" s="239"/>
      <c r="DTM184" s="239"/>
      <c r="DTN184" s="239"/>
      <c r="DTO184" s="239"/>
      <c r="DTP184" s="239"/>
      <c r="DTQ184" s="239"/>
      <c r="DTR184" s="239"/>
      <c r="DTS184" s="239"/>
      <c r="DTT184" s="239"/>
      <c r="DTU184" s="239"/>
      <c r="DTV184" s="239"/>
      <c r="DTW184" s="239"/>
      <c r="DTX184" s="239"/>
      <c r="DTY184" s="239"/>
      <c r="DTZ184" s="239"/>
      <c r="DUA184" s="239"/>
      <c r="DUB184" s="239"/>
      <c r="DUC184" s="239"/>
      <c r="DUD184" s="239"/>
      <c r="DUE184" s="239"/>
      <c r="DUF184" s="239"/>
      <c r="DUG184" s="239"/>
      <c r="DUH184" s="239"/>
      <c r="DUI184" s="239"/>
      <c r="DUJ184" s="239"/>
      <c r="DUK184" s="239"/>
      <c r="DUL184" s="239"/>
      <c r="DUM184" s="239"/>
      <c r="DUN184" s="239"/>
      <c r="DUO184" s="239"/>
      <c r="DUP184" s="239"/>
      <c r="DUQ184" s="239"/>
      <c r="DUR184" s="239"/>
      <c r="DUS184" s="239"/>
      <c r="DUT184" s="239"/>
      <c r="DUU184" s="239"/>
      <c r="DUV184" s="239"/>
      <c r="DUW184" s="239"/>
      <c r="DUX184" s="239"/>
      <c r="DUY184" s="239"/>
      <c r="DUZ184" s="239"/>
      <c r="DVA184" s="239"/>
      <c r="DVB184" s="239"/>
      <c r="DVC184" s="239"/>
      <c r="DVD184" s="239"/>
      <c r="DVE184" s="239"/>
      <c r="DVF184" s="239"/>
      <c r="DVG184" s="239"/>
      <c r="DVH184" s="239"/>
      <c r="DVI184" s="239"/>
      <c r="DVJ184" s="239"/>
      <c r="DVK184" s="239"/>
      <c r="DVL184" s="239"/>
      <c r="DVM184" s="239"/>
      <c r="DVN184" s="239"/>
      <c r="DVO184" s="239"/>
      <c r="DVP184" s="239"/>
      <c r="DVQ184" s="239"/>
      <c r="DVR184" s="239"/>
      <c r="DVS184" s="239"/>
      <c r="DVT184" s="239"/>
      <c r="DVU184" s="239"/>
      <c r="DVV184" s="239"/>
      <c r="DVW184" s="239"/>
      <c r="DVX184" s="239"/>
      <c r="DVY184" s="239"/>
      <c r="DVZ184" s="239"/>
      <c r="DWA184" s="239"/>
      <c r="DWB184" s="239"/>
      <c r="DWC184" s="239"/>
      <c r="DWD184" s="239"/>
      <c r="DWE184" s="239"/>
      <c r="DWF184" s="239"/>
      <c r="DWG184" s="239"/>
      <c r="DWH184" s="239"/>
      <c r="DWI184" s="239"/>
      <c r="DWJ184" s="239"/>
      <c r="DWK184" s="239"/>
      <c r="DWL184" s="239"/>
      <c r="DWM184" s="239"/>
      <c r="DWN184" s="239"/>
      <c r="DWO184" s="239"/>
      <c r="DWP184" s="239"/>
      <c r="DWQ184" s="239"/>
      <c r="DWR184" s="239"/>
      <c r="DWS184" s="239"/>
      <c r="DWT184" s="239"/>
      <c r="DWU184" s="239"/>
      <c r="DWV184" s="239"/>
      <c r="DWW184" s="239"/>
      <c r="DWX184" s="239"/>
      <c r="DWY184" s="239"/>
      <c r="DWZ184" s="239"/>
      <c r="DXA184" s="239"/>
      <c r="DXB184" s="239"/>
      <c r="DXC184" s="239"/>
      <c r="DXD184" s="239"/>
      <c r="DXE184" s="239"/>
      <c r="DXF184" s="239"/>
      <c r="DXG184" s="239"/>
      <c r="DXH184" s="239"/>
      <c r="DXI184" s="239"/>
      <c r="DXJ184" s="239"/>
      <c r="DXK184" s="239"/>
      <c r="DXL184" s="239"/>
      <c r="DXM184" s="239"/>
      <c r="DXN184" s="239"/>
      <c r="DXO184" s="239"/>
      <c r="DXP184" s="239"/>
      <c r="DXQ184" s="239"/>
      <c r="DXR184" s="239"/>
      <c r="DXS184" s="239"/>
      <c r="DXT184" s="239"/>
      <c r="DXU184" s="239"/>
      <c r="DXV184" s="239"/>
      <c r="DXW184" s="239"/>
      <c r="DXX184" s="239"/>
      <c r="DXY184" s="239"/>
      <c r="DXZ184" s="239"/>
      <c r="DYA184" s="239"/>
      <c r="DYB184" s="239"/>
      <c r="DYC184" s="239"/>
      <c r="DYD184" s="239"/>
      <c r="DYE184" s="239"/>
      <c r="DYF184" s="239"/>
      <c r="DYG184" s="239"/>
      <c r="DYH184" s="239"/>
      <c r="DYI184" s="239"/>
      <c r="DYJ184" s="239"/>
      <c r="DYK184" s="239"/>
      <c r="DYL184" s="239"/>
      <c r="DYM184" s="239"/>
      <c r="DYN184" s="239"/>
      <c r="DYO184" s="239"/>
      <c r="DYP184" s="239"/>
      <c r="DYQ184" s="239"/>
      <c r="DYR184" s="239"/>
      <c r="DYS184" s="239"/>
      <c r="DYT184" s="239"/>
      <c r="DYU184" s="239"/>
      <c r="DYV184" s="239"/>
      <c r="DYW184" s="239"/>
      <c r="DYX184" s="239"/>
      <c r="DYY184" s="239"/>
      <c r="DYZ184" s="239"/>
      <c r="DZA184" s="239"/>
      <c r="DZB184" s="239"/>
      <c r="DZC184" s="239"/>
      <c r="DZD184" s="239"/>
      <c r="DZE184" s="239"/>
      <c r="DZF184" s="239"/>
      <c r="DZG184" s="239"/>
      <c r="DZH184" s="239"/>
      <c r="DZI184" s="239"/>
      <c r="DZJ184" s="239"/>
      <c r="DZK184" s="239"/>
      <c r="DZL184" s="239"/>
      <c r="DZM184" s="239"/>
      <c r="DZN184" s="239"/>
      <c r="DZO184" s="239"/>
      <c r="DZP184" s="239"/>
      <c r="DZQ184" s="239"/>
      <c r="DZR184" s="239"/>
      <c r="DZS184" s="239"/>
      <c r="DZT184" s="239"/>
      <c r="DZU184" s="239"/>
      <c r="DZV184" s="239"/>
      <c r="DZW184" s="239"/>
      <c r="DZX184" s="239"/>
      <c r="DZY184" s="239"/>
      <c r="DZZ184" s="239"/>
      <c r="EAA184" s="239"/>
      <c r="EAB184" s="239"/>
      <c r="EAC184" s="239"/>
      <c r="EAD184" s="239"/>
      <c r="EAE184" s="239"/>
      <c r="EAF184" s="239"/>
      <c r="EAG184" s="239"/>
      <c r="EAH184" s="239"/>
      <c r="EAI184" s="239"/>
      <c r="EAJ184" s="239"/>
      <c r="EAK184" s="239"/>
      <c r="EAL184" s="239"/>
      <c r="EAM184" s="239"/>
      <c r="EAN184" s="239"/>
      <c r="EAO184" s="239"/>
      <c r="EAP184" s="239"/>
      <c r="EAQ184" s="239"/>
      <c r="EAR184" s="239"/>
      <c r="EAS184" s="239"/>
      <c r="EAT184" s="239"/>
      <c r="EAU184" s="239"/>
      <c r="EAV184" s="239"/>
      <c r="EAW184" s="239"/>
      <c r="EAX184" s="239"/>
      <c r="EAY184" s="239"/>
      <c r="EAZ184" s="239"/>
      <c r="EBA184" s="239"/>
      <c r="EBB184" s="239"/>
      <c r="EBC184" s="239"/>
      <c r="EBD184" s="239"/>
      <c r="EBE184" s="239"/>
      <c r="EBF184" s="239"/>
      <c r="EBG184" s="239"/>
      <c r="EBH184" s="239"/>
      <c r="EBI184" s="239"/>
      <c r="EBJ184" s="239"/>
      <c r="EBK184" s="239"/>
      <c r="EBL184" s="239"/>
      <c r="EBM184" s="239"/>
      <c r="EBN184" s="239"/>
      <c r="EBO184" s="239"/>
      <c r="EBP184" s="239"/>
      <c r="EBQ184" s="239"/>
      <c r="EBR184" s="239"/>
      <c r="EBS184" s="239"/>
      <c r="EBT184" s="239"/>
      <c r="EBU184" s="239"/>
      <c r="EBV184" s="239"/>
      <c r="EBW184" s="239"/>
      <c r="EBX184" s="239"/>
      <c r="EBY184" s="239"/>
      <c r="EBZ184" s="239"/>
      <c r="ECA184" s="239"/>
      <c r="ECB184" s="239"/>
      <c r="ECC184" s="239"/>
      <c r="ECD184" s="239"/>
      <c r="ECE184" s="239"/>
      <c r="ECF184" s="239"/>
      <c r="ECG184" s="239"/>
      <c r="ECH184" s="239"/>
      <c r="ECI184" s="239"/>
      <c r="ECJ184" s="239"/>
      <c r="ECK184" s="239"/>
      <c r="ECL184" s="239"/>
      <c r="ECM184" s="239"/>
      <c r="ECN184" s="239"/>
      <c r="ECO184" s="239"/>
      <c r="ECP184" s="239"/>
      <c r="ECQ184" s="239"/>
      <c r="ECR184" s="239"/>
      <c r="ECS184" s="239"/>
      <c r="ECT184" s="239"/>
      <c r="ECU184" s="239"/>
      <c r="ECV184" s="239"/>
      <c r="ECW184" s="239"/>
      <c r="ECX184" s="239"/>
      <c r="ECY184" s="239"/>
      <c r="ECZ184" s="239"/>
      <c r="EDA184" s="239"/>
      <c r="EDB184" s="239"/>
      <c r="EDC184" s="239"/>
      <c r="EDD184" s="239"/>
      <c r="EDE184" s="239"/>
      <c r="EDF184" s="239"/>
      <c r="EDG184" s="239"/>
      <c r="EDH184" s="239"/>
      <c r="EDI184" s="239"/>
      <c r="EDJ184" s="239"/>
      <c r="EDK184" s="239"/>
      <c r="EDL184" s="239"/>
      <c r="EDM184" s="239"/>
      <c r="EDN184" s="239"/>
      <c r="EDO184" s="239"/>
      <c r="EDP184" s="239"/>
      <c r="EDQ184" s="239"/>
      <c r="EDR184" s="239"/>
      <c r="EDS184" s="239"/>
      <c r="EDT184" s="239"/>
      <c r="EDU184" s="239"/>
      <c r="EDV184" s="239"/>
      <c r="EDW184" s="239"/>
      <c r="EDX184" s="239"/>
      <c r="EDY184" s="239"/>
      <c r="EDZ184" s="239"/>
      <c r="EEA184" s="239"/>
      <c r="EEB184" s="239"/>
      <c r="EEC184" s="239"/>
      <c r="EED184" s="239"/>
      <c r="EEE184" s="239"/>
      <c r="EEF184" s="239"/>
      <c r="EEG184" s="239"/>
      <c r="EEH184" s="239"/>
      <c r="EEI184" s="239"/>
      <c r="EEJ184" s="239"/>
      <c r="EEK184" s="239"/>
      <c r="EEL184" s="239"/>
      <c r="EEM184" s="239"/>
      <c r="EEN184" s="239"/>
      <c r="EEO184" s="239"/>
      <c r="EEP184" s="239"/>
      <c r="EEQ184" s="239"/>
      <c r="EER184" s="239"/>
      <c r="EES184" s="239"/>
      <c r="EET184" s="239"/>
      <c r="EEU184" s="239"/>
      <c r="EEV184" s="239"/>
      <c r="EEW184" s="239"/>
      <c r="EEX184" s="239"/>
      <c r="EEY184" s="239"/>
      <c r="EEZ184" s="239"/>
      <c r="EFA184" s="239"/>
      <c r="EFB184" s="239"/>
      <c r="EFC184" s="239"/>
      <c r="EFD184" s="239"/>
      <c r="EFE184" s="239"/>
      <c r="EFF184" s="239"/>
      <c r="EFG184" s="239"/>
      <c r="EFH184" s="239"/>
      <c r="EFI184" s="239"/>
      <c r="EFJ184" s="239"/>
      <c r="EFK184" s="239"/>
      <c r="EFL184" s="239"/>
      <c r="EFM184" s="239"/>
      <c r="EFN184" s="239"/>
      <c r="EFO184" s="239"/>
      <c r="EFP184" s="239"/>
      <c r="EFQ184" s="239"/>
      <c r="EFR184" s="239"/>
      <c r="EFS184" s="239"/>
      <c r="EFT184" s="239"/>
      <c r="EFU184" s="239"/>
      <c r="EFV184" s="239"/>
      <c r="EFW184" s="239"/>
      <c r="EFX184" s="239"/>
      <c r="EFY184" s="239"/>
      <c r="EFZ184" s="239"/>
      <c r="EGA184" s="239"/>
      <c r="EGB184" s="239"/>
      <c r="EGC184" s="239"/>
      <c r="EGD184" s="239"/>
      <c r="EGE184" s="239"/>
      <c r="EGF184" s="239"/>
      <c r="EGG184" s="239"/>
      <c r="EGH184" s="239"/>
      <c r="EGI184" s="239"/>
      <c r="EGJ184" s="239"/>
      <c r="EGK184" s="239"/>
      <c r="EGL184" s="239"/>
      <c r="EGM184" s="239"/>
      <c r="EGN184" s="239"/>
      <c r="EGO184" s="239"/>
      <c r="EGP184" s="239"/>
      <c r="EGQ184" s="239"/>
      <c r="EGR184" s="239"/>
      <c r="EGS184" s="239"/>
      <c r="EGT184" s="239"/>
      <c r="EGU184" s="239"/>
      <c r="EGV184" s="239"/>
      <c r="EGW184" s="239"/>
      <c r="EGX184" s="239"/>
      <c r="EGY184" s="239"/>
      <c r="EGZ184" s="239"/>
      <c r="EHA184" s="239"/>
      <c r="EHB184" s="239"/>
      <c r="EHC184" s="239"/>
      <c r="EHD184" s="239"/>
      <c r="EHE184" s="239"/>
      <c r="EHF184" s="239"/>
      <c r="EHG184" s="239"/>
      <c r="EHH184" s="239"/>
      <c r="EHI184" s="239"/>
      <c r="EHJ184" s="239"/>
      <c r="EHK184" s="239"/>
      <c r="EHL184" s="239"/>
      <c r="EHM184" s="239"/>
      <c r="EHN184" s="239"/>
      <c r="EHO184" s="239"/>
      <c r="EHP184" s="239"/>
      <c r="EHQ184" s="239"/>
      <c r="EHR184" s="239"/>
      <c r="EHS184" s="239"/>
      <c r="EHT184" s="239"/>
      <c r="EHU184" s="239"/>
      <c r="EHV184" s="239"/>
      <c r="EHW184" s="239"/>
      <c r="EHX184" s="239"/>
      <c r="EHY184" s="239"/>
      <c r="EHZ184" s="239"/>
      <c r="EIA184" s="239"/>
      <c r="EIB184" s="239"/>
      <c r="EIC184" s="239"/>
      <c r="EID184" s="239"/>
      <c r="EIE184" s="239"/>
      <c r="EIF184" s="239"/>
      <c r="EIG184" s="239"/>
      <c r="EIH184" s="239"/>
      <c r="EII184" s="239"/>
      <c r="EIJ184" s="239"/>
      <c r="EIK184" s="239"/>
      <c r="EIL184" s="239"/>
      <c r="EIM184" s="239"/>
      <c r="EIN184" s="239"/>
      <c r="EIO184" s="239"/>
      <c r="EIP184" s="239"/>
      <c r="EIQ184" s="239"/>
      <c r="EIR184" s="239"/>
      <c r="EIS184" s="239"/>
      <c r="EIT184" s="239"/>
      <c r="EIU184" s="239"/>
      <c r="EIV184" s="239"/>
      <c r="EIW184" s="239"/>
      <c r="EIX184" s="239"/>
      <c r="EIY184" s="239"/>
      <c r="EIZ184" s="239"/>
      <c r="EJA184" s="239"/>
      <c r="EJB184" s="239"/>
      <c r="EJC184" s="239"/>
      <c r="EJD184" s="239"/>
      <c r="EJE184" s="239"/>
      <c r="EJF184" s="239"/>
      <c r="EJG184" s="239"/>
      <c r="EJH184" s="239"/>
      <c r="EJI184" s="239"/>
      <c r="EJJ184" s="239"/>
      <c r="EJK184" s="239"/>
      <c r="EJL184" s="239"/>
      <c r="EJM184" s="239"/>
      <c r="EJN184" s="239"/>
      <c r="EJO184" s="239"/>
      <c r="EJP184" s="239"/>
      <c r="EJQ184" s="239"/>
      <c r="EJR184" s="239"/>
      <c r="EJS184" s="239"/>
      <c r="EJT184" s="239"/>
      <c r="EJU184" s="239"/>
      <c r="EJV184" s="239"/>
      <c r="EJW184" s="239"/>
      <c r="EJX184" s="239"/>
      <c r="EJY184" s="239"/>
      <c r="EJZ184" s="239"/>
      <c r="EKA184" s="239"/>
      <c r="EKB184" s="239"/>
      <c r="EKC184" s="239"/>
      <c r="EKD184" s="239"/>
      <c r="EKE184" s="239"/>
      <c r="EKF184" s="239"/>
      <c r="EKG184" s="239"/>
      <c r="EKH184" s="239"/>
      <c r="EKI184" s="239"/>
      <c r="EKJ184" s="239"/>
      <c r="EKK184" s="239"/>
      <c r="EKL184" s="239"/>
      <c r="EKM184" s="239"/>
      <c r="EKN184" s="239"/>
      <c r="EKO184" s="239"/>
      <c r="EKP184" s="239"/>
      <c r="EKQ184" s="239"/>
      <c r="EKR184" s="239"/>
      <c r="EKS184" s="239"/>
      <c r="EKT184" s="239"/>
      <c r="EKU184" s="239"/>
      <c r="EKV184" s="239"/>
      <c r="EKW184" s="239"/>
      <c r="EKX184" s="239"/>
      <c r="EKY184" s="239"/>
      <c r="EKZ184" s="239"/>
      <c r="ELA184" s="239"/>
      <c r="ELB184" s="239"/>
      <c r="ELC184" s="239"/>
      <c r="ELD184" s="239"/>
      <c r="ELE184" s="239"/>
      <c r="ELF184" s="239"/>
      <c r="ELG184" s="239"/>
      <c r="ELH184" s="239"/>
      <c r="ELI184" s="239"/>
      <c r="ELJ184" s="239"/>
      <c r="ELK184" s="239"/>
      <c r="ELL184" s="239"/>
      <c r="ELM184" s="239"/>
      <c r="ELN184" s="239"/>
      <c r="ELO184" s="239"/>
      <c r="ELP184" s="239"/>
      <c r="ELQ184" s="239"/>
      <c r="ELR184" s="239"/>
      <c r="ELS184" s="239"/>
      <c r="ELT184" s="239"/>
      <c r="ELU184" s="239"/>
      <c r="ELV184" s="239"/>
      <c r="ELW184" s="239"/>
      <c r="ELX184" s="239"/>
      <c r="ELY184" s="239"/>
      <c r="ELZ184" s="239"/>
      <c r="EMA184" s="239"/>
      <c r="EMB184" s="239"/>
      <c r="EMC184" s="239"/>
      <c r="EMD184" s="239"/>
      <c r="EME184" s="239"/>
      <c r="EMF184" s="239"/>
      <c r="EMG184" s="239"/>
      <c r="EMH184" s="239"/>
      <c r="EMI184" s="239"/>
      <c r="EMJ184" s="239"/>
      <c r="EMK184" s="239"/>
      <c r="EML184" s="239"/>
      <c r="EMM184" s="239"/>
      <c r="EMN184" s="239"/>
      <c r="EMO184" s="239"/>
      <c r="EMP184" s="239"/>
      <c r="EMQ184" s="239"/>
      <c r="EMR184" s="239"/>
      <c r="EMS184" s="239"/>
      <c r="EMT184" s="239"/>
      <c r="EMU184" s="239"/>
      <c r="EMV184" s="239"/>
      <c r="EMW184" s="239"/>
      <c r="EMX184" s="239"/>
      <c r="EMY184" s="239"/>
      <c r="EMZ184" s="239"/>
      <c r="ENA184" s="239"/>
      <c r="ENB184" s="239"/>
      <c r="ENC184" s="239"/>
      <c r="END184" s="239"/>
      <c r="ENE184" s="239"/>
      <c r="ENF184" s="239"/>
      <c r="ENG184" s="239"/>
      <c r="ENH184" s="239"/>
      <c r="ENI184" s="239"/>
      <c r="ENJ184" s="239"/>
      <c r="ENK184" s="239"/>
      <c r="ENL184" s="239"/>
      <c r="ENM184" s="239"/>
      <c r="ENN184" s="239"/>
      <c r="ENO184" s="239"/>
      <c r="ENP184" s="239"/>
      <c r="ENQ184" s="239"/>
      <c r="ENR184" s="239"/>
      <c r="ENS184" s="239"/>
      <c r="ENT184" s="239"/>
      <c r="ENU184" s="239"/>
      <c r="ENV184" s="239"/>
      <c r="ENW184" s="239"/>
      <c r="ENX184" s="239"/>
      <c r="ENY184" s="239"/>
      <c r="ENZ184" s="239"/>
      <c r="EOA184" s="239"/>
      <c r="EOB184" s="239"/>
      <c r="EOC184" s="239"/>
      <c r="EOD184" s="239"/>
      <c r="EOE184" s="239"/>
      <c r="EOF184" s="239"/>
      <c r="EOG184" s="239"/>
      <c r="EOH184" s="239"/>
      <c r="EOI184" s="239"/>
      <c r="EOJ184" s="239"/>
      <c r="EOK184" s="239"/>
      <c r="EOL184" s="239"/>
      <c r="EOM184" s="239"/>
      <c r="EON184" s="239"/>
      <c r="EOO184" s="239"/>
      <c r="EOP184" s="239"/>
      <c r="EOQ184" s="239"/>
      <c r="EOR184" s="239"/>
      <c r="EOS184" s="239"/>
      <c r="EOT184" s="239"/>
      <c r="EOU184" s="239"/>
      <c r="EOV184" s="239"/>
      <c r="EOW184" s="239"/>
      <c r="EOX184" s="239"/>
      <c r="EOY184" s="239"/>
      <c r="EOZ184" s="239"/>
      <c r="EPA184" s="239"/>
      <c r="EPB184" s="239"/>
      <c r="EPC184" s="239"/>
      <c r="EPD184" s="239"/>
      <c r="EPE184" s="239"/>
      <c r="EPF184" s="239"/>
      <c r="EPG184" s="239"/>
      <c r="EPH184" s="239"/>
      <c r="EPI184" s="239"/>
      <c r="EPJ184" s="239"/>
      <c r="EPK184" s="239"/>
      <c r="EPL184" s="239"/>
      <c r="EPM184" s="239"/>
      <c r="EPN184" s="239"/>
      <c r="EPO184" s="239"/>
      <c r="EPP184" s="239"/>
      <c r="EPQ184" s="239"/>
      <c r="EPR184" s="239"/>
      <c r="EPS184" s="239"/>
      <c r="EPT184" s="239"/>
      <c r="EPU184" s="239"/>
      <c r="EPV184" s="239"/>
      <c r="EPW184" s="239"/>
      <c r="EPX184" s="239"/>
      <c r="EPY184" s="239"/>
      <c r="EPZ184" s="239"/>
      <c r="EQA184" s="239"/>
      <c r="EQB184" s="239"/>
      <c r="EQC184" s="239"/>
      <c r="EQD184" s="239"/>
      <c r="EQE184" s="239"/>
      <c r="EQF184" s="239"/>
      <c r="EQG184" s="239"/>
      <c r="EQH184" s="239"/>
      <c r="EQI184" s="239"/>
      <c r="EQJ184" s="239"/>
      <c r="EQK184" s="239"/>
      <c r="EQL184" s="239"/>
      <c r="EQM184" s="239"/>
      <c r="EQN184" s="239"/>
      <c r="EQO184" s="239"/>
      <c r="EQP184" s="239"/>
      <c r="EQQ184" s="239"/>
      <c r="EQR184" s="239"/>
      <c r="EQS184" s="239"/>
      <c r="EQT184" s="239"/>
      <c r="EQU184" s="239"/>
      <c r="EQV184" s="239"/>
      <c r="EQW184" s="239"/>
      <c r="EQX184" s="239"/>
      <c r="EQY184" s="239"/>
      <c r="EQZ184" s="239"/>
      <c r="ERA184" s="239"/>
      <c r="ERB184" s="239"/>
      <c r="ERC184" s="239"/>
      <c r="ERD184" s="239"/>
      <c r="ERE184" s="239"/>
      <c r="ERF184" s="239"/>
      <c r="ERG184" s="239"/>
      <c r="ERH184" s="239"/>
      <c r="ERI184" s="239"/>
      <c r="ERJ184" s="239"/>
      <c r="ERK184" s="239"/>
      <c r="ERL184" s="239"/>
      <c r="ERM184" s="239"/>
      <c r="ERN184" s="239"/>
      <c r="ERO184" s="239"/>
      <c r="ERP184" s="239"/>
      <c r="ERQ184" s="239"/>
      <c r="ERR184" s="239"/>
      <c r="ERS184" s="239"/>
      <c r="ERT184" s="239"/>
      <c r="ERU184" s="239"/>
      <c r="ERV184" s="239"/>
      <c r="ERW184" s="239"/>
      <c r="ERX184" s="239"/>
      <c r="ERY184" s="239"/>
      <c r="ERZ184" s="239"/>
      <c r="ESA184" s="239"/>
      <c r="ESB184" s="239"/>
      <c r="ESC184" s="239"/>
      <c r="ESD184" s="239"/>
      <c r="ESE184" s="239"/>
      <c r="ESF184" s="239"/>
      <c r="ESG184" s="239"/>
      <c r="ESH184" s="239"/>
      <c r="ESI184" s="239"/>
      <c r="ESJ184" s="239"/>
      <c r="ESK184" s="239"/>
      <c r="ESL184" s="239"/>
      <c r="ESM184" s="239"/>
      <c r="ESN184" s="239"/>
      <c r="ESO184" s="239"/>
      <c r="ESP184" s="239"/>
      <c r="ESQ184" s="239"/>
      <c r="ESR184" s="239"/>
      <c r="ESS184" s="239"/>
      <c r="EST184" s="239"/>
      <c r="ESU184" s="239"/>
      <c r="ESV184" s="239"/>
      <c r="ESW184" s="239"/>
      <c r="ESX184" s="239"/>
      <c r="ESY184" s="239"/>
      <c r="ESZ184" s="239"/>
      <c r="ETA184" s="239"/>
      <c r="ETB184" s="239"/>
      <c r="ETC184" s="239"/>
      <c r="ETD184" s="239"/>
      <c r="ETE184" s="239"/>
      <c r="ETF184" s="239"/>
      <c r="ETG184" s="239"/>
      <c r="ETH184" s="239"/>
      <c r="ETI184" s="239"/>
      <c r="ETJ184" s="239"/>
      <c r="ETK184" s="239"/>
      <c r="ETL184" s="239"/>
      <c r="ETM184" s="239"/>
      <c r="ETN184" s="239"/>
      <c r="ETO184" s="239"/>
      <c r="ETP184" s="239"/>
      <c r="ETQ184" s="239"/>
      <c r="ETR184" s="239"/>
      <c r="ETS184" s="239"/>
      <c r="ETT184" s="239"/>
      <c r="ETU184" s="239"/>
      <c r="ETV184" s="239"/>
      <c r="ETW184" s="239"/>
      <c r="ETX184" s="239"/>
      <c r="ETY184" s="239"/>
      <c r="ETZ184" s="239"/>
      <c r="EUA184" s="239"/>
      <c r="EUB184" s="239"/>
      <c r="EUC184" s="239"/>
      <c r="EUD184" s="239"/>
      <c r="EUE184" s="239"/>
      <c r="EUF184" s="239"/>
      <c r="EUG184" s="239"/>
      <c r="EUH184" s="239"/>
      <c r="EUI184" s="239"/>
      <c r="EUJ184" s="239"/>
      <c r="EUK184" s="239"/>
      <c r="EUL184" s="239"/>
      <c r="EUM184" s="239"/>
      <c r="EUN184" s="239"/>
      <c r="EUO184" s="239"/>
      <c r="EUP184" s="239"/>
      <c r="EUQ184" s="239"/>
      <c r="EUR184" s="239"/>
      <c r="EUS184" s="239"/>
      <c r="EUT184" s="239"/>
      <c r="EUU184" s="239"/>
      <c r="EUV184" s="239"/>
      <c r="EUW184" s="239"/>
      <c r="EUX184" s="239"/>
      <c r="EUY184" s="239"/>
      <c r="EUZ184" s="239"/>
      <c r="EVA184" s="239"/>
      <c r="EVB184" s="239"/>
      <c r="EVC184" s="239"/>
      <c r="EVD184" s="239"/>
      <c r="EVE184" s="239"/>
      <c r="EVF184" s="239"/>
      <c r="EVG184" s="239"/>
      <c r="EVH184" s="239"/>
      <c r="EVI184" s="239"/>
      <c r="EVJ184" s="239"/>
      <c r="EVK184" s="239"/>
      <c r="EVL184" s="239"/>
      <c r="EVM184" s="239"/>
      <c r="EVN184" s="239"/>
      <c r="EVO184" s="239"/>
      <c r="EVP184" s="239"/>
      <c r="EVQ184" s="239"/>
      <c r="EVR184" s="239"/>
      <c r="EVS184" s="239"/>
      <c r="EVT184" s="239"/>
      <c r="EVU184" s="239"/>
      <c r="EVV184" s="239"/>
      <c r="EVW184" s="239"/>
      <c r="EVX184" s="239"/>
      <c r="EVY184" s="239"/>
      <c r="EVZ184" s="239"/>
      <c r="EWA184" s="239"/>
      <c r="EWB184" s="239"/>
      <c r="EWC184" s="239"/>
      <c r="EWD184" s="239"/>
      <c r="EWE184" s="239"/>
      <c r="EWF184" s="239"/>
      <c r="EWG184" s="239"/>
      <c r="EWH184" s="239"/>
      <c r="EWI184" s="239"/>
      <c r="EWJ184" s="239"/>
      <c r="EWK184" s="239"/>
      <c r="EWL184" s="239"/>
      <c r="EWM184" s="239"/>
      <c r="EWN184" s="239"/>
      <c r="EWO184" s="239"/>
      <c r="EWP184" s="239"/>
      <c r="EWQ184" s="239"/>
      <c r="EWR184" s="239"/>
      <c r="EWS184" s="239"/>
      <c r="EWT184" s="239"/>
      <c r="EWU184" s="239"/>
      <c r="EWV184" s="239"/>
      <c r="EWW184" s="239"/>
      <c r="EWX184" s="239"/>
      <c r="EWY184" s="239"/>
      <c r="EWZ184" s="239"/>
      <c r="EXA184" s="239"/>
      <c r="EXB184" s="239"/>
      <c r="EXC184" s="239"/>
      <c r="EXD184" s="239"/>
      <c r="EXE184" s="239"/>
      <c r="EXF184" s="239"/>
      <c r="EXG184" s="239"/>
      <c r="EXH184" s="239"/>
      <c r="EXI184" s="239"/>
      <c r="EXJ184" s="239"/>
      <c r="EXK184" s="239"/>
      <c r="EXL184" s="239"/>
      <c r="EXM184" s="239"/>
      <c r="EXN184" s="239"/>
      <c r="EXO184" s="239"/>
      <c r="EXP184" s="239"/>
      <c r="EXQ184" s="239"/>
      <c r="EXR184" s="239"/>
      <c r="EXS184" s="239"/>
      <c r="EXT184" s="239"/>
      <c r="EXU184" s="239"/>
      <c r="EXV184" s="239"/>
      <c r="EXW184" s="239"/>
      <c r="EXX184" s="239"/>
      <c r="EXY184" s="239"/>
      <c r="EXZ184" s="239"/>
      <c r="EYA184" s="239"/>
      <c r="EYB184" s="239"/>
      <c r="EYC184" s="239"/>
      <c r="EYD184" s="239"/>
      <c r="EYE184" s="239"/>
      <c r="EYF184" s="239"/>
      <c r="EYG184" s="239"/>
      <c r="EYH184" s="239"/>
      <c r="EYI184" s="239"/>
      <c r="EYJ184" s="239"/>
      <c r="EYK184" s="239"/>
      <c r="EYL184" s="239"/>
      <c r="EYM184" s="239"/>
      <c r="EYN184" s="239"/>
      <c r="EYO184" s="239"/>
      <c r="EYP184" s="239"/>
      <c r="EYQ184" s="239"/>
      <c r="EYR184" s="239"/>
      <c r="EYS184" s="239"/>
      <c r="EYT184" s="239"/>
      <c r="EYU184" s="239"/>
      <c r="EYV184" s="239"/>
      <c r="EYW184" s="239"/>
      <c r="EYX184" s="239"/>
      <c r="EYY184" s="239"/>
      <c r="EYZ184" s="239"/>
      <c r="EZA184" s="239"/>
      <c r="EZB184" s="239"/>
      <c r="EZC184" s="239"/>
      <c r="EZD184" s="239"/>
      <c r="EZE184" s="239"/>
      <c r="EZF184" s="239"/>
      <c r="EZG184" s="239"/>
      <c r="EZH184" s="239"/>
      <c r="EZI184" s="239"/>
      <c r="EZJ184" s="239"/>
      <c r="EZK184" s="239"/>
      <c r="EZL184" s="239"/>
      <c r="EZM184" s="239"/>
      <c r="EZN184" s="239"/>
      <c r="EZO184" s="239"/>
      <c r="EZP184" s="239"/>
      <c r="EZQ184" s="239"/>
      <c r="EZR184" s="239"/>
      <c r="EZS184" s="239"/>
      <c r="EZT184" s="239"/>
      <c r="EZU184" s="239"/>
      <c r="EZV184" s="239"/>
      <c r="EZW184" s="239"/>
      <c r="EZX184" s="239"/>
      <c r="EZY184" s="239"/>
      <c r="EZZ184" s="239"/>
      <c r="FAA184" s="239"/>
      <c r="FAB184" s="239"/>
      <c r="FAC184" s="239"/>
      <c r="FAD184" s="239"/>
      <c r="FAE184" s="239"/>
      <c r="FAF184" s="239"/>
      <c r="FAG184" s="239"/>
      <c r="FAH184" s="239"/>
      <c r="FAI184" s="239"/>
      <c r="FAJ184" s="239"/>
      <c r="FAK184" s="239"/>
      <c r="FAL184" s="239"/>
      <c r="FAM184" s="239"/>
      <c r="FAN184" s="239"/>
      <c r="FAO184" s="239"/>
      <c r="FAP184" s="239"/>
      <c r="FAQ184" s="239"/>
      <c r="FAR184" s="239"/>
      <c r="FAS184" s="239"/>
      <c r="FAT184" s="239"/>
      <c r="FAU184" s="239"/>
      <c r="FAV184" s="239"/>
      <c r="FAW184" s="239"/>
      <c r="FAX184" s="239"/>
      <c r="FAY184" s="239"/>
      <c r="FAZ184" s="239"/>
      <c r="FBA184" s="239"/>
      <c r="FBB184" s="239"/>
      <c r="FBC184" s="239"/>
      <c r="FBD184" s="239"/>
      <c r="FBE184" s="239"/>
      <c r="FBF184" s="239"/>
      <c r="FBG184" s="239"/>
      <c r="FBH184" s="239"/>
      <c r="FBI184" s="239"/>
      <c r="FBJ184" s="239"/>
      <c r="FBK184" s="239"/>
      <c r="FBL184" s="239"/>
      <c r="FBM184" s="239"/>
      <c r="FBN184" s="239"/>
      <c r="FBO184" s="239"/>
      <c r="FBP184" s="239"/>
      <c r="FBQ184" s="239"/>
      <c r="FBR184" s="239"/>
      <c r="FBS184" s="239"/>
      <c r="FBT184" s="239"/>
      <c r="FBU184" s="239"/>
      <c r="FBV184" s="239"/>
      <c r="FBW184" s="239"/>
      <c r="FBX184" s="239"/>
      <c r="FBY184" s="239"/>
      <c r="FBZ184" s="239"/>
      <c r="FCA184" s="239"/>
      <c r="FCB184" s="239"/>
      <c r="FCC184" s="239"/>
      <c r="FCD184" s="239"/>
      <c r="FCE184" s="239"/>
      <c r="FCF184" s="239"/>
      <c r="FCG184" s="239"/>
      <c r="FCH184" s="239"/>
      <c r="FCI184" s="239"/>
      <c r="FCJ184" s="239"/>
      <c r="FCK184" s="239"/>
      <c r="FCL184" s="239"/>
      <c r="FCM184" s="239"/>
      <c r="FCN184" s="239"/>
      <c r="FCO184" s="239"/>
      <c r="FCP184" s="239"/>
      <c r="FCQ184" s="239"/>
      <c r="FCR184" s="239"/>
      <c r="FCS184" s="239"/>
      <c r="FCT184" s="239"/>
      <c r="FCU184" s="239"/>
      <c r="FCV184" s="239"/>
      <c r="FCW184" s="239"/>
      <c r="FCX184" s="239"/>
      <c r="FCY184" s="239"/>
      <c r="FCZ184" s="239"/>
      <c r="FDA184" s="239"/>
      <c r="FDB184" s="239"/>
      <c r="FDC184" s="239"/>
      <c r="FDD184" s="239"/>
      <c r="FDE184" s="239"/>
      <c r="FDF184" s="239"/>
      <c r="FDG184" s="239"/>
      <c r="FDH184" s="239"/>
      <c r="FDI184" s="239"/>
      <c r="FDJ184" s="239"/>
      <c r="FDK184" s="239"/>
      <c r="FDL184" s="239"/>
      <c r="FDM184" s="239"/>
      <c r="FDN184" s="239"/>
      <c r="FDO184" s="239"/>
      <c r="FDP184" s="239"/>
      <c r="FDQ184" s="239"/>
      <c r="FDR184" s="239"/>
      <c r="FDS184" s="239"/>
      <c r="FDT184" s="239"/>
      <c r="FDU184" s="239"/>
      <c r="FDV184" s="239"/>
      <c r="FDW184" s="239"/>
      <c r="FDX184" s="239"/>
      <c r="FDY184" s="239"/>
      <c r="FDZ184" s="239"/>
      <c r="FEA184" s="239"/>
      <c r="FEB184" s="239"/>
      <c r="FEC184" s="239"/>
      <c r="FED184" s="239"/>
      <c r="FEE184" s="239"/>
      <c r="FEF184" s="239"/>
      <c r="FEG184" s="239"/>
      <c r="FEH184" s="239"/>
      <c r="FEI184" s="239"/>
      <c r="FEJ184" s="239"/>
      <c r="FEK184" s="239"/>
      <c r="FEL184" s="239"/>
      <c r="FEM184" s="239"/>
      <c r="FEN184" s="239"/>
      <c r="FEO184" s="239"/>
      <c r="FEP184" s="239"/>
      <c r="FEQ184" s="239"/>
      <c r="FER184" s="239"/>
      <c r="FES184" s="239"/>
      <c r="FET184" s="239"/>
      <c r="FEU184" s="239"/>
      <c r="FEV184" s="239"/>
      <c r="FEW184" s="239"/>
      <c r="FEX184" s="239"/>
      <c r="FEY184" s="239"/>
      <c r="FEZ184" s="239"/>
      <c r="FFA184" s="239"/>
      <c r="FFB184" s="239"/>
      <c r="FFC184" s="239"/>
      <c r="FFD184" s="239"/>
      <c r="FFE184" s="239"/>
      <c r="FFF184" s="239"/>
      <c r="FFG184" s="239"/>
      <c r="FFH184" s="239"/>
      <c r="FFI184" s="239"/>
      <c r="FFJ184" s="239"/>
      <c r="FFK184" s="239"/>
      <c r="FFL184" s="239"/>
      <c r="FFM184" s="239"/>
      <c r="FFN184" s="239"/>
      <c r="FFO184" s="239"/>
      <c r="FFP184" s="239"/>
      <c r="FFQ184" s="239"/>
      <c r="FFR184" s="239"/>
      <c r="FFS184" s="239"/>
      <c r="FFT184" s="239"/>
      <c r="FFU184" s="239"/>
      <c r="FFV184" s="239"/>
      <c r="FFW184" s="239"/>
      <c r="FFX184" s="239"/>
      <c r="FFY184" s="239"/>
      <c r="FFZ184" s="239"/>
      <c r="FGA184" s="239"/>
      <c r="FGB184" s="239"/>
      <c r="FGC184" s="239"/>
      <c r="FGD184" s="239"/>
      <c r="FGE184" s="239"/>
      <c r="FGF184" s="239"/>
      <c r="FGG184" s="239"/>
      <c r="FGH184" s="239"/>
      <c r="FGI184" s="239"/>
      <c r="FGJ184" s="239"/>
      <c r="FGK184" s="239"/>
      <c r="FGL184" s="239"/>
      <c r="FGM184" s="239"/>
      <c r="FGN184" s="239"/>
      <c r="FGO184" s="239"/>
      <c r="FGP184" s="239"/>
      <c r="FGQ184" s="239"/>
      <c r="FGR184" s="239"/>
      <c r="FGS184" s="239"/>
      <c r="FGT184" s="239"/>
      <c r="FGU184" s="239"/>
      <c r="FGV184" s="239"/>
      <c r="FGW184" s="239"/>
      <c r="FGX184" s="239"/>
      <c r="FGY184" s="239"/>
      <c r="FGZ184" s="239"/>
      <c r="FHA184" s="239"/>
      <c r="FHB184" s="239"/>
      <c r="FHC184" s="239"/>
      <c r="FHD184" s="239"/>
      <c r="FHE184" s="239"/>
      <c r="FHF184" s="239"/>
      <c r="FHG184" s="239"/>
      <c r="FHH184" s="239"/>
      <c r="FHI184" s="239"/>
      <c r="FHJ184" s="239"/>
      <c r="FHK184" s="239"/>
      <c r="FHL184" s="239"/>
      <c r="FHM184" s="239"/>
      <c r="FHN184" s="239"/>
      <c r="FHO184" s="239"/>
      <c r="FHP184" s="239"/>
      <c r="FHQ184" s="239"/>
      <c r="FHR184" s="239"/>
      <c r="FHS184" s="239"/>
      <c r="FHT184" s="239"/>
      <c r="FHU184" s="239"/>
      <c r="FHV184" s="239"/>
      <c r="FHW184" s="239"/>
      <c r="FHX184" s="239"/>
      <c r="FHY184" s="239"/>
      <c r="FHZ184" s="239"/>
      <c r="FIA184" s="239"/>
      <c r="FIB184" s="239"/>
      <c r="FIC184" s="239"/>
      <c r="FID184" s="239"/>
      <c r="FIE184" s="239"/>
      <c r="FIF184" s="239"/>
      <c r="FIG184" s="239"/>
      <c r="FIH184" s="239"/>
      <c r="FII184" s="239"/>
      <c r="FIJ184" s="239"/>
      <c r="FIK184" s="239"/>
      <c r="FIL184" s="239"/>
      <c r="FIM184" s="239"/>
      <c r="FIN184" s="239"/>
      <c r="FIO184" s="239"/>
      <c r="FIP184" s="239"/>
      <c r="FIQ184" s="239"/>
      <c r="FIR184" s="239"/>
      <c r="FIS184" s="239"/>
      <c r="FIT184" s="239"/>
      <c r="FIU184" s="239"/>
      <c r="FIV184" s="239"/>
      <c r="FIW184" s="239"/>
      <c r="FIX184" s="239"/>
      <c r="FIY184" s="239"/>
      <c r="FIZ184" s="239"/>
      <c r="FJA184" s="239"/>
      <c r="FJB184" s="239"/>
      <c r="FJC184" s="239"/>
      <c r="FJD184" s="239"/>
      <c r="FJE184" s="239"/>
      <c r="FJF184" s="239"/>
      <c r="FJG184" s="239"/>
      <c r="FJH184" s="239"/>
      <c r="FJI184" s="239"/>
      <c r="FJJ184" s="239"/>
      <c r="FJK184" s="239"/>
      <c r="FJL184" s="239"/>
      <c r="FJM184" s="239"/>
      <c r="FJN184" s="239"/>
      <c r="FJO184" s="239"/>
      <c r="FJP184" s="239"/>
      <c r="FJQ184" s="239"/>
      <c r="FJR184" s="239"/>
      <c r="FJS184" s="239"/>
      <c r="FJT184" s="239"/>
      <c r="FJU184" s="239"/>
      <c r="FJV184" s="239"/>
      <c r="FJW184" s="239"/>
      <c r="FJX184" s="239"/>
      <c r="FJY184" s="239"/>
      <c r="FJZ184" s="239"/>
      <c r="FKA184" s="239"/>
      <c r="FKB184" s="239"/>
      <c r="FKC184" s="239"/>
      <c r="FKD184" s="239"/>
      <c r="FKE184" s="239"/>
      <c r="FKF184" s="239"/>
      <c r="FKG184" s="239"/>
      <c r="FKH184" s="239"/>
      <c r="FKI184" s="239"/>
      <c r="FKJ184" s="239"/>
      <c r="FKK184" s="239"/>
      <c r="FKL184" s="239"/>
      <c r="FKM184" s="239"/>
      <c r="FKN184" s="239"/>
      <c r="FKO184" s="239"/>
      <c r="FKP184" s="239"/>
      <c r="FKQ184" s="239"/>
      <c r="FKR184" s="239"/>
      <c r="FKS184" s="239"/>
      <c r="FKT184" s="239"/>
      <c r="FKU184" s="239"/>
      <c r="FKV184" s="239"/>
      <c r="FKW184" s="239"/>
      <c r="FKX184" s="239"/>
      <c r="FKY184" s="239"/>
      <c r="FKZ184" s="239"/>
      <c r="FLA184" s="239"/>
      <c r="FLB184" s="239"/>
      <c r="FLC184" s="239"/>
      <c r="FLD184" s="239"/>
      <c r="FLE184" s="239"/>
      <c r="FLF184" s="239"/>
      <c r="FLG184" s="239"/>
      <c r="FLH184" s="239"/>
      <c r="FLI184" s="239"/>
      <c r="FLJ184" s="239"/>
      <c r="FLK184" s="239"/>
      <c r="FLL184" s="239"/>
      <c r="FLM184" s="239"/>
      <c r="FLN184" s="239"/>
      <c r="FLO184" s="239"/>
      <c r="FLP184" s="239"/>
      <c r="FLQ184" s="239"/>
      <c r="FLR184" s="239"/>
      <c r="FLS184" s="239"/>
      <c r="FLT184" s="239"/>
      <c r="FLU184" s="239"/>
      <c r="FLV184" s="239"/>
      <c r="FLW184" s="239"/>
      <c r="FLX184" s="239"/>
      <c r="FLY184" s="239"/>
      <c r="FLZ184" s="239"/>
      <c r="FMA184" s="239"/>
      <c r="FMB184" s="239"/>
      <c r="FMC184" s="239"/>
      <c r="FMD184" s="239"/>
      <c r="FME184" s="239"/>
      <c r="FMF184" s="239"/>
      <c r="FMG184" s="239"/>
      <c r="FMH184" s="239"/>
      <c r="FMI184" s="239"/>
      <c r="FMJ184" s="239"/>
      <c r="FMK184" s="239"/>
      <c r="FML184" s="239"/>
      <c r="FMM184" s="239"/>
      <c r="FMN184" s="239"/>
      <c r="FMO184" s="239"/>
      <c r="FMP184" s="239"/>
      <c r="FMQ184" s="239"/>
      <c r="FMR184" s="239"/>
      <c r="FMS184" s="239"/>
      <c r="FMT184" s="239"/>
      <c r="FMU184" s="239"/>
      <c r="FMV184" s="239"/>
      <c r="FMW184" s="239"/>
      <c r="FMX184" s="239"/>
      <c r="FMY184" s="239"/>
      <c r="FMZ184" s="239"/>
      <c r="FNA184" s="239"/>
      <c r="FNB184" s="239"/>
      <c r="FNC184" s="239"/>
      <c r="FND184" s="239"/>
      <c r="FNE184" s="239"/>
      <c r="FNF184" s="239"/>
      <c r="FNG184" s="239"/>
      <c r="FNH184" s="239"/>
      <c r="FNI184" s="239"/>
      <c r="FNJ184" s="239"/>
      <c r="FNK184" s="239"/>
      <c r="FNL184" s="239"/>
      <c r="FNM184" s="239"/>
      <c r="FNN184" s="239"/>
      <c r="FNO184" s="239"/>
      <c r="FNP184" s="239"/>
      <c r="FNQ184" s="239"/>
      <c r="FNR184" s="239"/>
      <c r="FNS184" s="239"/>
      <c r="FNT184" s="239"/>
      <c r="FNU184" s="239"/>
      <c r="FNV184" s="239"/>
      <c r="FNW184" s="239"/>
      <c r="FNX184" s="239"/>
      <c r="FNY184" s="239"/>
      <c r="FNZ184" s="239"/>
      <c r="FOA184" s="239"/>
      <c r="FOB184" s="239"/>
      <c r="FOC184" s="239"/>
      <c r="FOD184" s="239"/>
      <c r="FOE184" s="239"/>
      <c r="FOF184" s="239"/>
      <c r="FOG184" s="239"/>
      <c r="FOH184" s="239"/>
      <c r="FOI184" s="239"/>
      <c r="FOJ184" s="239"/>
      <c r="FOK184" s="239"/>
      <c r="FOL184" s="239"/>
      <c r="FOM184" s="239"/>
      <c r="FON184" s="239"/>
      <c r="FOO184" s="239"/>
      <c r="FOP184" s="239"/>
      <c r="FOQ184" s="239"/>
      <c r="FOR184" s="239"/>
      <c r="FOS184" s="239"/>
      <c r="FOT184" s="239"/>
      <c r="FOU184" s="239"/>
      <c r="FOV184" s="239"/>
      <c r="FOW184" s="239"/>
      <c r="FOX184" s="239"/>
      <c r="FOY184" s="239"/>
      <c r="FOZ184" s="239"/>
      <c r="FPA184" s="239"/>
      <c r="FPB184" s="239"/>
      <c r="FPC184" s="239"/>
      <c r="FPD184" s="239"/>
      <c r="FPE184" s="239"/>
      <c r="FPF184" s="239"/>
      <c r="FPG184" s="239"/>
      <c r="FPH184" s="239"/>
      <c r="FPI184" s="239"/>
      <c r="FPJ184" s="239"/>
      <c r="FPK184" s="239"/>
      <c r="FPL184" s="239"/>
      <c r="FPM184" s="239"/>
      <c r="FPN184" s="239"/>
      <c r="FPO184" s="239"/>
      <c r="FPP184" s="239"/>
      <c r="FPQ184" s="239"/>
      <c r="FPR184" s="239"/>
      <c r="FPS184" s="239"/>
      <c r="FPT184" s="239"/>
      <c r="FPU184" s="239"/>
      <c r="FPV184" s="239"/>
      <c r="FPW184" s="239"/>
      <c r="FPX184" s="239"/>
      <c r="FPY184" s="239"/>
      <c r="FPZ184" s="239"/>
      <c r="FQA184" s="239"/>
      <c r="FQB184" s="239"/>
      <c r="FQC184" s="239"/>
      <c r="FQD184" s="239"/>
      <c r="FQE184" s="239"/>
      <c r="FQF184" s="239"/>
      <c r="FQG184" s="239"/>
      <c r="FQH184" s="239"/>
      <c r="FQI184" s="239"/>
      <c r="FQJ184" s="239"/>
      <c r="FQK184" s="239"/>
      <c r="FQL184" s="239"/>
      <c r="FQM184" s="239"/>
      <c r="FQN184" s="239"/>
      <c r="FQO184" s="239"/>
      <c r="FQP184" s="239"/>
      <c r="FQQ184" s="239"/>
      <c r="FQR184" s="239"/>
      <c r="FQS184" s="239"/>
      <c r="FQT184" s="239"/>
      <c r="FQU184" s="239"/>
      <c r="FQV184" s="239"/>
      <c r="FQW184" s="239"/>
      <c r="FQX184" s="239"/>
      <c r="FQY184" s="239"/>
      <c r="FQZ184" s="239"/>
      <c r="FRA184" s="239"/>
      <c r="FRB184" s="239"/>
      <c r="FRC184" s="239"/>
      <c r="FRD184" s="239"/>
      <c r="FRE184" s="239"/>
      <c r="FRF184" s="239"/>
      <c r="FRG184" s="239"/>
      <c r="FRH184" s="239"/>
      <c r="FRI184" s="239"/>
      <c r="FRJ184" s="239"/>
      <c r="FRK184" s="239"/>
      <c r="FRL184" s="239"/>
      <c r="FRM184" s="239"/>
      <c r="FRN184" s="239"/>
      <c r="FRO184" s="239"/>
      <c r="FRP184" s="239"/>
      <c r="FRQ184" s="239"/>
      <c r="FRR184" s="239"/>
      <c r="FRS184" s="239"/>
      <c r="FRT184" s="239"/>
      <c r="FRU184" s="239"/>
      <c r="FRV184" s="239"/>
      <c r="FRW184" s="239"/>
      <c r="FRX184" s="239"/>
      <c r="FRY184" s="239"/>
      <c r="FRZ184" s="239"/>
      <c r="FSA184" s="239"/>
      <c r="FSB184" s="239"/>
      <c r="FSC184" s="239"/>
      <c r="FSD184" s="239"/>
      <c r="FSE184" s="239"/>
      <c r="FSF184" s="239"/>
      <c r="FSG184" s="239"/>
      <c r="FSH184" s="239"/>
      <c r="FSI184" s="239"/>
      <c r="FSJ184" s="239"/>
      <c r="FSK184" s="239"/>
      <c r="FSL184" s="239"/>
      <c r="FSM184" s="239"/>
      <c r="FSN184" s="239"/>
      <c r="FSO184" s="239"/>
      <c r="FSP184" s="239"/>
      <c r="FSQ184" s="239"/>
      <c r="FSR184" s="239"/>
      <c r="FSS184" s="239"/>
      <c r="FST184" s="239"/>
      <c r="FSU184" s="239"/>
      <c r="FSV184" s="239"/>
      <c r="FSW184" s="239"/>
      <c r="FSX184" s="239"/>
      <c r="FSY184" s="239"/>
      <c r="FSZ184" s="239"/>
      <c r="FTA184" s="239"/>
      <c r="FTB184" s="239"/>
      <c r="FTC184" s="239"/>
      <c r="FTD184" s="239"/>
      <c r="FTE184" s="239"/>
      <c r="FTF184" s="239"/>
      <c r="FTG184" s="239"/>
      <c r="FTH184" s="239"/>
      <c r="FTI184" s="239"/>
      <c r="FTJ184" s="239"/>
      <c r="FTK184" s="239"/>
      <c r="FTL184" s="239"/>
      <c r="FTM184" s="239"/>
      <c r="FTN184" s="239"/>
      <c r="FTO184" s="239"/>
      <c r="FTP184" s="239"/>
      <c r="FTQ184" s="239"/>
      <c r="FTR184" s="239"/>
      <c r="FTS184" s="239"/>
      <c r="FTT184" s="239"/>
      <c r="FTU184" s="239"/>
      <c r="FTV184" s="239"/>
      <c r="FTW184" s="239"/>
      <c r="FTX184" s="239"/>
      <c r="FTY184" s="239"/>
      <c r="FTZ184" s="239"/>
      <c r="FUA184" s="239"/>
      <c r="FUB184" s="239"/>
      <c r="FUC184" s="239"/>
      <c r="FUD184" s="239"/>
      <c r="FUE184" s="239"/>
      <c r="FUF184" s="239"/>
      <c r="FUG184" s="239"/>
      <c r="FUH184" s="239"/>
      <c r="FUI184" s="239"/>
      <c r="FUJ184" s="239"/>
      <c r="FUK184" s="239"/>
      <c r="FUL184" s="239"/>
      <c r="FUM184" s="239"/>
      <c r="FUN184" s="239"/>
      <c r="FUO184" s="239"/>
      <c r="FUP184" s="239"/>
      <c r="FUQ184" s="239"/>
      <c r="FUR184" s="239"/>
      <c r="FUS184" s="239"/>
      <c r="FUT184" s="239"/>
      <c r="FUU184" s="239"/>
      <c r="FUV184" s="239"/>
      <c r="FUW184" s="239"/>
      <c r="FUX184" s="239"/>
      <c r="FUY184" s="239"/>
      <c r="FUZ184" s="239"/>
      <c r="FVA184" s="239"/>
      <c r="FVB184" s="239"/>
      <c r="FVC184" s="239"/>
      <c r="FVD184" s="239"/>
      <c r="FVE184" s="239"/>
      <c r="FVF184" s="239"/>
      <c r="FVG184" s="239"/>
      <c r="FVH184" s="239"/>
      <c r="FVI184" s="239"/>
      <c r="FVJ184" s="239"/>
      <c r="FVK184" s="239"/>
      <c r="FVL184" s="239"/>
      <c r="FVM184" s="239"/>
      <c r="FVN184" s="239"/>
      <c r="FVO184" s="239"/>
      <c r="FVP184" s="239"/>
      <c r="FVQ184" s="239"/>
      <c r="FVR184" s="239"/>
      <c r="FVS184" s="239"/>
      <c r="FVT184" s="239"/>
      <c r="FVU184" s="239"/>
      <c r="FVV184" s="239"/>
      <c r="FVW184" s="239"/>
      <c r="FVX184" s="239"/>
      <c r="FVY184" s="239"/>
      <c r="FVZ184" s="239"/>
      <c r="FWA184" s="239"/>
      <c r="FWB184" s="239"/>
      <c r="FWC184" s="239"/>
      <c r="FWD184" s="239"/>
      <c r="FWE184" s="239"/>
      <c r="FWF184" s="239"/>
      <c r="FWG184" s="239"/>
      <c r="FWH184" s="239"/>
      <c r="FWI184" s="239"/>
      <c r="FWJ184" s="239"/>
      <c r="FWK184" s="239"/>
      <c r="FWL184" s="239"/>
      <c r="FWM184" s="239"/>
      <c r="FWN184" s="239"/>
      <c r="FWO184" s="239"/>
      <c r="FWP184" s="239"/>
      <c r="FWQ184" s="239"/>
      <c r="FWR184" s="239"/>
      <c r="FWS184" s="239"/>
      <c r="FWT184" s="239"/>
      <c r="FWU184" s="239"/>
      <c r="FWV184" s="239"/>
      <c r="FWW184" s="239"/>
      <c r="FWX184" s="239"/>
      <c r="FWY184" s="239"/>
      <c r="FWZ184" s="239"/>
      <c r="FXA184" s="239"/>
      <c r="FXB184" s="239"/>
      <c r="FXC184" s="239"/>
      <c r="FXD184" s="239"/>
      <c r="FXE184" s="239"/>
      <c r="FXF184" s="239"/>
      <c r="FXG184" s="239"/>
      <c r="FXH184" s="239"/>
      <c r="FXI184" s="239"/>
      <c r="FXJ184" s="239"/>
      <c r="FXK184" s="239"/>
      <c r="FXL184" s="239"/>
      <c r="FXM184" s="239"/>
      <c r="FXN184" s="239"/>
      <c r="FXO184" s="239"/>
      <c r="FXP184" s="239"/>
      <c r="FXQ184" s="239"/>
      <c r="FXR184" s="239"/>
      <c r="FXS184" s="239"/>
      <c r="FXT184" s="239"/>
      <c r="FXU184" s="239"/>
      <c r="FXV184" s="239"/>
      <c r="FXW184" s="239"/>
      <c r="FXX184" s="239"/>
      <c r="FXY184" s="239"/>
      <c r="FXZ184" s="239"/>
      <c r="FYA184" s="239"/>
      <c r="FYB184" s="239"/>
      <c r="FYC184" s="239"/>
      <c r="FYD184" s="239"/>
      <c r="FYE184" s="239"/>
      <c r="FYF184" s="239"/>
      <c r="FYG184" s="239"/>
      <c r="FYH184" s="239"/>
      <c r="FYI184" s="239"/>
      <c r="FYJ184" s="239"/>
      <c r="FYK184" s="239"/>
      <c r="FYL184" s="239"/>
      <c r="FYM184" s="239"/>
      <c r="FYN184" s="239"/>
      <c r="FYO184" s="239"/>
      <c r="FYP184" s="239"/>
      <c r="FYQ184" s="239"/>
      <c r="FYR184" s="239"/>
      <c r="FYS184" s="239"/>
      <c r="FYT184" s="239"/>
      <c r="FYU184" s="239"/>
      <c r="FYV184" s="239"/>
      <c r="FYW184" s="239"/>
      <c r="FYX184" s="239"/>
      <c r="FYY184" s="239"/>
      <c r="FYZ184" s="239"/>
      <c r="FZA184" s="239"/>
      <c r="FZB184" s="239"/>
      <c r="FZC184" s="239"/>
      <c r="FZD184" s="239"/>
      <c r="FZE184" s="239"/>
      <c r="FZF184" s="239"/>
      <c r="FZG184" s="239"/>
      <c r="FZH184" s="239"/>
      <c r="FZI184" s="239"/>
      <c r="FZJ184" s="239"/>
      <c r="FZK184" s="239"/>
      <c r="FZL184" s="239"/>
      <c r="FZM184" s="239"/>
      <c r="FZN184" s="239"/>
      <c r="FZO184" s="239"/>
      <c r="FZP184" s="239"/>
      <c r="FZQ184" s="239"/>
      <c r="FZR184" s="239"/>
      <c r="FZS184" s="239"/>
      <c r="FZT184" s="239"/>
      <c r="FZU184" s="239"/>
      <c r="FZV184" s="239"/>
      <c r="FZW184" s="239"/>
      <c r="FZX184" s="239"/>
      <c r="FZY184" s="239"/>
      <c r="FZZ184" s="239"/>
      <c r="GAA184" s="239"/>
      <c r="GAB184" s="239"/>
      <c r="GAC184" s="239"/>
      <c r="GAD184" s="239"/>
      <c r="GAE184" s="239"/>
      <c r="GAF184" s="239"/>
      <c r="GAG184" s="239"/>
      <c r="GAH184" s="239"/>
      <c r="GAI184" s="239"/>
      <c r="GAJ184" s="239"/>
      <c r="GAK184" s="239"/>
      <c r="GAL184" s="239"/>
      <c r="GAM184" s="239"/>
      <c r="GAN184" s="239"/>
      <c r="GAO184" s="239"/>
      <c r="GAP184" s="239"/>
      <c r="GAQ184" s="239"/>
      <c r="GAR184" s="239"/>
      <c r="GAS184" s="239"/>
      <c r="GAT184" s="239"/>
      <c r="GAU184" s="239"/>
      <c r="GAV184" s="239"/>
      <c r="GAW184" s="239"/>
      <c r="GAX184" s="239"/>
      <c r="GAY184" s="239"/>
      <c r="GAZ184" s="239"/>
      <c r="GBA184" s="239"/>
      <c r="GBB184" s="239"/>
      <c r="GBC184" s="239"/>
      <c r="GBD184" s="239"/>
      <c r="GBE184" s="239"/>
      <c r="GBF184" s="239"/>
      <c r="GBG184" s="239"/>
      <c r="GBH184" s="239"/>
      <c r="GBI184" s="239"/>
      <c r="GBJ184" s="239"/>
      <c r="GBK184" s="239"/>
      <c r="GBL184" s="239"/>
      <c r="GBM184" s="239"/>
      <c r="GBN184" s="239"/>
      <c r="GBO184" s="239"/>
      <c r="GBP184" s="239"/>
      <c r="GBQ184" s="239"/>
      <c r="GBR184" s="239"/>
      <c r="GBS184" s="239"/>
      <c r="GBT184" s="239"/>
      <c r="GBU184" s="239"/>
      <c r="GBV184" s="239"/>
      <c r="GBW184" s="239"/>
      <c r="GBX184" s="239"/>
      <c r="GBY184" s="239"/>
      <c r="GBZ184" s="239"/>
      <c r="GCA184" s="239"/>
      <c r="GCB184" s="239"/>
      <c r="GCC184" s="239"/>
      <c r="GCD184" s="239"/>
      <c r="GCE184" s="239"/>
      <c r="GCF184" s="239"/>
      <c r="GCG184" s="239"/>
      <c r="GCH184" s="239"/>
      <c r="GCI184" s="239"/>
      <c r="GCJ184" s="239"/>
      <c r="GCK184" s="239"/>
      <c r="GCL184" s="239"/>
      <c r="GCM184" s="239"/>
      <c r="GCN184" s="239"/>
      <c r="GCO184" s="239"/>
      <c r="GCP184" s="239"/>
      <c r="GCQ184" s="239"/>
      <c r="GCR184" s="239"/>
      <c r="GCS184" s="239"/>
      <c r="GCT184" s="239"/>
      <c r="GCU184" s="239"/>
      <c r="GCV184" s="239"/>
      <c r="GCW184" s="239"/>
      <c r="GCX184" s="239"/>
      <c r="GCY184" s="239"/>
      <c r="GCZ184" s="239"/>
      <c r="GDA184" s="239"/>
      <c r="GDB184" s="239"/>
      <c r="GDC184" s="239"/>
      <c r="GDD184" s="239"/>
      <c r="GDE184" s="239"/>
      <c r="GDF184" s="239"/>
      <c r="GDG184" s="239"/>
      <c r="GDH184" s="239"/>
      <c r="GDI184" s="239"/>
      <c r="GDJ184" s="239"/>
      <c r="GDK184" s="239"/>
      <c r="GDL184" s="239"/>
      <c r="GDM184" s="239"/>
      <c r="GDN184" s="239"/>
      <c r="GDO184" s="239"/>
      <c r="GDP184" s="239"/>
      <c r="GDQ184" s="239"/>
      <c r="GDR184" s="239"/>
      <c r="GDS184" s="239"/>
      <c r="GDT184" s="239"/>
      <c r="GDU184" s="239"/>
      <c r="GDV184" s="239"/>
      <c r="GDW184" s="239"/>
      <c r="GDX184" s="239"/>
      <c r="GDY184" s="239"/>
      <c r="GDZ184" s="239"/>
      <c r="GEA184" s="239"/>
      <c r="GEB184" s="239"/>
      <c r="GEC184" s="239"/>
      <c r="GED184" s="239"/>
      <c r="GEE184" s="239"/>
      <c r="GEF184" s="239"/>
      <c r="GEG184" s="239"/>
      <c r="GEH184" s="239"/>
      <c r="GEI184" s="239"/>
      <c r="GEJ184" s="239"/>
      <c r="GEK184" s="239"/>
      <c r="GEL184" s="239"/>
      <c r="GEM184" s="239"/>
      <c r="GEN184" s="239"/>
      <c r="GEO184" s="239"/>
      <c r="GEP184" s="239"/>
      <c r="GEQ184" s="239"/>
      <c r="GER184" s="239"/>
      <c r="GES184" s="239"/>
      <c r="GET184" s="239"/>
      <c r="GEU184" s="239"/>
      <c r="GEV184" s="239"/>
      <c r="GEW184" s="239"/>
      <c r="GEX184" s="239"/>
      <c r="GEY184" s="239"/>
      <c r="GEZ184" s="239"/>
      <c r="GFA184" s="239"/>
      <c r="GFB184" s="239"/>
      <c r="GFC184" s="239"/>
      <c r="GFD184" s="239"/>
      <c r="GFE184" s="239"/>
      <c r="GFF184" s="239"/>
      <c r="GFG184" s="239"/>
      <c r="GFH184" s="239"/>
      <c r="GFI184" s="239"/>
      <c r="GFJ184" s="239"/>
      <c r="GFK184" s="239"/>
      <c r="GFL184" s="239"/>
      <c r="GFM184" s="239"/>
      <c r="GFN184" s="239"/>
      <c r="GFO184" s="239"/>
      <c r="GFP184" s="239"/>
      <c r="GFQ184" s="239"/>
      <c r="GFR184" s="239"/>
      <c r="GFS184" s="239"/>
      <c r="GFT184" s="239"/>
      <c r="GFU184" s="239"/>
      <c r="GFV184" s="239"/>
      <c r="GFW184" s="239"/>
      <c r="GFX184" s="239"/>
      <c r="GFY184" s="239"/>
      <c r="GFZ184" s="239"/>
      <c r="GGA184" s="239"/>
      <c r="GGB184" s="239"/>
      <c r="GGC184" s="239"/>
      <c r="GGD184" s="239"/>
      <c r="GGE184" s="239"/>
      <c r="GGF184" s="239"/>
      <c r="GGG184" s="239"/>
      <c r="GGH184" s="239"/>
      <c r="GGI184" s="239"/>
      <c r="GGJ184" s="239"/>
      <c r="GGK184" s="239"/>
      <c r="GGL184" s="239"/>
      <c r="GGM184" s="239"/>
      <c r="GGN184" s="239"/>
      <c r="GGO184" s="239"/>
      <c r="GGP184" s="239"/>
      <c r="GGQ184" s="239"/>
      <c r="GGR184" s="239"/>
      <c r="GGS184" s="239"/>
      <c r="GGT184" s="239"/>
      <c r="GGU184" s="239"/>
      <c r="GGV184" s="239"/>
      <c r="GGW184" s="239"/>
      <c r="GGX184" s="239"/>
      <c r="GGY184" s="239"/>
      <c r="GGZ184" s="239"/>
      <c r="GHA184" s="239"/>
      <c r="GHB184" s="239"/>
      <c r="GHC184" s="239"/>
      <c r="GHD184" s="239"/>
      <c r="GHE184" s="239"/>
      <c r="GHF184" s="239"/>
      <c r="GHG184" s="239"/>
      <c r="GHH184" s="239"/>
      <c r="GHI184" s="239"/>
      <c r="GHJ184" s="239"/>
      <c r="GHK184" s="239"/>
      <c r="GHL184" s="239"/>
      <c r="GHM184" s="239"/>
      <c r="GHN184" s="239"/>
      <c r="GHO184" s="239"/>
      <c r="GHP184" s="239"/>
      <c r="GHQ184" s="239"/>
      <c r="GHR184" s="239"/>
      <c r="GHS184" s="239"/>
      <c r="GHT184" s="239"/>
      <c r="GHU184" s="239"/>
      <c r="GHV184" s="239"/>
      <c r="GHW184" s="239"/>
      <c r="GHX184" s="239"/>
      <c r="GHY184" s="239"/>
      <c r="GHZ184" s="239"/>
      <c r="GIA184" s="239"/>
      <c r="GIB184" s="239"/>
      <c r="GIC184" s="239"/>
      <c r="GID184" s="239"/>
      <c r="GIE184" s="239"/>
      <c r="GIF184" s="239"/>
      <c r="GIG184" s="239"/>
      <c r="GIH184" s="239"/>
      <c r="GII184" s="239"/>
      <c r="GIJ184" s="239"/>
      <c r="GIK184" s="239"/>
      <c r="GIL184" s="239"/>
      <c r="GIM184" s="239"/>
      <c r="GIN184" s="239"/>
      <c r="GIO184" s="239"/>
      <c r="GIP184" s="239"/>
      <c r="GIQ184" s="239"/>
      <c r="GIR184" s="239"/>
      <c r="GIS184" s="239"/>
      <c r="GIT184" s="239"/>
      <c r="GIU184" s="239"/>
      <c r="GIV184" s="239"/>
      <c r="GIW184" s="239"/>
      <c r="GIX184" s="239"/>
      <c r="GIY184" s="239"/>
      <c r="GIZ184" s="239"/>
      <c r="GJA184" s="239"/>
      <c r="GJB184" s="239"/>
      <c r="GJC184" s="239"/>
      <c r="GJD184" s="239"/>
      <c r="GJE184" s="239"/>
      <c r="GJF184" s="239"/>
      <c r="GJG184" s="239"/>
      <c r="GJH184" s="239"/>
      <c r="GJI184" s="239"/>
      <c r="GJJ184" s="239"/>
      <c r="GJK184" s="239"/>
      <c r="GJL184" s="239"/>
      <c r="GJM184" s="239"/>
      <c r="GJN184" s="239"/>
      <c r="GJO184" s="239"/>
      <c r="GJP184" s="239"/>
      <c r="GJQ184" s="239"/>
      <c r="GJR184" s="239"/>
      <c r="GJS184" s="239"/>
      <c r="GJT184" s="239"/>
      <c r="GJU184" s="239"/>
      <c r="GJV184" s="239"/>
      <c r="GJW184" s="239"/>
      <c r="GJX184" s="239"/>
      <c r="GJY184" s="239"/>
      <c r="GJZ184" s="239"/>
      <c r="GKA184" s="239"/>
      <c r="GKB184" s="239"/>
      <c r="GKC184" s="239"/>
      <c r="GKD184" s="239"/>
      <c r="GKE184" s="239"/>
      <c r="GKF184" s="239"/>
      <c r="GKG184" s="239"/>
      <c r="GKH184" s="239"/>
      <c r="GKI184" s="239"/>
      <c r="GKJ184" s="239"/>
      <c r="GKK184" s="239"/>
      <c r="GKL184" s="239"/>
      <c r="GKM184" s="239"/>
      <c r="GKN184" s="239"/>
      <c r="GKO184" s="239"/>
      <c r="GKP184" s="239"/>
      <c r="GKQ184" s="239"/>
      <c r="GKR184" s="239"/>
      <c r="GKS184" s="239"/>
      <c r="GKT184" s="239"/>
      <c r="GKU184" s="239"/>
      <c r="GKV184" s="239"/>
      <c r="GKW184" s="239"/>
      <c r="GKX184" s="239"/>
      <c r="GKY184" s="239"/>
      <c r="GKZ184" s="239"/>
      <c r="GLA184" s="239"/>
      <c r="GLB184" s="239"/>
      <c r="GLC184" s="239"/>
      <c r="GLD184" s="239"/>
      <c r="GLE184" s="239"/>
      <c r="GLF184" s="239"/>
      <c r="GLG184" s="239"/>
      <c r="GLH184" s="239"/>
      <c r="GLI184" s="239"/>
      <c r="GLJ184" s="239"/>
      <c r="GLK184" s="239"/>
      <c r="GLL184" s="239"/>
      <c r="GLM184" s="239"/>
      <c r="GLN184" s="239"/>
      <c r="GLO184" s="239"/>
      <c r="GLP184" s="239"/>
      <c r="GLQ184" s="239"/>
      <c r="GLR184" s="239"/>
      <c r="GLS184" s="239"/>
      <c r="GLT184" s="239"/>
      <c r="GLU184" s="239"/>
      <c r="GLV184" s="239"/>
      <c r="GLW184" s="239"/>
      <c r="GLX184" s="239"/>
      <c r="GLY184" s="239"/>
      <c r="GLZ184" s="239"/>
      <c r="GMA184" s="239"/>
      <c r="GMB184" s="239"/>
      <c r="GMC184" s="239"/>
      <c r="GMD184" s="239"/>
      <c r="GME184" s="239"/>
      <c r="GMF184" s="239"/>
      <c r="GMG184" s="239"/>
      <c r="GMH184" s="239"/>
      <c r="GMI184" s="239"/>
      <c r="GMJ184" s="239"/>
      <c r="GMK184" s="239"/>
      <c r="GML184" s="239"/>
      <c r="GMM184" s="239"/>
      <c r="GMN184" s="239"/>
      <c r="GMO184" s="239"/>
      <c r="GMP184" s="239"/>
      <c r="GMQ184" s="239"/>
      <c r="GMR184" s="239"/>
      <c r="GMS184" s="239"/>
      <c r="GMT184" s="239"/>
      <c r="GMU184" s="239"/>
      <c r="GMV184" s="239"/>
      <c r="GMW184" s="239"/>
      <c r="GMX184" s="239"/>
      <c r="GMY184" s="239"/>
      <c r="GMZ184" s="239"/>
      <c r="GNA184" s="239"/>
      <c r="GNB184" s="239"/>
      <c r="GNC184" s="239"/>
      <c r="GND184" s="239"/>
      <c r="GNE184" s="239"/>
      <c r="GNF184" s="239"/>
      <c r="GNG184" s="239"/>
      <c r="GNH184" s="239"/>
      <c r="GNI184" s="239"/>
      <c r="GNJ184" s="239"/>
      <c r="GNK184" s="239"/>
      <c r="GNL184" s="239"/>
      <c r="GNM184" s="239"/>
      <c r="GNN184" s="239"/>
      <c r="GNO184" s="239"/>
      <c r="GNP184" s="239"/>
      <c r="GNQ184" s="239"/>
      <c r="GNR184" s="239"/>
      <c r="GNS184" s="239"/>
      <c r="GNT184" s="239"/>
      <c r="GNU184" s="239"/>
      <c r="GNV184" s="239"/>
      <c r="GNW184" s="239"/>
      <c r="GNX184" s="239"/>
      <c r="GNY184" s="239"/>
      <c r="GNZ184" s="239"/>
      <c r="GOA184" s="239"/>
      <c r="GOB184" s="239"/>
      <c r="GOC184" s="239"/>
      <c r="GOD184" s="239"/>
      <c r="GOE184" s="239"/>
      <c r="GOF184" s="239"/>
      <c r="GOG184" s="239"/>
      <c r="GOH184" s="239"/>
      <c r="GOI184" s="239"/>
      <c r="GOJ184" s="239"/>
      <c r="GOK184" s="239"/>
      <c r="GOL184" s="239"/>
      <c r="GOM184" s="239"/>
      <c r="GON184" s="239"/>
      <c r="GOO184" s="239"/>
      <c r="GOP184" s="239"/>
      <c r="GOQ184" s="239"/>
      <c r="GOR184" s="239"/>
      <c r="GOS184" s="239"/>
      <c r="GOT184" s="239"/>
      <c r="GOU184" s="239"/>
      <c r="GOV184" s="239"/>
      <c r="GOW184" s="239"/>
      <c r="GOX184" s="239"/>
      <c r="GOY184" s="239"/>
      <c r="GOZ184" s="239"/>
      <c r="GPA184" s="239"/>
      <c r="GPB184" s="239"/>
      <c r="GPC184" s="239"/>
      <c r="GPD184" s="239"/>
      <c r="GPE184" s="239"/>
      <c r="GPF184" s="239"/>
      <c r="GPG184" s="239"/>
      <c r="GPH184" s="239"/>
      <c r="GPI184" s="239"/>
      <c r="GPJ184" s="239"/>
      <c r="GPK184" s="239"/>
      <c r="GPL184" s="239"/>
      <c r="GPM184" s="239"/>
      <c r="GPN184" s="239"/>
      <c r="GPO184" s="239"/>
      <c r="GPP184" s="239"/>
      <c r="GPQ184" s="239"/>
      <c r="GPR184" s="239"/>
      <c r="GPS184" s="239"/>
      <c r="GPT184" s="239"/>
      <c r="GPU184" s="239"/>
      <c r="GPV184" s="239"/>
      <c r="GPW184" s="239"/>
      <c r="GPX184" s="239"/>
      <c r="GPY184" s="239"/>
      <c r="GPZ184" s="239"/>
      <c r="GQA184" s="239"/>
      <c r="GQB184" s="239"/>
      <c r="GQC184" s="239"/>
      <c r="GQD184" s="239"/>
      <c r="GQE184" s="239"/>
      <c r="GQF184" s="239"/>
      <c r="GQG184" s="239"/>
      <c r="GQH184" s="239"/>
      <c r="GQI184" s="239"/>
      <c r="GQJ184" s="239"/>
      <c r="GQK184" s="239"/>
      <c r="GQL184" s="239"/>
      <c r="GQM184" s="239"/>
      <c r="GQN184" s="239"/>
      <c r="GQO184" s="239"/>
      <c r="GQP184" s="239"/>
      <c r="GQQ184" s="239"/>
      <c r="GQR184" s="239"/>
      <c r="GQS184" s="239"/>
      <c r="GQT184" s="239"/>
      <c r="GQU184" s="239"/>
      <c r="GQV184" s="239"/>
      <c r="GQW184" s="239"/>
      <c r="GQX184" s="239"/>
      <c r="GQY184" s="239"/>
      <c r="GQZ184" s="239"/>
      <c r="GRA184" s="239"/>
      <c r="GRB184" s="239"/>
      <c r="GRC184" s="239"/>
      <c r="GRD184" s="239"/>
      <c r="GRE184" s="239"/>
      <c r="GRF184" s="239"/>
      <c r="GRG184" s="239"/>
      <c r="GRH184" s="239"/>
      <c r="GRI184" s="239"/>
      <c r="GRJ184" s="239"/>
      <c r="GRK184" s="239"/>
      <c r="GRL184" s="239"/>
      <c r="GRM184" s="239"/>
      <c r="GRN184" s="239"/>
      <c r="GRO184" s="239"/>
      <c r="GRP184" s="239"/>
      <c r="GRQ184" s="239"/>
      <c r="GRR184" s="239"/>
      <c r="GRS184" s="239"/>
      <c r="GRT184" s="239"/>
      <c r="GRU184" s="239"/>
      <c r="GRV184" s="239"/>
      <c r="GRW184" s="239"/>
      <c r="GRX184" s="239"/>
      <c r="GRY184" s="239"/>
      <c r="GRZ184" s="239"/>
      <c r="GSA184" s="239"/>
      <c r="GSB184" s="239"/>
      <c r="GSC184" s="239"/>
      <c r="GSD184" s="239"/>
      <c r="GSE184" s="239"/>
      <c r="GSF184" s="239"/>
      <c r="GSG184" s="239"/>
      <c r="GSH184" s="239"/>
      <c r="GSI184" s="239"/>
      <c r="GSJ184" s="239"/>
      <c r="GSK184" s="239"/>
      <c r="GSL184" s="239"/>
      <c r="GSM184" s="239"/>
      <c r="GSN184" s="239"/>
      <c r="GSO184" s="239"/>
      <c r="GSP184" s="239"/>
      <c r="GSQ184" s="239"/>
      <c r="GSR184" s="239"/>
      <c r="GSS184" s="239"/>
      <c r="GST184" s="239"/>
      <c r="GSU184" s="239"/>
      <c r="GSV184" s="239"/>
      <c r="GSW184" s="239"/>
      <c r="GSX184" s="239"/>
      <c r="GSY184" s="239"/>
      <c r="GSZ184" s="239"/>
      <c r="GTA184" s="239"/>
      <c r="GTB184" s="239"/>
      <c r="GTC184" s="239"/>
      <c r="GTD184" s="239"/>
      <c r="GTE184" s="239"/>
      <c r="GTF184" s="239"/>
      <c r="GTG184" s="239"/>
      <c r="GTH184" s="239"/>
      <c r="GTI184" s="239"/>
      <c r="GTJ184" s="239"/>
      <c r="GTK184" s="239"/>
      <c r="GTL184" s="239"/>
      <c r="GTM184" s="239"/>
      <c r="GTN184" s="239"/>
      <c r="GTO184" s="239"/>
      <c r="GTP184" s="239"/>
      <c r="GTQ184" s="239"/>
      <c r="GTR184" s="239"/>
      <c r="GTS184" s="239"/>
      <c r="GTT184" s="239"/>
      <c r="GTU184" s="239"/>
      <c r="GTV184" s="239"/>
      <c r="GTW184" s="239"/>
      <c r="GTX184" s="239"/>
      <c r="GTY184" s="239"/>
      <c r="GTZ184" s="239"/>
      <c r="GUA184" s="239"/>
      <c r="GUB184" s="239"/>
      <c r="GUC184" s="239"/>
      <c r="GUD184" s="239"/>
      <c r="GUE184" s="239"/>
      <c r="GUF184" s="239"/>
      <c r="GUG184" s="239"/>
      <c r="GUH184" s="239"/>
      <c r="GUI184" s="239"/>
      <c r="GUJ184" s="239"/>
      <c r="GUK184" s="239"/>
      <c r="GUL184" s="239"/>
      <c r="GUM184" s="239"/>
      <c r="GUN184" s="239"/>
      <c r="GUO184" s="239"/>
      <c r="GUP184" s="239"/>
      <c r="GUQ184" s="239"/>
      <c r="GUR184" s="239"/>
      <c r="GUS184" s="239"/>
      <c r="GUT184" s="239"/>
      <c r="GUU184" s="239"/>
      <c r="GUV184" s="239"/>
      <c r="GUW184" s="239"/>
      <c r="GUX184" s="239"/>
      <c r="GUY184" s="239"/>
      <c r="GUZ184" s="239"/>
      <c r="GVA184" s="239"/>
      <c r="GVB184" s="239"/>
      <c r="GVC184" s="239"/>
      <c r="GVD184" s="239"/>
      <c r="GVE184" s="239"/>
      <c r="GVF184" s="239"/>
      <c r="GVG184" s="239"/>
      <c r="GVH184" s="239"/>
      <c r="GVI184" s="239"/>
      <c r="GVJ184" s="239"/>
      <c r="GVK184" s="239"/>
      <c r="GVL184" s="239"/>
      <c r="GVM184" s="239"/>
      <c r="GVN184" s="239"/>
      <c r="GVO184" s="239"/>
      <c r="GVP184" s="239"/>
      <c r="GVQ184" s="239"/>
      <c r="GVR184" s="239"/>
      <c r="GVS184" s="239"/>
      <c r="GVT184" s="239"/>
      <c r="GVU184" s="239"/>
      <c r="GVV184" s="239"/>
      <c r="GVW184" s="239"/>
      <c r="GVX184" s="239"/>
      <c r="GVY184" s="239"/>
      <c r="GVZ184" s="239"/>
      <c r="GWA184" s="239"/>
      <c r="GWB184" s="239"/>
      <c r="GWC184" s="239"/>
      <c r="GWD184" s="239"/>
      <c r="GWE184" s="239"/>
      <c r="GWF184" s="239"/>
      <c r="GWG184" s="239"/>
      <c r="GWH184" s="239"/>
      <c r="GWI184" s="239"/>
      <c r="GWJ184" s="239"/>
      <c r="GWK184" s="239"/>
      <c r="GWL184" s="239"/>
      <c r="GWM184" s="239"/>
      <c r="GWN184" s="239"/>
      <c r="GWO184" s="239"/>
      <c r="GWP184" s="239"/>
      <c r="GWQ184" s="239"/>
      <c r="GWR184" s="239"/>
      <c r="GWS184" s="239"/>
      <c r="GWT184" s="239"/>
      <c r="GWU184" s="239"/>
      <c r="GWV184" s="239"/>
      <c r="GWW184" s="239"/>
      <c r="GWX184" s="239"/>
      <c r="GWY184" s="239"/>
      <c r="GWZ184" s="239"/>
      <c r="GXA184" s="239"/>
      <c r="GXB184" s="239"/>
      <c r="GXC184" s="239"/>
      <c r="GXD184" s="239"/>
      <c r="GXE184" s="239"/>
      <c r="GXF184" s="239"/>
      <c r="GXG184" s="239"/>
      <c r="GXH184" s="239"/>
      <c r="GXI184" s="239"/>
      <c r="GXJ184" s="239"/>
      <c r="GXK184" s="239"/>
      <c r="GXL184" s="239"/>
      <c r="GXM184" s="239"/>
      <c r="GXN184" s="239"/>
      <c r="GXO184" s="239"/>
      <c r="GXP184" s="239"/>
      <c r="GXQ184" s="239"/>
      <c r="GXR184" s="239"/>
      <c r="GXS184" s="239"/>
      <c r="GXT184" s="239"/>
      <c r="GXU184" s="239"/>
      <c r="GXV184" s="239"/>
      <c r="GXW184" s="239"/>
      <c r="GXX184" s="239"/>
      <c r="GXY184" s="239"/>
      <c r="GXZ184" s="239"/>
      <c r="GYA184" s="239"/>
      <c r="GYB184" s="239"/>
      <c r="GYC184" s="239"/>
      <c r="GYD184" s="239"/>
      <c r="GYE184" s="239"/>
      <c r="GYF184" s="239"/>
      <c r="GYG184" s="239"/>
      <c r="GYH184" s="239"/>
      <c r="GYI184" s="239"/>
      <c r="GYJ184" s="239"/>
      <c r="GYK184" s="239"/>
      <c r="GYL184" s="239"/>
      <c r="GYM184" s="239"/>
      <c r="GYN184" s="239"/>
      <c r="GYO184" s="239"/>
      <c r="GYP184" s="239"/>
      <c r="GYQ184" s="239"/>
      <c r="GYR184" s="239"/>
      <c r="GYS184" s="239"/>
      <c r="GYT184" s="239"/>
      <c r="GYU184" s="239"/>
      <c r="GYV184" s="239"/>
      <c r="GYW184" s="239"/>
      <c r="GYX184" s="239"/>
      <c r="GYY184" s="239"/>
      <c r="GYZ184" s="239"/>
      <c r="GZA184" s="239"/>
      <c r="GZB184" s="239"/>
      <c r="GZC184" s="239"/>
      <c r="GZD184" s="239"/>
      <c r="GZE184" s="239"/>
      <c r="GZF184" s="239"/>
      <c r="GZG184" s="239"/>
      <c r="GZH184" s="239"/>
      <c r="GZI184" s="239"/>
      <c r="GZJ184" s="239"/>
      <c r="GZK184" s="239"/>
      <c r="GZL184" s="239"/>
      <c r="GZM184" s="239"/>
      <c r="GZN184" s="239"/>
      <c r="GZO184" s="239"/>
      <c r="GZP184" s="239"/>
      <c r="GZQ184" s="239"/>
      <c r="GZR184" s="239"/>
      <c r="GZS184" s="239"/>
      <c r="GZT184" s="239"/>
      <c r="GZU184" s="239"/>
      <c r="GZV184" s="239"/>
      <c r="GZW184" s="239"/>
      <c r="GZX184" s="239"/>
      <c r="GZY184" s="239"/>
      <c r="GZZ184" s="239"/>
      <c r="HAA184" s="239"/>
      <c r="HAB184" s="239"/>
      <c r="HAC184" s="239"/>
      <c r="HAD184" s="239"/>
      <c r="HAE184" s="239"/>
      <c r="HAF184" s="239"/>
      <c r="HAG184" s="239"/>
      <c r="HAH184" s="239"/>
      <c r="HAI184" s="239"/>
      <c r="HAJ184" s="239"/>
      <c r="HAK184" s="239"/>
      <c r="HAL184" s="239"/>
      <c r="HAM184" s="239"/>
      <c r="HAN184" s="239"/>
      <c r="HAO184" s="239"/>
      <c r="HAP184" s="239"/>
      <c r="HAQ184" s="239"/>
      <c r="HAR184" s="239"/>
      <c r="HAS184" s="239"/>
      <c r="HAT184" s="239"/>
      <c r="HAU184" s="239"/>
      <c r="HAV184" s="239"/>
      <c r="HAW184" s="239"/>
      <c r="HAX184" s="239"/>
      <c r="HAY184" s="239"/>
      <c r="HAZ184" s="239"/>
      <c r="HBA184" s="239"/>
      <c r="HBB184" s="239"/>
      <c r="HBC184" s="239"/>
      <c r="HBD184" s="239"/>
      <c r="HBE184" s="239"/>
      <c r="HBF184" s="239"/>
      <c r="HBG184" s="239"/>
      <c r="HBH184" s="239"/>
      <c r="HBI184" s="239"/>
      <c r="HBJ184" s="239"/>
      <c r="HBK184" s="239"/>
      <c r="HBL184" s="239"/>
      <c r="HBM184" s="239"/>
      <c r="HBN184" s="239"/>
      <c r="HBO184" s="239"/>
      <c r="HBP184" s="239"/>
      <c r="HBQ184" s="239"/>
      <c r="HBR184" s="239"/>
      <c r="HBS184" s="239"/>
      <c r="HBT184" s="239"/>
      <c r="HBU184" s="239"/>
      <c r="HBV184" s="239"/>
      <c r="HBW184" s="239"/>
      <c r="HBX184" s="239"/>
      <c r="HBY184" s="239"/>
      <c r="HBZ184" s="239"/>
      <c r="HCA184" s="239"/>
      <c r="HCB184" s="239"/>
      <c r="HCC184" s="239"/>
      <c r="HCD184" s="239"/>
      <c r="HCE184" s="239"/>
      <c r="HCF184" s="239"/>
      <c r="HCG184" s="239"/>
      <c r="HCH184" s="239"/>
      <c r="HCI184" s="239"/>
      <c r="HCJ184" s="239"/>
      <c r="HCK184" s="239"/>
      <c r="HCL184" s="239"/>
      <c r="HCM184" s="239"/>
      <c r="HCN184" s="239"/>
      <c r="HCO184" s="239"/>
      <c r="HCP184" s="239"/>
      <c r="HCQ184" s="239"/>
      <c r="HCR184" s="239"/>
      <c r="HCS184" s="239"/>
      <c r="HCT184" s="239"/>
      <c r="HCU184" s="239"/>
      <c r="HCV184" s="239"/>
      <c r="HCW184" s="239"/>
      <c r="HCX184" s="239"/>
      <c r="HCY184" s="239"/>
      <c r="HCZ184" s="239"/>
      <c r="HDA184" s="239"/>
      <c r="HDB184" s="239"/>
      <c r="HDC184" s="239"/>
      <c r="HDD184" s="239"/>
      <c r="HDE184" s="239"/>
      <c r="HDF184" s="239"/>
      <c r="HDG184" s="239"/>
      <c r="HDH184" s="239"/>
      <c r="HDI184" s="239"/>
      <c r="HDJ184" s="239"/>
      <c r="HDK184" s="239"/>
      <c r="HDL184" s="239"/>
      <c r="HDM184" s="239"/>
      <c r="HDN184" s="239"/>
      <c r="HDO184" s="239"/>
      <c r="HDP184" s="239"/>
      <c r="HDQ184" s="239"/>
      <c r="HDR184" s="239"/>
      <c r="HDS184" s="239"/>
      <c r="HDT184" s="239"/>
      <c r="HDU184" s="239"/>
      <c r="HDV184" s="239"/>
      <c r="HDW184" s="239"/>
      <c r="HDX184" s="239"/>
      <c r="HDY184" s="239"/>
      <c r="HDZ184" s="239"/>
      <c r="HEA184" s="239"/>
      <c r="HEB184" s="239"/>
      <c r="HEC184" s="239"/>
      <c r="HED184" s="239"/>
      <c r="HEE184" s="239"/>
      <c r="HEF184" s="239"/>
      <c r="HEG184" s="239"/>
      <c r="HEH184" s="239"/>
      <c r="HEI184" s="239"/>
      <c r="HEJ184" s="239"/>
      <c r="HEK184" s="239"/>
      <c r="HEL184" s="239"/>
      <c r="HEM184" s="239"/>
      <c r="HEN184" s="239"/>
      <c r="HEO184" s="239"/>
      <c r="HEP184" s="239"/>
      <c r="HEQ184" s="239"/>
      <c r="HER184" s="239"/>
      <c r="HES184" s="239"/>
      <c r="HET184" s="239"/>
      <c r="HEU184" s="239"/>
      <c r="HEV184" s="239"/>
      <c r="HEW184" s="239"/>
      <c r="HEX184" s="239"/>
      <c r="HEY184" s="239"/>
      <c r="HEZ184" s="239"/>
      <c r="HFA184" s="239"/>
      <c r="HFB184" s="239"/>
      <c r="HFC184" s="239"/>
      <c r="HFD184" s="239"/>
      <c r="HFE184" s="239"/>
      <c r="HFF184" s="239"/>
      <c r="HFG184" s="239"/>
      <c r="HFH184" s="239"/>
      <c r="HFI184" s="239"/>
      <c r="HFJ184" s="239"/>
      <c r="HFK184" s="239"/>
      <c r="HFL184" s="239"/>
      <c r="HFM184" s="239"/>
      <c r="HFN184" s="239"/>
      <c r="HFO184" s="239"/>
      <c r="HFP184" s="239"/>
      <c r="HFQ184" s="239"/>
      <c r="HFR184" s="239"/>
      <c r="HFS184" s="239"/>
      <c r="HFT184" s="239"/>
      <c r="HFU184" s="239"/>
      <c r="HFV184" s="239"/>
      <c r="HFW184" s="239"/>
      <c r="HFX184" s="239"/>
      <c r="HFY184" s="239"/>
      <c r="HFZ184" s="239"/>
      <c r="HGA184" s="239"/>
      <c r="HGB184" s="239"/>
      <c r="HGC184" s="239"/>
      <c r="HGD184" s="239"/>
      <c r="HGE184" s="239"/>
      <c r="HGF184" s="239"/>
      <c r="HGG184" s="239"/>
      <c r="HGH184" s="239"/>
      <c r="HGI184" s="239"/>
      <c r="HGJ184" s="239"/>
      <c r="HGK184" s="239"/>
      <c r="HGL184" s="239"/>
      <c r="HGM184" s="239"/>
      <c r="HGN184" s="239"/>
      <c r="HGO184" s="239"/>
      <c r="HGP184" s="239"/>
      <c r="HGQ184" s="239"/>
      <c r="HGR184" s="239"/>
      <c r="HGS184" s="239"/>
      <c r="HGT184" s="239"/>
      <c r="HGU184" s="239"/>
      <c r="HGV184" s="239"/>
      <c r="HGW184" s="239"/>
      <c r="HGX184" s="239"/>
      <c r="HGY184" s="239"/>
      <c r="HGZ184" s="239"/>
      <c r="HHA184" s="239"/>
      <c r="HHB184" s="239"/>
      <c r="HHC184" s="239"/>
      <c r="HHD184" s="239"/>
      <c r="HHE184" s="239"/>
      <c r="HHF184" s="239"/>
      <c r="HHG184" s="239"/>
      <c r="HHH184" s="239"/>
      <c r="HHI184" s="239"/>
      <c r="HHJ184" s="239"/>
      <c r="HHK184" s="239"/>
      <c r="HHL184" s="239"/>
      <c r="HHM184" s="239"/>
      <c r="HHN184" s="239"/>
      <c r="HHO184" s="239"/>
      <c r="HHP184" s="239"/>
      <c r="HHQ184" s="239"/>
      <c r="HHR184" s="239"/>
      <c r="HHS184" s="239"/>
      <c r="HHT184" s="239"/>
      <c r="HHU184" s="239"/>
      <c r="HHV184" s="239"/>
      <c r="HHW184" s="239"/>
      <c r="HHX184" s="239"/>
      <c r="HHY184" s="239"/>
      <c r="HHZ184" s="239"/>
      <c r="HIA184" s="239"/>
      <c r="HIB184" s="239"/>
      <c r="HIC184" s="239"/>
      <c r="HID184" s="239"/>
      <c r="HIE184" s="239"/>
      <c r="HIF184" s="239"/>
      <c r="HIG184" s="239"/>
      <c r="HIH184" s="239"/>
      <c r="HII184" s="239"/>
      <c r="HIJ184" s="239"/>
      <c r="HIK184" s="239"/>
      <c r="HIL184" s="239"/>
      <c r="HIM184" s="239"/>
      <c r="HIN184" s="239"/>
      <c r="HIO184" s="239"/>
      <c r="HIP184" s="239"/>
      <c r="HIQ184" s="239"/>
      <c r="HIR184" s="239"/>
      <c r="HIS184" s="239"/>
      <c r="HIT184" s="239"/>
      <c r="HIU184" s="239"/>
      <c r="HIV184" s="239"/>
      <c r="HIW184" s="239"/>
      <c r="HIX184" s="239"/>
      <c r="HIY184" s="239"/>
      <c r="HIZ184" s="239"/>
      <c r="HJA184" s="239"/>
      <c r="HJB184" s="239"/>
      <c r="HJC184" s="239"/>
      <c r="HJD184" s="239"/>
      <c r="HJE184" s="239"/>
      <c r="HJF184" s="239"/>
      <c r="HJG184" s="239"/>
      <c r="HJH184" s="239"/>
      <c r="HJI184" s="239"/>
      <c r="HJJ184" s="239"/>
      <c r="HJK184" s="239"/>
      <c r="HJL184" s="239"/>
      <c r="HJM184" s="239"/>
      <c r="HJN184" s="239"/>
      <c r="HJO184" s="239"/>
      <c r="HJP184" s="239"/>
      <c r="HJQ184" s="239"/>
      <c r="HJR184" s="239"/>
      <c r="HJS184" s="239"/>
      <c r="HJT184" s="239"/>
      <c r="HJU184" s="239"/>
      <c r="HJV184" s="239"/>
      <c r="HJW184" s="239"/>
      <c r="HJX184" s="239"/>
      <c r="HJY184" s="239"/>
      <c r="HJZ184" s="239"/>
      <c r="HKA184" s="239"/>
      <c r="HKB184" s="239"/>
      <c r="HKC184" s="239"/>
      <c r="HKD184" s="239"/>
      <c r="HKE184" s="239"/>
      <c r="HKF184" s="239"/>
      <c r="HKG184" s="239"/>
      <c r="HKH184" s="239"/>
      <c r="HKI184" s="239"/>
      <c r="HKJ184" s="239"/>
      <c r="HKK184" s="239"/>
      <c r="HKL184" s="239"/>
      <c r="HKM184" s="239"/>
      <c r="HKN184" s="239"/>
      <c r="HKO184" s="239"/>
      <c r="HKP184" s="239"/>
      <c r="HKQ184" s="239"/>
      <c r="HKR184" s="239"/>
      <c r="HKS184" s="239"/>
      <c r="HKT184" s="239"/>
      <c r="HKU184" s="239"/>
      <c r="HKV184" s="239"/>
      <c r="HKW184" s="239"/>
      <c r="HKX184" s="239"/>
      <c r="HKY184" s="239"/>
      <c r="HKZ184" s="239"/>
      <c r="HLA184" s="239"/>
      <c r="HLB184" s="239"/>
      <c r="HLC184" s="239"/>
      <c r="HLD184" s="239"/>
      <c r="HLE184" s="239"/>
      <c r="HLF184" s="239"/>
      <c r="HLG184" s="239"/>
      <c r="HLH184" s="239"/>
      <c r="HLI184" s="239"/>
      <c r="HLJ184" s="239"/>
      <c r="HLK184" s="239"/>
      <c r="HLL184" s="239"/>
      <c r="HLM184" s="239"/>
      <c r="HLN184" s="239"/>
      <c r="HLO184" s="239"/>
      <c r="HLP184" s="239"/>
      <c r="HLQ184" s="239"/>
      <c r="HLR184" s="239"/>
      <c r="HLS184" s="239"/>
      <c r="HLT184" s="239"/>
      <c r="HLU184" s="239"/>
      <c r="HLV184" s="239"/>
      <c r="HLW184" s="239"/>
      <c r="HLX184" s="239"/>
      <c r="HLY184" s="239"/>
      <c r="HLZ184" s="239"/>
      <c r="HMA184" s="239"/>
      <c r="HMB184" s="239"/>
      <c r="HMC184" s="239"/>
      <c r="HMD184" s="239"/>
      <c r="HME184" s="239"/>
      <c r="HMF184" s="239"/>
      <c r="HMG184" s="239"/>
      <c r="HMH184" s="239"/>
      <c r="HMI184" s="239"/>
      <c r="HMJ184" s="239"/>
      <c r="HMK184" s="239"/>
      <c r="HML184" s="239"/>
      <c r="HMM184" s="239"/>
      <c r="HMN184" s="239"/>
      <c r="HMO184" s="239"/>
      <c r="HMP184" s="239"/>
      <c r="HMQ184" s="239"/>
      <c r="HMR184" s="239"/>
      <c r="HMS184" s="239"/>
      <c r="HMT184" s="239"/>
      <c r="HMU184" s="239"/>
      <c r="HMV184" s="239"/>
      <c r="HMW184" s="239"/>
      <c r="HMX184" s="239"/>
      <c r="HMY184" s="239"/>
      <c r="HMZ184" s="239"/>
      <c r="HNA184" s="239"/>
      <c r="HNB184" s="239"/>
      <c r="HNC184" s="239"/>
      <c r="HND184" s="239"/>
      <c r="HNE184" s="239"/>
      <c r="HNF184" s="239"/>
      <c r="HNG184" s="239"/>
      <c r="HNH184" s="239"/>
      <c r="HNI184" s="239"/>
      <c r="HNJ184" s="239"/>
      <c r="HNK184" s="239"/>
      <c r="HNL184" s="239"/>
      <c r="HNM184" s="239"/>
      <c r="HNN184" s="239"/>
      <c r="HNO184" s="239"/>
      <c r="HNP184" s="239"/>
      <c r="HNQ184" s="239"/>
      <c r="HNR184" s="239"/>
      <c r="HNS184" s="239"/>
      <c r="HNT184" s="239"/>
      <c r="HNU184" s="239"/>
      <c r="HNV184" s="239"/>
      <c r="HNW184" s="239"/>
      <c r="HNX184" s="239"/>
      <c r="HNY184" s="239"/>
      <c r="HNZ184" s="239"/>
      <c r="HOA184" s="239"/>
      <c r="HOB184" s="239"/>
      <c r="HOC184" s="239"/>
      <c r="HOD184" s="239"/>
      <c r="HOE184" s="239"/>
      <c r="HOF184" s="239"/>
      <c r="HOG184" s="239"/>
      <c r="HOH184" s="239"/>
      <c r="HOI184" s="239"/>
      <c r="HOJ184" s="239"/>
      <c r="HOK184" s="239"/>
      <c r="HOL184" s="239"/>
      <c r="HOM184" s="239"/>
      <c r="HON184" s="239"/>
      <c r="HOO184" s="239"/>
      <c r="HOP184" s="239"/>
      <c r="HOQ184" s="239"/>
      <c r="HOR184" s="239"/>
      <c r="HOS184" s="239"/>
      <c r="HOT184" s="239"/>
      <c r="HOU184" s="239"/>
      <c r="HOV184" s="239"/>
      <c r="HOW184" s="239"/>
      <c r="HOX184" s="239"/>
      <c r="HOY184" s="239"/>
      <c r="HOZ184" s="239"/>
      <c r="HPA184" s="239"/>
      <c r="HPB184" s="239"/>
      <c r="HPC184" s="239"/>
      <c r="HPD184" s="239"/>
      <c r="HPE184" s="239"/>
      <c r="HPF184" s="239"/>
      <c r="HPG184" s="239"/>
      <c r="HPH184" s="239"/>
      <c r="HPI184" s="239"/>
      <c r="HPJ184" s="239"/>
      <c r="HPK184" s="239"/>
      <c r="HPL184" s="239"/>
      <c r="HPM184" s="239"/>
      <c r="HPN184" s="239"/>
      <c r="HPO184" s="239"/>
      <c r="HPP184" s="239"/>
      <c r="HPQ184" s="239"/>
      <c r="HPR184" s="239"/>
      <c r="HPS184" s="239"/>
      <c r="HPT184" s="239"/>
      <c r="HPU184" s="239"/>
      <c r="HPV184" s="239"/>
      <c r="HPW184" s="239"/>
      <c r="HPX184" s="239"/>
      <c r="HPY184" s="239"/>
      <c r="HPZ184" s="239"/>
      <c r="HQA184" s="239"/>
      <c r="HQB184" s="239"/>
      <c r="HQC184" s="239"/>
      <c r="HQD184" s="239"/>
      <c r="HQE184" s="239"/>
      <c r="HQF184" s="239"/>
      <c r="HQG184" s="239"/>
      <c r="HQH184" s="239"/>
      <c r="HQI184" s="239"/>
      <c r="HQJ184" s="239"/>
      <c r="HQK184" s="239"/>
      <c r="HQL184" s="239"/>
      <c r="HQM184" s="239"/>
      <c r="HQN184" s="239"/>
      <c r="HQO184" s="239"/>
      <c r="HQP184" s="239"/>
      <c r="HQQ184" s="239"/>
      <c r="HQR184" s="239"/>
      <c r="HQS184" s="239"/>
      <c r="HQT184" s="239"/>
      <c r="HQU184" s="239"/>
      <c r="HQV184" s="239"/>
      <c r="HQW184" s="239"/>
      <c r="HQX184" s="239"/>
      <c r="HQY184" s="239"/>
      <c r="HQZ184" s="239"/>
      <c r="HRA184" s="239"/>
      <c r="HRB184" s="239"/>
      <c r="HRC184" s="239"/>
      <c r="HRD184" s="239"/>
      <c r="HRE184" s="239"/>
      <c r="HRF184" s="239"/>
      <c r="HRG184" s="239"/>
      <c r="HRH184" s="239"/>
      <c r="HRI184" s="239"/>
      <c r="HRJ184" s="239"/>
      <c r="HRK184" s="239"/>
      <c r="HRL184" s="239"/>
      <c r="HRM184" s="239"/>
      <c r="HRN184" s="239"/>
      <c r="HRO184" s="239"/>
      <c r="HRP184" s="239"/>
      <c r="HRQ184" s="239"/>
      <c r="HRR184" s="239"/>
      <c r="HRS184" s="239"/>
      <c r="HRT184" s="239"/>
      <c r="HRU184" s="239"/>
      <c r="HRV184" s="239"/>
      <c r="HRW184" s="239"/>
      <c r="HRX184" s="239"/>
      <c r="HRY184" s="239"/>
      <c r="HRZ184" s="239"/>
      <c r="HSA184" s="239"/>
      <c r="HSB184" s="239"/>
      <c r="HSC184" s="239"/>
      <c r="HSD184" s="239"/>
      <c r="HSE184" s="239"/>
      <c r="HSF184" s="239"/>
      <c r="HSG184" s="239"/>
      <c r="HSH184" s="239"/>
      <c r="HSI184" s="239"/>
      <c r="HSJ184" s="239"/>
      <c r="HSK184" s="239"/>
      <c r="HSL184" s="239"/>
      <c r="HSM184" s="239"/>
      <c r="HSN184" s="239"/>
      <c r="HSO184" s="239"/>
      <c r="HSP184" s="239"/>
      <c r="HSQ184" s="239"/>
      <c r="HSR184" s="239"/>
      <c r="HSS184" s="239"/>
      <c r="HST184" s="239"/>
      <c r="HSU184" s="239"/>
      <c r="HSV184" s="239"/>
      <c r="HSW184" s="239"/>
      <c r="HSX184" s="239"/>
      <c r="HSY184" s="239"/>
      <c r="HSZ184" s="239"/>
      <c r="HTA184" s="239"/>
      <c r="HTB184" s="239"/>
      <c r="HTC184" s="239"/>
      <c r="HTD184" s="239"/>
      <c r="HTE184" s="239"/>
      <c r="HTF184" s="239"/>
      <c r="HTG184" s="239"/>
      <c r="HTH184" s="239"/>
      <c r="HTI184" s="239"/>
      <c r="HTJ184" s="239"/>
      <c r="HTK184" s="239"/>
      <c r="HTL184" s="239"/>
      <c r="HTM184" s="239"/>
      <c r="HTN184" s="239"/>
      <c r="HTO184" s="239"/>
      <c r="HTP184" s="239"/>
      <c r="HTQ184" s="239"/>
      <c r="HTR184" s="239"/>
      <c r="HTS184" s="239"/>
      <c r="HTT184" s="239"/>
      <c r="HTU184" s="239"/>
      <c r="HTV184" s="239"/>
      <c r="HTW184" s="239"/>
      <c r="HTX184" s="239"/>
      <c r="HTY184" s="239"/>
      <c r="HTZ184" s="239"/>
      <c r="HUA184" s="239"/>
      <c r="HUB184" s="239"/>
      <c r="HUC184" s="239"/>
      <c r="HUD184" s="239"/>
      <c r="HUE184" s="239"/>
      <c r="HUF184" s="239"/>
      <c r="HUG184" s="239"/>
      <c r="HUH184" s="239"/>
      <c r="HUI184" s="239"/>
      <c r="HUJ184" s="239"/>
      <c r="HUK184" s="239"/>
      <c r="HUL184" s="239"/>
      <c r="HUM184" s="239"/>
      <c r="HUN184" s="239"/>
      <c r="HUO184" s="239"/>
      <c r="HUP184" s="239"/>
      <c r="HUQ184" s="239"/>
      <c r="HUR184" s="239"/>
      <c r="HUS184" s="239"/>
      <c r="HUT184" s="239"/>
      <c r="HUU184" s="239"/>
      <c r="HUV184" s="239"/>
      <c r="HUW184" s="239"/>
      <c r="HUX184" s="239"/>
      <c r="HUY184" s="239"/>
      <c r="HUZ184" s="239"/>
      <c r="HVA184" s="239"/>
      <c r="HVB184" s="239"/>
      <c r="HVC184" s="239"/>
      <c r="HVD184" s="239"/>
      <c r="HVE184" s="239"/>
      <c r="HVF184" s="239"/>
      <c r="HVG184" s="239"/>
      <c r="HVH184" s="239"/>
      <c r="HVI184" s="239"/>
      <c r="HVJ184" s="239"/>
      <c r="HVK184" s="239"/>
      <c r="HVL184" s="239"/>
      <c r="HVM184" s="239"/>
      <c r="HVN184" s="239"/>
      <c r="HVO184" s="239"/>
      <c r="HVP184" s="239"/>
      <c r="HVQ184" s="239"/>
      <c r="HVR184" s="239"/>
      <c r="HVS184" s="239"/>
      <c r="HVT184" s="239"/>
      <c r="HVU184" s="239"/>
      <c r="HVV184" s="239"/>
      <c r="HVW184" s="239"/>
      <c r="HVX184" s="239"/>
      <c r="HVY184" s="239"/>
      <c r="HVZ184" s="239"/>
      <c r="HWA184" s="239"/>
      <c r="HWB184" s="239"/>
      <c r="HWC184" s="239"/>
      <c r="HWD184" s="239"/>
      <c r="HWE184" s="239"/>
      <c r="HWF184" s="239"/>
      <c r="HWG184" s="239"/>
      <c r="HWH184" s="239"/>
      <c r="HWI184" s="239"/>
      <c r="HWJ184" s="239"/>
      <c r="HWK184" s="239"/>
      <c r="HWL184" s="239"/>
      <c r="HWM184" s="239"/>
      <c r="HWN184" s="239"/>
      <c r="HWO184" s="239"/>
      <c r="HWP184" s="239"/>
      <c r="HWQ184" s="239"/>
      <c r="HWR184" s="239"/>
      <c r="HWS184" s="239"/>
      <c r="HWT184" s="239"/>
      <c r="HWU184" s="239"/>
      <c r="HWV184" s="239"/>
      <c r="HWW184" s="239"/>
      <c r="HWX184" s="239"/>
      <c r="HWY184" s="239"/>
      <c r="HWZ184" s="239"/>
      <c r="HXA184" s="239"/>
      <c r="HXB184" s="239"/>
      <c r="HXC184" s="239"/>
      <c r="HXD184" s="239"/>
      <c r="HXE184" s="239"/>
      <c r="HXF184" s="239"/>
      <c r="HXG184" s="239"/>
      <c r="HXH184" s="239"/>
      <c r="HXI184" s="239"/>
      <c r="HXJ184" s="239"/>
      <c r="HXK184" s="239"/>
      <c r="HXL184" s="239"/>
      <c r="HXM184" s="239"/>
      <c r="HXN184" s="239"/>
      <c r="HXO184" s="239"/>
      <c r="HXP184" s="239"/>
      <c r="HXQ184" s="239"/>
      <c r="HXR184" s="239"/>
      <c r="HXS184" s="239"/>
      <c r="HXT184" s="239"/>
      <c r="HXU184" s="239"/>
      <c r="HXV184" s="239"/>
      <c r="HXW184" s="239"/>
      <c r="HXX184" s="239"/>
      <c r="HXY184" s="239"/>
      <c r="HXZ184" s="239"/>
      <c r="HYA184" s="239"/>
      <c r="HYB184" s="239"/>
      <c r="HYC184" s="239"/>
      <c r="HYD184" s="239"/>
      <c r="HYE184" s="239"/>
      <c r="HYF184" s="239"/>
      <c r="HYG184" s="239"/>
      <c r="HYH184" s="239"/>
      <c r="HYI184" s="239"/>
      <c r="HYJ184" s="239"/>
      <c r="HYK184" s="239"/>
      <c r="HYL184" s="239"/>
      <c r="HYM184" s="239"/>
      <c r="HYN184" s="239"/>
      <c r="HYO184" s="239"/>
      <c r="HYP184" s="239"/>
      <c r="HYQ184" s="239"/>
      <c r="HYR184" s="239"/>
      <c r="HYS184" s="239"/>
      <c r="HYT184" s="239"/>
      <c r="HYU184" s="239"/>
      <c r="HYV184" s="239"/>
      <c r="HYW184" s="239"/>
      <c r="HYX184" s="239"/>
      <c r="HYY184" s="239"/>
      <c r="HYZ184" s="239"/>
      <c r="HZA184" s="239"/>
      <c r="HZB184" s="239"/>
      <c r="HZC184" s="239"/>
      <c r="HZD184" s="239"/>
      <c r="HZE184" s="239"/>
      <c r="HZF184" s="239"/>
      <c r="HZG184" s="239"/>
      <c r="HZH184" s="239"/>
      <c r="HZI184" s="239"/>
      <c r="HZJ184" s="239"/>
      <c r="HZK184" s="239"/>
      <c r="HZL184" s="239"/>
      <c r="HZM184" s="239"/>
      <c r="HZN184" s="239"/>
      <c r="HZO184" s="239"/>
      <c r="HZP184" s="239"/>
      <c r="HZQ184" s="239"/>
      <c r="HZR184" s="239"/>
      <c r="HZS184" s="239"/>
      <c r="HZT184" s="239"/>
      <c r="HZU184" s="239"/>
      <c r="HZV184" s="239"/>
      <c r="HZW184" s="239"/>
      <c r="HZX184" s="239"/>
      <c r="HZY184" s="239"/>
      <c r="HZZ184" s="239"/>
      <c r="IAA184" s="239"/>
      <c r="IAB184" s="239"/>
      <c r="IAC184" s="239"/>
      <c r="IAD184" s="239"/>
      <c r="IAE184" s="239"/>
      <c r="IAF184" s="239"/>
      <c r="IAG184" s="239"/>
      <c r="IAH184" s="239"/>
      <c r="IAI184" s="239"/>
      <c r="IAJ184" s="239"/>
      <c r="IAK184" s="239"/>
      <c r="IAL184" s="239"/>
      <c r="IAM184" s="239"/>
      <c r="IAN184" s="239"/>
      <c r="IAO184" s="239"/>
      <c r="IAP184" s="239"/>
      <c r="IAQ184" s="239"/>
      <c r="IAR184" s="239"/>
      <c r="IAS184" s="239"/>
      <c r="IAT184" s="239"/>
      <c r="IAU184" s="239"/>
      <c r="IAV184" s="239"/>
      <c r="IAW184" s="239"/>
      <c r="IAX184" s="239"/>
      <c r="IAY184" s="239"/>
      <c r="IAZ184" s="239"/>
      <c r="IBA184" s="239"/>
      <c r="IBB184" s="239"/>
      <c r="IBC184" s="239"/>
      <c r="IBD184" s="239"/>
      <c r="IBE184" s="239"/>
      <c r="IBF184" s="239"/>
      <c r="IBG184" s="239"/>
      <c r="IBH184" s="239"/>
      <c r="IBI184" s="239"/>
      <c r="IBJ184" s="239"/>
      <c r="IBK184" s="239"/>
      <c r="IBL184" s="239"/>
      <c r="IBM184" s="239"/>
      <c r="IBN184" s="239"/>
      <c r="IBO184" s="239"/>
      <c r="IBP184" s="239"/>
      <c r="IBQ184" s="239"/>
      <c r="IBR184" s="239"/>
      <c r="IBS184" s="239"/>
      <c r="IBT184" s="239"/>
      <c r="IBU184" s="239"/>
      <c r="IBV184" s="239"/>
      <c r="IBW184" s="239"/>
      <c r="IBX184" s="239"/>
      <c r="IBY184" s="239"/>
      <c r="IBZ184" s="239"/>
      <c r="ICA184" s="239"/>
      <c r="ICB184" s="239"/>
      <c r="ICC184" s="239"/>
      <c r="ICD184" s="239"/>
      <c r="ICE184" s="239"/>
      <c r="ICF184" s="239"/>
      <c r="ICG184" s="239"/>
      <c r="ICH184" s="239"/>
      <c r="ICI184" s="239"/>
      <c r="ICJ184" s="239"/>
      <c r="ICK184" s="239"/>
      <c r="ICL184" s="239"/>
      <c r="ICM184" s="239"/>
      <c r="ICN184" s="239"/>
      <c r="ICO184" s="239"/>
      <c r="ICP184" s="239"/>
      <c r="ICQ184" s="239"/>
      <c r="ICR184" s="239"/>
      <c r="ICS184" s="239"/>
      <c r="ICT184" s="239"/>
      <c r="ICU184" s="239"/>
      <c r="ICV184" s="239"/>
      <c r="ICW184" s="239"/>
      <c r="ICX184" s="239"/>
      <c r="ICY184" s="239"/>
      <c r="ICZ184" s="239"/>
      <c r="IDA184" s="239"/>
      <c r="IDB184" s="239"/>
      <c r="IDC184" s="239"/>
      <c r="IDD184" s="239"/>
      <c r="IDE184" s="239"/>
      <c r="IDF184" s="239"/>
      <c r="IDG184" s="239"/>
      <c r="IDH184" s="239"/>
      <c r="IDI184" s="239"/>
      <c r="IDJ184" s="239"/>
      <c r="IDK184" s="239"/>
      <c r="IDL184" s="239"/>
      <c r="IDM184" s="239"/>
      <c r="IDN184" s="239"/>
      <c r="IDO184" s="239"/>
      <c r="IDP184" s="239"/>
      <c r="IDQ184" s="239"/>
      <c r="IDR184" s="239"/>
      <c r="IDS184" s="239"/>
      <c r="IDT184" s="239"/>
      <c r="IDU184" s="239"/>
      <c r="IDV184" s="239"/>
      <c r="IDW184" s="239"/>
      <c r="IDX184" s="239"/>
      <c r="IDY184" s="239"/>
      <c r="IDZ184" s="239"/>
      <c r="IEA184" s="239"/>
      <c r="IEB184" s="239"/>
      <c r="IEC184" s="239"/>
      <c r="IED184" s="239"/>
      <c r="IEE184" s="239"/>
      <c r="IEF184" s="239"/>
      <c r="IEG184" s="239"/>
      <c r="IEH184" s="239"/>
      <c r="IEI184" s="239"/>
      <c r="IEJ184" s="239"/>
      <c r="IEK184" s="239"/>
      <c r="IEL184" s="239"/>
      <c r="IEM184" s="239"/>
      <c r="IEN184" s="239"/>
      <c r="IEO184" s="239"/>
      <c r="IEP184" s="239"/>
      <c r="IEQ184" s="239"/>
      <c r="IER184" s="239"/>
      <c r="IES184" s="239"/>
      <c r="IET184" s="239"/>
      <c r="IEU184" s="239"/>
      <c r="IEV184" s="239"/>
      <c r="IEW184" s="239"/>
      <c r="IEX184" s="239"/>
      <c r="IEY184" s="239"/>
      <c r="IEZ184" s="239"/>
      <c r="IFA184" s="239"/>
      <c r="IFB184" s="239"/>
      <c r="IFC184" s="239"/>
      <c r="IFD184" s="239"/>
      <c r="IFE184" s="239"/>
      <c r="IFF184" s="239"/>
      <c r="IFG184" s="239"/>
      <c r="IFH184" s="239"/>
      <c r="IFI184" s="239"/>
      <c r="IFJ184" s="239"/>
      <c r="IFK184" s="239"/>
      <c r="IFL184" s="239"/>
      <c r="IFM184" s="239"/>
      <c r="IFN184" s="239"/>
      <c r="IFO184" s="239"/>
      <c r="IFP184" s="239"/>
      <c r="IFQ184" s="239"/>
      <c r="IFR184" s="239"/>
      <c r="IFS184" s="239"/>
      <c r="IFT184" s="239"/>
      <c r="IFU184" s="239"/>
      <c r="IFV184" s="239"/>
      <c r="IFW184" s="239"/>
      <c r="IFX184" s="239"/>
      <c r="IFY184" s="239"/>
      <c r="IFZ184" s="239"/>
      <c r="IGA184" s="239"/>
      <c r="IGB184" s="239"/>
      <c r="IGC184" s="239"/>
      <c r="IGD184" s="239"/>
      <c r="IGE184" s="239"/>
      <c r="IGF184" s="239"/>
      <c r="IGG184" s="239"/>
      <c r="IGH184" s="239"/>
      <c r="IGI184" s="239"/>
      <c r="IGJ184" s="239"/>
      <c r="IGK184" s="239"/>
      <c r="IGL184" s="239"/>
      <c r="IGM184" s="239"/>
      <c r="IGN184" s="239"/>
      <c r="IGO184" s="239"/>
      <c r="IGP184" s="239"/>
      <c r="IGQ184" s="239"/>
      <c r="IGR184" s="239"/>
      <c r="IGS184" s="239"/>
      <c r="IGT184" s="239"/>
      <c r="IGU184" s="239"/>
      <c r="IGV184" s="239"/>
      <c r="IGW184" s="239"/>
      <c r="IGX184" s="239"/>
      <c r="IGY184" s="239"/>
      <c r="IGZ184" s="239"/>
      <c r="IHA184" s="239"/>
      <c r="IHB184" s="239"/>
      <c r="IHC184" s="239"/>
      <c r="IHD184" s="239"/>
      <c r="IHE184" s="239"/>
      <c r="IHF184" s="239"/>
      <c r="IHG184" s="239"/>
      <c r="IHH184" s="239"/>
      <c r="IHI184" s="239"/>
      <c r="IHJ184" s="239"/>
      <c r="IHK184" s="239"/>
      <c r="IHL184" s="239"/>
      <c r="IHM184" s="239"/>
      <c r="IHN184" s="239"/>
      <c r="IHO184" s="239"/>
      <c r="IHP184" s="239"/>
      <c r="IHQ184" s="239"/>
      <c r="IHR184" s="239"/>
      <c r="IHS184" s="239"/>
      <c r="IHT184" s="239"/>
      <c r="IHU184" s="239"/>
      <c r="IHV184" s="239"/>
      <c r="IHW184" s="239"/>
      <c r="IHX184" s="239"/>
      <c r="IHY184" s="239"/>
      <c r="IHZ184" s="239"/>
      <c r="IIA184" s="239"/>
      <c r="IIB184" s="239"/>
      <c r="IIC184" s="239"/>
      <c r="IID184" s="239"/>
      <c r="IIE184" s="239"/>
      <c r="IIF184" s="239"/>
      <c r="IIG184" s="239"/>
      <c r="IIH184" s="239"/>
      <c r="III184" s="239"/>
      <c r="IIJ184" s="239"/>
      <c r="IIK184" s="239"/>
      <c r="IIL184" s="239"/>
      <c r="IIM184" s="239"/>
      <c r="IIN184" s="239"/>
      <c r="IIO184" s="239"/>
      <c r="IIP184" s="239"/>
      <c r="IIQ184" s="239"/>
      <c r="IIR184" s="239"/>
      <c r="IIS184" s="239"/>
      <c r="IIT184" s="239"/>
      <c r="IIU184" s="239"/>
      <c r="IIV184" s="239"/>
      <c r="IIW184" s="239"/>
      <c r="IIX184" s="239"/>
      <c r="IIY184" s="239"/>
      <c r="IIZ184" s="239"/>
      <c r="IJA184" s="239"/>
      <c r="IJB184" s="239"/>
      <c r="IJC184" s="239"/>
      <c r="IJD184" s="239"/>
      <c r="IJE184" s="239"/>
      <c r="IJF184" s="239"/>
      <c r="IJG184" s="239"/>
      <c r="IJH184" s="239"/>
      <c r="IJI184" s="239"/>
      <c r="IJJ184" s="239"/>
      <c r="IJK184" s="239"/>
      <c r="IJL184" s="239"/>
      <c r="IJM184" s="239"/>
      <c r="IJN184" s="239"/>
      <c r="IJO184" s="239"/>
      <c r="IJP184" s="239"/>
      <c r="IJQ184" s="239"/>
      <c r="IJR184" s="239"/>
      <c r="IJS184" s="239"/>
      <c r="IJT184" s="239"/>
      <c r="IJU184" s="239"/>
      <c r="IJV184" s="239"/>
      <c r="IJW184" s="239"/>
      <c r="IJX184" s="239"/>
      <c r="IJY184" s="239"/>
      <c r="IJZ184" s="239"/>
      <c r="IKA184" s="239"/>
      <c r="IKB184" s="239"/>
      <c r="IKC184" s="239"/>
      <c r="IKD184" s="239"/>
      <c r="IKE184" s="239"/>
      <c r="IKF184" s="239"/>
      <c r="IKG184" s="239"/>
      <c r="IKH184" s="239"/>
      <c r="IKI184" s="239"/>
      <c r="IKJ184" s="239"/>
      <c r="IKK184" s="239"/>
      <c r="IKL184" s="239"/>
      <c r="IKM184" s="239"/>
      <c r="IKN184" s="239"/>
      <c r="IKO184" s="239"/>
      <c r="IKP184" s="239"/>
      <c r="IKQ184" s="239"/>
      <c r="IKR184" s="239"/>
      <c r="IKS184" s="239"/>
      <c r="IKT184" s="239"/>
      <c r="IKU184" s="239"/>
      <c r="IKV184" s="239"/>
      <c r="IKW184" s="239"/>
      <c r="IKX184" s="239"/>
      <c r="IKY184" s="239"/>
      <c r="IKZ184" s="239"/>
      <c r="ILA184" s="239"/>
      <c r="ILB184" s="239"/>
      <c r="ILC184" s="239"/>
      <c r="ILD184" s="239"/>
      <c r="ILE184" s="239"/>
      <c r="ILF184" s="239"/>
      <c r="ILG184" s="239"/>
      <c r="ILH184" s="239"/>
      <c r="ILI184" s="239"/>
      <c r="ILJ184" s="239"/>
      <c r="ILK184" s="239"/>
      <c r="ILL184" s="239"/>
      <c r="ILM184" s="239"/>
      <c r="ILN184" s="239"/>
      <c r="ILO184" s="239"/>
      <c r="ILP184" s="239"/>
      <c r="ILQ184" s="239"/>
      <c r="ILR184" s="239"/>
      <c r="ILS184" s="239"/>
      <c r="ILT184" s="239"/>
      <c r="ILU184" s="239"/>
      <c r="ILV184" s="239"/>
      <c r="ILW184" s="239"/>
      <c r="ILX184" s="239"/>
      <c r="ILY184" s="239"/>
      <c r="ILZ184" s="239"/>
      <c r="IMA184" s="239"/>
      <c r="IMB184" s="239"/>
      <c r="IMC184" s="239"/>
      <c r="IMD184" s="239"/>
      <c r="IME184" s="239"/>
      <c r="IMF184" s="239"/>
      <c r="IMG184" s="239"/>
      <c r="IMH184" s="239"/>
      <c r="IMI184" s="239"/>
      <c r="IMJ184" s="239"/>
      <c r="IMK184" s="239"/>
      <c r="IML184" s="239"/>
      <c r="IMM184" s="239"/>
      <c r="IMN184" s="239"/>
      <c r="IMO184" s="239"/>
      <c r="IMP184" s="239"/>
      <c r="IMQ184" s="239"/>
      <c r="IMR184" s="239"/>
      <c r="IMS184" s="239"/>
      <c r="IMT184" s="239"/>
      <c r="IMU184" s="239"/>
      <c r="IMV184" s="239"/>
      <c r="IMW184" s="239"/>
      <c r="IMX184" s="239"/>
      <c r="IMY184" s="239"/>
      <c r="IMZ184" s="239"/>
      <c r="INA184" s="239"/>
      <c r="INB184" s="239"/>
      <c r="INC184" s="239"/>
      <c r="IND184" s="239"/>
      <c r="INE184" s="239"/>
      <c r="INF184" s="239"/>
      <c r="ING184" s="239"/>
      <c r="INH184" s="239"/>
      <c r="INI184" s="239"/>
      <c r="INJ184" s="239"/>
      <c r="INK184" s="239"/>
      <c r="INL184" s="239"/>
      <c r="INM184" s="239"/>
      <c r="INN184" s="239"/>
      <c r="INO184" s="239"/>
      <c r="INP184" s="239"/>
      <c r="INQ184" s="239"/>
      <c r="INR184" s="239"/>
      <c r="INS184" s="239"/>
      <c r="INT184" s="239"/>
      <c r="INU184" s="239"/>
      <c r="INV184" s="239"/>
      <c r="INW184" s="239"/>
      <c r="INX184" s="239"/>
      <c r="INY184" s="239"/>
      <c r="INZ184" s="239"/>
      <c r="IOA184" s="239"/>
      <c r="IOB184" s="239"/>
      <c r="IOC184" s="239"/>
      <c r="IOD184" s="239"/>
      <c r="IOE184" s="239"/>
      <c r="IOF184" s="239"/>
      <c r="IOG184" s="239"/>
      <c r="IOH184" s="239"/>
      <c r="IOI184" s="239"/>
      <c r="IOJ184" s="239"/>
      <c r="IOK184" s="239"/>
      <c r="IOL184" s="239"/>
      <c r="IOM184" s="239"/>
      <c r="ION184" s="239"/>
      <c r="IOO184" s="239"/>
      <c r="IOP184" s="239"/>
      <c r="IOQ184" s="239"/>
      <c r="IOR184" s="239"/>
      <c r="IOS184" s="239"/>
      <c r="IOT184" s="239"/>
      <c r="IOU184" s="239"/>
      <c r="IOV184" s="239"/>
      <c r="IOW184" s="239"/>
      <c r="IOX184" s="239"/>
      <c r="IOY184" s="239"/>
      <c r="IOZ184" s="239"/>
      <c r="IPA184" s="239"/>
      <c r="IPB184" s="239"/>
      <c r="IPC184" s="239"/>
      <c r="IPD184" s="239"/>
      <c r="IPE184" s="239"/>
      <c r="IPF184" s="239"/>
      <c r="IPG184" s="239"/>
      <c r="IPH184" s="239"/>
      <c r="IPI184" s="239"/>
      <c r="IPJ184" s="239"/>
      <c r="IPK184" s="239"/>
      <c r="IPL184" s="239"/>
      <c r="IPM184" s="239"/>
      <c r="IPN184" s="239"/>
      <c r="IPO184" s="239"/>
      <c r="IPP184" s="239"/>
      <c r="IPQ184" s="239"/>
      <c r="IPR184" s="239"/>
      <c r="IPS184" s="239"/>
      <c r="IPT184" s="239"/>
      <c r="IPU184" s="239"/>
      <c r="IPV184" s="239"/>
      <c r="IPW184" s="239"/>
      <c r="IPX184" s="239"/>
      <c r="IPY184" s="239"/>
      <c r="IPZ184" s="239"/>
      <c r="IQA184" s="239"/>
      <c r="IQB184" s="239"/>
      <c r="IQC184" s="239"/>
      <c r="IQD184" s="239"/>
      <c r="IQE184" s="239"/>
      <c r="IQF184" s="239"/>
      <c r="IQG184" s="239"/>
      <c r="IQH184" s="239"/>
      <c r="IQI184" s="239"/>
      <c r="IQJ184" s="239"/>
      <c r="IQK184" s="239"/>
      <c r="IQL184" s="239"/>
      <c r="IQM184" s="239"/>
      <c r="IQN184" s="239"/>
      <c r="IQO184" s="239"/>
      <c r="IQP184" s="239"/>
      <c r="IQQ184" s="239"/>
      <c r="IQR184" s="239"/>
      <c r="IQS184" s="239"/>
      <c r="IQT184" s="239"/>
      <c r="IQU184" s="239"/>
      <c r="IQV184" s="239"/>
      <c r="IQW184" s="239"/>
      <c r="IQX184" s="239"/>
      <c r="IQY184" s="239"/>
      <c r="IQZ184" s="239"/>
      <c r="IRA184" s="239"/>
      <c r="IRB184" s="239"/>
      <c r="IRC184" s="239"/>
      <c r="IRD184" s="239"/>
      <c r="IRE184" s="239"/>
      <c r="IRF184" s="239"/>
      <c r="IRG184" s="239"/>
      <c r="IRH184" s="239"/>
      <c r="IRI184" s="239"/>
      <c r="IRJ184" s="239"/>
      <c r="IRK184" s="239"/>
      <c r="IRL184" s="239"/>
      <c r="IRM184" s="239"/>
      <c r="IRN184" s="239"/>
      <c r="IRO184" s="239"/>
      <c r="IRP184" s="239"/>
      <c r="IRQ184" s="239"/>
      <c r="IRR184" s="239"/>
      <c r="IRS184" s="239"/>
      <c r="IRT184" s="239"/>
      <c r="IRU184" s="239"/>
      <c r="IRV184" s="239"/>
      <c r="IRW184" s="239"/>
      <c r="IRX184" s="239"/>
      <c r="IRY184" s="239"/>
      <c r="IRZ184" s="239"/>
      <c r="ISA184" s="239"/>
      <c r="ISB184" s="239"/>
      <c r="ISC184" s="239"/>
      <c r="ISD184" s="239"/>
      <c r="ISE184" s="239"/>
      <c r="ISF184" s="239"/>
      <c r="ISG184" s="239"/>
      <c r="ISH184" s="239"/>
      <c r="ISI184" s="239"/>
      <c r="ISJ184" s="239"/>
      <c r="ISK184" s="239"/>
      <c r="ISL184" s="239"/>
      <c r="ISM184" s="239"/>
      <c r="ISN184" s="239"/>
      <c r="ISO184" s="239"/>
      <c r="ISP184" s="239"/>
      <c r="ISQ184" s="239"/>
      <c r="ISR184" s="239"/>
      <c r="ISS184" s="239"/>
      <c r="IST184" s="239"/>
      <c r="ISU184" s="239"/>
      <c r="ISV184" s="239"/>
      <c r="ISW184" s="239"/>
      <c r="ISX184" s="239"/>
      <c r="ISY184" s="239"/>
      <c r="ISZ184" s="239"/>
      <c r="ITA184" s="239"/>
      <c r="ITB184" s="239"/>
      <c r="ITC184" s="239"/>
      <c r="ITD184" s="239"/>
      <c r="ITE184" s="239"/>
      <c r="ITF184" s="239"/>
      <c r="ITG184" s="239"/>
      <c r="ITH184" s="239"/>
      <c r="ITI184" s="239"/>
      <c r="ITJ184" s="239"/>
      <c r="ITK184" s="239"/>
      <c r="ITL184" s="239"/>
      <c r="ITM184" s="239"/>
      <c r="ITN184" s="239"/>
      <c r="ITO184" s="239"/>
      <c r="ITP184" s="239"/>
      <c r="ITQ184" s="239"/>
      <c r="ITR184" s="239"/>
      <c r="ITS184" s="239"/>
      <c r="ITT184" s="239"/>
      <c r="ITU184" s="239"/>
      <c r="ITV184" s="239"/>
      <c r="ITW184" s="239"/>
      <c r="ITX184" s="239"/>
      <c r="ITY184" s="239"/>
      <c r="ITZ184" s="239"/>
      <c r="IUA184" s="239"/>
      <c r="IUB184" s="239"/>
      <c r="IUC184" s="239"/>
      <c r="IUD184" s="239"/>
      <c r="IUE184" s="239"/>
      <c r="IUF184" s="239"/>
      <c r="IUG184" s="239"/>
      <c r="IUH184" s="239"/>
      <c r="IUI184" s="239"/>
      <c r="IUJ184" s="239"/>
      <c r="IUK184" s="239"/>
      <c r="IUL184" s="239"/>
      <c r="IUM184" s="239"/>
      <c r="IUN184" s="239"/>
      <c r="IUO184" s="239"/>
      <c r="IUP184" s="239"/>
      <c r="IUQ184" s="239"/>
      <c r="IUR184" s="239"/>
      <c r="IUS184" s="239"/>
      <c r="IUT184" s="239"/>
      <c r="IUU184" s="239"/>
      <c r="IUV184" s="239"/>
      <c r="IUW184" s="239"/>
      <c r="IUX184" s="239"/>
      <c r="IUY184" s="239"/>
      <c r="IUZ184" s="239"/>
      <c r="IVA184" s="239"/>
      <c r="IVB184" s="239"/>
      <c r="IVC184" s="239"/>
      <c r="IVD184" s="239"/>
      <c r="IVE184" s="239"/>
      <c r="IVF184" s="239"/>
      <c r="IVG184" s="239"/>
      <c r="IVH184" s="239"/>
      <c r="IVI184" s="239"/>
      <c r="IVJ184" s="239"/>
      <c r="IVK184" s="239"/>
      <c r="IVL184" s="239"/>
      <c r="IVM184" s="239"/>
      <c r="IVN184" s="239"/>
      <c r="IVO184" s="239"/>
      <c r="IVP184" s="239"/>
      <c r="IVQ184" s="239"/>
      <c r="IVR184" s="239"/>
      <c r="IVS184" s="239"/>
      <c r="IVT184" s="239"/>
      <c r="IVU184" s="239"/>
      <c r="IVV184" s="239"/>
      <c r="IVW184" s="239"/>
      <c r="IVX184" s="239"/>
      <c r="IVY184" s="239"/>
      <c r="IVZ184" s="239"/>
      <c r="IWA184" s="239"/>
      <c r="IWB184" s="239"/>
      <c r="IWC184" s="239"/>
      <c r="IWD184" s="239"/>
      <c r="IWE184" s="239"/>
      <c r="IWF184" s="239"/>
      <c r="IWG184" s="239"/>
      <c r="IWH184" s="239"/>
      <c r="IWI184" s="239"/>
      <c r="IWJ184" s="239"/>
      <c r="IWK184" s="239"/>
      <c r="IWL184" s="239"/>
      <c r="IWM184" s="239"/>
      <c r="IWN184" s="239"/>
      <c r="IWO184" s="239"/>
      <c r="IWP184" s="239"/>
      <c r="IWQ184" s="239"/>
      <c r="IWR184" s="239"/>
      <c r="IWS184" s="239"/>
      <c r="IWT184" s="239"/>
      <c r="IWU184" s="239"/>
      <c r="IWV184" s="239"/>
      <c r="IWW184" s="239"/>
      <c r="IWX184" s="239"/>
      <c r="IWY184" s="239"/>
      <c r="IWZ184" s="239"/>
      <c r="IXA184" s="239"/>
      <c r="IXB184" s="239"/>
      <c r="IXC184" s="239"/>
      <c r="IXD184" s="239"/>
      <c r="IXE184" s="239"/>
      <c r="IXF184" s="239"/>
      <c r="IXG184" s="239"/>
      <c r="IXH184" s="239"/>
      <c r="IXI184" s="239"/>
      <c r="IXJ184" s="239"/>
      <c r="IXK184" s="239"/>
      <c r="IXL184" s="239"/>
      <c r="IXM184" s="239"/>
      <c r="IXN184" s="239"/>
      <c r="IXO184" s="239"/>
      <c r="IXP184" s="239"/>
      <c r="IXQ184" s="239"/>
      <c r="IXR184" s="239"/>
      <c r="IXS184" s="239"/>
      <c r="IXT184" s="239"/>
      <c r="IXU184" s="239"/>
      <c r="IXV184" s="239"/>
      <c r="IXW184" s="239"/>
      <c r="IXX184" s="239"/>
      <c r="IXY184" s="239"/>
      <c r="IXZ184" s="239"/>
      <c r="IYA184" s="239"/>
      <c r="IYB184" s="239"/>
      <c r="IYC184" s="239"/>
      <c r="IYD184" s="239"/>
      <c r="IYE184" s="239"/>
      <c r="IYF184" s="239"/>
      <c r="IYG184" s="239"/>
      <c r="IYH184" s="239"/>
      <c r="IYI184" s="239"/>
      <c r="IYJ184" s="239"/>
      <c r="IYK184" s="239"/>
      <c r="IYL184" s="239"/>
      <c r="IYM184" s="239"/>
      <c r="IYN184" s="239"/>
      <c r="IYO184" s="239"/>
      <c r="IYP184" s="239"/>
      <c r="IYQ184" s="239"/>
      <c r="IYR184" s="239"/>
      <c r="IYS184" s="239"/>
      <c r="IYT184" s="239"/>
      <c r="IYU184" s="239"/>
      <c r="IYV184" s="239"/>
      <c r="IYW184" s="239"/>
      <c r="IYX184" s="239"/>
      <c r="IYY184" s="239"/>
      <c r="IYZ184" s="239"/>
      <c r="IZA184" s="239"/>
      <c r="IZB184" s="239"/>
      <c r="IZC184" s="239"/>
      <c r="IZD184" s="239"/>
      <c r="IZE184" s="239"/>
      <c r="IZF184" s="239"/>
      <c r="IZG184" s="239"/>
      <c r="IZH184" s="239"/>
      <c r="IZI184" s="239"/>
      <c r="IZJ184" s="239"/>
      <c r="IZK184" s="239"/>
      <c r="IZL184" s="239"/>
      <c r="IZM184" s="239"/>
      <c r="IZN184" s="239"/>
      <c r="IZO184" s="239"/>
      <c r="IZP184" s="239"/>
      <c r="IZQ184" s="239"/>
      <c r="IZR184" s="239"/>
      <c r="IZS184" s="239"/>
      <c r="IZT184" s="239"/>
      <c r="IZU184" s="239"/>
      <c r="IZV184" s="239"/>
      <c r="IZW184" s="239"/>
      <c r="IZX184" s="239"/>
      <c r="IZY184" s="239"/>
      <c r="IZZ184" s="239"/>
      <c r="JAA184" s="239"/>
      <c r="JAB184" s="239"/>
      <c r="JAC184" s="239"/>
      <c r="JAD184" s="239"/>
      <c r="JAE184" s="239"/>
      <c r="JAF184" s="239"/>
      <c r="JAG184" s="239"/>
      <c r="JAH184" s="239"/>
      <c r="JAI184" s="239"/>
      <c r="JAJ184" s="239"/>
      <c r="JAK184" s="239"/>
      <c r="JAL184" s="239"/>
      <c r="JAM184" s="239"/>
      <c r="JAN184" s="239"/>
      <c r="JAO184" s="239"/>
      <c r="JAP184" s="239"/>
      <c r="JAQ184" s="239"/>
      <c r="JAR184" s="239"/>
      <c r="JAS184" s="239"/>
      <c r="JAT184" s="239"/>
      <c r="JAU184" s="239"/>
      <c r="JAV184" s="239"/>
      <c r="JAW184" s="239"/>
      <c r="JAX184" s="239"/>
      <c r="JAY184" s="239"/>
      <c r="JAZ184" s="239"/>
      <c r="JBA184" s="239"/>
      <c r="JBB184" s="239"/>
      <c r="JBC184" s="239"/>
      <c r="JBD184" s="239"/>
      <c r="JBE184" s="239"/>
      <c r="JBF184" s="239"/>
      <c r="JBG184" s="239"/>
      <c r="JBH184" s="239"/>
      <c r="JBI184" s="239"/>
      <c r="JBJ184" s="239"/>
      <c r="JBK184" s="239"/>
      <c r="JBL184" s="239"/>
      <c r="JBM184" s="239"/>
      <c r="JBN184" s="239"/>
      <c r="JBO184" s="239"/>
      <c r="JBP184" s="239"/>
      <c r="JBQ184" s="239"/>
      <c r="JBR184" s="239"/>
      <c r="JBS184" s="239"/>
      <c r="JBT184" s="239"/>
      <c r="JBU184" s="239"/>
      <c r="JBV184" s="239"/>
      <c r="JBW184" s="239"/>
      <c r="JBX184" s="239"/>
      <c r="JBY184" s="239"/>
      <c r="JBZ184" s="239"/>
      <c r="JCA184" s="239"/>
      <c r="JCB184" s="239"/>
      <c r="JCC184" s="239"/>
      <c r="JCD184" s="239"/>
      <c r="JCE184" s="239"/>
      <c r="JCF184" s="239"/>
      <c r="JCG184" s="239"/>
      <c r="JCH184" s="239"/>
      <c r="JCI184" s="239"/>
      <c r="JCJ184" s="239"/>
      <c r="JCK184" s="239"/>
      <c r="JCL184" s="239"/>
      <c r="JCM184" s="239"/>
      <c r="JCN184" s="239"/>
      <c r="JCO184" s="239"/>
      <c r="JCP184" s="239"/>
      <c r="JCQ184" s="239"/>
      <c r="JCR184" s="239"/>
      <c r="JCS184" s="239"/>
      <c r="JCT184" s="239"/>
      <c r="JCU184" s="239"/>
      <c r="JCV184" s="239"/>
      <c r="JCW184" s="239"/>
      <c r="JCX184" s="239"/>
      <c r="JCY184" s="239"/>
      <c r="JCZ184" s="239"/>
      <c r="JDA184" s="239"/>
      <c r="JDB184" s="239"/>
      <c r="JDC184" s="239"/>
      <c r="JDD184" s="239"/>
      <c r="JDE184" s="239"/>
      <c r="JDF184" s="239"/>
      <c r="JDG184" s="239"/>
      <c r="JDH184" s="239"/>
      <c r="JDI184" s="239"/>
      <c r="JDJ184" s="239"/>
      <c r="JDK184" s="239"/>
      <c r="JDL184" s="239"/>
      <c r="JDM184" s="239"/>
      <c r="JDN184" s="239"/>
      <c r="JDO184" s="239"/>
      <c r="JDP184" s="239"/>
      <c r="JDQ184" s="239"/>
      <c r="JDR184" s="239"/>
      <c r="JDS184" s="239"/>
      <c r="JDT184" s="239"/>
      <c r="JDU184" s="239"/>
      <c r="JDV184" s="239"/>
      <c r="JDW184" s="239"/>
      <c r="JDX184" s="239"/>
      <c r="JDY184" s="239"/>
      <c r="JDZ184" s="239"/>
      <c r="JEA184" s="239"/>
      <c r="JEB184" s="239"/>
      <c r="JEC184" s="239"/>
      <c r="JED184" s="239"/>
      <c r="JEE184" s="239"/>
      <c r="JEF184" s="239"/>
      <c r="JEG184" s="239"/>
      <c r="JEH184" s="239"/>
      <c r="JEI184" s="239"/>
      <c r="JEJ184" s="239"/>
      <c r="JEK184" s="239"/>
      <c r="JEL184" s="239"/>
      <c r="JEM184" s="239"/>
      <c r="JEN184" s="239"/>
      <c r="JEO184" s="239"/>
      <c r="JEP184" s="239"/>
      <c r="JEQ184" s="239"/>
      <c r="JER184" s="239"/>
      <c r="JES184" s="239"/>
      <c r="JET184" s="239"/>
      <c r="JEU184" s="239"/>
      <c r="JEV184" s="239"/>
      <c r="JEW184" s="239"/>
      <c r="JEX184" s="239"/>
      <c r="JEY184" s="239"/>
      <c r="JEZ184" s="239"/>
      <c r="JFA184" s="239"/>
      <c r="JFB184" s="239"/>
      <c r="JFC184" s="239"/>
      <c r="JFD184" s="239"/>
      <c r="JFE184" s="239"/>
      <c r="JFF184" s="239"/>
      <c r="JFG184" s="239"/>
      <c r="JFH184" s="239"/>
      <c r="JFI184" s="239"/>
      <c r="JFJ184" s="239"/>
      <c r="JFK184" s="239"/>
      <c r="JFL184" s="239"/>
      <c r="JFM184" s="239"/>
      <c r="JFN184" s="239"/>
      <c r="JFO184" s="239"/>
      <c r="JFP184" s="239"/>
      <c r="JFQ184" s="239"/>
      <c r="JFR184" s="239"/>
      <c r="JFS184" s="239"/>
      <c r="JFT184" s="239"/>
      <c r="JFU184" s="239"/>
      <c r="JFV184" s="239"/>
      <c r="JFW184" s="239"/>
      <c r="JFX184" s="239"/>
      <c r="JFY184" s="239"/>
      <c r="JFZ184" s="239"/>
      <c r="JGA184" s="239"/>
      <c r="JGB184" s="239"/>
      <c r="JGC184" s="239"/>
      <c r="JGD184" s="239"/>
      <c r="JGE184" s="239"/>
      <c r="JGF184" s="239"/>
      <c r="JGG184" s="239"/>
      <c r="JGH184" s="239"/>
      <c r="JGI184" s="239"/>
      <c r="JGJ184" s="239"/>
      <c r="JGK184" s="239"/>
      <c r="JGL184" s="239"/>
      <c r="JGM184" s="239"/>
      <c r="JGN184" s="239"/>
      <c r="JGO184" s="239"/>
      <c r="JGP184" s="239"/>
      <c r="JGQ184" s="239"/>
      <c r="JGR184" s="239"/>
      <c r="JGS184" s="239"/>
      <c r="JGT184" s="239"/>
      <c r="JGU184" s="239"/>
      <c r="JGV184" s="239"/>
      <c r="JGW184" s="239"/>
      <c r="JGX184" s="239"/>
      <c r="JGY184" s="239"/>
      <c r="JGZ184" s="239"/>
      <c r="JHA184" s="239"/>
      <c r="JHB184" s="239"/>
      <c r="JHC184" s="239"/>
      <c r="JHD184" s="239"/>
      <c r="JHE184" s="239"/>
      <c r="JHF184" s="239"/>
      <c r="JHG184" s="239"/>
      <c r="JHH184" s="239"/>
      <c r="JHI184" s="239"/>
      <c r="JHJ184" s="239"/>
      <c r="JHK184" s="239"/>
      <c r="JHL184" s="239"/>
      <c r="JHM184" s="239"/>
      <c r="JHN184" s="239"/>
      <c r="JHO184" s="239"/>
      <c r="JHP184" s="239"/>
      <c r="JHQ184" s="239"/>
      <c r="JHR184" s="239"/>
      <c r="JHS184" s="239"/>
      <c r="JHT184" s="239"/>
      <c r="JHU184" s="239"/>
      <c r="JHV184" s="239"/>
      <c r="JHW184" s="239"/>
      <c r="JHX184" s="239"/>
      <c r="JHY184" s="239"/>
      <c r="JHZ184" s="239"/>
      <c r="JIA184" s="239"/>
      <c r="JIB184" s="239"/>
      <c r="JIC184" s="239"/>
      <c r="JID184" s="239"/>
      <c r="JIE184" s="239"/>
      <c r="JIF184" s="239"/>
      <c r="JIG184" s="239"/>
      <c r="JIH184" s="239"/>
      <c r="JII184" s="239"/>
      <c r="JIJ184" s="239"/>
      <c r="JIK184" s="239"/>
      <c r="JIL184" s="239"/>
      <c r="JIM184" s="239"/>
      <c r="JIN184" s="239"/>
      <c r="JIO184" s="239"/>
      <c r="JIP184" s="239"/>
      <c r="JIQ184" s="239"/>
      <c r="JIR184" s="239"/>
      <c r="JIS184" s="239"/>
      <c r="JIT184" s="239"/>
      <c r="JIU184" s="239"/>
      <c r="JIV184" s="239"/>
      <c r="JIW184" s="239"/>
      <c r="JIX184" s="239"/>
      <c r="JIY184" s="239"/>
      <c r="JIZ184" s="239"/>
      <c r="JJA184" s="239"/>
      <c r="JJB184" s="239"/>
      <c r="JJC184" s="239"/>
      <c r="JJD184" s="239"/>
      <c r="JJE184" s="239"/>
      <c r="JJF184" s="239"/>
      <c r="JJG184" s="239"/>
      <c r="JJH184" s="239"/>
      <c r="JJI184" s="239"/>
      <c r="JJJ184" s="239"/>
      <c r="JJK184" s="239"/>
      <c r="JJL184" s="239"/>
      <c r="JJM184" s="239"/>
      <c r="JJN184" s="239"/>
      <c r="JJO184" s="239"/>
      <c r="JJP184" s="239"/>
      <c r="JJQ184" s="239"/>
      <c r="JJR184" s="239"/>
      <c r="JJS184" s="239"/>
      <c r="JJT184" s="239"/>
      <c r="JJU184" s="239"/>
      <c r="JJV184" s="239"/>
      <c r="JJW184" s="239"/>
      <c r="JJX184" s="239"/>
      <c r="JJY184" s="239"/>
      <c r="JJZ184" s="239"/>
      <c r="JKA184" s="239"/>
      <c r="JKB184" s="239"/>
      <c r="JKC184" s="239"/>
      <c r="JKD184" s="239"/>
      <c r="JKE184" s="239"/>
      <c r="JKF184" s="239"/>
      <c r="JKG184" s="239"/>
      <c r="JKH184" s="239"/>
      <c r="JKI184" s="239"/>
      <c r="JKJ184" s="239"/>
      <c r="JKK184" s="239"/>
      <c r="JKL184" s="239"/>
      <c r="JKM184" s="239"/>
      <c r="JKN184" s="239"/>
      <c r="JKO184" s="239"/>
      <c r="JKP184" s="239"/>
      <c r="JKQ184" s="239"/>
      <c r="JKR184" s="239"/>
      <c r="JKS184" s="239"/>
      <c r="JKT184" s="239"/>
      <c r="JKU184" s="239"/>
      <c r="JKV184" s="239"/>
      <c r="JKW184" s="239"/>
      <c r="JKX184" s="239"/>
      <c r="JKY184" s="239"/>
      <c r="JKZ184" s="239"/>
      <c r="JLA184" s="239"/>
      <c r="JLB184" s="239"/>
      <c r="JLC184" s="239"/>
      <c r="JLD184" s="239"/>
      <c r="JLE184" s="239"/>
      <c r="JLF184" s="239"/>
      <c r="JLG184" s="239"/>
      <c r="JLH184" s="239"/>
      <c r="JLI184" s="239"/>
      <c r="JLJ184" s="239"/>
      <c r="JLK184" s="239"/>
      <c r="JLL184" s="239"/>
      <c r="JLM184" s="239"/>
      <c r="JLN184" s="239"/>
      <c r="JLO184" s="239"/>
      <c r="JLP184" s="239"/>
      <c r="JLQ184" s="239"/>
      <c r="JLR184" s="239"/>
      <c r="JLS184" s="239"/>
      <c r="JLT184" s="239"/>
      <c r="JLU184" s="239"/>
      <c r="JLV184" s="239"/>
      <c r="JLW184" s="239"/>
      <c r="JLX184" s="239"/>
      <c r="JLY184" s="239"/>
      <c r="JLZ184" s="239"/>
      <c r="JMA184" s="239"/>
      <c r="JMB184" s="239"/>
      <c r="JMC184" s="239"/>
      <c r="JMD184" s="239"/>
      <c r="JME184" s="239"/>
      <c r="JMF184" s="239"/>
      <c r="JMG184" s="239"/>
      <c r="JMH184" s="239"/>
      <c r="JMI184" s="239"/>
      <c r="JMJ184" s="239"/>
      <c r="JMK184" s="239"/>
      <c r="JML184" s="239"/>
      <c r="JMM184" s="239"/>
      <c r="JMN184" s="239"/>
      <c r="JMO184" s="239"/>
      <c r="JMP184" s="239"/>
      <c r="JMQ184" s="239"/>
      <c r="JMR184" s="239"/>
      <c r="JMS184" s="239"/>
      <c r="JMT184" s="239"/>
      <c r="JMU184" s="239"/>
      <c r="JMV184" s="239"/>
      <c r="JMW184" s="239"/>
      <c r="JMX184" s="239"/>
      <c r="JMY184" s="239"/>
      <c r="JMZ184" s="239"/>
      <c r="JNA184" s="239"/>
      <c r="JNB184" s="239"/>
      <c r="JNC184" s="239"/>
      <c r="JND184" s="239"/>
      <c r="JNE184" s="239"/>
      <c r="JNF184" s="239"/>
      <c r="JNG184" s="239"/>
      <c r="JNH184" s="239"/>
      <c r="JNI184" s="239"/>
      <c r="JNJ184" s="239"/>
      <c r="JNK184" s="239"/>
      <c r="JNL184" s="239"/>
      <c r="JNM184" s="239"/>
      <c r="JNN184" s="239"/>
      <c r="JNO184" s="239"/>
      <c r="JNP184" s="239"/>
      <c r="JNQ184" s="239"/>
      <c r="JNR184" s="239"/>
      <c r="JNS184" s="239"/>
      <c r="JNT184" s="239"/>
      <c r="JNU184" s="239"/>
      <c r="JNV184" s="239"/>
      <c r="JNW184" s="239"/>
      <c r="JNX184" s="239"/>
      <c r="JNY184" s="239"/>
      <c r="JNZ184" s="239"/>
      <c r="JOA184" s="239"/>
      <c r="JOB184" s="239"/>
      <c r="JOC184" s="239"/>
      <c r="JOD184" s="239"/>
      <c r="JOE184" s="239"/>
      <c r="JOF184" s="239"/>
      <c r="JOG184" s="239"/>
      <c r="JOH184" s="239"/>
      <c r="JOI184" s="239"/>
      <c r="JOJ184" s="239"/>
      <c r="JOK184" s="239"/>
      <c r="JOL184" s="239"/>
      <c r="JOM184" s="239"/>
      <c r="JON184" s="239"/>
      <c r="JOO184" s="239"/>
      <c r="JOP184" s="239"/>
      <c r="JOQ184" s="239"/>
      <c r="JOR184" s="239"/>
      <c r="JOS184" s="239"/>
      <c r="JOT184" s="239"/>
      <c r="JOU184" s="239"/>
      <c r="JOV184" s="239"/>
      <c r="JOW184" s="239"/>
      <c r="JOX184" s="239"/>
      <c r="JOY184" s="239"/>
      <c r="JOZ184" s="239"/>
      <c r="JPA184" s="239"/>
      <c r="JPB184" s="239"/>
      <c r="JPC184" s="239"/>
      <c r="JPD184" s="239"/>
      <c r="JPE184" s="239"/>
      <c r="JPF184" s="239"/>
      <c r="JPG184" s="239"/>
      <c r="JPH184" s="239"/>
      <c r="JPI184" s="239"/>
      <c r="JPJ184" s="239"/>
      <c r="JPK184" s="239"/>
      <c r="JPL184" s="239"/>
      <c r="JPM184" s="239"/>
      <c r="JPN184" s="239"/>
      <c r="JPO184" s="239"/>
      <c r="JPP184" s="239"/>
      <c r="JPQ184" s="239"/>
      <c r="JPR184" s="239"/>
      <c r="JPS184" s="239"/>
      <c r="JPT184" s="239"/>
      <c r="JPU184" s="239"/>
      <c r="JPV184" s="239"/>
      <c r="JPW184" s="239"/>
      <c r="JPX184" s="239"/>
      <c r="JPY184" s="239"/>
      <c r="JPZ184" s="239"/>
      <c r="JQA184" s="239"/>
      <c r="JQB184" s="239"/>
      <c r="JQC184" s="239"/>
      <c r="JQD184" s="239"/>
      <c r="JQE184" s="239"/>
      <c r="JQF184" s="239"/>
      <c r="JQG184" s="239"/>
      <c r="JQH184" s="239"/>
      <c r="JQI184" s="239"/>
      <c r="JQJ184" s="239"/>
      <c r="JQK184" s="239"/>
      <c r="JQL184" s="239"/>
      <c r="JQM184" s="239"/>
      <c r="JQN184" s="239"/>
      <c r="JQO184" s="239"/>
      <c r="JQP184" s="239"/>
      <c r="JQQ184" s="239"/>
      <c r="JQR184" s="239"/>
      <c r="JQS184" s="239"/>
      <c r="JQT184" s="239"/>
      <c r="JQU184" s="239"/>
      <c r="JQV184" s="239"/>
      <c r="JQW184" s="239"/>
      <c r="JQX184" s="239"/>
      <c r="JQY184" s="239"/>
      <c r="JQZ184" s="239"/>
      <c r="JRA184" s="239"/>
      <c r="JRB184" s="239"/>
      <c r="JRC184" s="239"/>
      <c r="JRD184" s="239"/>
      <c r="JRE184" s="239"/>
      <c r="JRF184" s="239"/>
      <c r="JRG184" s="239"/>
      <c r="JRH184" s="239"/>
      <c r="JRI184" s="239"/>
      <c r="JRJ184" s="239"/>
      <c r="JRK184" s="239"/>
      <c r="JRL184" s="239"/>
      <c r="JRM184" s="239"/>
      <c r="JRN184" s="239"/>
      <c r="JRO184" s="239"/>
      <c r="JRP184" s="239"/>
      <c r="JRQ184" s="239"/>
      <c r="JRR184" s="239"/>
      <c r="JRS184" s="239"/>
      <c r="JRT184" s="239"/>
      <c r="JRU184" s="239"/>
      <c r="JRV184" s="239"/>
      <c r="JRW184" s="239"/>
      <c r="JRX184" s="239"/>
      <c r="JRY184" s="239"/>
      <c r="JRZ184" s="239"/>
      <c r="JSA184" s="239"/>
      <c r="JSB184" s="239"/>
      <c r="JSC184" s="239"/>
      <c r="JSD184" s="239"/>
      <c r="JSE184" s="239"/>
      <c r="JSF184" s="239"/>
      <c r="JSG184" s="239"/>
      <c r="JSH184" s="239"/>
      <c r="JSI184" s="239"/>
      <c r="JSJ184" s="239"/>
      <c r="JSK184" s="239"/>
      <c r="JSL184" s="239"/>
      <c r="JSM184" s="239"/>
      <c r="JSN184" s="239"/>
      <c r="JSO184" s="239"/>
      <c r="JSP184" s="239"/>
      <c r="JSQ184" s="239"/>
      <c r="JSR184" s="239"/>
      <c r="JSS184" s="239"/>
      <c r="JST184" s="239"/>
      <c r="JSU184" s="239"/>
      <c r="JSV184" s="239"/>
      <c r="JSW184" s="239"/>
      <c r="JSX184" s="239"/>
      <c r="JSY184" s="239"/>
      <c r="JSZ184" s="239"/>
      <c r="JTA184" s="239"/>
      <c r="JTB184" s="239"/>
      <c r="JTC184" s="239"/>
      <c r="JTD184" s="239"/>
      <c r="JTE184" s="239"/>
      <c r="JTF184" s="239"/>
      <c r="JTG184" s="239"/>
      <c r="JTH184" s="239"/>
      <c r="JTI184" s="239"/>
      <c r="JTJ184" s="239"/>
      <c r="JTK184" s="239"/>
      <c r="JTL184" s="239"/>
      <c r="JTM184" s="239"/>
      <c r="JTN184" s="239"/>
      <c r="JTO184" s="239"/>
      <c r="JTP184" s="239"/>
      <c r="JTQ184" s="239"/>
      <c r="JTR184" s="239"/>
      <c r="JTS184" s="239"/>
      <c r="JTT184" s="239"/>
      <c r="JTU184" s="239"/>
      <c r="JTV184" s="239"/>
      <c r="JTW184" s="239"/>
      <c r="JTX184" s="239"/>
      <c r="JTY184" s="239"/>
      <c r="JTZ184" s="239"/>
      <c r="JUA184" s="239"/>
      <c r="JUB184" s="239"/>
      <c r="JUC184" s="239"/>
      <c r="JUD184" s="239"/>
      <c r="JUE184" s="239"/>
      <c r="JUF184" s="239"/>
      <c r="JUG184" s="239"/>
      <c r="JUH184" s="239"/>
      <c r="JUI184" s="239"/>
      <c r="JUJ184" s="239"/>
      <c r="JUK184" s="239"/>
      <c r="JUL184" s="239"/>
      <c r="JUM184" s="239"/>
      <c r="JUN184" s="239"/>
      <c r="JUO184" s="239"/>
      <c r="JUP184" s="239"/>
      <c r="JUQ184" s="239"/>
      <c r="JUR184" s="239"/>
      <c r="JUS184" s="239"/>
      <c r="JUT184" s="239"/>
      <c r="JUU184" s="239"/>
      <c r="JUV184" s="239"/>
      <c r="JUW184" s="239"/>
      <c r="JUX184" s="239"/>
      <c r="JUY184" s="239"/>
      <c r="JUZ184" s="239"/>
      <c r="JVA184" s="239"/>
      <c r="JVB184" s="239"/>
      <c r="JVC184" s="239"/>
      <c r="JVD184" s="239"/>
      <c r="JVE184" s="239"/>
      <c r="JVF184" s="239"/>
      <c r="JVG184" s="239"/>
      <c r="JVH184" s="239"/>
      <c r="JVI184" s="239"/>
      <c r="JVJ184" s="239"/>
      <c r="JVK184" s="239"/>
      <c r="JVL184" s="239"/>
      <c r="JVM184" s="239"/>
      <c r="JVN184" s="239"/>
      <c r="JVO184" s="239"/>
      <c r="JVP184" s="239"/>
      <c r="JVQ184" s="239"/>
      <c r="JVR184" s="239"/>
      <c r="JVS184" s="239"/>
      <c r="JVT184" s="239"/>
      <c r="JVU184" s="239"/>
      <c r="JVV184" s="239"/>
      <c r="JVW184" s="239"/>
      <c r="JVX184" s="239"/>
      <c r="JVY184" s="239"/>
      <c r="JVZ184" s="239"/>
      <c r="JWA184" s="239"/>
      <c r="JWB184" s="239"/>
      <c r="JWC184" s="239"/>
      <c r="JWD184" s="239"/>
      <c r="JWE184" s="239"/>
      <c r="JWF184" s="239"/>
      <c r="JWG184" s="239"/>
      <c r="JWH184" s="239"/>
      <c r="JWI184" s="239"/>
      <c r="JWJ184" s="239"/>
      <c r="JWK184" s="239"/>
      <c r="JWL184" s="239"/>
      <c r="JWM184" s="239"/>
      <c r="JWN184" s="239"/>
      <c r="JWO184" s="239"/>
      <c r="JWP184" s="239"/>
      <c r="JWQ184" s="239"/>
      <c r="JWR184" s="239"/>
      <c r="JWS184" s="239"/>
      <c r="JWT184" s="239"/>
      <c r="JWU184" s="239"/>
      <c r="JWV184" s="239"/>
      <c r="JWW184" s="239"/>
      <c r="JWX184" s="239"/>
      <c r="JWY184" s="239"/>
      <c r="JWZ184" s="239"/>
      <c r="JXA184" s="239"/>
      <c r="JXB184" s="239"/>
      <c r="JXC184" s="239"/>
      <c r="JXD184" s="239"/>
      <c r="JXE184" s="239"/>
      <c r="JXF184" s="239"/>
      <c r="JXG184" s="239"/>
      <c r="JXH184" s="239"/>
      <c r="JXI184" s="239"/>
      <c r="JXJ184" s="239"/>
      <c r="JXK184" s="239"/>
      <c r="JXL184" s="239"/>
      <c r="JXM184" s="239"/>
      <c r="JXN184" s="239"/>
      <c r="JXO184" s="239"/>
      <c r="JXP184" s="239"/>
      <c r="JXQ184" s="239"/>
      <c r="JXR184" s="239"/>
      <c r="JXS184" s="239"/>
      <c r="JXT184" s="239"/>
      <c r="JXU184" s="239"/>
      <c r="JXV184" s="239"/>
      <c r="JXW184" s="239"/>
      <c r="JXX184" s="239"/>
      <c r="JXY184" s="239"/>
      <c r="JXZ184" s="239"/>
      <c r="JYA184" s="239"/>
      <c r="JYB184" s="239"/>
      <c r="JYC184" s="239"/>
      <c r="JYD184" s="239"/>
      <c r="JYE184" s="239"/>
      <c r="JYF184" s="239"/>
      <c r="JYG184" s="239"/>
      <c r="JYH184" s="239"/>
      <c r="JYI184" s="239"/>
      <c r="JYJ184" s="239"/>
      <c r="JYK184" s="239"/>
      <c r="JYL184" s="239"/>
      <c r="JYM184" s="239"/>
      <c r="JYN184" s="239"/>
      <c r="JYO184" s="239"/>
      <c r="JYP184" s="239"/>
      <c r="JYQ184" s="239"/>
      <c r="JYR184" s="239"/>
      <c r="JYS184" s="239"/>
      <c r="JYT184" s="239"/>
      <c r="JYU184" s="239"/>
      <c r="JYV184" s="239"/>
      <c r="JYW184" s="239"/>
      <c r="JYX184" s="239"/>
      <c r="JYY184" s="239"/>
      <c r="JYZ184" s="239"/>
      <c r="JZA184" s="239"/>
      <c r="JZB184" s="239"/>
      <c r="JZC184" s="239"/>
      <c r="JZD184" s="239"/>
      <c r="JZE184" s="239"/>
      <c r="JZF184" s="239"/>
      <c r="JZG184" s="239"/>
      <c r="JZH184" s="239"/>
      <c r="JZI184" s="239"/>
      <c r="JZJ184" s="239"/>
      <c r="JZK184" s="239"/>
      <c r="JZL184" s="239"/>
      <c r="JZM184" s="239"/>
      <c r="JZN184" s="239"/>
      <c r="JZO184" s="239"/>
      <c r="JZP184" s="239"/>
      <c r="JZQ184" s="239"/>
      <c r="JZR184" s="239"/>
      <c r="JZS184" s="239"/>
      <c r="JZT184" s="239"/>
      <c r="JZU184" s="239"/>
      <c r="JZV184" s="239"/>
      <c r="JZW184" s="239"/>
      <c r="JZX184" s="239"/>
      <c r="JZY184" s="239"/>
      <c r="JZZ184" s="239"/>
      <c r="KAA184" s="239"/>
      <c r="KAB184" s="239"/>
      <c r="KAC184" s="239"/>
      <c r="KAD184" s="239"/>
      <c r="KAE184" s="239"/>
      <c r="KAF184" s="239"/>
      <c r="KAG184" s="239"/>
      <c r="KAH184" s="239"/>
      <c r="KAI184" s="239"/>
      <c r="KAJ184" s="239"/>
      <c r="KAK184" s="239"/>
      <c r="KAL184" s="239"/>
      <c r="KAM184" s="239"/>
      <c r="KAN184" s="239"/>
      <c r="KAO184" s="239"/>
      <c r="KAP184" s="239"/>
      <c r="KAQ184" s="239"/>
      <c r="KAR184" s="239"/>
      <c r="KAS184" s="239"/>
      <c r="KAT184" s="239"/>
      <c r="KAU184" s="239"/>
      <c r="KAV184" s="239"/>
      <c r="KAW184" s="239"/>
      <c r="KAX184" s="239"/>
      <c r="KAY184" s="239"/>
      <c r="KAZ184" s="239"/>
      <c r="KBA184" s="239"/>
      <c r="KBB184" s="239"/>
      <c r="KBC184" s="239"/>
      <c r="KBD184" s="239"/>
      <c r="KBE184" s="239"/>
      <c r="KBF184" s="239"/>
      <c r="KBG184" s="239"/>
      <c r="KBH184" s="239"/>
      <c r="KBI184" s="239"/>
      <c r="KBJ184" s="239"/>
      <c r="KBK184" s="239"/>
      <c r="KBL184" s="239"/>
      <c r="KBM184" s="239"/>
      <c r="KBN184" s="239"/>
      <c r="KBO184" s="239"/>
      <c r="KBP184" s="239"/>
      <c r="KBQ184" s="239"/>
      <c r="KBR184" s="239"/>
      <c r="KBS184" s="239"/>
      <c r="KBT184" s="239"/>
      <c r="KBU184" s="239"/>
      <c r="KBV184" s="239"/>
      <c r="KBW184" s="239"/>
      <c r="KBX184" s="239"/>
      <c r="KBY184" s="239"/>
      <c r="KBZ184" s="239"/>
      <c r="KCA184" s="239"/>
      <c r="KCB184" s="239"/>
      <c r="KCC184" s="239"/>
      <c r="KCD184" s="239"/>
      <c r="KCE184" s="239"/>
      <c r="KCF184" s="239"/>
      <c r="KCG184" s="239"/>
      <c r="KCH184" s="239"/>
      <c r="KCI184" s="239"/>
      <c r="KCJ184" s="239"/>
      <c r="KCK184" s="239"/>
      <c r="KCL184" s="239"/>
      <c r="KCM184" s="239"/>
      <c r="KCN184" s="239"/>
      <c r="KCO184" s="239"/>
      <c r="KCP184" s="239"/>
      <c r="KCQ184" s="239"/>
      <c r="KCR184" s="239"/>
      <c r="KCS184" s="239"/>
      <c r="KCT184" s="239"/>
      <c r="KCU184" s="239"/>
      <c r="KCV184" s="239"/>
      <c r="KCW184" s="239"/>
      <c r="KCX184" s="239"/>
      <c r="KCY184" s="239"/>
      <c r="KCZ184" s="239"/>
      <c r="KDA184" s="239"/>
      <c r="KDB184" s="239"/>
      <c r="KDC184" s="239"/>
      <c r="KDD184" s="239"/>
      <c r="KDE184" s="239"/>
      <c r="KDF184" s="239"/>
      <c r="KDG184" s="239"/>
      <c r="KDH184" s="239"/>
      <c r="KDI184" s="239"/>
      <c r="KDJ184" s="239"/>
      <c r="KDK184" s="239"/>
      <c r="KDL184" s="239"/>
      <c r="KDM184" s="239"/>
      <c r="KDN184" s="239"/>
      <c r="KDO184" s="239"/>
      <c r="KDP184" s="239"/>
      <c r="KDQ184" s="239"/>
      <c r="KDR184" s="239"/>
      <c r="KDS184" s="239"/>
      <c r="KDT184" s="239"/>
      <c r="KDU184" s="239"/>
      <c r="KDV184" s="239"/>
      <c r="KDW184" s="239"/>
      <c r="KDX184" s="239"/>
      <c r="KDY184" s="239"/>
      <c r="KDZ184" s="239"/>
      <c r="KEA184" s="239"/>
      <c r="KEB184" s="239"/>
      <c r="KEC184" s="239"/>
      <c r="KED184" s="239"/>
      <c r="KEE184" s="239"/>
      <c r="KEF184" s="239"/>
      <c r="KEG184" s="239"/>
      <c r="KEH184" s="239"/>
      <c r="KEI184" s="239"/>
      <c r="KEJ184" s="239"/>
      <c r="KEK184" s="239"/>
      <c r="KEL184" s="239"/>
      <c r="KEM184" s="239"/>
      <c r="KEN184" s="239"/>
      <c r="KEO184" s="239"/>
      <c r="KEP184" s="239"/>
      <c r="KEQ184" s="239"/>
      <c r="KER184" s="239"/>
      <c r="KES184" s="239"/>
      <c r="KET184" s="239"/>
      <c r="KEU184" s="239"/>
      <c r="KEV184" s="239"/>
      <c r="KEW184" s="239"/>
      <c r="KEX184" s="239"/>
      <c r="KEY184" s="239"/>
      <c r="KEZ184" s="239"/>
      <c r="KFA184" s="239"/>
      <c r="KFB184" s="239"/>
      <c r="KFC184" s="239"/>
      <c r="KFD184" s="239"/>
      <c r="KFE184" s="239"/>
      <c r="KFF184" s="239"/>
      <c r="KFG184" s="239"/>
      <c r="KFH184" s="239"/>
      <c r="KFI184" s="239"/>
      <c r="KFJ184" s="239"/>
      <c r="KFK184" s="239"/>
      <c r="KFL184" s="239"/>
      <c r="KFM184" s="239"/>
      <c r="KFN184" s="239"/>
      <c r="KFO184" s="239"/>
      <c r="KFP184" s="239"/>
      <c r="KFQ184" s="239"/>
      <c r="KFR184" s="239"/>
      <c r="KFS184" s="239"/>
      <c r="KFT184" s="239"/>
      <c r="KFU184" s="239"/>
      <c r="KFV184" s="239"/>
      <c r="KFW184" s="239"/>
      <c r="KFX184" s="239"/>
      <c r="KFY184" s="239"/>
      <c r="KFZ184" s="239"/>
      <c r="KGA184" s="239"/>
      <c r="KGB184" s="239"/>
      <c r="KGC184" s="239"/>
      <c r="KGD184" s="239"/>
      <c r="KGE184" s="239"/>
      <c r="KGF184" s="239"/>
      <c r="KGG184" s="239"/>
      <c r="KGH184" s="239"/>
      <c r="KGI184" s="239"/>
      <c r="KGJ184" s="239"/>
      <c r="KGK184" s="239"/>
      <c r="KGL184" s="239"/>
      <c r="KGM184" s="239"/>
      <c r="KGN184" s="239"/>
      <c r="KGO184" s="239"/>
      <c r="KGP184" s="239"/>
      <c r="KGQ184" s="239"/>
      <c r="KGR184" s="239"/>
      <c r="KGS184" s="239"/>
      <c r="KGT184" s="239"/>
      <c r="KGU184" s="239"/>
      <c r="KGV184" s="239"/>
      <c r="KGW184" s="239"/>
      <c r="KGX184" s="239"/>
      <c r="KGY184" s="239"/>
      <c r="KGZ184" s="239"/>
      <c r="KHA184" s="239"/>
      <c r="KHB184" s="239"/>
      <c r="KHC184" s="239"/>
      <c r="KHD184" s="239"/>
      <c r="KHE184" s="239"/>
      <c r="KHF184" s="239"/>
      <c r="KHG184" s="239"/>
      <c r="KHH184" s="239"/>
      <c r="KHI184" s="239"/>
      <c r="KHJ184" s="239"/>
      <c r="KHK184" s="239"/>
      <c r="KHL184" s="239"/>
      <c r="KHM184" s="239"/>
      <c r="KHN184" s="239"/>
      <c r="KHO184" s="239"/>
      <c r="KHP184" s="239"/>
      <c r="KHQ184" s="239"/>
      <c r="KHR184" s="239"/>
      <c r="KHS184" s="239"/>
      <c r="KHT184" s="239"/>
      <c r="KHU184" s="239"/>
      <c r="KHV184" s="239"/>
      <c r="KHW184" s="239"/>
      <c r="KHX184" s="239"/>
      <c r="KHY184" s="239"/>
      <c r="KHZ184" s="239"/>
      <c r="KIA184" s="239"/>
      <c r="KIB184" s="239"/>
      <c r="KIC184" s="239"/>
      <c r="KID184" s="239"/>
      <c r="KIE184" s="239"/>
      <c r="KIF184" s="239"/>
      <c r="KIG184" s="239"/>
      <c r="KIH184" s="239"/>
      <c r="KII184" s="239"/>
      <c r="KIJ184" s="239"/>
      <c r="KIK184" s="239"/>
      <c r="KIL184" s="239"/>
      <c r="KIM184" s="239"/>
      <c r="KIN184" s="239"/>
      <c r="KIO184" s="239"/>
      <c r="KIP184" s="239"/>
      <c r="KIQ184" s="239"/>
      <c r="KIR184" s="239"/>
      <c r="KIS184" s="239"/>
      <c r="KIT184" s="239"/>
      <c r="KIU184" s="239"/>
      <c r="KIV184" s="239"/>
      <c r="KIW184" s="239"/>
      <c r="KIX184" s="239"/>
      <c r="KIY184" s="239"/>
      <c r="KIZ184" s="239"/>
      <c r="KJA184" s="239"/>
      <c r="KJB184" s="239"/>
      <c r="KJC184" s="239"/>
      <c r="KJD184" s="239"/>
      <c r="KJE184" s="239"/>
      <c r="KJF184" s="239"/>
      <c r="KJG184" s="239"/>
      <c r="KJH184" s="239"/>
      <c r="KJI184" s="239"/>
      <c r="KJJ184" s="239"/>
      <c r="KJK184" s="239"/>
      <c r="KJL184" s="239"/>
      <c r="KJM184" s="239"/>
      <c r="KJN184" s="239"/>
      <c r="KJO184" s="239"/>
      <c r="KJP184" s="239"/>
      <c r="KJQ184" s="239"/>
      <c r="KJR184" s="239"/>
      <c r="KJS184" s="239"/>
      <c r="KJT184" s="239"/>
      <c r="KJU184" s="239"/>
      <c r="KJV184" s="239"/>
      <c r="KJW184" s="239"/>
      <c r="KJX184" s="239"/>
      <c r="KJY184" s="239"/>
      <c r="KJZ184" s="239"/>
      <c r="KKA184" s="239"/>
      <c r="KKB184" s="239"/>
      <c r="KKC184" s="239"/>
      <c r="KKD184" s="239"/>
      <c r="KKE184" s="239"/>
      <c r="KKF184" s="239"/>
      <c r="KKG184" s="239"/>
      <c r="KKH184" s="239"/>
      <c r="KKI184" s="239"/>
      <c r="KKJ184" s="239"/>
      <c r="KKK184" s="239"/>
      <c r="KKL184" s="239"/>
      <c r="KKM184" s="239"/>
      <c r="KKN184" s="239"/>
      <c r="KKO184" s="239"/>
      <c r="KKP184" s="239"/>
      <c r="KKQ184" s="239"/>
      <c r="KKR184" s="239"/>
      <c r="KKS184" s="239"/>
      <c r="KKT184" s="239"/>
      <c r="KKU184" s="239"/>
      <c r="KKV184" s="239"/>
      <c r="KKW184" s="239"/>
      <c r="KKX184" s="239"/>
      <c r="KKY184" s="239"/>
      <c r="KKZ184" s="239"/>
      <c r="KLA184" s="239"/>
      <c r="KLB184" s="239"/>
      <c r="KLC184" s="239"/>
      <c r="KLD184" s="239"/>
      <c r="KLE184" s="239"/>
      <c r="KLF184" s="239"/>
      <c r="KLG184" s="239"/>
      <c r="KLH184" s="239"/>
      <c r="KLI184" s="239"/>
      <c r="KLJ184" s="239"/>
      <c r="KLK184" s="239"/>
      <c r="KLL184" s="239"/>
      <c r="KLM184" s="239"/>
      <c r="KLN184" s="239"/>
      <c r="KLO184" s="239"/>
      <c r="KLP184" s="239"/>
      <c r="KLQ184" s="239"/>
      <c r="KLR184" s="239"/>
      <c r="KLS184" s="239"/>
      <c r="KLT184" s="239"/>
      <c r="KLU184" s="239"/>
      <c r="KLV184" s="239"/>
      <c r="KLW184" s="239"/>
      <c r="KLX184" s="239"/>
      <c r="KLY184" s="239"/>
      <c r="KLZ184" s="239"/>
      <c r="KMA184" s="239"/>
      <c r="KMB184" s="239"/>
      <c r="KMC184" s="239"/>
      <c r="KMD184" s="239"/>
      <c r="KME184" s="239"/>
      <c r="KMF184" s="239"/>
      <c r="KMG184" s="239"/>
      <c r="KMH184" s="239"/>
      <c r="KMI184" s="239"/>
      <c r="KMJ184" s="239"/>
      <c r="KMK184" s="239"/>
      <c r="KML184" s="239"/>
      <c r="KMM184" s="239"/>
      <c r="KMN184" s="239"/>
      <c r="KMO184" s="239"/>
      <c r="KMP184" s="239"/>
      <c r="KMQ184" s="239"/>
      <c r="KMR184" s="239"/>
      <c r="KMS184" s="239"/>
      <c r="KMT184" s="239"/>
      <c r="KMU184" s="239"/>
      <c r="KMV184" s="239"/>
      <c r="KMW184" s="239"/>
      <c r="KMX184" s="239"/>
      <c r="KMY184" s="239"/>
      <c r="KMZ184" s="239"/>
      <c r="KNA184" s="239"/>
      <c r="KNB184" s="239"/>
      <c r="KNC184" s="239"/>
      <c r="KND184" s="239"/>
      <c r="KNE184" s="239"/>
      <c r="KNF184" s="239"/>
      <c r="KNG184" s="239"/>
      <c r="KNH184" s="239"/>
      <c r="KNI184" s="239"/>
      <c r="KNJ184" s="239"/>
      <c r="KNK184" s="239"/>
      <c r="KNL184" s="239"/>
      <c r="KNM184" s="239"/>
      <c r="KNN184" s="239"/>
      <c r="KNO184" s="239"/>
      <c r="KNP184" s="239"/>
      <c r="KNQ184" s="239"/>
      <c r="KNR184" s="239"/>
      <c r="KNS184" s="239"/>
      <c r="KNT184" s="239"/>
      <c r="KNU184" s="239"/>
      <c r="KNV184" s="239"/>
      <c r="KNW184" s="239"/>
      <c r="KNX184" s="239"/>
      <c r="KNY184" s="239"/>
      <c r="KNZ184" s="239"/>
      <c r="KOA184" s="239"/>
      <c r="KOB184" s="239"/>
      <c r="KOC184" s="239"/>
      <c r="KOD184" s="239"/>
      <c r="KOE184" s="239"/>
      <c r="KOF184" s="239"/>
      <c r="KOG184" s="239"/>
      <c r="KOH184" s="239"/>
      <c r="KOI184" s="239"/>
      <c r="KOJ184" s="239"/>
      <c r="KOK184" s="239"/>
      <c r="KOL184" s="239"/>
      <c r="KOM184" s="239"/>
      <c r="KON184" s="239"/>
      <c r="KOO184" s="239"/>
      <c r="KOP184" s="239"/>
      <c r="KOQ184" s="239"/>
      <c r="KOR184" s="239"/>
      <c r="KOS184" s="239"/>
      <c r="KOT184" s="239"/>
      <c r="KOU184" s="239"/>
      <c r="KOV184" s="239"/>
      <c r="KOW184" s="239"/>
      <c r="KOX184" s="239"/>
      <c r="KOY184" s="239"/>
      <c r="KOZ184" s="239"/>
      <c r="KPA184" s="239"/>
      <c r="KPB184" s="239"/>
      <c r="KPC184" s="239"/>
      <c r="KPD184" s="239"/>
      <c r="KPE184" s="239"/>
      <c r="KPF184" s="239"/>
      <c r="KPG184" s="239"/>
      <c r="KPH184" s="239"/>
      <c r="KPI184" s="239"/>
      <c r="KPJ184" s="239"/>
      <c r="KPK184" s="239"/>
      <c r="KPL184" s="239"/>
      <c r="KPM184" s="239"/>
      <c r="KPN184" s="239"/>
      <c r="KPO184" s="239"/>
      <c r="KPP184" s="239"/>
      <c r="KPQ184" s="239"/>
      <c r="KPR184" s="239"/>
      <c r="KPS184" s="239"/>
      <c r="KPT184" s="239"/>
      <c r="KPU184" s="239"/>
      <c r="KPV184" s="239"/>
      <c r="KPW184" s="239"/>
      <c r="KPX184" s="239"/>
      <c r="KPY184" s="239"/>
      <c r="KPZ184" s="239"/>
      <c r="KQA184" s="239"/>
      <c r="KQB184" s="239"/>
      <c r="KQC184" s="239"/>
      <c r="KQD184" s="239"/>
      <c r="KQE184" s="239"/>
      <c r="KQF184" s="239"/>
      <c r="KQG184" s="239"/>
      <c r="KQH184" s="239"/>
      <c r="KQI184" s="239"/>
      <c r="KQJ184" s="239"/>
      <c r="KQK184" s="239"/>
      <c r="KQL184" s="239"/>
      <c r="KQM184" s="239"/>
      <c r="KQN184" s="239"/>
      <c r="KQO184" s="239"/>
      <c r="KQP184" s="239"/>
      <c r="KQQ184" s="239"/>
      <c r="KQR184" s="239"/>
      <c r="KQS184" s="239"/>
      <c r="KQT184" s="239"/>
      <c r="KQU184" s="239"/>
      <c r="KQV184" s="239"/>
      <c r="KQW184" s="239"/>
      <c r="KQX184" s="239"/>
      <c r="KQY184" s="239"/>
      <c r="KQZ184" s="239"/>
      <c r="KRA184" s="239"/>
      <c r="KRB184" s="239"/>
      <c r="KRC184" s="239"/>
      <c r="KRD184" s="239"/>
      <c r="KRE184" s="239"/>
      <c r="KRF184" s="239"/>
      <c r="KRG184" s="239"/>
      <c r="KRH184" s="239"/>
      <c r="KRI184" s="239"/>
      <c r="KRJ184" s="239"/>
      <c r="KRK184" s="239"/>
      <c r="KRL184" s="239"/>
      <c r="KRM184" s="239"/>
      <c r="KRN184" s="239"/>
      <c r="KRO184" s="239"/>
      <c r="KRP184" s="239"/>
      <c r="KRQ184" s="239"/>
      <c r="KRR184" s="239"/>
      <c r="KRS184" s="239"/>
      <c r="KRT184" s="239"/>
      <c r="KRU184" s="239"/>
      <c r="KRV184" s="239"/>
      <c r="KRW184" s="239"/>
      <c r="KRX184" s="239"/>
      <c r="KRY184" s="239"/>
      <c r="KRZ184" s="239"/>
      <c r="KSA184" s="239"/>
      <c r="KSB184" s="239"/>
      <c r="KSC184" s="239"/>
      <c r="KSD184" s="239"/>
      <c r="KSE184" s="239"/>
      <c r="KSF184" s="239"/>
      <c r="KSG184" s="239"/>
      <c r="KSH184" s="239"/>
      <c r="KSI184" s="239"/>
      <c r="KSJ184" s="239"/>
      <c r="KSK184" s="239"/>
      <c r="KSL184" s="239"/>
      <c r="KSM184" s="239"/>
      <c r="KSN184" s="239"/>
      <c r="KSO184" s="239"/>
      <c r="KSP184" s="239"/>
      <c r="KSQ184" s="239"/>
      <c r="KSR184" s="239"/>
      <c r="KSS184" s="239"/>
      <c r="KST184" s="239"/>
      <c r="KSU184" s="239"/>
      <c r="KSV184" s="239"/>
      <c r="KSW184" s="239"/>
      <c r="KSX184" s="239"/>
      <c r="KSY184" s="239"/>
      <c r="KSZ184" s="239"/>
      <c r="KTA184" s="239"/>
      <c r="KTB184" s="239"/>
      <c r="KTC184" s="239"/>
      <c r="KTD184" s="239"/>
      <c r="KTE184" s="239"/>
      <c r="KTF184" s="239"/>
      <c r="KTG184" s="239"/>
      <c r="KTH184" s="239"/>
      <c r="KTI184" s="239"/>
      <c r="KTJ184" s="239"/>
      <c r="KTK184" s="239"/>
      <c r="KTL184" s="239"/>
      <c r="KTM184" s="239"/>
      <c r="KTN184" s="239"/>
      <c r="KTO184" s="239"/>
      <c r="KTP184" s="239"/>
      <c r="KTQ184" s="239"/>
      <c r="KTR184" s="239"/>
      <c r="KTS184" s="239"/>
      <c r="KTT184" s="239"/>
      <c r="KTU184" s="239"/>
      <c r="KTV184" s="239"/>
      <c r="KTW184" s="239"/>
      <c r="KTX184" s="239"/>
      <c r="KTY184" s="239"/>
      <c r="KTZ184" s="239"/>
      <c r="KUA184" s="239"/>
      <c r="KUB184" s="239"/>
      <c r="KUC184" s="239"/>
      <c r="KUD184" s="239"/>
      <c r="KUE184" s="239"/>
      <c r="KUF184" s="239"/>
      <c r="KUG184" s="239"/>
      <c r="KUH184" s="239"/>
      <c r="KUI184" s="239"/>
      <c r="KUJ184" s="239"/>
      <c r="KUK184" s="239"/>
      <c r="KUL184" s="239"/>
      <c r="KUM184" s="239"/>
      <c r="KUN184" s="239"/>
      <c r="KUO184" s="239"/>
      <c r="KUP184" s="239"/>
      <c r="KUQ184" s="239"/>
      <c r="KUR184" s="239"/>
      <c r="KUS184" s="239"/>
      <c r="KUT184" s="239"/>
      <c r="KUU184" s="239"/>
      <c r="KUV184" s="239"/>
      <c r="KUW184" s="239"/>
      <c r="KUX184" s="239"/>
      <c r="KUY184" s="239"/>
      <c r="KUZ184" s="239"/>
      <c r="KVA184" s="239"/>
      <c r="KVB184" s="239"/>
      <c r="KVC184" s="239"/>
      <c r="KVD184" s="239"/>
      <c r="KVE184" s="239"/>
      <c r="KVF184" s="239"/>
      <c r="KVG184" s="239"/>
      <c r="KVH184" s="239"/>
      <c r="KVI184" s="239"/>
      <c r="KVJ184" s="239"/>
      <c r="KVK184" s="239"/>
      <c r="KVL184" s="239"/>
      <c r="KVM184" s="239"/>
      <c r="KVN184" s="239"/>
      <c r="KVO184" s="239"/>
      <c r="KVP184" s="239"/>
      <c r="KVQ184" s="239"/>
      <c r="KVR184" s="239"/>
      <c r="KVS184" s="239"/>
      <c r="KVT184" s="239"/>
      <c r="KVU184" s="239"/>
      <c r="KVV184" s="239"/>
      <c r="KVW184" s="239"/>
      <c r="KVX184" s="239"/>
      <c r="KVY184" s="239"/>
      <c r="KVZ184" s="239"/>
      <c r="KWA184" s="239"/>
      <c r="KWB184" s="239"/>
      <c r="KWC184" s="239"/>
      <c r="KWD184" s="239"/>
      <c r="KWE184" s="239"/>
      <c r="KWF184" s="239"/>
      <c r="KWG184" s="239"/>
      <c r="KWH184" s="239"/>
      <c r="KWI184" s="239"/>
      <c r="KWJ184" s="239"/>
      <c r="KWK184" s="239"/>
      <c r="KWL184" s="239"/>
      <c r="KWM184" s="239"/>
      <c r="KWN184" s="239"/>
      <c r="KWO184" s="239"/>
      <c r="KWP184" s="239"/>
      <c r="KWQ184" s="239"/>
      <c r="KWR184" s="239"/>
      <c r="KWS184" s="239"/>
      <c r="KWT184" s="239"/>
      <c r="KWU184" s="239"/>
      <c r="KWV184" s="239"/>
      <c r="KWW184" s="239"/>
      <c r="KWX184" s="239"/>
      <c r="KWY184" s="239"/>
      <c r="KWZ184" s="239"/>
      <c r="KXA184" s="239"/>
      <c r="KXB184" s="239"/>
      <c r="KXC184" s="239"/>
      <c r="KXD184" s="239"/>
      <c r="KXE184" s="239"/>
      <c r="KXF184" s="239"/>
      <c r="KXG184" s="239"/>
      <c r="KXH184" s="239"/>
      <c r="KXI184" s="239"/>
      <c r="KXJ184" s="239"/>
      <c r="KXK184" s="239"/>
      <c r="KXL184" s="239"/>
      <c r="KXM184" s="239"/>
      <c r="KXN184" s="239"/>
      <c r="KXO184" s="239"/>
      <c r="KXP184" s="239"/>
      <c r="KXQ184" s="239"/>
      <c r="KXR184" s="239"/>
      <c r="KXS184" s="239"/>
      <c r="KXT184" s="239"/>
      <c r="KXU184" s="239"/>
      <c r="KXV184" s="239"/>
      <c r="KXW184" s="239"/>
      <c r="KXX184" s="239"/>
      <c r="KXY184" s="239"/>
      <c r="KXZ184" s="239"/>
      <c r="KYA184" s="239"/>
      <c r="KYB184" s="239"/>
      <c r="KYC184" s="239"/>
      <c r="KYD184" s="239"/>
      <c r="KYE184" s="239"/>
      <c r="KYF184" s="239"/>
      <c r="KYG184" s="239"/>
      <c r="KYH184" s="239"/>
      <c r="KYI184" s="239"/>
      <c r="KYJ184" s="239"/>
      <c r="KYK184" s="239"/>
      <c r="KYL184" s="239"/>
      <c r="KYM184" s="239"/>
      <c r="KYN184" s="239"/>
      <c r="KYO184" s="239"/>
      <c r="KYP184" s="239"/>
      <c r="KYQ184" s="239"/>
      <c r="KYR184" s="239"/>
      <c r="KYS184" s="239"/>
      <c r="KYT184" s="239"/>
      <c r="KYU184" s="239"/>
      <c r="KYV184" s="239"/>
      <c r="KYW184" s="239"/>
      <c r="KYX184" s="239"/>
      <c r="KYY184" s="239"/>
      <c r="KYZ184" s="239"/>
      <c r="KZA184" s="239"/>
      <c r="KZB184" s="239"/>
      <c r="KZC184" s="239"/>
      <c r="KZD184" s="239"/>
      <c r="KZE184" s="239"/>
      <c r="KZF184" s="239"/>
      <c r="KZG184" s="239"/>
      <c r="KZH184" s="239"/>
      <c r="KZI184" s="239"/>
      <c r="KZJ184" s="239"/>
      <c r="KZK184" s="239"/>
      <c r="KZL184" s="239"/>
      <c r="KZM184" s="239"/>
      <c r="KZN184" s="239"/>
      <c r="KZO184" s="239"/>
      <c r="KZP184" s="239"/>
      <c r="KZQ184" s="239"/>
      <c r="KZR184" s="239"/>
      <c r="KZS184" s="239"/>
      <c r="KZT184" s="239"/>
      <c r="KZU184" s="239"/>
      <c r="KZV184" s="239"/>
      <c r="KZW184" s="239"/>
      <c r="KZX184" s="239"/>
      <c r="KZY184" s="239"/>
      <c r="KZZ184" s="239"/>
      <c r="LAA184" s="239"/>
      <c r="LAB184" s="239"/>
      <c r="LAC184" s="239"/>
      <c r="LAD184" s="239"/>
      <c r="LAE184" s="239"/>
      <c r="LAF184" s="239"/>
      <c r="LAG184" s="239"/>
      <c r="LAH184" s="239"/>
      <c r="LAI184" s="239"/>
      <c r="LAJ184" s="239"/>
      <c r="LAK184" s="239"/>
      <c r="LAL184" s="239"/>
      <c r="LAM184" s="239"/>
      <c r="LAN184" s="239"/>
      <c r="LAO184" s="239"/>
      <c r="LAP184" s="239"/>
      <c r="LAQ184" s="239"/>
      <c r="LAR184" s="239"/>
      <c r="LAS184" s="239"/>
      <c r="LAT184" s="239"/>
      <c r="LAU184" s="239"/>
      <c r="LAV184" s="239"/>
      <c r="LAW184" s="239"/>
      <c r="LAX184" s="239"/>
      <c r="LAY184" s="239"/>
      <c r="LAZ184" s="239"/>
      <c r="LBA184" s="239"/>
      <c r="LBB184" s="239"/>
      <c r="LBC184" s="239"/>
      <c r="LBD184" s="239"/>
      <c r="LBE184" s="239"/>
      <c r="LBF184" s="239"/>
      <c r="LBG184" s="239"/>
      <c r="LBH184" s="239"/>
      <c r="LBI184" s="239"/>
      <c r="LBJ184" s="239"/>
      <c r="LBK184" s="239"/>
      <c r="LBL184" s="239"/>
      <c r="LBM184" s="239"/>
      <c r="LBN184" s="239"/>
      <c r="LBO184" s="239"/>
      <c r="LBP184" s="239"/>
      <c r="LBQ184" s="239"/>
      <c r="LBR184" s="239"/>
      <c r="LBS184" s="239"/>
      <c r="LBT184" s="239"/>
      <c r="LBU184" s="239"/>
      <c r="LBV184" s="239"/>
      <c r="LBW184" s="239"/>
      <c r="LBX184" s="239"/>
      <c r="LBY184" s="239"/>
      <c r="LBZ184" s="239"/>
      <c r="LCA184" s="239"/>
      <c r="LCB184" s="239"/>
      <c r="LCC184" s="239"/>
      <c r="LCD184" s="239"/>
      <c r="LCE184" s="239"/>
      <c r="LCF184" s="239"/>
      <c r="LCG184" s="239"/>
      <c r="LCH184" s="239"/>
      <c r="LCI184" s="239"/>
      <c r="LCJ184" s="239"/>
      <c r="LCK184" s="239"/>
      <c r="LCL184" s="239"/>
      <c r="LCM184" s="239"/>
      <c r="LCN184" s="239"/>
      <c r="LCO184" s="239"/>
      <c r="LCP184" s="239"/>
      <c r="LCQ184" s="239"/>
      <c r="LCR184" s="239"/>
      <c r="LCS184" s="239"/>
      <c r="LCT184" s="239"/>
      <c r="LCU184" s="239"/>
      <c r="LCV184" s="239"/>
      <c r="LCW184" s="239"/>
      <c r="LCX184" s="239"/>
      <c r="LCY184" s="239"/>
      <c r="LCZ184" s="239"/>
      <c r="LDA184" s="239"/>
      <c r="LDB184" s="239"/>
      <c r="LDC184" s="239"/>
      <c r="LDD184" s="239"/>
      <c r="LDE184" s="239"/>
      <c r="LDF184" s="239"/>
      <c r="LDG184" s="239"/>
      <c r="LDH184" s="239"/>
      <c r="LDI184" s="239"/>
      <c r="LDJ184" s="239"/>
      <c r="LDK184" s="239"/>
      <c r="LDL184" s="239"/>
      <c r="LDM184" s="239"/>
      <c r="LDN184" s="239"/>
      <c r="LDO184" s="239"/>
      <c r="LDP184" s="239"/>
      <c r="LDQ184" s="239"/>
      <c r="LDR184" s="239"/>
      <c r="LDS184" s="239"/>
      <c r="LDT184" s="239"/>
      <c r="LDU184" s="239"/>
      <c r="LDV184" s="239"/>
      <c r="LDW184" s="239"/>
      <c r="LDX184" s="239"/>
      <c r="LDY184" s="239"/>
      <c r="LDZ184" s="239"/>
      <c r="LEA184" s="239"/>
      <c r="LEB184" s="239"/>
      <c r="LEC184" s="239"/>
      <c r="LED184" s="239"/>
      <c r="LEE184" s="239"/>
      <c r="LEF184" s="239"/>
      <c r="LEG184" s="239"/>
      <c r="LEH184" s="239"/>
      <c r="LEI184" s="239"/>
      <c r="LEJ184" s="239"/>
      <c r="LEK184" s="239"/>
      <c r="LEL184" s="239"/>
      <c r="LEM184" s="239"/>
      <c r="LEN184" s="239"/>
      <c r="LEO184" s="239"/>
      <c r="LEP184" s="239"/>
      <c r="LEQ184" s="239"/>
      <c r="LER184" s="239"/>
      <c r="LES184" s="239"/>
      <c r="LET184" s="239"/>
      <c r="LEU184" s="239"/>
      <c r="LEV184" s="239"/>
      <c r="LEW184" s="239"/>
      <c r="LEX184" s="239"/>
      <c r="LEY184" s="239"/>
      <c r="LEZ184" s="239"/>
      <c r="LFA184" s="239"/>
      <c r="LFB184" s="239"/>
      <c r="LFC184" s="239"/>
      <c r="LFD184" s="239"/>
      <c r="LFE184" s="239"/>
      <c r="LFF184" s="239"/>
      <c r="LFG184" s="239"/>
      <c r="LFH184" s="239"/>
      <c r="LFI184" s="239"/>
      <c r="LFJ184" s="239"/>
      <c r="LFK184" s="239"/>
      <c r="LFL184" s="239"/>
      <c r="LFM184" s="239"/>
      <c r="LFN184" s="239"/>
      <c r="LFO184" s="239"/>
      <c r="LFP184" s="239"/>
      <c r="LFQ184" s="239"/>
      <c r="LFR184" s="239"/>
      <c r="LFS184" s="239"/>
      <c r="LFT184" s="239"/>
      <c r="LFU184" s="239"/>
      <c r="LFV184" s="239"/>
      <c r="LFW184" s="239"/>
      <c r="LFX184" s="239"/>
      <c r="LFY184" s="239"/>
      <c r="LFZ184" s="239"/>
      <c r="LGA184" s="239"/>
      <c r="LGB184" s="239"/>
      <c r="LGC184" s="239"/>
      <c r="LGD184" s="239"/>
      <c r="LGE184" s="239"/>
      <c r="LGF184" s="239"/>
      <c r="LGG184" s="239"/>
      <c r="LGH184" s="239"/>
      <c r="LGI184" s="239"/>
      <c r="LGJ184" s="239"/>
      <c r="LGK184" s="239"/>
      <c r="LGL184" s="239"/>
      <c r="LGM184" s="239"/>
      <c r="LGN184" s="239"/>
      <c r="LGO184" s="239"/>
      <c r="LGP184" s="239"/>
      <c r="LGQ184" s="239"/>
      <c r="LGR184" s="239"/>
      <c r="LGS184" s="239"/>
      <c r="LGT184" s="239"/>
      <c r="LGU184" s="239"/>
      <c r="LGV184" s="239"/>
      <c r="LGW184" s="239"/>
      <c r="LGX184" s="239"/>
      <c r="LGY184" s="239"/>
      <c r="LGZ184" s="239"/>
      <c r="LHA184" s="239"/>
      <c r="LHB184" s="239"/>
      <c r="LHC184" s="239"/>
      <c r="LHD184" s="239"/>
      <c r="LHE184" s="239"/>
      <c r="LHF184" s="239"/>
      <c r="LHG184" s="239"/>
      <c r="LHH184" s="239"/>
      <c r="LHI184" s="239"/>
      <c r="LHJ184" s="239"/>
      <c r="LHK184" s="239"/>
      <c r="LHL184" s="239"/>
      <c r="LHM184" s="239"/>
      <c r="LHN184" s="239"/>
      <c r="LHO184" s="239"/>
      <c r="LHP184" s="239"/>
      <c r="LHQ184" s="239"/>
      <c r="LHR184" s="239"/>
      <c r="LHS184" s="239"/>
      <c r="LHT184" s="239"/>
      <c r="LHU184" s="239"/>
      <c r="LHV184" s="239"/>
      <c r="LHW184" s="239"/>
      <c r="LHX184" s="239"/>
      <c r="LHY184" s="239"/>
      <c r="LHZ184" s="239"/>
      <c r="LIA184" s="239"/>
      <c r="LIB184" s="239"/>
      <c r="LIC184" s="239"/>
      <c r="LID184" s="239"/>
      <c r="LIE184" s="239"/>
      <c r="LIF184" s="239"/>
      <c r="LIG184" s="239"/>
      <c r="LIH184" s="239"/>
      <c r="LII184" s="239"/>
      <c r="LIJ184" s="239"/>
      <c r="LIK184" s="239"/>
      <c r="LIL184" s="239"/>
      <c r="LIM184" s="239"/>
      <c r="LIN184" s="239"/>
      <c r="LIO184" s="239"/>
      <c r="LIP184" s="239"/>
      <c r="LIQ184" s="239"/>
      <c r="LIR184" s="239"/>
      <c r="LIS184" s="239"/>
      <c r="LIT184" s="239"/>
      <c r="LIU184" s="239"/>
      <c r="LIV184" s="239"/>
      <c r="LIW184" s="239"/>
      <c r="LIX184" s="239"/>
      <c r="LIY184" s="239"/>
      <c r="LIZ184" s="239"/>
      <c r="LJA184" s="239"/>
      <c r="LJB184" s="239"/>
      <c r="LJC184" s="239"/>
      <c r="LJD184" s="239"/>
      <c r="LJE184" s="239"/>
      <c r="LJF184" s="239"/>
      <c r="LJG184" s="239"/>
      <c r="LJH184" s="239"/>
      <c r="LJI184" s="239"/>
      <c r="LJJ184" s="239"/>
      <c r="LJK184" s="239"/>
      <c r="LJL184" s="239"/>
      <c r="LJM184" s="239"/>
      <c r="LJN184" s="239"/>
      <c r="LJO184" s="239"/>
      <c r="LJP184" s="239"/>
      <c r="LJQ184" s="239"/>
      <c r="LJR184" s="239"/>
      <c r="LJS184" s="239"/>
      <c r="LJT184" s="239"/>
      <c r="LJU184" s="239"/>
      <c r="LJV184" s="239"/>
      <c r="LJW184" s="239"/>
      <c r="LJX184" s="239"/>
      <c r="LJY184" s="239"/>
      <c r="LJZ184" s="239"/>
      <c r="LKA184" s="239"/>
      <c r="LKB184" s="239"/>
      <c r="LKC184" s="239"/>
      <c r="LKD184" s="239"/>
      <c r="LKE184" s="239"/>
      <c r="LKF184" s="239"/>
      <c r="LKG184" s="239"/>
      <c r="LKH184" s="239"/>
      <c r="LKI184" s="239"/>
      <c r="LKJ184" s="239"/>
      <c r="LKK184" s="239"/>
      <c r="LKL184" s="239"/>
      <c r="LKM184" s="239"/>
      <c r="LKN184" s="239"/>
      <c r="LKO184" s="239"/>
      <c r="LKP184" s="239"/>
      <c r="LKQ184" s="239"/>
      <c r="LKR184" s="239"/>
      <c r="LKS184" s="239"/>
      <c r="LKT184" s="239"/>
      <c r="LKU184" s="239"/>
      <c r="LKV184" s="239"/>
      <c r="LKW184" s="239"/>
      <c r="LKX184" s="239"/>
      <c r="LKY184" s="239"/>
      <c r="LKZ184" s="239"/>
      <c r="LLA184" s="239"/>
      <c r="LLB184" s="239"/>
      <c r="LLC184" s="239"/>
      <c r="LLD184" s="239"/>
      <c r="LLE184" s="239"/>
      <c r="LLF184" s="239"/>
      <c r="LLG184" s="239"/>
      <c r="LLH184" s="239"/>
      <c r="LLI184" s="239"/>
      <c r="LLJ184" s="239"/>
      <c r="LLK184" s="239"/>
      <c r="LLL184" s="239"/>
      <c r="LLM184" s="239"/>
      <c r="LLN184" s="239"/>
      <c r="LLO184" s="239"/>
      <c r="LLP184" s="239"/>
      <c r="LLQ184" s="239"/>
      <c r="LLR184" s="239"/>
      <c r="LLS184" s="239"/>
      <c r="LLT184" s="239"/>
      <c r="LLU184" s="239"/>
      <c r="LLV184" s="239"/>
      <c r="LLW184" s="239"/>
      <c r="LLX184" s="239"/>
      <c r="LLY184" s="239"/>
      <c r="LLZ184" s="239"/>
      <c r="LMA184" s="239"/>
      <c r="LMB184" s="239"/>
      <c r="LMC184" s="239"/>
      <c r="LMD184" s="239"/>
      <c r="LME184" s="239"/>
      <c r="LMF184" s="239"/>
      <c r="LMG184" s="239"/>
      <c r="LMH184" s="239"/>
      <c r="LMI184" s="239"/>
      <c r="LMJ184" s="239"/>
      <c r="LMK184" s="239"/>
      <c r="LML184" s="239"/>
      <c r="LMM184" s="239"/>
      <c r="LMN184" s="239"/>
      <c r="LMO184" s="239"/>
      <c r="LMP184" s="239"/>
      <c r="LMQ184" s="239"/>
      <c r="LMR184" s="239"/>
      <c r="LMS184" s="239"/>
      <c r="LMT184" s="239"/>
      <c r="LMU184" s="239"/>
      <c r="LMV184" s="239"/>
      <c r="LMW184" s="239"/>
      <c r="LMX184" s="239"/>
      <c r="LMY184" s="239"/>
      <c r="LMZ184" s="239"/>
      <c r="LNA184" s="239"/>
      <c r="LNB184" s="239"/>
      <c r="LNC184" s="239"/>
      <c r="LND184" s="239"/>
      <c r="LNE184" s="239"/>
      <c r="LNF184" s="239"/>
      <c r="LNG184" s="239"/>
      <c r="LNH184" s="239"/>
      <c r="LNI184" s="239"/>
      <c r="LNJ184" s="239"/>
      <c r="LNK184" s="239"/>
      <c r="LNL184" s="239"/>
      <c r="LNM184" s="239"/>
      <c r="LNN184" s="239"/>
      <c r="LNO184" s="239"/>
      <c r="LNP184" s="239"/>
      <c r="LNQ184" s="239"/>
      <c r="LNR184" s="239"/>
      <c r="LNS184" s="239"/>
      <c r="LNT184" s="239"/>
      <c r="LNU184" s="239"/>
      <c r="LNV184" s="239"/>
      <c r="LNW184" s="239"/>
      <c r="LNX184" s="239"/>
      <c r="LNY184" s="239"/>
      <c r="LNZ184" s="239"/>
      <c r="LOA184" s="239"/>
      <c r="LOB184" s="239"/>
      <c r="LOC184" s="239"/>
      <c r="LOD184" s="239"/>
      <c r="LOE184" s="239"/>
      <c r="LOF184" s="239"/>
      <c r="LOG184" s="239"/>
      <c r="LOH184" s="239"/>
      <c r="LOI184" s="239"/>
      <c r="LOJ184" s="239"/>
      <c r="LOK184" s="239"/>
      <c r="LOL184" s="239"/>
      <c r="LOM184" s="239"/>
      <c r="LON184" s="239"/>
      <c r="LOO184" s="239"/>
      <c r="LOP184" s="239"/>
      <c r="LOQ184" s="239"/>
      <c r="LOR184" s="239"/>
      <c r="LOS184" s="239"/>
      <c r="LOT184" s="239"/>
      <c r="LOU184" s="239"/>
      <c r="LOV184" s="239"/>
      <c r="LOW184" s="239"/>
      <c r="LOX184" s="239"/>
      <c r="LOY184" s="239"/>
      <c r="LOZ184" s="239"/>
      <c r="LPA184" s="239"/>
      <c r="LPB184" s="239"/>
      <c r="LPC184" s="239"/>
      <c r="LPD184" s="239"/>
      <c r="LPE184" s="239"/>
      <c r="LPF184" s="239"/>
      <c r="LPG184" s="239"/>
      <c r="LPH184" s="239"/>
      <c r="LPI184" s="239"/>
      <c r="LPJ184" s="239"/>
      <c r="LPK184" s="239"/>
      <c r="LPL184" s="239"/>
      <c r="LPM184" s="239"/>
      <c r="LPN184" s="239"/>
      <c r="LPO184" s="239"/>
      <c r="LPP184" s="239"/>
      <c r="LPQ184" s="239"/>
      <c r="LPR184" s="239"/>
      <c r="LPS184" s="239"/>
      <c r="LPT184" s="239"/>
      <c r="LPU184" s="239"/>
      <c r="LPV184" s="239"/>
      <c r="LPW184" s="239"/>
      <c r="LPX184" s="239"/>
      <c r="LPY184" s="239"/>
      <c r="LPZ184" s="239"/>
      <c r="LQA184" s="239"/>
      <c r="LQB184" s="239"/>
      <c r="LQC184" s="239"/>
      <c r="LQD184" s="239"/>
      <c r="LQE184" s="239"/>
      <c r="LQF184" s="239"/>
      <c r="LQG184" s="239"/>
      <c r="LQH184" s="239"/>
      <c r="LQI184" s="239"/>
      <c r="LQJ184" s="239"/>
      <c r="LQK184" s="239"/>
      <c r="LQL184" s="239"/>
      <c r="LQM184" s="239"/>
      <c r="LQN184" s="239"/>
      <c r="LQO184" s="239"/>
      <c r="LQP184" s="239"/>
      <c r="LQQ184" s="239"/>
      <c r="LQR184" s="239"/>
      <c r="LQS184" s="239"/>
      <c r="LQT184" s="239"/>
      <c r="LQU184" s="239"/>
      <c r="LQV184" s="239"/>
      <c r="LQW184" s="239"/>
      <c r="LQX184" s="239"/>
      <c r="LQY184" s="239"/>
      <c r="LQZ184" s="239"/>
      <c r="LRA184" s="239"/>
      <c r="LRB184" s="239"/>
      <c r="LRC184" s="239"/>
      <c r="LRD184" s="239"/>
      <c r="LRE184" s="239"/>
      <c r="LRF184" s="239"/>
      <c r="LRG184" s="239"/>
      <c r="LRH184" s="239"/>
      <c r="LRI184" s="239"/>
      <c r="LRJ184" s="239"/>
      <c r="LRK184" s="239"/>
      <c r="LRL184" s="239"/>
      <c r="LRM184" s="239"/>
      <c r="LRN184" s="239"/>
      <c r="LRO184" s="239"/>
      <c r="LRP184" s="239"/>
      <c r="LRQ184" s="239"/>
      <c r="LRR184" s="239"/>
      <c r="LRS184" s="239"/>
      <c r="LRT184" s="239"/>
      <c r="LRU184" s="239"/>
      <c r="LRV184" s="239"/>
      <c r="LRW184" s="239"/>
      <c r="LRX184" s="239"/>
      <c r="LRY184" s="239"/>
      <c r="LRZ184" s="239"/>
      <c r="LSA184" s="239"/>
      <c r="LSB184" s="239"/>
      <c r="LSC184" s="239"/>
      <c r="LSD184" s="239"/>
      <c r="LSE184" s="239"/>
      <c r="LSF184" s="239"/>
      <c r="LSG184" s="239"/>
      <c r="LSH184" s="239"/>
      <c r="LSI184" s="239"/>
      <c r="LSJ184" s="239"/>
      <c r="LSK184" s="239"/>
      <c r="LSL184" s="239"/>
      <c r="LSM184" s="239"/>
      <c r="LSN184" s="239"/>
      <c r="LSO184" s="239"/>
      <c r="LSP184" s="239"/>
      <c r="LSQ184" s="239"/>
      <c r="LSR184" s="239"/>
      <c r="LSS184" s="239"/>
      <c r="LST184" s="239"/>
      <c r="LSU184" s="239"/>
      <c r="LSV184" s="239"/>
      <c r="LSW184" s="239"/>
      <c r="LSX184" s="239"/>
      <c r="LSY184" s="239"/>
      <c r="LSZ184" s="239"/>
      <c r="LTA184" s="239"/>
      <c r="LTB184" s="239"/>
      <c r="LTC184" s="239"/>
      <c r="LTD184" s="239"/>
      <c r="LTE184" s="239"/>
      <c r="LTF184" s="239"/>
      <c r="LTG184" s="239"/>
      <c r="LTH184" s="239"/>
      <c r="LTI184" s="239"/>
      <c r="LTJ184" s="239"/>
      <c r="LTK184" s="239"/>
      <c r="LTL184" s="239"/>
      <c r="LTM184" s="239"/>
      <c r="LTN184" s="239"/>
      <c r="LTO184" s="239"/>
      <c r="LTP184" s="239"/>
      <c r="LTQ184" s="239"/>
      <c r="LTR184" s="239"/>
      <c r="LTS184" s="239"/>
      <c r="LTT184" s="239"/>
      <c r="LTU184" s="239"/>
      <c r="LTV184" s="239"/>
      <c r="LTW184" s="239"/>
      <c r="LTX184" s="239"/>
      <c r="LTY184" s="239"/>
      <c r="LTZ184" s="239"/>
      <c r="LUA184" s="239"/>
      <c r="LUB184" s="239"/>
      <c r="LUC184" s="239"/>
      <c r="LUD184" s="239"/>
      <c r="LUE184" s="239"/>
      <c r="LUF184" s="239"/>
      <c r="LUG184" s="239"/>
      <c r="LUH184" s="239"/>
      <c r="LUI184" s="239"/>
      <c r="LUJ184" s="239"/>
      <c r="LUK184" s="239"/>
      <c r="LUL184" s="239"/>
      <c r="LUM184" s="239"/>
      <c r="LUN184" s="239"/>
      <c r="LUO184" s="239"/>
      <c r="LUP184" s="239"/>
      <c r="LUQ184" s="239"/>
      <c r="LUR184" s="239"/>
      <c r="LUS184" s="239"/>
      <c r="LUT184" s="239"/>
      <c r="LUU184" s="239"/>
      <c r="LUV184" s="239"/>
      <c r="LUW184" s="239"/>
      <c r="LUX184" s="239"/>
      <c r="LUY184" s="239"/>
      <c r="LUZ184" s="239"/>
      <c r="LVA184" s="239"/>
      <c r="LVB184" s="239"/>
      <c r="LVC184" s="239"/>
      <c r="LVD184" s="239"/>
      <c r="LVE184" s="239"/>
      <c r="LVF184" s="239"/>
      <c r="LVG184" s="239"/>
      <c r="LVH184" s="239"/>
      <c r="LVI184" s="239"/>
      <c r="LVJ184" s="239"/>
      <c r="LVK184" s="239"/>
      <c r="LVL184" s="239"/>
      <c r="LVM184" s="239"/>
      <c r="LVN184" s="239"/>
      <c r="LVO184" s="239"/>
      <c r="LVP184" s="239"/>
      <c r="LVQ184" s="239"/>
      <c r="LVR184" s="239"/>
      <c r="LVS184" s="239"/>
      <c r="LVT184" s="239"/>
      <c r="LVU184" s="239"/>
      <c r="LVV184" s="239"/>
      <c r="LVW184" s="239"/>
      <c r="LVX184" s="239"/>
      <c r="LVY184" s="239"/>
      <c r="LVZ184" s="239"/>
      <c r="LWA184" s="239"/>
      <c r="LWB184" s="239"/>
      <c r="LWC184" s="239"/>
      <c r="LWD184" s="239"/>
      <c r="LWE184" s="239"/>
      <c r="LWF184" s="239"/>
      <c r="LWG184" s="239"/>
      <c r="LWH184" s="239"/>
      <c r="LWI184" s="239"/>
      <c r="LWJ184" s="239"/>
      <c r="LWK184" s="239"/>
      <c r="LWL184" s="239"/>
      <c r="LWM184" s="239"/>
      <c r="LWN184" s="239"/>
      <c r="LWO184" s="239"/>
      <c r="LWP184" s="239"/>
      <c r="LWQ184" s="239"/>
      <c r="LWR184" s="239"/>
      <c r="LWS184" s="239"/>
      <c r="LWT184" s="239"/>
      <c r="LWU184" s="239"/>
      <c r="LWV184" s="239"/>
      <c r="LWW184" s="239"/>
      <c r="LWX184" s="239"/>
      <c r="LWY184" s="239"/>
      <c r="LWZ184" s="239"/>
      <c r="LXA184" s="239"/>
      <c r="LXB184" s="239"/>
      <c r="LXC184" s="239"/>
      <c r="LXD184" s="239"/>
      <c r="LXE184" s="239"/>
      <c r="LXF184" s="239"/>
      <c r="LXG184" s="239"/>
      <c r="LXH184" s="239"/>
      <c r="LXI184" s="239"/>
      <c r="LXJ184" s="239"/>
      <c r="LXK184" s="239"/>
      <c r="LXL184" s="239"/>
      <c r="LXM184" s="239"/>
      <c r="LXN184" s="239"/>
      <c r="LXO184" s="239"/>
      <c r="LXP184" s="239"/>
      <c r="LXQ184" s="239"/>
      <c r="LXR184" s="239"/>
      <c r="LXS184" s="239"/>
      <c r="LXT184" s="239"/>
      <c r="LXU184" s="239"/>
      <c r="LXV184" s="239"/>
      <c r="LXW184" s="239"/>
      <c r="LXX184" s="239"/>
      <c r="LXY184" s="239"/>
      <c r="LXZ184" s="239"/>
      <c r="LYA184" s="239"/>
      <c r="LYB184" s="239"/>
      <c r="LYC184" s="239"/>
      <c r="LYD184" s="239"/>
      <c r="LYE184" s="239"/>
      <c r="LYF184" s="239"/>
      <c r="LYG184" s="239"/>
      <c r="LYH184" s="239"/>
      <c r="LYI184" s="239"/>
      <c r="LYJ184" s="239"/>
      <c r="LYK184" s="239"/>
      <c r="LYL184" s="239"/>
      <c r="LYM184" s="239"/>
      <c r="LYN184" s="239"/>
      <c r="LYO184" s="239"/>
      <c r="LYP184" s="239"/>
      <c r="LYQ184" s="239"/>
      <c r="LYR184" s="239"/>
      <c r="LYS184" s="239"/>
      <c r="LYT184" s="239"/>
      <c r="LYU184" s="239"/>
      <c r="LYV184" s="239"/>
      <c r="LYW184" s="239"/>
      <c r="LYX184" s="239"/>
      <c r="LYY184" s="239"/>
      <c r="LYZ184" s="239"/>
      <c r="LZA184" s="239"/>
      <c r="LZB184" s="239"/>
      <c r="LZC184" s="239"/>
      <c r="LZD184" s="239"/>
      <c r="LZE184" s="239"/>
      <c r="LZF184" s="239"/>
      <c r="LZG184" s="239"/>
      <c r="LZH184" s="239"/>
      <c r="LZI184" s="239"/>
      <c r="LZJ184" s="239"/>
      <c r="LZK184" s="239"/>
      <c r="LZL184" s="239"/>
      <c r="LZM184" s="239"/>
      <c r="LZN184" s="239"/>
      <c r="LZO184" s="239"/>
      <c r="LZP184" s="239"/>
      <c r="LZQ184" s="239"/>
      <c r="LZR184" s="239"/>
      <c r="LZS184" s="239"/>
      <c r="LZT184" s="239"/>
      <c r="LZU184" s="239"/>
      <c r="LZV184" s="239"/>
      <c r="LZW184" s="239"/>
      <c r="LZX184" s="239"/>
      <c r="LZY184" s="239"/>
      <c r="LZZ184" s="239"/>
      <c r="MAA184" s="239"/>
      <c r="MAB184" s="239"/>
      <c r="MAC184" s="239"/>
      <c r="MAD184" s="239"/>
      <c r="MAE184" s="239"/>
      <c r="MAF184" s="239"/>
      <c r="MAG184" s="239"/>
      <c r="MAH184" s="239"/>
      <c r="MAI184" s="239"/>
      <c r="MAJ184" s="239"/>
      <c r="MAK184" s="239"/>
      <c r="MAL184" s="239"/>
      <c r="MAM184" s="239"/>
      <c r="MAN184" s="239"/>
      <c r="MAO184" s="239"/>
      <c r="MAP184" s="239"/>
      <c r="MAQ184" s="239"/>
      <c r="MAR184" s="239"/>
      <c r="MAS184" s="239"/>
      <c r="MAT184" s="239"/>
      <c r="MAU184" s="239"/>
      <c r="MAV184" s="239"/>
      <c r="MAW184" s="239"/>
      <c r="MAX184" s="239"/>
      <c r="MAY184" s="239"/>
      <c r="MAZ184" s="239"/>
      <c r="MBA184" s="239"/>
      <c r="MBB184" s="239"/>
      <c r="MBC184" s="239"/>
      <c r="MBD184" s="239"/>
      <c r="MBE184" s="239"/>
      <c r="MBF184" s="239"/>
      <c r="MBG184" s="239"/>
      <c r="MBH184" s="239"/>
      <c r="MBI184" s="239"/>
      <c r="MBJ184" s="239"/>
      <c r="MBK184" s="239"/>
      <c r="MBL184" s="239"/>
      <c r="MBM184" s="239"/>
      <c r="MBN184" s="239"/>
      <c r="MBO184" s="239"/>
      <c r="MBP184" s="239"/>
      <c r="MBQ184" s="239"/>
      <c r="MBR184" s="239"/>
      <c r="MBS184" s="239"/>
      <c r="MBT184" s="239"/>
      <c r="MBU184" s="239"/>
      <c r="MBV184" s="239"/>
      <c r="MBW184" s="239"/>
      <c r="MBX184" s="239"/>
      <c r="MBY184" s="239"/>
      <c r="MBZ184" s="239"/>
      <c r="MCA184" s="239"/>
      <c r="MCB184" s="239"/>
      <c r="MCC184" s="239"/>
      <c r="MCD184" s="239"/>
      <c r="MCE184" s="239"/>
      <c r="MCF184" s="239"/>
      <c r="MCG184" s="239"/>
      <c r="MCH184" s="239"/>
      <c r="MCI184" s="239"/>
      <c r="MCJ184" s="239"/>
      <c r="MCK184" s="239"/>
      <c r="MCL184" s="239"/>
      <c r="MCM184" s="239"/>
      <c r="MCN184" s="239"/>
      <c r="MCO184" s="239"/>
      <c r="MCP184" s="239"/>
      <c r="MCQ184" s="239"/>
      <c r="MCR184" s="239"/>
      <c r="MCS184" s="239"/>
      <c r="MCT184" s="239"/>
      <c r="MCU184" s="239"/>
      <c r="MCV184" s="239"/>
      <c r="MCW184" s="239"/>
      <c r="MCX184" s="239"/>
      <c r="MCY184" s="239"/>
      <c r="MCZ184" s="239"/>
      <c r="MDA184" s="239"/>
      <c r="MDB184" s="239"/>
      <c r="MDC184" s="239"/>
      <c r="MDD184" s="239"/>
      <c r="MDE184" s="239"/>
      <c r="MDF184" s="239"/>
      <c r="MDG184" s="239"/>
      <c r="MDH184" s="239"/>
      <c r="MDI184" s="239"/>
      <c r="MDJ184" s="239"/>
      <c r="MDK184" s="239"/>
      <c r="MDL184" s="239"/>
      <c r="MDM184" s="239"/>
      <c r="MDN184" s="239"/>
      <c r="MDO184" s="239"/>
      <c r="MDP184" s="239"/>
      <c r="MDQ184" s="239"/>
      <c r="MDR184" s="239"/>
      <c r="MDS184" s="239"/>
      <c r="MDT184" s="239"/>
      <c r="MDU184" s="239"/>
      <c r="MDV184" s="239"/>
      <c r="MDW184" s="239"/>
      <c r="MDX184" s="239"/>
      <c r="MDY184" s="239"/>
      <c r="MDZ184" s="239"/>
      <c r="MEA184" s="239"/>
      <c r="MEB184" s="239"/>
      <c r="MEC184" s="239"/>
      <c r="MED184" s="239"/>
      <c r="MEE184" s="239"/>
      <c r="MEF184" s="239"/>
      <c r="MEG184" s="239"/>
      <c r="MEH184" s="239"/>
      <c r="MEI184" s="239"/>
      <c r="MEJ184" s="239"/>
      <c r="MEK184" s="239"/>
      <c r="MEL184" s="239"/>
      <c r="MEM184" s="239"/>
      <c r="MEN184" s="239"/>
      <c r="MEO184" s="239"/>
      <c r="MEP184" s="239"/>
      <c r="MEQ184" s="239"/>
      <c r="MER184" s="239"/>
      <c r="MES184" s="239"/>
      <c r="MET184" s="239"/>
      <c r="MEU184" s="239"/>
      <c r="MEV184" s="239"/>
      <c r="MEW184" s="239"/>
      <c r="MEX184" s="239"/>
      <c r="MEY184" s="239"/>
      <c r="MEZ184" s="239"/>
      <c r="MFA184" s="239"/>
      <c r="MFB184" s="239"/>
      <c r="MFC184" s="239"/>
      <c r="MFD184" s="239"/>
      <c r="MFE184" s="239"/>
      <c r="MFF184" s="239"/>
      <c r="MFG184" s="239"/>
      <c r="MFH184" s="239"/>
      <c r="MFI184" s="239"/>
      <c r="MFJ184" s="239"/>
      <c r="MFK184" s="239"/>
      <c r="MFL184" s="239"/>
      <c r="MFM184" s="239"/>
      <c r="MFN184" s="239"/>
      <c r="MFO184" s="239"/>
      <c r="MFP184" s="239"/>
      <c r="MFQ184" s="239"/>
      <c r="MFR184" s="239"/>
      <c r="MFS184" s="239"/>
      <c r="MFT184" s="239"/>
      <c r="MFU184" s="239"/>
      <c r="MFV184" s="239"/>
      <c r="MFW184" s="239"/>
      <c r="MFX184" s="239"/>
      <c r="MFY184" s="239"/>
      <c r="MFZ184" s="239"/>
      <c r="MGA184" s="239"/>
      <c r="MGB184" s="239"/>
      <c r="MGC184" s="239"/>
      <c r="MGD184" s="239"/>
      <c r="MGE184" s="239"/>
      <c r="MGF184" s="239"/>
      <c r="MGG184" s="239"/>
      <c r="MGH184" s="239"/>
      <c r="MGI184" s="239"/>
      <c r="MGJ184" s="239"/>
      <c r="MGK184" s="239"/>
      <c r="MGL184" s="239"/>
      <c r="MGM184" s="239"/>
      <c r="MGN184" s="239"/>
      <c r="MGO184" s="239"/>
      <c r="MGP184" s="239"/>
      <c r="MGQ184" s="239"/>
      <c r="MGR184" s="239"/>
      <c r="MGS184" s="239"/>
      <c r="MGT184" s="239"/>
      <c r="MGU184" s="239"/>
      <c r="MGV184" s="239"/>
      <c r="MGW184" s="239"/>
      <c r="MGX184" s="239"/>
      <c r="MGY184" s="239"/>
      <c r="MGZ184" s="239"/>
      <c r="MHA184" s="239"/>
      <c r="MHB184" s="239"/>
      <c r="MHC184" s="239"/>
      <c r="MHD184" s="239"/>
      <c r="MHE184" s="239"/>
      <c r="MHF184" s="239"/>
      <c r="MHG184" s="239"/>
      <c r="MHH184" s="239"/>
      <c r="MHI184" s="239"/>
      <c r="MHJ184" s="239"/>
      <c r="MHK184" s="239"/>
      <c r="MHL184" s="239"/>
      <c r="MHM184" s="239"/>
      <c r="MHN184" s="239"/>
      <c r="MHO184" s="239"/>
      <c r="MHP184" s="239"/>
      <c r="MHQ184" s="239"/>
      <c r="MHR184" s="239"/>
      <c r="MHS184" s="239"/>
      <c r="MHT184" s="239"/>
      <c r="MHU184" s="239"/>
      <c r="MHV184" s="239"/>
      <c r="MHW184" s="239"/>
      <c r="MHX184" s="239"/>
      <c r="MHY184" s="239"/>
      <c r="MHZ184" s="239"/>
      <c r="MIA184" s="239"/>
      <c r="MIB184" s="239"/>
      <c r="MIC184" s="239"/>
      <c r="MID184" s="239"/>
      <c r="MIE184" s="239"/>
      <c r="MIF184" s="239"/>
      <c r="MIG184" s="239"/>
      <c r="MIH184" s="239"/>
      <c r="MII184" s="239"/>
      <c r="MIJ184" s="239"/>
      <c r="MIK184" s="239"/>
      <c r="MIL184" s="239"/>
      <c r="MIM184" s="239"/>
      <c r="MIN184" s="239"/>
      <c r="MIO184" s="239"/>
      <c r="MIP184" s="239"/>
      <c r="MIQ184" s="239"/>
      <c r="MIR184" s="239"/>
      <c r="MIS184" s="239"/>
      <c r="MIT184" s="239"/>
      <c r="MIU184" s="239"/>
      <c r="MIV184" s="239"/>
      <c r="MIW184" s="239"/>
      <c r="MIX184" s="239"/>
      <c r="MIY184" s="239"/>
      <c r="MIZ184" s="239"/>
      <c r="MJA184" s="239"/>
      <c r="MJB184" s="239"/>
      <c r="MJC184" s="239"/>
      <c r="MJD184" s="239"/>
      <c r="MJE184" s="239"/>
      <c r="MJF184" s="239"/>
      <c r="MJG184" s="239"/>
      <c r="MJH184" s="239"/>
      <c r="MJI184" s="239"/>
      <c r="MJJ184" s="239"/>
      <c r="MJK184" s="239"/>
      <c r="MJL184" s="239"/>
      <c r="MJM184" s="239"/>
      <c r="MJN184" s="239"/>
      <c r="MJO184" s="239"/>
      <c r="MJP184" s="239"/>
      <c r="MJQ184" s="239"/>
      <c r="MJR184" s="239"/>
      <c r="MJS184" s="239"/>
      <c r="MJT184" s="239"/>
      <c r="MJU184" s="239"/>
      <c r="MJV184" s="239"/>
      <c r="MJW184" s="239"/>
      <c r="MJX184" s="239"/>
      <c r="MJY184" s="239"/>
      <c r="MJZ184" s="239"/>
      <c r="MKA184" s="239"/>
      <c r="MKB184" s="239"/>
      <c r="MKC184" s="239"/>
      <c r="MKD184" s="239"/>
      <c r="MKE184" s="239"/>
      <c r="MKF184" s="239"/>
      <c r="MKG184" s="239"/>
      <c r="MKH184" s="239"/>
      <c r="MKI184" s="239"/>
      <c r="MKJ184" s="239"/>
      <c r="MKK184" s="239"/>
      <c r="MKL184" s="239"/>
      <c r="MKM184" s="239"/>
      <c r="MKN184" s="239"/>
      <c r="MKO184" s="239"/>
      <c r="MKP184" s="239"/>
      <c r="MKQ184" s="239"/>
      <c r="MKR184" s="239"/>
      <c r="MKS184" s="239"/>
      <c r="MKT184" s="239"/>
      <c r="MKU184" s="239"/>
      <c r="MKV184" s="239"/>
      <c r="MKW184" s="239"/>
      <c r="MKX184" s="239"/>
      <c r="MKY184" s="239"/>
      <c r="MKZ184" s="239"/>
      <c r="MLA184" s="239"/>
      <c r="MLB184" s="239"/>
      <c r="MLC184" s="239"/>
      <c r="MLD184" s="239"/>
      <c r="MLE184" s="239"/>
      <c r="MLF184" s="239"/>
      <c r="MLG184" s="239"/>
      <c r="MLH184" s="239"/>
      <c r="MLI184" s="239"/>
      <c r="MLJ184" s="239"/>
      <c r="MLK184" s="239"/>
      <c r="MLL184" s="239"/>
      <c r="MLM184" s="239"/>
      <c r="MLN184" s="239"/>
      <c r="MLO184" s="239"/>
      <c r="MLP184" s="239"/>
      <c r="MLQ184" s="239"/>
      <c r="MLR184" s="239"/>
      <c r="MLS184" s="239"/>
      <c r="MLT184" s="239"/>
      <c r="MLU184" s="239"/>
      <c r="MLV184" s="239"/>
      <c r="MLW184" s="239"/>
      <c r="MLX184" s="239"/>
      <c r="MLY184" s="239"/>
      <c r="MLZ184" s="239"/>
      <c r="MMA184" s="239"/>
      <c r="MMB184" s="239"/>
      <c r="MMC184" s="239"/>
      <c r="MMD184" s="239"/>
      <c r="MME184" s="239"/>
      <c r="MMF184" s="239"/>
      <c r="MMG184" s="239"/>
      <c r="MMH184" s="239"/>
      <c r="MMI184" s="239"/>
      <c r="MMJ184" s="239"/>
      <c r="MMK184" s="239"/>
      <c r="MML184" s="239"/>
      <c r="MMM184" s="239"/>
      <c r="MMN184" s="239"/>
      <c r="MMO184" s="239"/>
      <c r="MMP184" s="239"/>
      <c r="MMQ184" s="239"/>
      <c r="MMR184" s="239"/>
      <c r="MMS184" s="239"/>
      <c r="MMT184" s="239"/>
      <c r="MMU184" s="239"/>
      <c r="MMV184" s="239"/>
      <c r="MMW184" s="239"/>
      <c r="MMX184" s="239"/>
      <c r="MMY184" s="239"/>
      <c r="MMZ184" s="239"/>
      <c r="MNA184" s="239"/>
      <c r="MNB184" s="239"/>
      <c r="MNC184" s="239"/>
      <c r="MND184" s="239"/>
      <c r="MNE184" s="239"/>
      <c r="MNF184" s="239"/>
      <c r="MNG184" s="239"/>
      <c r="MNH184" s="239"/>
      <c r="MNI184" s="239"/>
      <c r="MNJ184" s="239"/>
      <c r="MNK184" s="239"/>
      <c r="MNL184" s="239"/>
      <c r="MNM184" s="239"/>
      <c r="MNN184" s="239"/>
      <c r="MNO184" s="239"/>
      <c r="MNP184" s="239"/>
      <c r="MNQ184" s="239"/>
      <c r="MNR184" s="239"/>
      <c r="MNS184" s="239"/>
      <c r="MNT184" s="239"/>
      <c r="MNU184" s="239"/>
      <c r="MNV184" s="239"/>
      <c r="MNW184" s="239"/>
      <c r="MNX184" s="239"/>
      <c r="MNY184" s="239"/>
      <c r="MNZ184" s="239"/>
      <c r="MOA184" s="239"/>
      <c r="MOB184" s="239"/>
      <c r="MOC184" s="239"/>
      <c r="MOD184" s="239"/>
      <c r="MOE184" s="239"/>
      <c r="MOF184" s="239"/>
      <c r="MOG184" s="239"/>
      <c r="MOH184" s="239"/>
      <c r="MOI184" s="239"/>
      <c r="MOJ184" s="239"/>
      <c r="MOK184" s="239"/>
      <c r="MOL184" s="239"/>
      <c r="MOM184" s="239"/>
      <c r="MON184" s="239"/>
      <c r="MOO184" s="239"/>
      <c r="MOP184" s="239"/>
      <c r="MOQ184" s="239"/>
      <c r="MOR184" s="239"/>
      <c r="MOS184" s="239"/>
      <c r="MOT184" s="239"/>
      <c r="MOU184" s="239"/>
      <c r="MOV184" s="239"/>
      <c r="MOW184" s="239"/>
      <c r="MOX184" s="239"/>
      <c r="MOY184" s="239"/>
      <c r="MOZ184" s="239"/>
      <c r="MPA184" s="239"/>
      <c r="MPB184" s="239"/>
      <c r="MPC184" s="239"/>
      <c r="MPD184" s="239"/>
      <c r="MPE184" s="239"/>
      <c r="MPF184" s="239"/>
      <c r="MPG184" s="239"/>
      <c r="MPH184" s="239"/>
      <c r="MPI184" s="239"/>
      <c r="MPJ184" s="239"/>
      <c r="MPK184" s="239"/>
      <c r="MPL184" s="239"/>
      <c r="MPM184" s="239"/>
      <c r="MPN184" s="239"/>
      <c r="MPO184" s="239"/>
      <c r="MPP184" s="239"/>
      <c r="MPQ184" s="239"/>
      <c r="MPR184" s="239"/>
      <c r="MPS184" s="239"/>
      <c r="MPT184" s="239"/>
      <c r="MPU184" s="239"/>
      <c r="MPV184" s="239"/>
      <c r="MPW184" s="239"/>
      <c r="MPX184" s="239"/>
      <c r="MPY184" s="239"/>
      <c r="MPZ184" s="239"/>
      <c r="MQA184" s="239"/>
      <c r="MQB184" s="239"/>
      <c r="MQC184" s="239"/>
      <c r="MQD184" s="239"/>
      <c r="MQE184" s="239"/>
      <c r="MQF184" s="239"/>
      <c r="MQG184" s="239"/>
      <c r="MQH184" s="239"/>
      <c r="MQI184" s="239"/>
      <c r="MQJ184" s="239"/>
      <c r="MQK184" s="239"/>
      <c r="MQL184" s="239"/>
      <c r="MQM184" s="239"/>
      <c r="MQN184" s="239"/>
      <c r="MQO184" s="239"/>
      <c r="MQP184" s="239"/>
      <c r="MQQ184" s="239"/>
      <c r="MQR184" s="239"/>
      <c r="MQS184" s="239"/>
      <c r="MQT184" s="239"/>
      <c r="MQU184" s="239"/>
      <c r="MQV184" s="239"/>
      <c r="MQW184" s="239"/>
      <c r="MQX184" s="239"/>
      <c r="MQY184" s="239"/>
      <c r="MQZ184" s="239"/>
      <c r="MRA184" s="239"/>
      <c r="MRB184" s="239"/>
      <c r="MRC184" s="239"/>
      <c r="MRD184" s="239"/>
      <c r="MRE184" s="239"/>
      <c r="MRF184" s="239"/>
      <c r="MRG184" s="239"/>
      <c r="MRH184" s="239"/>
      <c r="MRI184" s="239"/>
      <c r="MRJ184" s="239"/>
      <c r="MRK184" s="239"/>
      <c r="MRL184" s="239"/>
      <c r="MRM184" s="239"/>
      <c r="MRN184" s="239"/>
      <c r="MRO184" s="239"/>
      <c r="MRP184" s="239"/>
      <c r="MRQ184" s="239"/>
      <c r="MRR184" s="239"/>
      <c r="MRS184" s="239"/>
      <c r="MRT184" s="239"/>
      <c r="MRU184" s="239"/>
      <c r="MRV184" s="239"/>
      <c r="MRW184" s="239"/>
      <c r="MRX184" s="239"/>
      <c r="MRY184" s="239"/>
      <c r="MRZ184" s="239"/>
      <c r="MSA184" s="239"/>
      <c r="MSB184" s="239"/>
      <c r="MSC184" s="239"/>
      <c r="MSD184" s="239"/>
      <c r="MSE184" s="239"/>
      <c r="MSF184" s="239"/>
      <c r="MSG184" s="239"/>
      <c r="MSH184" s="239"/>
      <c r="MSI184" s="239"/>
      <c r="MSJ184" s="239"/>
      <c r="MSK184" s="239"/>
      <c r="MSL184" s="239"/>
      <c r="MSM184" s="239"/>
      <c r="MSN184" s="239"/>
      <c r="MSO184" s="239"/>
      <c r="MSP184" s="239"/>
      <c r="MSQ184" s="239"/>
      <c r="MSR184" s="239"/>
      <c r="MSS184" s="239"/>
      <c r="MST184" s="239"/>
      <c r="MSU184" s="239"/>
      <c r="MSV184" s="239"/>
      <c r="MSW184" s="239"/>
      <c r="MSX184" s="239"/>
      <c r="MSY184" s="239"/>
      <c r="MSZ184" s="239"/>
      <c r="MTA184" s="239"/>
      <c r="MTB184" s="239"/>
      <c r="MTC184" s="239"/>
      <c r="MTD184" s="239"/>
      <c r="MTE184" s="239"/>
      <c r="MTF184" s="239"/>
      <c r="MTG184" s="239"/>
      <c r="MTH184" s="239"/>
      <c r="MTI184" s="239"/>
      <c r="MTJ184" s="239"/>
      <c r="MTK184" s="239"/>
      <c r="MTL184" s="239"/>
      <c r="MTM184" s="239"/>
      <c r="MTN184" s="239"/>
      <c r="MTO184" s="239"/>
      <c r="MTP184" s="239"/>
      <c r="MTQ184" s="239"/>
      <c r="MTR184" s="239"/>
      <c r="MTS184" s="239"/>
      <c r="MTT184" s="239"/>
      <c r="MTU184" s="239"/>
      <c r="MTV184" s="239"/>
      <c r="MTW184" s="239"/>
      <c r="MTX184" s="239"/>
      <c r="MTY184" s="239"/>
      <c r="MTZ184" s="239"/>
      <c r="MUA184" s="239"/>
      <c r="MUB184" s="239"/>
      <c r="MUC184" s="239"/>
      <c r="MUD184" s="239"/>
      <c r="MUE184" s="239"/>
      <c r="MUF184" s="239"/>
      <c r="MUG184" s="239"/>
      <c r="MUH184" s="239"/>
      <c r="MUI184" s="239"/>
      <c r="MUJ184" s="239"/>
      <c r="MUK184" s="239"/>
      <c r="MUL184" s="239"/>
      <c r="MUM184" s="239"/>
      <c r="MUN184" s="239"/>
      <c r="MUO184" s="239"/>
      <c r="MUP184" s="239"/>
      <c r="MUQ184" s="239"/>
      <c r="MUR184" s="239"/>
      <c r="MUS184" s="239"/>
      <c r="MUT184" s="239"/>
      <c r="MUU184" s="239"/>
      <c r="MUV184" s="239"/>
      <c r="MUW184" s="239"/>
      <c r="MUX184" s="239"/>
      <c r="MUY184" s="239"/>
      <c r="MUZ184" s="239"/>
      <c r="MVA184" s="239"/>
      <c r="MVB184" s="239"/>
      <c r="MVC184" s="239"/>
      <c r="MVD184" s="239"/>
      <c r="MVE184" s="239"/>
      <c r="MVF184" s="239"/>
      <c r="MVG184" s="239"/>
      <c r="MVH184" s="239"/>
      <c r="MVI184" s="239"/>
      <c r="MVJ184" s="239"/>
      <c r="MVK184" s="239"/>
      <c r="MVL184" s="239"/>
      <c r="MVM184" s="239"/>
      <c r="MVN184" s="239"/>
      <c r="MVO184" s="239"/>
      <c r="MVP184" s="239"/>
      <c r="MVQ184" s="239"/>
      <c r="MVR184" s="239"/>
      <c r="MVS184" s="239"/>
      <c r="MVT184" s="239"/>
      <c r="MVU184" s="239"/>
      <c r="MVV184" s="239"/>
      <c r="MVW184" s="239"/>
      <c r="MVX184" s="239"/>
      <c r="MVY184" s="239"/>
      <c r="MVZ184" s="239"/>
      <c r="MWA184" s="239"/>
      <c r="MWB184" s="239"/>
      <c r="MWC184" s="239"/>
      <c r="MWD184" s="239"/>
      <c r="MWE184" s="239"/>
      <c r="MWF184" s="239"/>
      <c r="MWG184" s="239"/>
      <c r="MWH184" s="239"/>
      <c r="MWI184" s="239"/>
      <c r="MWJ184" s="239"/>
      <c r="MWK184" s="239"/>
      <c r="MWL184" s="239"/>
      <c r="MWM184" s="239"/>
      <c r="MWN184" s="239"/>
      <c r="MWO184" s="239"/>
      <c r="MWP184" s="239"/>
      <c r="MWQ184" s="239"/>
      <c r="MWR184" s="239"/>
      <c r="MWS184" s="239"/>
      <c r="MWT184" s="239"/>
      <c r="MWU184" s="239"/>
      <c r="MWV184" s="239"/>
      <c r="MWW184" s="239"/>
      <c r="MWX184" s="239"/>
      <c r="MWY184" s="239"/>
      <c r="MWZ184" s="239"/>
      <c r="MXA184" s="239"/>
      <c r="MXB184" s="239"/>
      <c r="MXC184" s="239"/>
      <c r="MXD184" s="239"/>
      <c r="MXE184" s="239"/>
      <c r="MXF184" s="239"/>
      <c r="MXG184" s="239"/>
      <c r="MXH184" s="239"/>
      <c r="MXI184" s="239"/>
      <c r="MXJ184" s="239"/>
      <c r="MXK184" s="239"/>
      <c r="MXL184" s="239"/>
      <c r="MXM184" s="239"/>
      <c r="MXN184" s="239"/>
      <c r="MXO184" s="239"/>
      <c r="MXP184" s="239"/>
      <c r="MXQ184" s="239"/>
      <c r="MXR184" s="239"/>
      <c r="MXS184" s="239"/>
      <c r="MXT184" s="239"/>
      <c r="MXU184" s="239"/>
      <c r="MXV184" s="239"/>
      <c r="MXW184" s="239"/>
      <c r="MXX184" s="239"/>
      <c r="MXY184" s="239"/>
      <c r="MXZ184" s="239"/>
      <c r="MYA184" s="239"/>
      <c r="MYB184" s="239"/>
      <c r="MYC184" s="239"/>
      <c r="MYD184" s="239"/>
      <c r="MYE184" s="239"/>
      <c r="MYF184" s="239"/>
      <c r="MYG184" s="239"/>
      <c r="MYH184" s="239"/>
      <c r="MYI184" s="239"/>
      <c r="MYJ184" s="239"/>
      <c r="MYK184" s="239"/>
      <c r="MYL184" s="239"/>
      <c r="MYM184" s="239"/>
      <c r="MYN184" s="239"/>
      <c r="MYO184" s="239"/>
      <c r="MYP184" s="239"/>
      <c r="MYQ184" s="239"/>
      <c r="MYR184" s="239"/>
      <c r="MYS184" s="239"/>
      <c r="MYT184" s="239"/>
      <c r="MYU184" s="239"/>
      <c r="MYV184" s="239"/>
      <c r="MYW184" s="239"/>
      <c r="MYX184" s="239"/>
      <c r="MYY184" s="239"/>
      <c r="MYZ184" s="239"/>
      <c r="MZA184" s="239"/>
      <c r="MZB184" s="239"/>
      <c r="MZC184" s="239"/>
      <c r="MZD184" s="239"/>
      <c r="MZE184" s="239"/>
      <c r="MZF184" s="239"/>
      <c r="MZG184" s="239"/>
      <c r="MZH184" s="239"/>
      <c r="MZI184" s="239"/>
      <c r="MZJ184" s="239"/>
      <c r="MZK184" s="239"/>
      <c r="MZL184" s="239"/>
      <c r="MZM184" s="239"/>
      <c r="MZN184" s="239"/>
      <c r="MZO184" s="239"/>
      <c r="MZP184" s="239"/>
      <c r="MZQ184" s="239"/>
      <c r="MZR184" s="239"/>
      <c r="MZS184" s="239"/>
      <c r="MZT184" s="239"/>
      <c r="MZU184" s="239"/>
      <c r="MZV184" s="239"/>
      <c r="MZW184" s="239"/>
      <c r="MZX184" s="239"/>
      <c r="MZY184" s="239"/>
      <c r="MZZ184" s="239"/>
      <c r="NAA184" s="239"/>
      <c r="NAB184" s="239"/>
      <c r="NAC184" s="239"/>
      <c r="NAD184" s="239"/>
      <c r="NAE184" s="239"/>
      <c r="NAF184" s="239"/>
      <c r="NAG184" s="239"/>
      <c r="NAH184" s="239"/>
      <c r="NAI184" s="239"/>
      <c r="NAJ184" s="239"/>
      <c r="NAK184" s="239"/>
      <c r="NAL184" s="239"/>
      <c r="NAM184" s="239"/>
      <c r="NAN184" s="239"/>
      <c r="NAO184" s="239"/>
      <c r="NAP184" s="239"/>
      <c r="NAQ184" s="239"/>
      <c r="NAR184" s="239"/>
      <c r="NAS184" s="239"/>
      <c r="NAT184" s="239"/>
      <c r="NAU184" s="239"/>
      <c r="NAV184" s="239"/>
      <c r="NAW184" s="239"/>
      <c r="NAX184" s="239"/>
      <c r="NAY184" s="239"/>
      <c r="NAZ184" s="239"/>
      <c r="NBA184" s="239"/>
      <c r="NBB184" s="239"/>
      <c r="NBC184" s="239"/>
      <c r="NBD184" s="239"/>
      <c r="NBE184" s="239"/>
      <c r="NBF184" s="239"/>
      <c r="NBG184" s="239"/>
      <c r="NBH184" s="239"/>
      <c r="NBI184" s="239"/>
      <c r="NBJ184" s="239"/>
      <c r="NBK184" s="239"/>
      <c r="NBL184" s="239"/>
      <c r="NBM184" s="239"/>
      <c r="NBN184" s="239"/>
      <c r="NBO184" s="239"/>
      <c r="NBP184" s="239"/>
      <c r="NBQ184" s="239"/>
      <c r="NBR184" s="239"/>
      <c r="NBS184" s="239"/>
      <c r="NBT184" s="239"/>
      <c r="NBU184" s="239"/>
      <c r="NBV184" s="239"/>
      <c r="NBW184" s="239"/>
      <c r="NBX184" s="239"/>
      <c r="NBY184" s="239"/>
      <c r="NBZ184" s="239"/>
      <c r="NCA184" s="239"/>
      <c r="NCB184" s="239"/>
      <c r="NCC184" s="239"/>
      <c r="NCD184" s="239"/>
      <c r="NCE184" s="239"/>
      <c r="NCF184" s="239"/>
      <c r="NCG184" s="239"/>
      <c r="NCH184" s="239"/>
      <c r="NCI184" s="239"/>
      <c r="NCJ184" s="239"/>
      <c r="NCK184" s="239"/>
      <c r="NCL184" s="239"/>
      <c r="NCM184" s="239"/>
      <c r="NCN184" s="239"/>
      <c r="NCO184" s="239"/>
      <c r="NCP184" s="239"/>
      <c r="NCQ184" s="239"/>
      <c r="NCR184" s="239"/>
      <c r="NCS184" s="239"/>
      <c r="NCT184" s="239"/>
      <c r="NCU184" s="239"/>
      <c r="NCV184" s="239"/>
      <c r="NCW184" s="239"/>
      <c r="NCX184" s="239"/>
      <c r="NCY184" s="239"/>
      <c r="NCZ184" s="239"/>
      <c r="NDA184" s="239"/>
      <c r="NDB184" s="239"/>
      <c r="NDC184" s="239"/>
      <c r="NDD184" s="239"/>
      <c r="NDE184" s="239"/>
      <c r="NDF184" s="239"/>
      <c r="NDG184" s="239"/>
      <c r="NDH184" s="239"/>
      <c r="NDI184" s="239"/>
      <c r="NDJ184" s="239"/>
      <c r="NDK184" s="239"/>
      <c r="NDL184" s="239"/>
      <c r="NDM184" s="239"/>
      <c r="NDN184" s="239"/>
      <c r="NDO184" s="239"/>
      <c r="NDP184" s="239"/>
      <c r="NDQ184" s="239"/>
      <c r="NDR184" s="239"/>
      <c r="NDS184" s="239"/>
      <c r="NDT184" s="239"/>
      <c r="NDU184" s="239"/>
      <c r="NDV184" s="239"/>
      <c r="NDW184" s="239"/>
      <c r="NDX184" s="239"/>
      <c r="NDY184" s="239"/>
      <c r="NDZ184" s="239"/>
      <c r="NEA184" s="239"/>
      <c r="NEB184" s="239"/>
      <c r="NEC184" s="239"/>
      <c r="NED184" s="239"/>
      <c r="NEE184" s="239"/>
      <c r="NEF184" s="239"/>
      <c r="NEG184" s="239"/>
      <c r="NEH184" s="239"/>
      <c r="NEI184" s="239"/>
      <c r="NEJ184" s="239"/>
      <c r="NEK184" s="239"/>
      <c r="NEL184" s="239"/>
      <c r="NEM184" s="239"/>
      <c r="NEN184" s="239"/>
      <c r="NEO184" s="239"/>
      <c r="NEP184" s="239"/>
      <c r="NEQ184" s="239"/>
      <c r="NER184" s="239"/>
      <c r="NES184" s="239"/>
      <c r="NET184" s="239"/>
      <c r="NEU184" s="239"/>
      <c r="NEV184" s="239"/>
      <c r="NEW184" s="239"/>
      <c r="NEX184" s="239"/>
      <c r="NEY184" s="239"/>
      <c r="NEZ184" s="239"/>
      <c r="NFA184" s="239"/>
      <c r="NFB184" s="239"/>
      <c r="NFC184" s="239"/>
      <c r="NFD184" s="239"/>
      <c r="NFE184" s="239"/>
      <c r="NFF184" s="239"/>
      <c r="NFG184" s="239"/>
      <c r="NFH184" s="239"/>
      <c r="NFI184" s="239"/>
      <c r="NFJ184" s="239"/>
      <c r="NFK184" s="239"/>
      <c r="NFL184" s="239"/>
      <c r="NFM184" s="239"/>
      <c r="NFN184" s="239"/>
      <c r="NFO184" s="239"/>
      <c r="NFP184" s="239"/>
      <c r="NFQ184" s="239"/>
      <c r="NFR184" s="239"/>
      <c r="NFS184" s="239"/>
      <c r="NFT184" s="239"/>
      <c r="NFU184" s="239"/>
      <c r="NFV184" s="239"/>
      <c r="NFW184" s="239"/>
      <c r="NFX184" s="239"/>
      <c r="NFY184" s="239"/>
      <c r="NFZ184" s="239"/>
      <c r="NGA184" s="239"/>
      <c r="NGB184" s="239"/>
      <c r="NGC184" s="239"/>
      <c r="NGD184" s="239"/>
      <c r="NGE184" s="239"/>
      <c r="NGF184" s="239"/>
      <c r="NGG184" s="239"/>
      <c r="NGH184" s="239"/>
      <c r="NGI184" s="239"/>
      <c r="NGJ184" s="239"/>
      <c r="NGK184" s="239"/>
      <c r="NGL184" s="239"/>
      <c r="NGM184" s="239"/>
      <c r="NGN184" s="239"/>
      <c r="NGO184" s="239"/>
      <c r="NGP184" s="239"/>
      <c r="NGQ184" s="239"/>
      <c r="NGR184" s="239"/>
      <c r="NGS184" s="239"/>
      <c r="NGT184" s="239"/>
      <c r="NGU184" s="239"/>
      <c r="NGV184" s="239"/>
      <c r="NGW184" s="239"/>
      <c r="NGX184" s="239"/>
      <c r="NGY184" s="239"/>
      <c r="NGZ184" s="239"/>
      <c r="NHA184" s="239"/>
      <c r="NHB184" s="239"/>
      <c r="NHC184" s="239"/>
      <c r="NHD184" s="239"/>
      <c r="NHE184" s="239"/>
      <c r="NHF184" s="239"/>
      <c r="NHG184" s="239"/>
      <c r="NHH184" s="239"/>
      <c r="NHI184" s="239"/>
      <c r="NHJ184" s="239"/>
      <c r="NHK184" s="239"/>
      <c r="NHL184" s="239"/>
      <c r="NHM184" s="239"/>
      <c r="NHN184" s="239"/>
      <c r="NHO184" s="239"/>
      <c r="NHP184" s="239"/>
      <c r="NHQ184" s="239"/>
      <c r="NHR184" s="239"/>
      <c r="NHS184" s="239"/>
      <c r="NHT184" s="239"/>
      <c r="NHU184" s="239"/>
      <c r="NHV184" s="239"/>
      <c r="NHW184" s="239"/>
      <c r="NHX184" s="239"/>
      <c r="NHY184" s="239"/>
      <c r="NHZ184" s="239"/>
      <c r="NIA184" s="239"/>
      <c r="NIB184" s="239"/>
      <c r="NIC184" s="239"/>
      <c r="NID184" s="239"/>
      <c r="NIE184" s="239"/>
      <c r="NIF184" s="239"/>
      <c r="NIG184" s="239"/>
      <c r="NIH184" s="239"/>
      <c r="NII184" s="239"/>
      <c r="NIJ184" s="239"/>
      <c r="NIK184" s="239"/>
      <c r="NIL184" s="239"/>
      <c r="NIM184" s="239"/>
      <c r="NIN184" s="239"/>
      <c r="NIO184" s="239"/>
      <c r="NIP184" s="239"/>
      <c r="NIQ184" s="239"/>
      <c r="NIR184" s="239"/>
      <c r="NIS184" s="239"/>
      <c r="NIT184" s="239"/>
      <c r="NIU184" s="239"/>
      <c r="NIV184" s="239"/>
      <c r="NIW184" s="239"/>
      <c r="NIX184" s="239"/>
      <c r="NIY184" s="239"/>
      <c r="NIZ184" s="239"/>
      <c r="NJA184" s="239"/>
      <c r="NJB184" s="239"/>
      <c r="NJC184" s="239"/>
      <c r="NJD184" s="239"/>
      <c r="NJE184" s="239"/>
      <c r="NJF184" s="239"/>
      <c r="NJG184" s="239"/>
      <c r="NJH184" s="239"/>
      <c r="NJI184" s="239"/>
      <c r="NJJ184" s="239"/>
      <c r="NJK184" s="239"/>
      <c r="NJL184" s="239"/>
      <c r="NJM184" s="239"/>
      <c r="NJN184" s="239"/>
      <c r="NJO184" s="239"/>
      <c r="NJP184" s="239"/>
      <c r="NJQ184" s="239"/>
      <c r="NJR184" s="239"/>
      <c r="NJS184" s="239"/>
      <c r="NJT184" s="239"/>
      <c r="NJU184" s="239"/>
      <c r="NJV184" s="239"/>
      <c r="NJW184" s="239"/>
      <c r="NJX184" s="239"/>
      <c r="NJY184" s="239"/>
      <c r="NJZ184" s="239"/>
      <c r="NKA184" s="239"/>
      <c r="NKB184" s="239"/>
      <c r="NKC184" s="239"/>
      <c r="NKD184" s="239"/>
      <c r="NKE184" s="239"/>
      <c r="NKF184" s="239"/>
      <c r="NKG184" s="239"/>
      <c r="NKH184" s="239"/>
      <c r="NKI184" s="239"/>
      <c r="NKJ184" s="239"/>
      <c r="NKK184" s="239"/>
      <c r="NKL184" s="239"/>
      <c r="NKM184" s="239"/>
      <c r="NKN184" s="239"/>
      <c r="NKO184" s="239"/>
      <c r="NKP184" s="239"/>
      <c r="NKQ184" s="239"/>
      <c r="NKR184" s="239"/>
      <c r="NKS184" s="239"/>
      <c r="NKT184" s="239"/>
      <c r="NKU184" s="239"/>
      <c r="NKV184" s="239"/>
      <c r="NKW184" s="239"/>
      <c r="NKX184" s="239"/>
      <c r="NKY184" s="239"/>
      <c r="NKZ184" s="239"/>
      <c r="NLA184" s="239"/>
      <c r="NLB184" s="239"/>
      <c r="NLC184" s="239"/>
      <c r="NLD184" s="239"/>
      <c r="NLE184" s="239"/>
      <c r="NLF184" s="239"/>
      <c r="NLG184" s="239"/>
      <c r="NLH184" s="239"/>
      <c r="NLI184" s="239"/>
      <c r="NLJ184" s="239"/>
      <c r="NLK184" s="239"/>
      <c r="NLL184" s="239"/>
      <c r="NLM184" s="239"/>
      <c r="NLN184" s="239"/>
      <c r="NLO184" s="239"/>
      <c r="NLP184" s="239"/>
      <c r="NLQ184" s="239"/>
      <c r="NLR184" s="239"/>
      <c r="NLS184" s="239"/>
      <c r="NLT184" s="239"/>
      <c r="NLU184" s="239"/>
      <c r="NLV184" s="239"/>
      <c r="NLW184" s="239"/>
      <c r="NLX184" s="239"/>
      <c r="NLY184" s="239"/>
      <c r="NLZ184" s="239"/>
      <c r="NMA184" s="239"/>
      <c r="NMB184" s="239"/>
      <c r="NMC184" s="239"/>
      <c r="NMD184" s="239"/>
      <c r="NME184" s="239"/>
      <c r="NMF184" s="239"/>
      <c r="NMG184" s="239"/>
      <c r="NMH184" s="239"/>
      <c r="NMI184" s="239"/>
      <c r="NMJ184" s="239"/>
      <c r="NMK184" s="239"/>
      <c r="NML184" s="239"/>
      <c r="NMM184" s="239"/>
      <c r="NMN184" s="239"/>
      <c r="NMO184" s="239"/>
      <c r="NMP184" s="239"/>
      <c r="NMQ184" s="239"/>
      <c r="NMR184" s="239"/>
      <c r="NMS184" s="239"/>
      <c r="NMT184" s="239"/>
      <c r="NMU184" s="239"/>
      <c r="NMV184" s="239"/>
      <c r="NMW184" s="239"/>
      <c r="NMX184" s="239"/>
      <c r="NMY184" s="239"/>
      <c r="NMZ184" s="239"/>
      <c r="NNA184" s="239"/>
      <c r="NNB184" s="239"/>
      <c r="NNC184" s="239"/>
      <c r="NND184" s="239"/>
      <c r="NNE184" s="239"/>
      <c r="NNF184" s="239"/>
      <c r="NNG184" s="239"/>
      <c r="NNH184" s="239"/>
      <c r="NNI184" s="239"/>
      <c r="NNJ184" s="239"/>
      <c r="NNK184" s="239"/>
      <c r="NNL184" s="239"/>
      <c r="NNM184" s="239"/>
      <c r="NNN184" s="239"/>
      <c r="NNO184" s="239"/>
      <c r="NNP184" s="239"/>
      <c r="NNQ184" s="239"/>
      <c r="NNR184" s="239"/>
      <c r="NNS184" s="239"/>
      <c r="NNT184" s="239"/>
      <c r="NNU184" s="239"/>
      <c r="NNV184" s="239"/>
      <c r="NNW184" s="239"/>
      <c r="NNX184" s="239"/>
      <c r="NNY184" s="239"/>
      <c r="NNZ184" s="239"/>
      <c r="NOA184" s="239"/>
      <c r="NOB184" s="239"/>
      <c r="NOC184" s="239"/>
      <c r="NOD184" s="239"/>
      <c r="NOE184" s="239"/>
      <c r="NOF184" s="239"/>
      <c r="NOG184" s="239"/>
      <c r="NOH184" s="239"/>
      <c r="NOI184" s="239"/>
      <c r="NOJ184" s="239"/>
      <c r="NOK184" s="239"/>
      <c r="NOL184" s="239"/>
      <c r="NOM184" s="239"/>
      <c r="NON184" s="239"/>
      <c r="NOO184" s="239"/>
      <c r="NOP184" s="239"/>
      <c r="NOQ184" s="239"/>
      <c r="NOR184" s="239"/>
      <c r="NOS184" s="239"/>
      <c r="NOT184" s="239"/>
      <c r="NOU184" s="239"/>
      <c r="NOV184" s="239"/>
      <c r="NOW184" s="239"/>
      <c r="NOX184" s="239"/>
      <c r="NOY184" s="239"/>
      <c r="NOZ184" s="239"/>
      <c r="NPA184" s="239"/>
      <c r="NPB184" s="239"/>
      <c r="NPC184" s="239"/>
      <c r="NPD184" s="239"/>
      <c r="NPE184" s="239"/>
      <c r="NPF184" s="239"/>
      <c r="NPG184" s="239"/>
      <c r="NPH184" s="239"/>
      <c r="NPI184" s="239"/>
      <c r="NPJ184" s="239"/>
      <c r="NPK184" s="239"/>
      <c r="NPL184" s="239"/>
      <c r="NPM184" s="239"/>
      <c r="NPN184" s="239"/>
      <c r="NPO184" s="239"/>
      <c r="NPP184" s="239"/>
      <c r="NPQ184" s="239"/>
      <c r="NPR184" s="239"/>
      <c r="NPS184" s="239"/>
      <c r="NPT184" s="239"/>
      <c r="NPU184" s="239"/>
      <c r="NPV184" s="239"/>
      <c r="NPW184" s="239"/>
      <c r="NPX184" s="239"/>
      <c r="NPY184" s="239"/>
      <c r="NPZ184" s="239"/>
      <c r="NQA184" s="239"/>
      <c r="NQB184" s="239"/>
      <c r="NQC184" s="239"/>
      <c r="NQD184" s="239"/>
      <c r="NQE184" s="239"/>
      <c r="NQF184" s="239"/>
      <c r="NQG184" s="239"/>
      <c r="NQH184" s="239"/>
      <c r="NQI184" s="239"/>
      <c r="NQJ184" s="239"/>
      <c r="NQK184" s="239"/>
      <c r="NQL184" s="239"/>
      <c r="NQM184" s="239"/>
      <c r="NQN184" s="239"/>
      <c r="NQO184" s="239"/>
      <c r="NQP184" s="239"/>
      <c r="NQQ184" s="239"/>
      <c r="NQR184" s="239"/>
      <c r="NQS184" s="239"/>
      <c r="NQT184" s="239"/>
      <c r="NQU184" s="239"/>
      <c r="NQV184" s="239"/>
      <c r="NQW184" s="239"/>
      <c r="NQX184" s="239"/>
      <c r="NQY184" s="239"/>
      <c r="NQZ184" s="239"/>
      <c r="NRA184" s="239"/>
      <c r="NRB184" s="239"/>
      <c r="NRC184" s="239"/>
      <c r="NRD184" s="239"/>
      <c r="NRE184" s="239"/>
      <c r="NRF184" s="239"/>
      <c r="NRG184" s="239"/>
      <c r="NRH184" s="239"/>
      <c r="NRI184" s="239"/>
      <c r="NRJ184" s="239"/>
      <c r="NRK184" s="239"/>
      <c r="NRL184" s="239"/>
      <c r="NRM184" s="239"/>
      <c r="NRN184" s="239"/>
      <c r="NRO184" s="239"/>
      <c r="NRP184" s="239"/>
      <c r="NRQ184" s="239"/>
      <c r="NRR184" s="239"/>
      <c r="NRS184" s="239"/>
      <c r="NRT184" s="239"/>
      <c r="NRU184" s="239"/>
      <c r="NRV184" s="239"/>
      <c r="NRW184" s="239"/>
      <c r="NRX184" s="239"/>
      <c r="NRY184" s="239"/>
      <c r="NRZ184" s="239"/>
      <c r="NSA184" s="239"/>
      <c r="NSB184" s="239"/>
      <c r="NSC184" s="239"/>
      <c r="NSD184" s="239"/>
      <c r="NSE184" s="239"/>
      <c r="NSF184" s="239"/>
      <c r="NSG184" s="239"/>
      <c r="NSH184" s="239"/>
      <c r="NSI184" s="239"/>
      <c r="NSJ184" s="239"/>
      <c r="NSK184" s="239"/>
      <c r="NSL184" s="239"/>
      <c r="NSM184" s="239"/>
      <c r="NSN184" s="239"/>
      <c r="NSO184" s="239"/>
      <c r="NSP184" s="239"/>
      <c r="NSQ184" s="239"/>
      <c r="NSR184" s="239"/>
      <c r="NSS184" s="239"/>
      <c r="NST184" s="239"/>
      <c r="NSU184" s="239"/>
      <c r="NSV184" s="239"/>
      <c r="NSW184" s="239"/>
      <c r="NSX184" s="239"/>
      <c r="NSY184" s="239"/>
      <c r="NSZ184" s="239"/>
      <c r="NTA184" s="239"/>
      <c r="NTB184" s="239"/>
      <c r="NTC184" s="239"/>
      <c r="NTD184" s="239"/>
      <c r="NTE184" s="239"/>
      <c r="NTF184" s="239"/>
      <c r="NTG184" s="239"/>
      <c r="NTH184" s="239"/>
      <c r="NTI184" s="239"/>
      <c r="NTJ184" s="239"/>
      <c r="NTK184" s="239"/>
      <c r="NTL184" s="239"/>
      <c r="NTM184" s="239"/>
      <c r="NTN184" s="239"/>
      <c r="NTO184" s="239"/>
      <c r="NTP184" s="239"/>
      <c r="NTQ184" s="239"/>
      <c r="NTR184" s="239"/>
      <c r="NTS184" s="239"/>
      <c r="NTT184" s="239"/>
      <c r="NTU184" s="239"/>
      <c r="NTV184" s="239"/>
      <c r="NTW184" s="239"/>
      <c r="NTX184" s="239"/>
      <c r="NTY184" s="239"/>
      <c r="NTZ184" s="239"/>
      <c r="NUA184" s="239"/>
      <c r="NUB184" s="239"/>
      <c r="NUC184" s="239"/>
      <c r="NUD184" s="239"/>
      <c r="NUE184" s="239"/>
      <c r="NUF184" s="239"/>
      <c r="NUG184" s="239"/>
      <c r="NUH184" s="239"/>
      <c r="NUI184" s="239"/>
      <c r="NUJ184" s="239"/>
      <c r="NUK184" s="239"/>
      <c r="NUL184" s="239"/>
      <c r="NUM184" s="239"/>
      <c r="NUN184" s="239"/>
      <c r="NUO184" s="239"/>
      <c r="NUP184" s="239"/>
      <c r="NUQ184" s="239"/>
      <c r="NUR184" s="239"/>
      <c r="NUS184" s="239"/>
      <c r="NUT184" s="239"/>
      <c r="NUU184" s="239"/>
      <c r="NUV184" s="239"/>
      <c r="NUW184" s="239"/>
      <c r="NUX184" s="239"/>
      <c r="NUY184" s="239"/>
      <c r="NUZ184" s="239"/>
      <c r="NVA184" s="239"/>
      <c r="NVB184" s="239"/>
      <c r="NVC184" s="239"/>
      <c r="NVD184" s="239"/>
      <c r="NVE184" s="239"/>
      <c r="NVF184" s="239"/>
      <c r="NVG184" s="239"/>
      <c r="NVH184" s="239"/>
      <c r="NVI184" s="239"/>
      <c r="NVJ184" s="239"/>
      <c r="NVK184" s="239"/>
      <c r="NVL184" s="239"/>
      <c r="NVM184" s="239"/>
      <c r="NVN184" s="239"/>
      <c r="NVO184" s="239"/>
      <c r="NVP184" s="239"/>
      <c r="NVQ184" s="239"/>
      <c r="NVR184" s="239"/>
      <c r="NVS184" s="239"/>
      <c r="NVT184" s="239"/>
      <c r="NVU184" s="239"/>
      <c r="NVV184" s="239"/>
      <c r="NVW184" s="239"/>
      <c r="NVX184" s="239"/>
      <c r="NVY184" s="239"/>
      <c r="NVZ184" s="239"/>
      <c r="NWA184" s="239"/>
      <c r="NWB184" s="239"/>
      <c r="NWC184" s="239"/>
      <c r="NWD184" s="239"/>
      <c r="NWE184" s="239"/>
      <c r="NWF184" s="239"/>
      <c r="NWG184" s="239"/>
      <c r="NWH184" s="239"/>
      <c r="NWI184" s="239"/>
      <c r="NWJ184" s="239"/>
      <c r="NWK184" s="239"/>
      <c r="NWL184" s="239"/>
      <c r="NWM184" s="239"/>
      <c r="NWN184" s="239"/>
      <c r="NWO184" s="239"/>
      <c r="NWP184" s="239"/>
      <c r="NWQ184" s="239"/>
      <c r="NWR184" s="239"/>
      <c r="NWS184" s="239"/>
      <c r="NWT184" s="239"/>
      <c r="NWU184" s="239"/>
      <c r="NWV184" s="239"/>
      <c r="NWW184" s="239"/>
      <c r="NWX184" s="239"/>
      <c r="NWY184" s="239"/>
      <c r="NWZ184" s="239"/>
      <c r="NXA184" s="239"/>
      <c r="NXB184" s="239"/>
      <c r="NXC184" s="239"/>
      <c r="NXD184" s="239"/>
      <c r="NXE184" s="239"/>
      <c r="NXF184" s="239"/>
      <c r="NXG184" s="239"/>
      <c r="NXH184" s="239"/>
      <c r="NXI184" s="239"/>
      <c r="NXJ184" s="239"/>
      <c r="NXK184" s="239"/>
      <c r="NXL184" s="239"/>
      <c r="NXM184" s="239"/>
      <c r="NXN184" s="239"/>
      <c r="NXO184" s="239"/>
      <c r="NXP184" s="239"/>
      <c r="NXQ184" s="239"/>
      <c r="NXR184" s="239"/>
      <c r="NXS184" s="239"/>
      <c r="NXT184" s="239"/>
      <c r="NXU184" s="239"/>
      <c r="NXV184" s="239"/>
      <c r="NXW184" s="239"/>
      <c r="NXX184" s="239"/>
      <c r="NXY184" s="239"/>
      <c r="NXZ184" s="239"/>
      <c r="NYA184" s="239"/>
      <c r="NYB184" s="239"/>
      <c r="NYC184" s="239"/>
      <c r="NYD184" s="239"/>
      <c r="NYE184" s="239"/>
      <c r="NYF184" s="239"/>
      <c r="NYG184" s="239"/>
      <c r="NYH184" s="239"/>
      <c r="NYI184" s="239"/>
      <c r="NYJ184" s="239"/>
      <c r="NYK184" s="239"/>
      <c r="NYL184" s="239"/>
      <c r="NYM184" s="239"/>
      <c r="NYN184" s="239"/>
      <c r="NYO184" s="239"/>
      <c r="NYP184" s="239"/>
      <c r="NYQ184" s="239"/>
      <c r="NYR184" s="239"/>
      <c r="NYS184" s="239"/>
      <c r="NYT184" s="239"/>
      <c r="NYU184" s="239"/>
      <c r="NYV184" s="239"/>
      <c r="NYW184" s="239"/>
      <c r="NYX184" s="239"/>
      <c r="NYY184" s="239"/>
      <c r="NYZ184" s="239"/>
      <c r="NZA184" s="239"/>
      <c r="NZB184" s="239"/>
      <c r="NZC184" s="239"/>
      <c r="NZD184" s="239"/>
      <c r="NZE184" s="239"/>
      <c r="NZF184" s="239"/>
      <c r="NZG184" s="239"/>
      <c r="NZH184" s="239"/>
      <c r="NZI184" s="239"/>
      <c r="NZJ184" s="239"/>
      <c r="NZK184" s="239"/>
      <c r="NZL184" s="239"/>
      <c r="NZM184" s="239"/>
      <c r="NZN184" s="239"/>
      <c r="NZO184" s="239"/>
      <c r="NZP184" s="239"/>
      <c r="NZQ184" s="239"/>
      <c r="NZR184" s="239"/>
      <c r="NZS184" s="239"/>
      <c r="NZT184" s="239"/>
      <c r="NZU184" s="239"/>
      <c r="NZV184" s="239"/>
      <c r="NZW184" s="239"/>
      <c r="NZX184" s="239"/>
      <c r="NZY184" s="239"/>
      <c r="NZZ184" s="239"/>
      <c r="OAA184" s="239"/>
      <c r="OAB184" s="239"/>
      <c r="OAC184" s="239"/>
      <c r="OAD184" s="239"/>
      <c r="OAE184" s="239"/>
      <c r="OAF184" s="239"/>
      <c r="OAG184" s="239"/>
      <c r="OAH184" s="239"/>
      <c r="OAI184" s="239"/>
      <c r="OAJ184" s="239"/>
      <c r="OAK184" s="239"/>
      <c r="OAL184" s="239"/>
      <c r="OAM184" s="239"/>
      <c r="OAN184" s="239"/>
      <c r="OAO184" s="239"/>
      <c r="OAP184" s="239"/>
      <c r="OAQ184" s="239"/>
      <c r="OAR184" s="239"/>
      <c r="OAS184" s="239"/>
      <c r="OAT184" s="239"/>
      <c r="OAU184" s="239"/>
      <c r="OAV184" s="239"/>
      <c r="OAW184" s="239"/>
      <c r="OAX184" s="239"/>
      <c r="OAY184" s="239"/>
      <c r="OAZ184" s="239"/>
      <c r="OBA184" s="239"/>
      <c r="OBB184" s="239"/>
      <c r="OBC184" s="239"/>
      <c r="OBD184" s="239"/>
      <c r="OBE184" s="239"/>
      <c r="OBF184" s="239"/>
      <c r="OBG184" s="239"/>
      <c r="OBH184" s="239"/>
      <c r="OBI184" s="239"/>
      <c r="OBJ184" s="239"/>
      <c r="OBK184" s="239"/>
      <c r="OBL184" s="239"/>
      <c r="OBM184" s="239"/>
      <c r="OBN184" s="239"/>
      <c r="OBO184" s="239"/>
      <c r="OBP184" s="239"/>
      <c r="OBQ184" s="239"/>
      <c r="OBR184" s="239"/>
      <c r="OBS184" s="239"/>
      <c r="OBT184" s="239"/>
      <c r="OBU184" s="239"/>
      <c r="OBV184" s="239"/>
      <c r="OBW184" s="239"/>
      <c r="OBX184" s="239"/>
      <c r="OBY184" s="239"/>
      <c r="OBZ184" s="239"/>
      <c r="OCA184" s="239"/>
      <c r="OCB184" s="239"/>
      <c r="OCC184" s="239"/>
      <c r="OCD184" s="239"/>
      <c r="OCE184" s="239"/>
      <c r="OCF184" s="239"/>
      <c r="OCG184" s="239"/>
      <c r="OCH184" s="239"/>
      <c r="OCI184" s="239"/>
      <c r="OCJ184" s="239"/>
      <c r="OCK184" s="239"/>
      <c r="OCL184" s="239"/>
      <c r="OCM184" s="239"/>
      <c r="OCN184" s="239"/>
      <c r="OCO184" s="239"/>
      <c r="OCP184" s="239"/>
      <c r="OCQ184" s="239"/>
      <c r="OCR184" s="239"/>
      <c r="OCS184" s="239"/>
      <c r="OCT184" s="239"/>
      <c r="OCU184" s="239"/>
      <c r="OCV184" s="239"/>
      <c r="OCW184" s="239"/>
      <c r="OCX184" s="239"/>
      <c r="OCY184" s="239"/>
      <c r="OCZ184" s="239"/>
      <c r="ODA184" s="239"/>
      <c r="ODB184" s="239"/>
      <c r="ODC184" s="239"/>
      <c r="ODD184" s="239"/>
      <c r="ODE184" s="239"/>
      <c r="ODF184" s="239"/>
      <c r="ODG184" s="239"/>
      <c r="ODH184" s="239"/>
      <c r="ODI184" s="239"/>
      <c r="ODJ184" s="239"/>
      <c r="ODK184" s="239"/>
      <c r="ODL184" s="239"/>
      <c r="ODM184" s="239"/>
      <c r="ODN184" s="239"/>
      <c r="ODO184" s="239"/>
      <c r="ODP184" s="239"/>
      <c r="ODQ184" s="239"/>
      <c r="ODR184" s="239"/>
      <c r="ODS184" s="239"/>
      <c r="ODT184" s="239"/>
      <c r="ODU184" s="239"/>
      <c r="ODV184" s="239"/>
      <c r="ODW184" s="239"/>
      <c r="ODX184" s="239"/>
      <c r="ODY184" s="239"/>
      <c r="ODZ184" s="239"/>
      <c r="OEA184" s="239"/>
      <c r="OEB184" s="239"/>
      <c r="OEC184" s="239"/>
      <c r="OED184" s="239"/>
      <c r="OEE184" s="239"/>
      <c r="OEF184" s="239"/>
      <c r="OEG184" s="239"/>
      <c r="OEH184" s="239"/>
      <c r="OEI184" s="239"/>
      <c r="OEJ184" s="239"/>
      <c r="OEK184" s="239"/>
      <c r="OEL184" s="239"/>
      <c r="OEM184" s="239"/>
      <c r="OEN184" s="239"/>
      <c r="OEO184" s="239"/>
      <c r="OEP184" s="239"/>
      <c r="OEQ184" s="239"/>
      <c r="OER184" s="239"/>
      <c r="OES184" s="239"/>
      <c r="OET184" s="239"/>
      <c r="OEU184" s="239"/>
      <c r="OEV184" s="239"/>
      <c r="OEW184" s="239"/>
      <c r="OEX184" s="239"/>
      <c r="OEY184" s="239"/>
      <c r="OEZ184" s="239"/>
      <c r="OFA184" s="239"/>
      <c r="OFB184" s="239"/>
      <c r="OFC184" s="239"/>
      <c r="OFD184" s="239"/>
      <c r="OFE184" s="239"/>
      <c r="OFF184" s="239"/>
      <c r="OFG184" s="239"/>
      <c r="OFH184" s="239"/>
      <c r="OFI184" s="239"/>
      <c r="OFJ184" s="239"/>
      <c r="OFK184" s="239"/>
      <c r="OFL184" s="239"/>
      <c r="OFM184" s="239"/>
      <c r="OFN184" s="239"/>
      <c r="OFO184" s="239"/>
      <c r="OFP184" s="239"/>
      <c r="OFQ184" s="239"/>
      <c r="OFR184" s="239"/>
      <c r="OFS184" s="239"/>
      <c r="OFT184" s="239"/>
      <c r="OFU184" s="239"/>
      <c r="OFV184" s="239"/>
      <c r="OFW184" s="239"/>
      <c r="OFX184" s="239"/>
      <c r="OFY184" s="239"/>
      <c r="OFZ184" s="239"/>
      <c r="OGA184" s="239"/>
      <c r="OGB184" s="239"/>
      <c r="OGC184" s="239"/>
      <c r="OGD184" s="239"/>
      <c r="OGE184" s="239"/>
      <c r="OGF184" s="239"/>
      <c r="OGG184" s="239"/>
      <c r="OGH184" s="239"/>
      <c r="OGI184" s="239"/>
      <c r="OGJ184" s="239"/>
      <c r="OGK184" s="239"/>
      <c r="OGL184" s="239"/>
      <c r="OGM184" s="239"/>
      <c r="OGN184" s="239"/>
      <c r="OGO184" s="239"/>
      <c r="OGP184" s="239"/>
      <c r="OGQ184" s="239"/>
      <c r="OGR184" s="239"/>
      <c r="OGS184" s="239"/>
      <c r="OGT184" s="239"/>
      <c r="OGU184" s="239"/>
      <c r="OGV184" s="239"/>
      <c r="OGW184" s="239"/>
      <c r="OGX184" s="239"/>
      <c r="OGY184" s="239"/>
      <c r="OGZ184" s="239"/>
      <c r="OHA184" s="239"/>
      <c r="OHB184" s="239"/>
      <c r="OHC184" s="239"/>
      <c r="OHD184" s="239"/>
      <c r="OHE184" s="239"/>
      <c r="OHF184" s="239"/>
      <c r="OHG184" s="239"/>
      <c r="OHH184" s="239"/>
      <c r="OHI184" s="239"/>
      <c r="OHJ184" s="239"/>
      <c r="OHK184" s="239"/>
      <c r="OHL184" s="239"/>
      <c r="OHM184" s="239"/>
      <c r="OHN184" s="239"/>
      <c r="OHO184" s="239"/>
      <c r="OHP184" s="239"/>
      <c r="OHQ184" s="239"/>
      <c r="OHR184" s="239"/>
      <c r="OHS184" s="239"/>
      <c r="OHT184" s="239"/>
      <c r="OHU184" s="239"/>
      <c r="OHV184" s="239"/>
      <c r="OHW184" s="239"/>
      <c r="OHX184" s="239"/>
      <c r="OHY184" s="239"/>
      <c r="OHZ184" s="239"/>
      <c r="OIA184" s="239"/>
      <c r="OIB184" s="239"/>
      <c r="OIC184" s="239"/>
      <c r="OID184" s="239"/>
      <c r="OIE184" s="239"/>
      <c r="OIF184" s="239"/>
      <c r="OIG184" s="239"/>
      <c r="OIH184" s="239"/>
      <c r="OII184" s="239"/>
      <c r="OIJ184" s="239"/>
      <c r="OIK184" s="239"/>
      <c r="OIL184" s="239"/>
      <c r="OIM184" s="239"/>
      <c r="OIN184" s="239"/>
      <c r="OIO184" s="239"/>
      <c r="OIP184" s="239"/>
      <c r="OIQ184" s="239"/>
      <c r="OIR184" s="239"/>
      <c r="OIS184" s="239"/>
      <c r="OIT184" s="239"/>
      <c r="OIU184" s="239"/>
      <c r="OIV184" s="239"/>
      <c r="OIW184" s="239"/>
      <c r="OIX184" s="239"/>
      <c r="OIY184" s="239"/>
      <c r="OIZ184" s="239"/>
      <c r="OJA184" s="239"/>
      <c r="OJB184" s="239"/>
      <c r="OJC184" s="239"/>
      <c r="OJD184" s="239"/>
      <c r="OJE184" s="239"/>
      <c r="OJF184" s="239"/>
      <c r="OJG184" s="239"/>
      <c r="OJH184" s="239"/>
      <c r="OJI184" s="239"/>
      <c r="OJJ184" s="239"/>
      <c r="OJK184" s="239"/>
      <c r="OJL184" s="239"/>
      <c r="OJM184" s="239"/>
      <c r="OJN184" s="239"/>
      <c r="OJO184" s="239"/>
      <c r="OJP184" s="239"/>
      <c r="OJQ184" s="239"/>
      <c r="OJR184" s="239"/>
      <c r="OJS184" s="239"/>
      <c r="OJT184" s="239"/>
      <c r="OJU184" s="239"/>
      <c r="OJV184" s="239"/>
      <c r="OJW184" s="239"/>
      <c r="OJX184" s="239"/>
      <c r="OJY184" s="239"/>
      <c r="OJZ184" s="239"/>
      <c r="OKA184" s="239"/>
      <c r="OKB184" s="239"/>
      <c r="OKC184" s="239"/>
      <c r="OKD184" s="239"/>
      <c r="OKE184" s="239"/>
      <c r="OKF184" s="239"/>
      <c r="OKG184" s="239"/>
      <c r="OKH184" s="239"/>
      <c r="OKI184" s="239"/>
      <c r="OKJ184" s="239"/>
      <c r="OKK184" s="239"/>
      <c r="OKL184" s="239"/>
      <c r="OKM184" s="239"/>
      <c r="OKN184" s="239"/>
      <c r="OKO184" s="239"/>
      <c r="OKP184" s="239"/>
      <c r="OKQ184" s="239"/>
      <c r="OKR184" s="239"/>
      <c r="OKS184" s="239"/>
      <c r="OKT184" s="239"/>
      <c r="OKU184" s="239"/>
      <c r="OKV184" s="239"/>
      <c r="OKW184" s="239"/>
      <c r="OKX184" s="239"/>
      <c r="OKY184" s="239"/>
      <c r="OKZ184" s="239"/>
      <c r="OLA184" s="239"/>
      <c r="OLB184" s="239"/>
      <c r="OLC184" s="239"/>
      <c r="OLD184" s="239"/>
      <c r="OLE184" s="239"/>
      <c r="OLF184" s="239"/>
      <c r="OLG184" s="239"/>
      <c r="OLH184" s="239"/>
      <c r="OLI184" s="239"/>
      <c r="OLJ184" s="239"/>
      <c r="OLK184" s="239"/>
      <c r="OLL184" s="239"/>
      <c r="OLM184" s="239"/>
      <c r="OLN184" s="239"/>
      <c r="OLO184" s="239"/>
      <c r="OLP184" s="239"/>
      <c r="OLQ184" s="239"/>
      <c r="OLR184" s="239"/>
      <c r="OLS184" s="239"/>
      <c r="OLT184" s="239"/>
      <c r="OLU184" s="239"/>
      <c r="OLV184" s="239"/>
      <c r="OLW184" s="239"/>
      <c r="OLX184" s="239"/>
      <c r="OLY184" s="239"/>
      <c r="OLZ184" s="239"/>
      <c r="OMA184" s="239"/>
      <c r="OMB184" s="239"/>
      <c r="OMC184" s="239"/>
      <c r="OMD184" s="239"/>
      <c r="OME184" s="239"/>
      <c r="OMF184" s="239"/>
      <c r="OMG184" s="239"/>
      <c r="OMH184" s="239"/>
      <c r="OMI184" s="239"/>
      <c r="OMJ184" s="239"/>
      <c r="OMK184" s="239"/>
      <c r="OML184" s="239"/>
      <c r="OMM184" s="239"/>
      <c r="OMN184" s="239"/>
      <c r="OMO184" s="239"/>
      <c r="OMP184" s="239"/>
      <c r="OMQ184" s="239"/>
      <c r="OMR184" s="239"/>
      <c r="OMS184" s="239"/>
      <c r="OMT184" s="239"/>
      <c r="OMU184" s="239"/>
      <c r="OMV184" s="239"/>
      <c r="OMW184" s="239"/>
      <c r="OMX184" s="239"/>
      <c r="OMY184" s="239"/>
      <c r="OMZ184" s="239"/>
      <c r="ONA184" s="239"/>
      <c r="ONB184" s="239"/>
      <c r="ONC184" s="239"/>
      <c r="OND184" s="239"/>
      <c r="ONE184" s="239"/>
      <c r="ONF184" s="239"/>
      <c r="ONG184" s="239"/>
      <c r="ONH184" s="239"/>
      <c r="ONI184" s="239"/>
      <c r="ONJ184" s="239"/>
      <c r="ONK184" s="239"/>
      <c r="ONL184" s="239"/>
      <c r="ONM184" s="239"/>
      <c r="ONN184" s="239"/>
      <c r="ONO184" s="239"/>
      <c r="ONP184" s="239"/>
      <c r="ONQ184" s="239"/>
      <c r="ONR184" s="239"/>
      <c r="ONS184" s="239"/>
      <c r="ONT184" s="239"/>
      <c r="ONU184" s="239"/>
      <c r="ONV184" s="239"/>
      <c r="ONW184" s="239"/>
      <c r="ONX184" s="239"/>
      <c r="ONY184" s="239"/>
      <c r="ONZ184" s="239"/>
      <c r="OOA184" s="239"/>
      <c r="OOB184" s="239"/>
      <c r="OOC184" s="239"/>
      <c r="OOD184" s="239"/>
      <c r="OOE184" s="239"/>
      <c r="OOF184" s="239"/>
      <c r="OOG184" s="239"/>
      <c r="OOH184" s="239"/>
      <c r="OOI184" s="239"/>
      <c r="OOJ184" s="239"/>
      <c r="OOK184" s="239"/>
      <c r="OOL184" s="239"/>
      <c r="OOM184" s="239"/>
      <c r="OON184" s="239"/>
      <c r="OOO184" s="239"/>
      <c r="OOP184" s="239"/>
      <c r="OOQ184" s="239"/>
      <c r="OOR184" s="239"/>
      <c r="OOS184" s="239"/>
      <c r="OOT184" s="239"/>
      <c r="OOU184" s="239"/>
      <c r="OOV184" s="239"/>
      <c r="OOW184" s="239"/>
      <c r="OOX184" s="239"/>
      <c r="OOY184" s="239"/>
      <c r="OOZ184" s="239"/>
      <c r="OPA184" s="239"/>
      <c r="OPB184" s="239"/>
      <c r="OPC184" s="239"/>
      <c r="OPD184" s="239"/>
      <c r="OPE184" s="239"/>
      <c r="OPF184" s="239"/>
      <c r="OPG184" s="239"/>
      <c r="OPH184" s="239"/>
      <c r="OPI184" s="239"/>
      <c r="OPJ184" s="239"/>
      <c r="OPK184" s="239"/>
      <c r="OPL184" s="239"/>
      <c r="OPM184" s="239"/>
      <c r="OPN184" s="239"/>
      <c r="OPO184" s="239"/>
      <c r="OPP184" s="239"/>
      <c r="OPQ184" s="239"/>
      <c r="OPR184" s="239"/>
      <c r="OPS184" s="239"/>
      <c r="OPT184" s="239"/>
      <c r="OPU184" s="239"/>
      <c r="OPV184" s="239"/>
      <c r="OPW184" s="239"/>
      <c r="OPX184" s="239"/>
      <c r="OPY184" s="239"/>
      <c r="OPZ184" s="239"/>
      <c r="OQA184" s="239"/>
      <c r="OQB184" s="239"/>
      <c r="OQC184" s="239"/>
      <c r="OQD184" s="239"/>
      <c r="OQE184" s="239"/>
      <c r="OQF184" s="239"/>
      <c r="OQG184" s="239"/>
      <c r="OQH184" s="239"/>
      <c r="OQI184" s="239"/>
      <c r="OQJ184" s="239"/>
      <c r="OQK184" s="239"/>
      <c r="OQL184" s="239"/>
      <c r="OQM184" s="239"/>
      <c r="OQN184" s="239"/>
      <c r="OQO184" s="239"/>
      <c r="OQP184" s="239"/>
      <c r="OQQ184" s="239"/>
      <c r="OQR184" s="239"/>
      <c r="OQS184" s="239"/>
      <c r="OQT184" s="239"/>
      <c r="OQU184" s="239"/>
      <c r="OQV184" s="239"/>
      <c r="OQW184" s="239"/>
      <c r="OQX184" s="239"/>
      <c r="OQY184" s="239"/>
      <c r="OQZ184" s="239"/>
      <c r="ORA184" s="239"/>
      <c r="ORB184" s="239"/>
      <c r="ORC184" s="239"/>
      <c r="ORD184" s="239"/>
      <c r="ORE184" s="239"/>
      <c r="ORF184" s="239"/>
      <c r="ORG184" s="239"/>
      <c r="ORH184" s="239"/>
      <c r="ORI184" s="239"/>
      <c r="ORJ184" s="239"/>
      <c r="ORK184" s="239"/>
      <c r="ORL184" s="239"/>
      <c r="ORM184" s="239"/>
      <c r="ORN184" s="239"/>
      <c r="ORO184" s="239"/>
      <c r="ORP184" s="239"/>
      <c r="ORQ184" s="239"/>
      <c r="ORR184" s="239"/>
      <c r="ORS184" s="239"/>
      <c r="ORT184" s="239"/>
      <c r="ORU184" s="239"/>
      <c r="ORV184" s="239"/>
      <c r="ORW184" s="239"/>
      <c r="ORX184" s="239"/>
      <c r="ORY184" s="239"/>
      <c r="ORZ184" s="239"/>
      <c r="OSA184" s="239"/>
      <c r="OSB184" s="239"/>
      <c r="OSC184" s="239"/>
      <c r="OSD184" s="239"/>
      <c r="OSE184" s="239"/>
      <c r="OSF184" s="239"/>
      <c r="OSG184" s="239"/>
      <c r="OSH184" s="239"/>
      <c r="OSI184" s="239"/>
      <c r="OSJ184" s="239"/>
      <c r="OSK184" s="239"/>
      <c r="OSL184" s="239"/>
      <c r="OSM184" s="239"/>
      <c r="OSN184" s="239"/>
      <c r="OSO184" s="239"/>
      <c r="OSP184" s="239"/>
      <c r="OSQ184" s="239"/>
      <c r="OSR184" s="239"/>
      <c r="OSS184" s="239"/>
      <c r="OST184" s="239"/>
      <c r="OSU184" s="239"/>
      <c r="OSV184" s="239"/>
      <c r="OSW184" s="239"/>
      <c r="OSX184" s="239"/>
      <c r="OSY184" s="239"/>
      <c r="OSZ184" s="239"/>
      <c r="OTA184" s="239"/>
      <c r="OTB184" s="239"/>
      <c r="OTC184" s="239"/>
      <c r="OTD184" s="239"/>
      <c r="OTE184" s="239"/>
      <c r="OTF184" s="239"/>
      <c r="OTG184" s="239"/>
      <c r="OTH184" s="239"/>
      <c r="OTI184" s="239"/>
      <c r="OTJ184" s="239"/>
      <c r="OTK184" s="239"/>
      <c r="OTL184" s="239"/>
      <c r="OTM184" s="239"/>
      <c r="OTN184" s="239"/>
      <c r="OTO184" s="239"/>
      <c r="OTP184" s="239"/>
      <c r="OTQ184" s="239"/>
      <c r="OTR184" s="239"/>
      <c r="OTS184" s="239"/>
      <c r="OTT184" s="239"/>
      <c r="OTU184" s="239"/>
      <c r="OTV184" s="239"/>
      <c r="OTW184" s="239"/>
      <c r="OTX184" s="239"/>
      <c r="OTY184" s="239"/>
      <c r="OTZ184" s="239"/>
      <c r="OUA184" s="239"/>
      <c r="OUB184" s="239"/>
      <c r="OUC184" s="239"/>
      <c r="OUD184" s="239"/>
      <c r="OUE184" s="239"/>
      <c r="OUF184" s="239"/>
      <c r="OUG184" s="239"/>
      <c r="OUH184" s="239"/>
      <c r="OUI184" s="239"/>
      <c r="OUJ184" s="239"/>
      <c r="OUK184" s="239"/>
      <c r="OUL184" s="239"/>
      <c r="OUM184" s="239"/>
      <c r="OUN184" s="239"/>
      <c r="OUO184" s="239"/>
      <c r="OUP184" s="239"/>
      <c r="OUQ184" s="239"/>
      <c r="OUR184" s="239"/>
      <c r="OUS184" s="239"/>
      <c r="OUT184" s="239"/>
      <c r="OUU184" s="239"/>
      <c r="OUV184" s="239"/>
      <c r="OUW184" s="239"/>
      <c r="OUX184" s="239"/>
      <c r="OUY184" s="239"/>
      <c r="OUZ184" s="239"/>
      <c r="OVA184" s="239"/>
      <c r="OVB184" s="239"/>
      <c r="OVC184" s="239"/>
      <c r="OVD184" s="239"/>
      <c r="OVE184" s="239"/>
      <c r="OVF184" s="239"/>
      <c r="OVG184" s="239"/>
      <c r="OVH184" s="239"/>
      <c r="OVI184" s="239"/>
      <c r="OVJ184" s="239"/>
      <c r="OVK184" s="239"/>
      <c r="OVL184" s="239"/>
      <c r="OVM184" s="239"/>
      <c r="OVN184" s="239"/>
      <c r="OVO184" s="239"/>
      <c r="OVP184" s="239"/>
      <c r="OVQ184" s="239"/>
      <c r="OVR184" s="239"/>
      <c r="OVS184" s="239"/>
      <c r="OVT184" s="239"/>
      <c r="OVU184" s="239"/>
      <c r="OVV184" s="239"/>
      <c r="OVW184" s="239"/>
      <c r="OVX184" s="239"/>
      <c r="OVY184" s="239"/>
      <c r="OVZ184" s="239"/>
      <c r="OWA184" s="239"/>
      <c r="OWB184" s="239"/>
      <c r="OWC184" s="239"/>
      <c r="OWD184" s="239"/>
      <c r="OWE184" s="239"/>
      <c r="OWF184" s="239"/>
      <c r="OWG184" s="239"/>
      <c r="OWH184" s="239"/>
      <c r="OWI184" s="239"/>
      <c r="OWJ184" s="239"/>
      <c r="OWK184" s="239"/>
      <c r="OWL184" s="239"/>
      <c r="OWM184" s="239"/>
      <c r="OWN184" s="239"/>
      <c r="OWO184" s="239"/>
      <c r="OWP184" s="239"/>
      <c r="OWQ184" s="239"/>
      <c r="OWR184" s="239"/>
      <c r="OWS184" s="239"/>
      <c r="OWT184" s="239"/>
      <c r="OWU184" s="239"/>
      <c r="OWV184" s="239"/>
      <c r="OWW184" s="239"/>
      <c r="OWX184" s="239"/>
      <c r="OWY184" s="239"/>
      <c r="OWZ184" s="239"/>
      <c r="OXA184" s="239"/>
      <c r="OXB184" s="239"/>
      <c r="OXC184" s="239"/>
      <c r="OXD184" s="239"/>
      <c r="OXE184" s="239"/>
      <c r="OXF184" s="239"/>
      <c r="OXG184" s="239"/>
      <c r="OXH184" s="239"/>
      <c r="OXI184" s="239"/>
      <c r="OXJ184" s="239"/>
      <c r="OXK184" s="239"/>
      <c r="OXL184" s="239"/>
      <c r="OXM184" s="239"/>
      <c r="OXN184" s="239"/>
      <c r="OXO184" s="239"/>
      <c r="OXP184" s="239"/>
      <c r="OXQ184" s="239"/>
      <c r="OXR184" s="239"/>
      <c r="OXS184" s="239"/>
      <c r="OXT184" s="239"/>
      <c r="OXU184" s="239"/>
      <c r="OXV184" s="239"/>
      <c r="OXW184" s="239"/>
      <c r="OXX184" s="239"/>
      <c r="OXY184" s="239"/>
      <c r="OXZ184" s="239"/>
      <c r="OYA184" s="239"/>
      <c r="OYB184" s="239"/>
      <c r="OYC184" s="239"/>
      <c r="OYD184" s="239"/>
      <c r="OYE184" s="239"/>
      <c r="OYF184" s="239"/>
      <c r="OYG184" s="239"/>
      <c r="OYH184" s="239"/>
      <c r="OYI184" s="239"/>
      <c r="OYJ184" s="239"/>
      <c r="OYK184" s="239"/>
      <c r="OYL184" s="239"/>
      <c r="OYM184" s="239"/>
      <c r="OYN184" s="239"/>
      <c r="OYO184" s="239"/>
      <c r="OYP184" s="239"/>
      <c r="OYQ184" s="239"/>
      <c r="OYR184" s="239"/>
      <c r="OYS184" s="239"/>
      <c r="OYT184" s="239"/>
      <c r="OYU184" s="239"/>
      <c r="OYV184" s="239"/>
      <c r="OYW184" s="239"/>
      <c r="OYX184" s="239"/>
      <c r="OYY184" s="239"/>
      <c r="OYZ184" s="239"/>
      <c r="OZA184" s="239"/>
      <c r="OZB184" s="239"/>
      <c r="OZC184" s="239"/>
      <c r="OZD184" s="239"/>
      <c r="OZE184" s="239"/>
      <c r="OZF184" s="239"/>
      <c r="OZG184" s="239"/>
      <c r="OZH184" s="239"/>
      <c r="OZI184" s="239"/>
      <c r="OZJ184" s="239"/>
      <c r="OZK184" s="239"/>
      <c r="OZL184" s="239"/>
      <c r="OZM184" s="239"/>
      <c r="OZN184" s="239"/>
      <c r="OZO184" s="239"/>
      <c r="OZP184" s="239"/>
      <c r="OZQ184" s="239"/>
      <c r="OZR184" s="239"/>
      <c r="OZS184" s="239"/>
      <c r="OZT184" s="239"/>
      <c r="OZU184" s="239"/>
      <c r="OZV184" s="239"/>
      <c r="OZW184" s="239"/>
      <c r="OZX184" s="239"/>
      <c r="OZY184" s="239"/>
      <c r="OZZ184" s="239"/>
      <c r="PAA184" s="239"/>
      <c r="PAB184" s="239"/>
      <c r="PAC184" s="239"/>
      <c r="PAD184" s="239"/>
      <c r="PAE184" s="239"/>
      <c r="PAF184" s="239"/>
      <c r="PAG184" s="239"/>
      <c r="PAH184" s="239"/>
      <c r="PAI184" s="239"/>
      <c r="PAJ184" s="239"/>
      <c r="PAK184" s="239"/>
      <c r="PAL184" s="239"/>
      <c r="PAM184" s="239"/>
      <c r="PAN184" s="239"/>
      <c r="PAO184" s="239"/>
      <c r="PAP184" s="239"/>
      <c r="PAQ184" s="239"/>
      <c r="PAR184" s="239"/>
      <c r="PAS184" s="239"/>
      <c r="PAT184" s="239"/>
      <c r="PAU184" s="239"/>
      <c r="PAV184" s="239"/>
      <c r="PAW184" s="239"/>
      <c r="PAX184" s="239"/>
      <c r="PAY184" s="239"/>
      <c r="PAZ184" s="239"/>
      <c r="PBA184" s="239"/>
      <c r="PBB184" s="239"/>
      <c r="PBC184" s="239"/>
      <c r="PBD184" s="239"/>
      <c r="PBE184" s="239"/>
      <c r="PBF184" s="239"/>
      <c r="PBG184" s="239"/>
      <c r="PBH184" s="239"/>
      <c r="PBI184" s="239"/>
      <c r="PBJ184" s="239"/>
      <c r="PBK184" s="239"/>
      <c r="PBL184" s="239"/>
      <c r="PBM184" s="239"/>
      <c r="PBN184" s="239"/>
      <c r="PBO184" s="239"/>
      <c r="PBP184" s="239"/>
      <c r="PBQ184" s="239"/>
      <c r="PBR184" s="239"/>
      <c r="PBS184" s="239"/>
      <c r="PBT184" s="239"/>
      <c r="PBU184" s="239"/>
      <c r="PBV184" s="239"/>
      <c r="PBW184" s="239"/>
      <c r="PBX184" s="239"/>
      <c r="PBY184" s="239"/>
      <c r="PBZ184" s="239"/>
      <c r="PCA184" s="239"/>
      <c r="PCB184" s="239"/>
      <c r="PCC184" s="239"/>
      <c r="PCD184" s="239"/>
      <c r="PCE184" s="239"/>
      <c r="PCF184" s="239"/>
      <c r="PCG184" s="239"/>
      <c r="PCH184" s="239"/>
      <c r="PCI184" s="239"/>
      <c r="PCJ184" s="239"/>
      <c r="PCK184" s="239"/>
      <c r="PCL184" s="239"/>
      <c r="PCM184" s="239"/>
      <c r="PCN184" s="239"/>
      <c r="PCO184" s="239"/>
      <c r="PCP184" s="239"/>
      <c r="PCQ184" s="239"/>
      <c r="PCR184" s="239"/>
      <c r="PCS184" s="239"/>
      <c r="PCT184" s="239"/>
      <c r="PCU184" s="239"/>
      <c r="PCV184" s="239"/>
      <c r="PCW184" s="239"/>
      <c r="PCX184" s="239"/>
      <c r="PCY184" s="239"/>
      <c r="PCZ184" s="239"/>
      <c r="PDA184" s="239"/>
      <c r="PDB184" s="239"/>
      <c r="PDC184" s="239"/>
      <c r="PDD184" s="239"/>
      <c r="PDE184" s="239"/>
      <c r="PDF184" s="239"/>
      <c r="PDG184" s="239"/>
      <c r="PDH184" s="239"/>
      <c r="PDI184" s="239"/>
      <c r="PDJ184" s="239"/>
      <c r="PDK184" s="239"/>
      <c r="PDL184" s="239"/>
      <c r="PDM184" s="239"/>
      <c r="PDN184" s="239"/>
      <c r="PDO184" s="239"/>
      <c r="PDP184" s="239"/>
      <c r="PDQ184" s="239"/>
      <c r="PDR184" s="239"/>
      <c r="PDS184" s="239"/>
      <c r="PDT184" s="239"/>
      <c r="PDU184" s="239"/>
      <c r="PDV184" s="239"/>
      <c r="PDW184" s="239"/>
      <c r="PDX184" s="239"/>
      <c r="PDY184" s="239"/>
      <c r="PDZ184" s="239"/>
      <c r="PEA184" s="239"/>
      <c r="PEB184" s="239"/>
      <c r="PEC184" s="239"/>
      <c r="PED184" s="239"/>
      <c r="PEE184" s="239"/>
      <c r="PEF184" s="239"/>
      <c r="PEG184" s="239"/>
      <c r="PEH184" s="239"/>
      <c r="PEI184" s="239"/>
      <c r="PEJ184" s="239"/>
      <c r="PEK184" s="239"/>
      <c r="PEL184" s="239"/>
      <c r="PEM184" s="239"/>
      <c r="PEN184" s="239"/>
      <c r="PEO184" s="239"/>
      <c r="PEP184" s="239"/>
      <c r="PEQ184" s="239"/>
      <c r="PER184" s="239"/>
      <c r="PES184" s="239"/>
      <c r="PET184" s="239"/>
      <c r="PEU184" s="239"/>
      <c r="PEV184" s="239"/>
      <c r="PEW184" s="239"/>
      <c r="PEX184" s="239"/>
      <c r="PEY184" s="239"/>
      <c r="PEZ184" s="239"/>
      <c r="PFA184" s="239"/>
      <c r="PFB184" s="239"/>
      <c r="PFC184" s="239"/>
      <c r="PFD184" s="239"/>
      <c r="PFE184" s="239"/>
      <c r="PFF184" s="239"/>
      <c r="PFG184" s="239"/>
      <c r="PFH184" s="239"/>
      <c r="PFI184" s="239"/>
      <c r="PFJ184" s="239"/>
      <c r="PFK184" s="239"/>
      <c r="PFL184" s="239"/>
      <c r="PFM184" s="239"/>
      <c r="PFN184" s="239"/>
      <c r="PFO184" s="239"/>
      <c r="PFP184" s="239"/>
      <c r="PFQ184" s="239"/>
      <c r="PFR184" s="239"/>
      <c r="PFS184" s="239"/>
      <c r="PFT184" s="239"/>
      <c r="PFU184" s="239"/>
      <c r="PFV184" s="239"/>
      <c r="PFW184" s="239"/>
      <c r="PFX184" s="239"/>
      <c r="PFY184" s="239"/>
      <c r="PFZ184" s="239"/>
      <c r="PGA184" s="239"/>
      <c r="PGB184" s="239"/>
      <c r="PGC184" s="239"/>
      <c r="PGD184" s="239"/>
      <c r="PGE184" s="239"/>
      <c r="PGF184" s="239"/>
      <c r="PGG184" s="239"/>
      <c r="PGH184" s="239"/>
      <c r="PGI184" s="239"/>
      <c r="PGJ184" s="239"/>
      <c r="PGK184" s="239"/>
      <c r="PGL184" s="239"/>
      <c r="PGM184" s="239"/>
      <c r="PGN184" s="239"/>
      <c r="PGO184" s="239"/>
      <c r="PGP184" s="239"/>
      <c r="PGQ184" s="239"/>
      <c r="PGR184" s="239"/>
      <c r="PGS184" s="239"/>
      <c r="PGT184" s="239"/>
      <c r="PGU184" s="239"/>
      <c r="PGV184" s="239"/>
      <c r="PGW184" s="239"/>
      <c r="PGX184" s="239"/>
      <c r="PGY184" s="239"/>
      <c r="PGZ184" s="239"/>
      <c r="PHA184" s="239"/>
      <c r="PHB184" s="239"/>
      <c r="PHC184" s="239"/>
      <c r="PHD184" s="239"/>
      <c r="PHE184" s="239"/>
      <c r="PHF184" s="239"/>
      <c r="PHG184" s="239"/>
      <c r="PHH184" s="239"/>
      <c r="PHI184" s="239"/>
      <c r="PHJ184" s="239"/>
      <c r="PHK184" s="239"/>
      <c r="PHL184" s="239"/>
      <c r="PHM184" s="239"/>
      <c r="PHN184" s="239"/>
      <c r="PHO184" s="239"/>
      <c r="PHP184" s="239"/>
      <c r="PHQ184" s="239"/>
      <c r="PHR184" s="239"/>
      <c r="PHS184" s="239"/>
      <c r="PHT184" s="239"/>
      <c r="PHU184" s="239"/>
      <c r="PHV184" s="239"/>
      <c r="PHW184" s="239"/>
      <c r="PHX184" s="239"/>
      <c r="PHY184" s="239"/>
      <c r="PHZ184" s="239"/>
      <c r="PIA184" s="239"/>
      <c r="PIB184" s="239"/>
      <c r="PIC184" s="239"/>
      <c r="PID184" s="239"/>
      <c r="PIE184" s="239"/>
      <c r="PIF184" s="239"/>
      <c r="PIG184" s="239"/>
      <c r="PIH184" s="239"/>
      <c r="PII184" s="239"/>
      <c r="PIJ184" s="239"/>
      <c r="PIK184" s="239"/>
      <c r="PIL184" s="239"/>
      <c r="PIM184" s="239"/>
      <c r="PIN184" s="239"/>
      <c r="PIO184" s="239"/>
      <c r="PIP184" s="239"/>
      <c r="PIQ184" s="239"/>
      <c r="PIR184" s="239"/>
      <c r="PIS184" s="239"/>
      <c r="PIT184" s="239"/>
      <c r="PIU184" s="239"/>
      <c r="PIV184" s="239"/>
      <c r="PIW184" s="239"/>
      <c r="PIX184" s="239"/>
      <c r="PIY184" s="239"/>
      <c r="PIZ184" s="239"/>
      <c r="PJA184" s="239"/>
      <c r="PJB184" s="239"/>
      <c r="PJC184" s="239"/>
      <c r="PJD184" s="239"/>
      <c r="PJE184" s="239"/>
      <c r="PJF184" s="239"/>
      <c r="PJG184" s="239"/>
      <c r="PJH184" s="239"/>
      <c r="PJI184" s="239"/>
      <c r="PJJ184" s="239"/>
      <c r="PJK184" s="239"/>
      <c r="PJL184" s="239"/>
      <c r="PJM184" s="239"/>
      <c r="PJN184" s="239"/>
      <c r="PJO184" s="239"/>
      <c r="PJP184" s="239"/>
      <c r="PJQ184" s="239"/>
      <c r="PJR184" s="239"/>
      <c r="PJS184" s="239"/>
      <c r="PJT184" s="239"/>
      <c r="PJU184" s="239"/>
      <c r="PJV184" s="239"/>
      <c r="PJW184" s="239"/>
      <c r="PJX184" s="239"/>
      <c r="PJY184" s="239"/>
      <c r="PJZ184" s="239"/>
      <c r="PKA184" s="239"/>
      <c r="PKB184" s="239"/>
      <c r="PKC184" s="239"/>
      <c r="PKD184" s="239"/>
      <c r="PKE184" s="239"/>
      <c r="PKF184" s="239"/>
      <c r="PKG184" s="239"/>
      <c r="PKH184" s="239"/>
      <c r="PKI184" s="239"/>
      <c r="PKJ184" s="239"/>
      <c r="PKK184" s="239"/>
      <c r="PKL184" s="239"/>
      <c r="PKM184" s="239"/>
      <c r="PKN184" s="239"/>
      <c r="PKO184" s="239"/>
      <c r="PKP184" s="239"/>
      <c r="PKQ184" s="239"/>
      <c r="PKR184" s="239"/>
      <c r="PKS184" s="239"/>
      <c r="PKT184" s="239"/>
      <c r="PKU184" s="239"/>
      <c r="PKV184" s="239"/>
      <c r="PKW184" s="239"/>
      <c r="PKX184" s="239"/>
      <c r="PKY184" s="239"/>
      <c r="PKZ184" s="239"/>
      <c r="PLA184" s="239"/>
      <c r="PLB184" s="239"/>
      <c r="PLC184" s="239"/>
      <c r="PLD184" s="239"/>
      <c r="PLE184" s="239"/>
      <c r="PLF184" s="239"/>
      <c r="PLG184" s="239"/>
      <c r="PLH184" s="239"/>
      <c r="PLI184" s="239"/>
      <c r="PLJ184" s="239"/>
      <c r="PLK184" s="239"/>
      <c r="PLL184" s="239"/>
      <c r="PLM184" s="239"/>
      <c r="PLN184" s="239"/>
      <c r="PLO184" s="239"/>
      <c r="PLP184" s="239"/>
      <c r="PLQ184" s="239"/>
      <c r="PLR184" s="239"/>
      <c r="PLS184" s="239"/>
      <c r="PLT184" s="239"/>
      <c r="PLU184" s="239"/>
      <c r="PLV184" s="239"/>
      <c r="PLW184" s="239"/>
      <c r="PLX184" s="239"/>
      <c r="PLY184" s="239"/>
      <c r="PLZ184" s="239"/>
      <c r="PMA184" s="239"/>
      <c r="PMB184" s="239"/>
      <c r="PMC184" s="239"/>
      <c r="PMD184" s="239"/>
      <c r="PME184" s="239"/>
      <c r="PMF184" s="239"/>
      <c r="PMG184" s="239"/>
      <c r="PMH184" s="239"/>
      <c r="PMI184" s="239"/>
      <c r="PMJ184" s="239"/>
      <c r="PMK184" s="239"/>
      <c r="PML184" s="239"/>
      <c r="PMM184" s="239"/>
      <c r="PMN184" s="239"/>
      <c r="PMO184" s="239"/>
      <c r="PMP184" s="239"/>
      <c r="PMQ184" s="239"/>
      <c r="PMR184" s="239"/>
      <c r="PMS184" s="239"/>
      <c r="PMT184" s="239"/>
      <c r="PMU184" s="239"/>
      <c r="PMV184" s="239"/>
      <c r="PMW184" s="239"/>
      <c r="PMX184" s="239"/>
      <c r="PMY184" s="239"/>
      <c r="PMZ184" s="239"/>
      <c r="PNA184" s="239"/>
      <c r="PNB184" s="239"/>
      <c r="PNC184" s="239"/>
      <c r="PND184" s="239"/>
      <c r="PNE184" s="239"/>
      <c r="PNF184" s="239"/>
      <c r="PNG184" s="239"/>
      <c r="PNH184" s="239"/>
      <c r="PNI184" s="239"/>
      <c r="PNJ184" s="239"/>
      <c r="PNK184" s="239"/>
      <c r="PNL184" s="239"/>
      <c r="PNM184" s="239"/>
      <c r="PNN184" s="239"/>
      <c r="PNO184" s="239"/>
      <c r="PNP184" s="239"/>
      <c r="PNQ184" s="239"/>
      <c r="PNR184" s="239"/>
      <c r="PNS184" s="239"/>
      <c r="PNT184" s="239"/>
      <c r="PNU184" s="239"/>
      <c r="PNV184" s="239"/>
      <c r="PNW184" s="239"/>
      <c r="PNX184" s="239"/>
      <c r="PNY184" s="239"/>
      <c r="PNZ184" s="239"/>
      <c r="POA184" s="239"/>
      <c r="POB184" s="239"/>
      <c r="POC184" s="239"/>
      <c r="POD184" s="239"/>
      <c r="POE184" s="239"/>
      <c r="POF184" s="239"/>
      <c r="POG184" s="239"/>
      <c r="POH184" s="239"/>
      <c r="POI184" s="239"/>
      <c r="POJ184" s="239"/>
      <c r="POK184" s="239"/>
      <c r="POL184" s="239"/>
      <c r="POM184" s="239"/>
      <c r="PON184" s="239"/>
      <c r="POO184" s="239"/>
      <c r="POP184" s="239"/>
      <c r="POQ184" s="239"/>
      <c r="POR184" s="239"/>
      <c r="POS184" s="239"/>
      <c r="POT184" s="239"/>
      <c r="POU184" s="239"/>
      <c r="POV184" s="239"/>
      <c r="POW184" s="239"/>
      <c r="POX184" s="239"/>
      <c r="POY184" s="239"/>
      <c r="POZ184" s="239"/>
      <c r="PPA184" s="239"/>
      <c r="PPB184" s="239"/>
      <c r="PPC184" s="239"/>
      <c r="PPD184" s="239"/>
      <c r="PPE184" s="239"/>
      <c r="PPF184" s="239"/>
      <c r="PPG184" s="239"/>
      <c r="PPH184" s="239"/>
      <c r="PPI184" s="239"/>
      <c r="PPJ184" s="239"/>
      <c r="PPK184" s="239"/>
      <c r="PPL184" s="239"/>
      <c r="PPM184" s="239"/>
      <c r="PPN184" s="239"/>
      <c r="PPO184" s="239"/>
      <c r="PPP184" s="239"/>
      <c r="PPQ184" s="239"/>
      <c r="PPR184" s="239"/>
      <c r="PPS184" s="239"/>
      <c r="PPT184" s="239"/>
      <c r="PPU184" s="239"/>
      <c r="PPV184" s="239"/>
      <c r="PPW184" s="239"/>
      <c r="PPX184" s="239"/>
      <c r="PPY184" s="239"/>
      <c r="PPZ184" s="239"/>
      <c r="PQA184" s="239"/>
      <c r="PQB184" s="239"/>
      <c r="PQC184" s="239"/>
      <c r="PQD184" s="239"/>
      <c r="PQE184" s="239"/>
      <c r="PQF184" s="239"/>
      <c r="PQG184" s="239"/>
      <c r="PQH184" s="239"/>
      <c r="PQI184" s="239"/>
      <c r="PQJ184" s="239"/>
      <c r="PQK184" s="239"/>
      <c r="PQL184" s="239"/>
      <c r="PQM184" s="239"/>
      <c r="PQN184" s="239"/>
      <c r="PQO184" s="239"/>
      <c r="PQP184" s="239"/>
      <c r="PQQ184" s="239"/>
      <c r="PQR184" s="239"/>
      <c r="PQS184" s="239"/>
      <c r="PQT184" s="239"/>
      <c r="PQU184" s="239"/>
      <c r="PQV184" s="239"/>
      <c r="PQW184" s="239"/>
      <c r="PQX184" s="239"/>
      <c r="PQY184" s="239"/>
      <c r="PQZ184" s="239"/>
      <c r="PRA184" s="239"/>
      <c r="PRB184" s="239"/>
      <c r="PRC184" s="239"/>
      <c r="PRD184" s="239"/>
      <c r="PRE184" s="239"/>
      <c r="PRF184" s="239"/>
      <c r="PRG184" s="239"/>
      <c r="PRH184" s="239"/>
      <c r="PRI184" s="239"/>
      <c r="PRJ184" s="239"/>
      <c r="PRK184" s="239"/>
      <c r="PRL184" s="239"/>
      <c r="PRM184" s="239"/>
      <c r="PRN184" s="239"/>
      <c r="PRO184" s="239"/>
      <c r="PRP184" s="239"/>
      <c r="PRQ184" s="239"/>
      <c r="PRR184" s="239"/>
      <c r="PRS184" s="239"/>
      <c r="PRT184" s="239"/>
      <c r="PRU184" s="239"/>
      <c r="PRV184" s="239"/>
      <c r="PRW184" s="239"/>
      <c r="PRX184" s="239"/>
      <c r="PRY184" s="239"/>
      <c r="PRZ184" s="239"/>
      <c r="PSA184" s="239"/>
      <c r="PSB184" s="239"/>
      <c r="PSC184" s="239"/>
      <c r="PSD184" s="239"/>
      <c r="PSE184" s="239"/>
      <c r="PSF184" s="239"/>
      <c r="PSG184" s="239"/>
      <c r="PSH184" s="239"/>
      <c r="PSI184" s="239"/>
      <c r="PSJ184" s="239"/>
      <c r="PSK184" s="239"/>
      <c r="PSL184" s="239"/>
      <c r="PSM184" s="239"/>
      <c r="PSN184" s="239"/>
      <c r="PSO184" s="239"/>
      <c r="PSP184" s="239"/>
      <c r="PSQ184" s="239"/>
      <c r="PSR184" s="239"/>
      <c r="PSS184" s="239"/>
      <c r="PST184" s="239"/>
      <c r="PSU184" s="239"/>
      <c r="PSV184" s="239"/>
      <c r="PSW184" s="239"/>
      <c r="PSX184" s="239"/>
      <c r="PSY184" s="239"/>
      <c r="PSZ184" s="239"/>
      <c r="PTA184" s="239"/>
      <c r="PTB184" s="239"/>
      <c r="PTC184" s="239"/>
      <c r="PTD184" s="239"/>
      <c r="PTE184" s="239"/>
      <c r="PTF184" s="239"/>
      <c r="PTG184" s="239"/>
      <c r="PTH184" s="239"/>
      <c r="PTI184" s="239"/>
      <c r="PTJ184" s="239"/>
      <c r="PTK184" s="239"/>
      <c r="PTL184" s="239"/>
      <c r="PTM184" s="239"/>
      <c r="PTN184" s="239"/>
      <c r="PTO184" s="239"/>
      <c r="PTP184" s="239"/>
      <c r="PTQ184" s="239"/>
      <c r="PTR184" s="239"/>
      <c r="PTS184" s="239"/>
      <c r="PTT184" s="239"/>
      <c r="PTU184" s="239"/>
      <c r="PTV184" s="239"/>
      <c r="PTW184" s="239"/>
      <c r="PTX184" s="239"/>
      <c r="PTY184" s="239"/>
      <c r="PTZ184" s="239"/>
      <c r="PUA184" s="239"/>
      <c r="PUB184" s="239"/>
      <c r="PUC184" s="239"/>
      <c r="PUD184" s="239"/>
      <c r="PUE184" s="239"/>
      <c r="PUF184" s="239"/>
      <c r="PUG184" s="239"/>
      <c r="PUH184" s="239"/>
      <c r="PUI184" s="239"/>
      <c r="PUJ184" s="239"/>
      <c r="PUK184" s="239"/>
      <c r="PUL184" s="239"/>
      <c r="PUM184" s="239"/>
      <c r="PUN184" s="239"/>
      <c r="PUO184" s="239"/>
      <c r="PUP184" s="239"/>
      <c r="PUQ184" s="239"/>
      <c r="PUR184" s="239"/>
      <c r="PUS184" s="239"/>
      <c r="PUT184" s="239"/>
      <c r="PUU184" s="239"/>
      <c r="PUV184" s="239"/>
      <c r="PUW184" s="239"/>
      <c r="PUX184" s="239"/>
      <c r="PUY184" s="239"/>
      <c r="PUZ184" s="239"/>
      <c r="PVA184" s="239"/>
      <c r="PVB184" s="239"/>
      <c r="PVC184" s="239"/>
      <c r="PVD184" s="239"/>
      <c r="PVE184" s="239"/>
      <c r="PVF184" s="239"/>
      <c r="PVG184" s="239"/>
      <c r="PVH184" s="239"/>
      <c r="PVI184" s="239"/>
      <c r="PVJ184" s="239"/>
      <c r="PVK184" s="239"/>
      <c r="PVL184" s="239"/>
      <c r="PVM184" s="239"/>
      <c r="PVN184" s="239"/>
      <c r="PVO184" s="239"/>
      <c r="PVP184" s="239"/>
      <c r="PVQ184" s="239"/>
      <c r="PVR184" s="239"/>
      <c r="PVS184" s="239"/>
      <c r="PVT184" s="239"/>
      <c r="PVU184" s="239"/>
      <c r="PVV184" s="239"/>
      <c r="PVW184" s="239"/>
      <c r="PVX184" s="239"/>
      <c r="PVY184" s="239"/>
      <c r="PVZ184" s="239"/>
      <c r="PWA184" s="239"/>
      <c r="PWB184" s="239"/>
      <c r="PWC184" s="239"/>
      <c r="PWD184" s="239"/>
      <c r="PWE184" s="239"/>
      <c r="PWF184" s="239"/>
      <c r="PWG184" s="239"/>
      <c r="PWH184" s="239"/>
      <c r="PWI184" s="239"/>
      <c r="PWJ184" s="239"/>
      <c r="PWK184" s="239"/>
      <c r="PWL184" s="239"/>
      <c r="PWM184" s="239"/>
      <c r="PWN184" s="239"/>
      <c r="PWO184" s="239"/>
      <c r="PWP184" s="239"/>
      <c r="PWQ184" s="239"/>
      <c r="PWR184" s="239"/>
      <c r="PWS184" s="239"/>
      <c r="PWT184" s="239"/>
      <c r="PWU184" s="239"/>
      <c r="PWV184" s="239"/>
      <c r="PWW184" s="239"/>
      <c r="PWX184" s="239"/>
      <c r="PWY184" s="239"/>
      <c r="PWZ184" s="239"/>
      <c r="PXA184" s="239"/>
      <c r="PXB184" s="239"/>
      <c r="PXC184" s="239"/>
      <c r="PXD184" s="239"/>
      <c r="PXE184" s="239"/>
      <c r="PXF184" s="239"/>
      <c r="PXG184" s="239"/>
      <c r="PXH184" s="239"/>
      <c r="PXI184" s="239"/>
      <c r="PXJ184" s="239"/>
      <c r="PXK184" s="239"/>
      <c r="PXL184" s="239"/>
      <c r="PXM184" s="239"/>
      <c r="PXN184" s="239"/>
      <c r="PXO184" s="239"/>
      <c r="PXP184" s="239"/>
      <c r="PXQ184" s="239"/>
      <c r="PXR184" s="239"/>
      <c r="PXS184" s="239"/>
      <c r="PXT184" s="239"/>
      <c r="PXU184" s="239"/>
      <c r="PXV184" s="239"/>
      <c r="PXW184" s="239"/>
      <c r="PXX184" s="239"/>
      <c r="PXY184" s="239"/>
      <c r="PXZ184" s="239"/>
      <c r="PYA184" s="239"/>
      <c r="PYB184" s="239"/>
      <c r="PYC184" s="239"/>
      <c r="PYD184" s="239"/>
      <c r="PYE184" s="239"/>
      <c r="PYF184" s="239"/>
      <c r="PYG184" s="239"/>
      <c r="PYH184" s="239"/>
      <c r="PYI184" s="239"/>
      <c r="PYJ184" s="239"/>
      <c r="PYK184" s="239"/>
      <c r="PYL184" s="239"/>
      <c r="PYM184" s="239"/>
      <c r="PYN184" s="239"/>
      <c r="PYO184" s="239"/>
      <c r="PYP184" s="239"/>
      <c r="PYQ184" s="239"/>
      <c r="PYR184" s="239"/>
      <c r="PYS184" s="239"/>
      <c r="PYT184" s="239"/>
      <c r="PYU184" s="239"/>
      <c r="PYV184" s="239"/>
      <c r="PYW184" s="239"/>
      <c r="PYX184" s="239"/>
      <c r="PYY184" s="239"/>
      <c r="PYZ184" s="239"/>
      <c r="PZA184" s="239"/>
      <c r="PZB184" s="239"/>
      <c r="PZC184" s="239"/>
      <c r="PZD184" s="239"/>
      <c r="PZE184" s="239"/>
      <c r="PZF184" s="239"/>
      <c r="PZG184" s="239"/>
      <c r="PZH184" s="239"/>
      <c r="PZI184" s="239"/>
      <c r="PZJ184" s="239"/>
      <c r="PZK184" s="239"/>
      <c r="PZL184" s="239"/>
      <c r="PZM184" s="239"/>
      <c r="PZN184" s="239"/>
      <c r="PZO184" s="239"/>
      <c r="PZP184" s="239"/>
      <c r="PZQ184" s="239"/>
      <c r="PZR184" s="239"/>
      <c r="PZS184" s="239"/>
      <c r="PZT184" s="239"/>
      <c r="PZU184" s="239"/>
      <c r="PZV184" s="239"/>
      <c r="PZW184" s="239"/>
      <c r="PZX184" s="239"/>
      <c r="PZY184" s="239"/>
      <c r="PZZ184" s="239"/>
      <c r="QAA184" s="239"/>
      <c r="QAB184" s="239"/>
      <c r="QAC184" s="239"/>
      <c r="QAD184" s="239"/>
      <c r="QAE184" s="239"/>
      <c r="QAF184" s="239"/>
      <c r="QAG184" s="239"/>
      <c r="QAH184" s="239"/>
      <c r="QAI184" s="239"/>
      <c r="QAJ184" s="239"/>
      <c r="QAK184" s="239"/>
      <c r="QAL184" s="239"/>
      <c r="QAM184" s="239"/>
      <c r="QAN184" s="239"/>
      <c r="QAO184" s="239"/>
      <c r="QAP184" s="239"/>
      <c r="QAQ184" s="239"/>
      <c r="QAR184" s="239"/>
      <c r="QAS184" s="239"/>
      <c r="QAT184" s="239"/>
      <c r="QAU184" s="239"/>
      <c r="QAV184" s="239"/>
      <c r="QAW184" s="239"/>
      <c r="QAX184" s="239"/>
      <c r="QAY184" s="239"/>
      <c r="QAZ184" s="239"/>
      <c r="QBA184" s="239"/>
      <c r="QBB184" s="239"/>
      <c r="QBC184" s="239"/>
      <c r="QBD184" s="239"/>
      <c r="QBE184" s="239"/>
      <c r="QBF184" s="239"/>
      <c r="QBG184" s="239"/>
      <c r="QBH184" s="239"/>
      <c r="QBI184" s="239"/>
      <c r="QBJ184" s="239"/>
      <c r="QBK184" s="239"/>
      <c r="QBL184" s="239"/>
      <c r="QBM184" s="239"/>
      <c r="QBN184" s="239"/>
      <c r="QBO184" s="239"/>
      <c r="QBP184" s="239"/>
      <c r="QBQ184" s="239"/>
      <c r="QBR184" s="239"/>
      <c r="QBS184" s="239"/>
      <c r="QBT184" s="239"/>
      <c r="QBU184" s="239"/>
      <c r="QBV184" s="239"/>
      <c r="QBW184" s="239"/>
      <c r="QBX184" s="239"/>
      <c r="QBY184" s="239"/>
      <c r="QBZ184" s="239"/>
      <c r="QCA184" s="239"/>
      <c r="QCB184" s="239"/>
      <c r="QCC184" s="239"/>
      <c r="QCD184" s="239"/>
      <c r="QCE184" s="239"/>
      <c r="QCF184" s="239"/>
      <c r="QCG184" s="239"/>
      <c r="QCH184" s="239"/>
      <c r="QCI184" s="239"/>
      <c r="QCJ184" s="239"/>
      <c r="QCK184" s="239"/>
      <c r="QCL184" s="239"/>
      <c r="QCM184" s="239"/>
      <c r="QCN184" s="239"/>
      <c r="QCO184" s="239"/>
      <c r="QCP184" s="239"/>
      <c r="QCQ184" s="239"/>
      <c r="QCR184" s="239"/>
      <c r="QCS184" s="239"/>
      <c r="QCT184" s="239"/>
      <c r="QCU184" s="239"/>
      <c r="QCV184" s="239"/>
      <c r="QCW184" s="239"/>
      <c r="QCX184" s="239"/>
      <c r="QCY184" s="239"/>
      <c r="QCZ184" s="239"/>
      <c r="QDA184" s="239"/>
      <c r="QDB184" s="239"/>
      <c r="QDC184" s="239"/>
      <c r="QDD184" s="239"/>
      <c r="QDE184" s="239"/>
      <c r="QDF184" s="239"/>
      <c r="QDG184" s="239"/>
      <c r="QDH184" s="239"/>
      <c r="QDI184" s="239"/>
      <c r="QDJ184" s="239"/>
      <c r="QDK184" s="239"/>
      <c r="QDL184" s="239"/>
      <c r="QDM184" s="239"/>
      <c r="QDN184" s="239"/>
      <c r="QDO184" s="239"/>
      <c r="QDP184" s="239"/>
      <c r="QDQ184" s="239"/>
      <c r="QDR184" s="239"/>
      <c r="QDS184" s="239"/>
      <c r="QDT184" s="239"/>
      <c r="QDU184" s="239"/>
      <c r="QDV184" s="239"/>
      <c r="QDW184" s="239"/>
      <c r="QDX184" s="239"/>
      <c r="QDY184" s="239"/>
      <c r="QDZ184" s="239"/>
      <c r="QEA184" s="239"/>
      <c r="QEB184" s="239"/>
      <c r="QEC184" s="239"/>
      <c r="QED184" s="239"/>
      <c r="QEE184" s="239"/>
      <c r="QEF184" s="239"/>
      <c r="QEG184" s="239"/>
      <c r="QEH184" s="239"/>
      <c r="QEI184" s="239"/>
      <c r="QEJ184" s="239"/>
      <c r="QEK184" s="239"/>
      <c r="QEL184" s="239"/>
      <c r="QEM184" s="239"/>
      <c r="QEN184" s="239"/>
      <c r="QEO184" s="239"/>
      <c r="QEP184" s="239"/>
      <c r="QEQ184" s="239"/>
      <c r="QER184" s="239"/>
      <c r="QES184" s="239"/>
      <c r="QET184" s="239"/>
      <c r="QEU184" s="239"/>
      <c r="QEV184" s="239"/>
      <c r="QEW184" s="239"/>
      <c r="QEX184" s="239"/>
      <c r="QEY184" s="239"/>
      <c r="QEZ184" s="239"/>
      <c r="QFA184" s="239"/>
      <c r="QFB184" s="239"/>
      <c r="QFC184" s="239"/>
      <c r="QFD184" s="239"/>
      <c r="QFE184" s="239"/>
      <c r="QFF184" s="239"/>
      <c r="QFG184" s="239"/>
      <c r="QFH184" s="239"/>
      <c r="QFI184" s="239"/>
      <c r="QFJ184" s="239"/>
      <c r="QFK184" s="239"/>
      <c r="QFL184" s="239"/>
      <c r="QFM184" s="239"/>
      <c r="QFN184" s="239"/>
      <c r="QFO184" s="239"/>
      <c r="QFP184" s="239"/>
      <c r="QFQ184" s="239"/>
      <c r="QFR184" s="239"/>
      <c r="QFS184" s="239"/>
      <c r="QFT184" s="239"/>
      <c r="QFU184" s="239"/>
      <c r="QFV184" s="239"/>
      <c r="QFW184" s="239"/>
      <c r="QFX184" s="239"/>
      <c r="QFY184" s="239"/>
      <c r="QFZ184" s="239"/>
      <c r="QGA184" s="239"/>
      <c r="QGB184" s="239"/>
      <c r="QGC184" s="239"/>
      <c r="QGD184" s="239"/>
      <c r="QGE184" s="239"/>
      <c r="QGF184" s="239"/>
      <c r="QGG184" s="239"/>
      <c r="QGH184" s="239"/>
      <c r="QGI184" s="239"/>
      <c r="QGJ184" s="239"/>
      <c r="QGK184" s="239"/>
      <c r="QGL184" s="239"/>
      <c r="QGM184" s="239"/>
      <c r="QGN184" s="239"/>
      <c r="QGO184" s="239"/>
      <c r="QGP184" s="239"/>
      <c r="QGQ184" s="239"/>
      <c r="QGR184" s="239"/>
      <c r="QGS184" s="239"/>
      <c r="QGT184" s="239"/>
      <c r="QGU184" s="239"/>
      <c r="QGV184" s="239"/>
      <c r="QGW184" s="239"/>
      <c r="QGX184" s="239"/>
      <c r="QGY184" s="239"/>
      <c r="QGZ184" s="239"/>
      <c r="QHA184" s="239"/>
      <c r="QHB184" s="239"/>
      <c r="QHC184" s="239"/>
      <c r="QHD184" s="239"/>
      <c r="QHE184" s="239"/>
      <c r="QHF184" s="239"/>
      <c r="QHG184" s="239"/>
      <c r="QHH184" s="239"/>
      <c r="QHI184" s="239"/>
      <c r="QHJ184" s="239"/>
      <c r="QHK184" s="239"/>
      <c r="QHL184" s="239"/>
      <c r="QHM184" s="239"/>
      <c r="QHN184" s="239"/>
      <c r="QHO184" s="239"/>
      <c r="QHP184" s="239"/>
      <c r="QHQ184" s="239"/>
      <c r="QHR184" s="239"/>
      <c r="QHS184" s="239"/>
      <c r="QHT184" s="239"/>
      <c r="QHU184" s="239"/>
      <c r="QHV184" s="239"/>
      <c r="QHW184" s="239"/>
      <c r="QHX184" s="239"/>
      <c r="QHY184" s="239"/>
      <c r="QHZ184" s="239"/>
      <c r="QIA184" s="239"/>
      <c r="QIB184" s="239"/>
      <c r="QIC184" s="239"/>
      <c r="QID184" s="239"/>
      <c r="QIE184" s="239"/>
      <c r="QIF184" s="239"/>
      <c r="QIG184" s="239"/>
      <c r="QIH184" s="239"/>
      <c r="QII184" s="239"/>
      <c r="QIJ184" s="239"/>
      <c r="QIK184" s="239"/>
      <c r="QIL184" s="239"/>
      <c r="QIM184" s="239"/>
      <c r="QIN184" s="239"/>
      <c r="QIO184" s="239"/>
      <c r="QIP184" s="239"/>
      <c r="QIQ184" s="239"/>
      <c r="QIR184" s="239"/>
      <c r="QIS184" s="239"/>
      <c r="QIT184" s="239"/>
      <c r="QIU184" s="239"/>
      <c r="QIV184" s="239"/>
      <c r="QIW184" s="239"/>
      <c r="QIX184" s="239"/>
      <c r="QIY184" s="239"/>
      <c r="QIZ184" s="239"/>
      <c r="QJA184" s="239"/>
      <c r="QJB184" s="239"/>
      <c r="QJC184" s="239"/>
      <c r="QJD184" s="239"/>
      <c r="QJE184" s="239"/>
      <c r="QJF184" s="239"/>
      <c r="QJG184" s="239"/>
      <c r="QJH184" s="239"/>
      <c r="QJI184" s="239"/>
      <c r="QJJ184" s="239"/>
      <c r="QJK184" s="239"/>
      <c r="QJL184" s="239"/>
      <c r="QJM184" s="239"/>
      <c r="QJN184" s="239"/>
      <c r="QJO184" s="239"/>
      <c r="QJP184" s="239"/>
      <c r="QJQ184" s="239"/>
      <c r="QJR184" s="239"/>
      <c r="QJS184" s="239"/>
      <c r="QJT184" s="239"/>
      <c r="QJU184" s="239"/>
      <c r="QJV184" s="239"/>
      <c r="QJW184" s="239"/>
      <c r="QJX184" s="239"/>
      <c r="QJY184" s="239"/>
      <c r="QJZ184" s="239"/>
      <c r="QKA184" s="239"/>
      <c r="QKB184" s="239"/>
      <c r="QKC184" s="239"/>
      <c r="QKD184" s="239"/>
      <c r="QKE184" s="239"/>
      <c r="QKF184" s="239"/>
      <c r="QKG184" s="239"/>
      <c r="QKH184" s="239"/>
      <c r="QKI184" s="239"/>
      <c r="QKJ184" s="239"/>
      <c r="QKK184" s="239"/>
      <c r="QKL184" s="239"/>
      <c r="QKM184" s="239"/>
      <c r="QKN184" s="239"/>
      <c r="QKO184" s="239"/>
      <c r="QKP184" s="239"/>
      <c r="QKQ184" s="239"/>
      <c r="QKR184" s="239"/>
      <c r="QKS184" s="239"/>
      <c r="QKT184" s="239"/>
      <c r="QKU184" s="239"/>
      <c r="QKV184" s="239"/>
      <c r="QKW184" s="239"/>
      <c r="QKX184" s="239"/>
      <c r="QKY184" s="239"/>
      <c r="QKZ184" s="239"/>
      <c r="QLA184" s="239"/>
      <c r="QLB184" s="239"/>
      <c r="QLC184" s="239"/>
      <c r="QLD184" s="239"/>
      <c r="QLE184" s="239"/>
      <c r="QLF184" s="239"/>
      <c r="QLG184" s="239"/>
      <c r="QLH184" s="239"/>
      <c r="QLI184" s="239"/>
      <c r="QLJ184" s="239"/>
      <c r="QLK184" s="239"/>
      <c r="QLL184" s="239"/>
      <c r="QLM184" s="239"/>
      <c r="QLN184" s="239"/>
      <c r="QLO184" s="239"/>
      <c r="QLP184" s="239"/>
      <c r="QLQ184" s="239"/>
      <c r="QLR184" s="239"/>
      <c r="QLS184" s="239"/>
      <c r="QLT184" s="239"/>
      <c r="QLU184" s="239"/>
      <c r="QLV184" s="239"/>
      <c r="QLW184" s="239"/>
      <c r="QLX184" s="239"/>
      <c r="QLY184" s="239"/>
      <c r="QLZ184" s="239"/>
      <c r="QMA184" s="239"/>
      <c r="QMB184" s="239"/>
      <c r="QMC184" s="239"/>
      <c r="QMD184" s="239"/>
      <c r="QME184" s="239"/>
      <c r="QMF184" s="239"/>
      <c r="QMG184" s="239"/>
      <c r="QMH184" s="239"/>
      <c r="QMI184" s="239"/>
      <c r="QMJ184" s="239"/>
      <c r="QMK184" s="239"/>
      <c r="QML184" s="239"/>
      <c r="QMM184" s="239"/>
      <c r="QMN184" s="239"/>
      <c r="QMO184" s="239"/>
      <c r="QMP184" s="239"/>
      <c r="QMQ184" s="239"/>
      <c r="QMR184" s="239"/>
      <c r="QMS184" s="239"/>
      <c r="QMT184" s="239"/>
      <c r="QMU184" s="239"/>
      <c r="QMV184" s="239"/>
      <c r="QMW184" s="239"/>
      <c r="QMX184" s="239"/>
      <c r="QMY184" s="239"/>
      <c r="QMZ184" s="239"/>
      <c r="QNA184" s="239"/>
      <c r="QNB184" s="239"/>
      <c r="QNC184" s="239"/>
      <c r="QND184" s="239"/>
      <c r="QNE184" s="239"/>
      <c r="QNF184" s="239"/>
      <c r="QNG184" s="239"/>
      <c r="QNH184" s="239"/>
      <c r="QNI184" s="239"/>
      <c r="QNJ184" s="239"/>
      <c r="QNK184" s="239"/>
      <c r="QNL184" s="239"/>
      <c r="QNM184" s="239"/>
      <c r="QNN184" s="239"/>
      <c r="QNO184" s="239"/>
      <c r="QNP184" s="239"/>
      <c r="QNQ184" s="239"/>
      <c r="QNR184" s="239"/>
      <c r="QNS184" s="239"/>
      <c r="QNT184" s="239"/>
      <c r="QNU184" s="239"/>
      <c r="QNV184" s="239"/>
      <c r="QNW184" s="239"/>
      <c r="QNX184" s="239"/>
      <c r="QNY184" s="239"/>
      <c r="QNZ184" s="239"/>
      <c r="QOA184" s="239"/>
      <c r="QOB184" s="239"/>
      <c r="QOC184" s="239"/>
      <c r="QOD184" s="239"/>
      <c r="QOE184" s="239"/>
      <c r="QOF184" s="239"/>
      <c r="QOG184" s="239"/>
      <c r="QOH184" s="239"/>
      <c r="QOI184" s="239"/>
      <c r="QOJ184" s="239"/>
      <c r="QOK184" s="239"/>
      <c r="QOL184" s="239"/>
      <c r="QOM184" s="239"/>
      <c r="QON184" s="239"/>
      <c r="QOO184" s="239"/>
      <c r="QOP184" s="239"/>
      <c r="QOQ184" s="239"/>
      <c r="QOR184" s="239"/>
      <c r="QOS184" s="239"/>
      <c r="QOT184" s="239"/>
      <c r="QOU184" s="239"/>
      <c r="QOV184" s="239"/>
      <c r="QOW184" s="239"/>
      <c r="QOX184" s="239"/>
      <c r="QOY184" s="239"/>
      <c r="QOZ184" s="239"/>
      <c r="QPA184" s="239"/>
      <c r="QPB184" s="239"/>
      <c r="QPC184" s="239"/>
      <c r="QPD184" s="239"/>
      <c r="QPE184" s="239"/>
      <c r="QPF184" s="239"/>
      <c r="QPG184" s="239"/>
      <c r="QPH184" s="239"/>
      <c r="QPI184" s="239"/>
      <c r="QPJ184" s="239"/>
      <c r="QPK184" s="239"/>
      <c r="QPL184" s="239"/>
      <c r="QPM184" s="239"/>
      <c r="QPN184" s="239"/>
      <c r="QPO184" s="239"/>
      <c r="QPP184" s="239"/>
      <c r="QPQ184" s="239"/>
      <c r="QPR184" s="239"/>
      <c r="QPS184" s="239"/>
      <c r="QPT184" s="239"/>
      <c r="QPU184" s="239"/>
      <c r="QPV184" s="239"/>
      <c r="QPW184" s="239"/>
      <c r="QPX184" s="239"/>
      <c r="QPY184" s="239"/>
      <c r="QPZ184" s="239"/>
      <c r="QQA184" s="239"/>
      <c r="QQB184" s="239"/>
      <c r="QQC184" s="239"/>
      <c r="QQD184" s="239"/>
      <c r="QQE184" s="239"/>
      <c r="QQF184" s="239"/>
      <c r="QQG184" s="239"/>
      <c r="QQH184" s="239"/>
      <c r="QQI184" s="239"/>
      <c r="QQJ184" s="239"/>
      <c r="QQK184" s="239"/>
      <c r="QQL184" s="239"/>
      <c r="QQM184" s="239"/>
      <c r="QQN184" s="239"/>
      <c r="QQO184" s="239"/>
      <c r="QQP184" s="239"/>
      <c r="QQQ184" s="239"/>
      <c r="QQR184" s="239"/>
      <c r="QQS184" s="239"/>
      <c r="QQT184" s="239"/>
      <c r="QQU184" s="239"/>
      <c r="QQV184" s="239"/>
      <c r="QQW184" s="239"/>
      <c r="QQX184" s="239"/>
      <c r="QQY184" s="239"/>
      <c r="QQZ184" s="239"/>
      <c r="QRA184" s="239"/>
      <c r="QRB184" s="239"/>
      <c r="QRC184" s="239"/>
      <c r="QRD184" s="239"/>
      <c r="QRE184" s="239"/>
      <c r="QRF184" s="239"/>
      <c r="QRG184" s="239"/>
      <c r="QRH184" s="239"/>
      <c r="QRI184" s="239"/>
      <c r="QRJ184" s="239"/>
      <c r="QRK184" s="239"/>
      <c r="QRL184" s="239"/>
      <c r="QRM184" s="239"/>
      <c r="QRN184" s="239"/>
      <c r="QRO184" s="239"/>
      <c r="QRP184" s="239"/>
      <c r="QRQ184" s="239"/>
      <c r="QRR184" s="239"/>
      <c r="QRS184" s="239"/>
      <c r="QRT184" s="239"/>
      <c r="QRU184" s="239"/>
      <c r="QRV184" s="239"/>
      <c r="QRW184" s="239"/>
      <c r="QRX184" s="239"/>
      <c r="QRY184" s="239"/>
      <c r="QRZ184" s="239"/>
      <c r="QSA184" s="239"/>
      <c r="QSB184" s="239"/>
      <c r="QSC184" s="239"/>
      <c r="QSD184" s="239"/>
      <c r="QSE184" s="239"/>
      <c r="QSF184" s="239"/>
      <c r="QSG184" s="239"/>
      <c r="QSH184" s="239"/>
      <c r="QSI184" s="239"/>
      <c r="QSJ184" s="239"/>
      <c r="QSK184" s="239"/>
      <c r="QSL184" s="239"/>
      <c r="QSM184" s="239"/>
      <c r="QSN184" s="239"/>
      <c r="QSO184" s="239"/>
      <c r="QSP184" s="239"/>
      <c r="QSQ184" s="239"/>
      <c r="QSR184" s="239"/>
      <c r="QSS184" s="239"/>
      <c r="QST184" s="239"/>
      <c r="QSU184" s="239"/>
      <c r="QSV184" s="239"/>
      <c r="QSW184" s="239"/>
      <c r="QSX184" s="239"/>
      <c r="QSY184" s="239"/>
      <c r="QSZ184" s="239"/>
      <c r="QTA184" s="239"/>
      <c r="QTB184" s="239"/>
      <c r="QTC184" s="239"/>
      <c r="QTD184" s="239"/>
      <c r="QTE184" s="239"/>
      <c r="QTF184" s="239"/>
      <c r="QTG184" s="239"/>
      <c r="QTH184" s="239"/>
      <c r="QTI184" s="239"/>
      <c r="QTJ184" s="239"/>
      <c r="QTK184" s="239"/>
      <c r="QTL184" s="239"/>
      <c r="QTM184" s="239"/>
      <c r="QTN184" s="239"/>
      <c r="QTO184" s="239"/>
      <c r="QTP184" s="239"/>
      <c r="QTQ184" s="239"/>
      <c r="QTR184" s="239"/>
      <c r="QTS184" s="239"/>
      <c r="QTT184" s="239"/>
      <c r="QTU184" s="239"/>
      <c r="QTV184" s="239"/>
      <c r="QTW184" s="239"/>
      <c r="QTX184" s="239"/>
      <c r="QTY184" s="239"/>
      <c r="QTZ184" s="239"/>
      <c r="QUA184" s="239"/>
      <c r="QUB184" s="239"/>
      <c r="QUC184" s="239"/>
      <c r="QUD184" s="239"/>
      <c r="QUE184" s="239"/>
      <c r="QUF184" s="239"/>
      <c r="QUG184" s="239"/>
      <c r="QUH184" s="239"/>
      <c r="QUI184" s="239"/>
      <c r="QUJ184" s="239"/>
      <c r="QUK184" s="239"/>
      <c r="QUL184" s="239"/>
      <c r="QUM184" s="239"/>
      <c r="QUN184" s="239"/>
      <c r="QUO184" s="239"/>
      <c r="QUP184" s="239"/>
      <c r="QUQ184" s="239"/>
      <c r="QUR184" s="239"/>
      <c r="QUS184" s="239"/>
      <c r="QUT184" s="239"/>
      <c r="QUU184" s="239"/>
      <c r="QUV184" s="239"/>
      <c r="QUW184" s="239"/>
      <c r="QUX184" s="239"/>
      <c r="QUY184" s="239"/>
      <c r="QUZ184" s="239"/>
      <c r="QVA184" s="239"/>
      <c r="QVB184" s="239"/>
      <c r="QVC184" s="239"/>
      <c r="QVD184" s="239"/>
      <c r="QVE184" s="239"/>
      <c r="QVF184" s="239"/>
      <c r="QVG184" s="239"/>
      <c r="QVH184" s="239"/>
      <c r="QVI184" s="239"/>
      <c r="QVJ184" s="239"/>
      <c r="QVK184" s="239"/>
      <c r="QVL184" s="239"/>
      <c r="QVM184" s="239"/>
      <c r="QVN184" s="239"/>
      <c r="QVO184" s="239"/>
      <c r="QVP184" s="239"/>
      <c r="QVQ184" s="239"/>
      <c r="QVR184" s="239"/>
      <c r="QVS184" s="239"/>
      <c r="QVT184" s="239"/>
      <c r="QVU184" s="239"/>
      <c r="QVV184" s="239"/>
      <c r="QVW184" s="239"/>
      <c r="QVX184" s="239"/>
      <c r="QVY184" s="239"/>
      <c r="QVZ184" s="239"/>
      <c r="QWA184" s="239"/>
      <c r="QWB184" s="239"/>
      <c r="QWC184" s="239"/>
      <c r="QWD184" s="239"/>
      <c r="QWE184" s="239"/>
      <c r="QWF184" s="239"/>
      <c r="QWG184" s="239"/>
      <c r="QWH184" s="239"/>
      <c r="QWI184" s="239"/>
      <c r="QWJ184" s="239"/>
      <c r="QWK184" s="239"/>
      <c r="QWL184" s="239"/>
      <c r="QWM184" s="239"/>
      <c r="QWN184" s="239"/>
      <c r="QWO184" s="239"/>
      <c r="QWP184" s="239"/>
      <c r="QWQ184" s="239"/>
      <c r="QWR184" s="239"/>
      <c r="QWS184" s="239"/>
      <c r="QWT184" s="239"/>
      <c r="QWU184" s="239"/>
      <c r="QWV184" s="239"/>
      <c r="QWW184" s="239"/>
      <c r="QWX184" s="239"/>
      <c r="QWY184" s="239"/>
      <c r="QWZ184" s="239"/>
      <c r="QXA184" s="239"/>
      <c r="QXB184" s="239"/>
      <c r="QXC184" s="239"/>
      <c r="QXD184" s="239"/>
      <c r="QXE184" s="239"/>
      <c r="QXF184" s="239"/>
      <c r="QXG184" s="239"/>
      <c r="QXH184" s="239"/>
      <c r="QXI184" s="239"/>
      <c r="QXJ184" s="239"/>
      <c r="QXK184" s="239"/>
      <c r="QXL184" s="239"/>
      <c r="QXM184" s="239"/>
      <c r="QXN184" s="239"/>
      <c r="QXO184" s="239"/>
      <c r="QXP184" s="239"/>
      <c r="QXQ184" s="239"/>
      <c r="QXR184" s="239"/>
      <c r="QXS184" s="239"/>
      <c r="QXT184" s="239"/>
      <c r="QXU184" s="239"/>
      <c r="QXV184" s="239"/>
      <c r="QXW184" s="239"/>
      <c r="QXX184" s="239"/>
      <c r="QXY184" s="239"/>
      <c r="QXZ184" s="239"/>
      <c r="QYA184" s="239"/>
      <c r="QYB184" s="239"/>
      <c r="QYC184" s="239"/>
      <c r="QYD184" s="239"/>
      <c r="QYE184" s="239"/>
      <c r="QYF184" s="239"/>
      <c r="QYG184" s="239"/>
      <c r="QYH184" s="239"/>
      <c r="QYI184" s="239"/>
      <c r="QYJ184" s="239"/>
      <c r="QYK184" s="239"/>
      <c r="QYL184" s="239"/>
      <c r="QYM184" s="239"/>
      <c r="QYN184" s="239"/>
      <c r="QYO184" s="239"/>
      <c r="QYP184" s="239"/>
      <c r="QYQ184" s="239"/>
      <c r="QYR184" s="239"/>
      <c r="QYS184" s="239"/>
      <c r="QYT184" s="239"/>
      <c r="QYU184" s="239"/>
      <c r="QYV184" s="239"/>
      <c r="QYW184" s="239"/>
      <c r="QYX184" s="239"/>
      <c r="QYY184" s="239"/>
      <c r="QYZ184" s="239"/>
      <c r="QZA184" s="239"/>
      <c r="QZB184" s="239"/>
      <c r="QZC184" s="239"/>
      <c r="QZD184" s="239"/>
      <c r="QZE184" s="239"/>
      <c r="QZF184" s="239"/>
      <c r="QZG184" s="239"/>
      <c r="QZH184" s="239"/>
      <c r="QZI184" s="239"/>
      <c r="QZJ184" s="239"/>
      <c r="QZK184" s="239"/>
      <c r="QZL184" s="239"/>
      <c r="QZM184" s="239"/>
      <c r="QZN184" s="239"/>
      <c r="QZO184" s="239"/>
      <c r="QZP184" s="239"/>
      <c r="QZQ184" s="239"/>
      <c r="QZR184" s="239"/>
      <c r="QZS184" s="239"/>
      <c r="QZT184" s="239"/>
      <c r="QZU184" s="239"/>
      <c r="QZV184" s="239"/>
      <c r="QZW184" s="239"/>
      <c r="QZX184" s="239"/>
      <c r="QZY184" s="239"/>
      <c r="QZZ184" s="239"/>
      <c r="RAA184" s="239"/>
      <c r="RAB184" s="239"/>
      <c r="RAC184" s="239"/>
      <c r="RAD184" s="239"/>
      <c r="RAE184" s="239"/>
      <c r="RAF184" s="239"/>
      <c r="RAG184" s="239"/>
      <c r="RAH184" s="239"/>
      <c r="RAI184" s="239"/>
      <c r="RAJ184" s="239"/>
      <c r="RAK184" s="239"/>
      <c r="RAL184" s="239"/>
      <c r="RAM184" s="239"/>
      <c r="RAN184" s="239"/>
      <c r="RAO184" s="239"/>
      <c r="RAP184" s="239"/>
      <c r="RAQ184" s="239"/>
      <c r="RAR184" s="239"/>
      <c r="RAS184" s="239"/>
      <c r="RAT184" s="239"/>
      <c r="RAU184" s="239"/>
      <c r="RAV184" s="239"/>
      <c r="RAW184" s="239"/>
      <c r="RAX184" s="239"/>
      <c r="RAY184" s="239"/>
      <c r="RAZ184" s="239"/>
      <c r="RBA184" s="239"/>
      <c r="RBB184" s="239"/>
      <c r="RBC184" s="239"/>
      <c r="RBD184" s="239"/>
      <c r="RBE184" s="239"/>
      <c r="RBF184" s="239"/>
      <c r="RBG184" s="239"/>
      <c r="RBH184" s="239"/>
      <c r="RBI184" s="239"/>
      <c r="RBJ184" s="239"/>
      <c r="RBK184" s="239"/>
      <c r="RBL184" s="239"/>
      <c r="RBM184" s="239"/>
      <c r="RBN184" s="239"/>
      <c r="RBO184" s="239"/>
      <c r="RBP184" s="239"/>
      <c r="RBQ184" s="239"/>
      <c r="RBR184" s="239"/>
      <c r="RBS184" s="239"/>
      <c r="RBT184" s="239"/>
      <c r="RBU184" s="239"/>
      <c r="RBV184" s="239"/>
      <c r="RBW184" s="239"/>
      <c r="RBX184" s="239"/>
      <c r="RBY184" s="239"/>
      <c r="RBZ184" s="239"/>
      <c r="RCA184" s="239"/>
      <c r="RCB184" s="239"/>
      <c r="RCC184" s="239"/>
      <c r="RCD184" s="239"/>
      <c r="RCE184" s="239"/>
      <c r="RCF184" s="239"/>
      <c r="RCG184" s="239"/>
      <c r="RCH184" s="239"/>
      <c r="RCI184" s="239"/>
      <c r="RCJ184" s="239"/>
      <c r="RCK184" s="239"/>
      <c r="RCL184" s="239"/>
      <c r="RCM184" s="239"/>
      <c r="RCN184" s="239"/>
      <c r="RCO184" s="239"/>
      <c r="RCP184" s="239"/>
      <c r="RCQ184" s="239"/>
      <c r="RCR184" s="239"/>
      <c r="RCS184" s="239"/>
      <c r="RCT184" s="239"/>
      <c r="RCU184" s="239"/>
      <c r="RCV184" s="239"/>
      <c r="RCW184" s="239"/>
      <c r="RCX184" s="239"/>
      <c r="RCY184" s="239"/>
      <c r="RCZ184" s="239"/>
      <c r="RDA184" s="239"/>
      <c r="RDB184" s="239"/>
      <c r="RDC184" s="239"/>
      <c r="RDD184" s="239"/>
      <c r="RDE184" s="239"/>
      <c r="RDF184" s="239"/>
      <c r="RDG184" s="239"/>
      <c r="RDH184" s="239"/>
      <c r="RDI184" s="239"/>
      <c r="RDJ184" s="239"/>
      <c r="RDK184" s="239"/>
      <c r="RDL184" s="239"/>
      <c r="RDM184" s="239"/>
      <c r="RDN184" s="239"/>
      <c r="RDO184" s="239"/>
      <c r="RDP184" s="239"/>
      <c r="RDQ184" s="239"/>
      <c r="RDR184" s="239"/>
      <c r="RDS184" s="239"/>
      <c r="RDT184" s="239"/>
      <c r="RDU184" s="239"/>
      <c r="RDV184" s="239"/>
      <c r="RDW184" s="239"/>
      <c r="RDX184" s="239"/>
      <c r="RDY184" s="239"/>
      <c r="RDZ184" s="239"/>
      <c r="REA184" s="239"/>
      <c r="REB184" s="239"/>
      <c r="REC184" s="239"/>
      <c r="RED184" s="239"/>
      <c r="REE184" s="239"/>
      <c r="REF184" s="239"/>
      <c r="REG184" s="239"/>
      <c r="REH184" s="239"/>
      <c r="REI184" s="239"/>
      <c r="REJ184" s="239"/>
      <c r="REK184" s="239"/>
      <c r="REL184" s="239"/>
      <c r="REM184" s="239"/>
      <c r="REN184" s="239"/>
      <c r="REO184" s="239"/>
      <c r="REP184" s="239"/>
      <c r="REQ184" s="239"/>
      <c r="RER184" s="239"/>
      <c r="RES184" s="239"/>
      <c r="RET184" s="239"/>
      <c r="REU184" s="239"/>
      <c r="REV184" s="239"/>
      <c r="REW184" s="239"/>
      <c r="REX184" s="239"/>
      <c r="REY184" s="239"/>
      <c r="REZ184" s="239"/>
      <c r="RFA184" s="239"/>
      <c r="RFB184" s="239"/>
      <c r="RFC184" s="239"/>
      <c r="RFD184" s="239"/>
      <c r="RFE184" s="239"/>
      <c r="RFF184" s="239"/>
      <c r="RFG184" s="239"/>
      <c r="RFH184" s="239"/>
      <c r="RFI184" s="239"/>
      <c r="RFJ184" s="239"/>
      <c r="RFK184" s="239"/>
      <c r="RFL184" s="239"/>
      <c r="RFM184" s="239"/>
      <c r="RFN184" s="239"/>
      <c r="RFO184" s="239"/>
      <c r="RFP184" s="239"/>
      <c r="RFQ184" s="239"/>
      <c r="RFR184" s="239"/>
      <c r="RFS184" s="239"/>
      <c r="RFT184" s="239"/>
      <c r="RFU184" s="239"/>
      <c r="RFV184" s="239"/>
      <c r="RFW184" s="239"/>
      <c r="RFX184" s="239"/>
      <c r="RFY184" s="239"/>
      <c r="RFZ184" s="239"/>
      <c r="RGA184" s="239"/>
      <c r="RGB184" s="239"/>
      <c r="RGC184" s="239"/>
      <c r="RGD184" s="239"/>
      <c r="RGE184" s="239"/>
      <c r="RGF184" s="239"/>
      <c r="RGG184" s="239"/>
      <c r="RGH184" s="239"/>
      <c r="RGI184" s="239"/>
      <c r="RGJ184" s="239"/>
      <c r="RGK184" s="239"/>
      <c r="RGL184" s="239"/>
      <c r="RGM184" s="239"/>
      <c r="RGN184" s="239"/>
      <c r="RGO184" s="239"/>
      <c r="RGP184" s="239"/>
      <c r="RGQ184" s="239"/>
      <c r="RGR184" s="239"/>
      <c r="RGS184" s="239"/>
      <c r="RGT184" s="239"/>
      <c r="RGU184" s="239"/>
      <c r="RGV184" s="239"/>
      <c r="RGW184" s="239"/>
      <c r="RGX184" s="239"/>
      <c r="RGY184" s="239"/>
      <c r="RGZ184" s="239"/>
      <c r="RHA184" s="239"/>
      <c r="RHB184" s="239"/>
      <c r="RHC184" s="239"/>
      <c r="RHD184" s="239"/>
      <c r="RHE184" s="239"/>
      <c r="RHF184" s="239"/>
      <c r="RHG184" s="239"/>
      <c r="RHH184" s="239"/>
      <c r="RHI184" s="239"/>
      <c r="RHJ184" s="239"/>
      <c r="RHK184" s="239"/>
      <c r="RHL184" s="239"/>
      <c r="RHM184" s="239"/>
      <c r="RHN184" s="239"/>
      <c r="RHO184" s="239"/>
      <c r="RHP184" s="239"/>
      <c r="RHQ184" s="239"/>
      <c r="RHR184" s="239"/>
      <c r="RHS184" s="239"/>
      <c r="RHT184" s="239"/>
      <c r="RHU184" s="239"/>
      <c r="RHV184" s="239"/>
      <c r="RHW184" s="239"/>
      <c r="RHX184" s="239"/>
      <c r="RHY184" s="239"/>
      <c r="RHZ184" s="239"/>
      <c r="RIA184" s="239"/>
      <c r="RIB184" s="239"/>
      <c r="RIC184" s="239"/>
      <c r="RID184" s="239"/>
      <c r="RIE184" s="239"/>
      <c r="RIF184" s="239"/>
      <c r="RIG184" s="239"/>
      <c r="RIH184" s="239"/>
      <c r="RII184" s="239"/>
      <c r="RIJ184" s="239"/>
      <c r="RIK184" s="239"/>
      <c r="RIL184" s="239"/>
      <c r="RIM184" s="239"/>
      <c r="RIN184" s="239"/>
      <c r="RIO184" s="239"/>
      <c r="RIP184" s="239"/>
      <c r="RIQ184" s="239"/>
      <c r="RIR184" s="239"/>
      <c r="RIS184" s="239"/>
      <c r="RIT184" s="239"/>
      <c r="RIU184" s="239"/>
      <c r="RIV184" s="239"/>
      <c r="RIW184" s="239"/>
      <c r="RIX184" s="239"/>
      <c r="RIY184" s="239"/>
      <c r="RIZ184" s="239"/>
      <c r="RJA184" s="239"/>
      <c r="RJB184" s="239"/>
      <c r="RJC184" s="239"/>
      <c r="RJD184" s="239"/>
      <c r="RJE184" s="239"/>
      <c r="RJF184" s="239"/>
      <c r="RJG184" s="239"/>
      <c r="RJH184" s="239"/>
      <c r="RJI184" s="239"/>
      <c r="RJJ184" s="239"/>
      <c r="RJK184" s="239"/>
      <c r="RJL184" s="239"/>
      <c r="RJM184" s="239"/>
      <c r="RJN184" s="239"/>
      <c r="RJO184" s="239"/>
      <c r="RJP184" s="239"/>
      <c r="RJQ184" s="239"/>
      <c r="RJR184" s="239"/>
      <c r="RJS184" s="239"/>
      <c r="RJT184" s="239"/>
      <c r="RJU184" s="239"/>
      <c r="RJV184" s="239"/>
      <c r="RJW184" s="239"/>
      <c r="RJX184" s="239"/>
      <c r="RJY184" s="239"/>
      <c r="RJZ184" s="239"/>
      <c r="RKA184" s="239"/>
      <c r="RKB184" s="239"/>
      <c r="RKC184" s="239"/>
      <c r="RKD184" s="239"/>
      <c r="RKE184" s="239"/>
      <c r="RKF184" s="239"/>
      <c r="RKG184" s="239"/>
      <c r="RKH184" s="239"/>
      <c r="RKI184" s="239"/>
      <c r="RKJ184" s="239"/>
      <c r="RKK184" s="239"/>
      <c r="RKL184" s="239"/>
      <c r="RKM184" s="239"/>
      <c r="RKN184" s="239"/>
      <c r="RKO184" s="239"/>
      <c r="RKP184" s="239"/>
      <c r="RKQ184" s="239"/>
      <c r="RKR184" s="239"/>
      <c r="RKS184" s="239"/>
      <c r="RKT184" s="239"/>
      <c r="RKU184" s="239"/>
      <c r="RKV184" s="239"/>
      <c r="RKW184" s="239"/>
      <c r="RKX184" s="239"/>
      <c r="RKY184" s="239"/>
      <c r="RKZ184" s="239"/>
      <c r="RLA184" s="239"/>
      <c r="RLB184" s="239"/>
      <c r="RLC184" s="239"/>
      <c r="RLD184" s="239"/>
      <c r="RLE184" s="239"/>
      <c r="RLF184" s="239"/>
      <c r="RLG184" s="239"/>
      <c r="RLH184" s="239"/>
      <c r="RLI184" s="239"/>
      <c r="RLJ184" s="239"/>
      <c r="RLK184" s="239"/>
      <c r="RLL184" s="239"/>
      <c r="RLM184" s="239"/>
      <c r="RLN184" s="239"/>
      <c r="RLO184" s="239"/>
      <c r="RLP184" s="239"/>
      <c r="RLQ184" s="239"/>
      <c r="RLR184" s="239"/>
      <c r="RLS184" s="239"/>
      <c r="RLT184" s="239"/>
      <c r="RLU184" s="239"/>
      <c r="RLV184" s="239"/>
      <c r="RLW184" s="239"/>
      <c r="RLX184" s="239"/>
      <c r="RLY184" s="239"/>
      <c r="RLZ184" s="239"/>
      <c r="RMA184" s="239"/>
      <c r="RMB184" s="239"/>
      <c r="RMC184" s="239"/>
      <c r="RMD184" s="239"/>
      <c r="RME184" s="239"/>
      <c r="RMF184" s="239"/>
      <c r="RMG184" s="239"/>
      <c r="RMH184" s="239"/>
      <c r="RMI184" s="239"/>
      <c r="RMJ184" s="239"/>
      <c r="RMK184" s="239"/>
      <c r="RML184" s="239"/>
      <c r="RMM184" s="239"/>
      <c r="RMN184" s="239"/>
      <c r="RMO184" s="239"/>
      <c r="RMP184" s="239"/>
      <c r="RMQ184" s="239"/>
      <c r="RMR184" s="239"/>
      <c r="RMS184" s="239"/>
      <c r="RMT184" s="239"/>
      <c r="RMU184" s="239"/>
      <c r="RMV184" s="239"/>
      <c r="RMW184" s="239"/>
      <c r="RMX184" s="239"/>
      <c r="RMY184" s="239"/>
      <c r="RMZ184" s="239"/>
      <c r="RNA184" s="239"/>
      <c r="RNB184" s="239"/>
      <c r="RNC184" s="239"/>
      <c r="RND184" s="239"/>
      <c r="RNE184" s="239"/>
      <c r="RNF184" s="239"/>
      <c r="RNG184" s="239"/>
      <c r="RNH184" s="239"/>
      <c r="RNI184" s="239"/>
      <c r="RNJ184" s="239"/>
      <c r="RNK184" s="239"/>
      <c r="RNL184" s="239"/>
      <c r="RNM184" s="239"/>
      <c r="RNN184" s="239"/>
      <c r="RNO184" s="239"/>
      <c r="RNP184" s="239"/>
      <c r="RNQ184" s="239"/>
      <c r="RNR184" s="239"/>
      <c r="RNS184" s="239"/>
      <c r="RNT184" s="239"/>
      <c r="RNU184" s="239"/>
      <c r="RNV184" s="239"/>
      <c r="RNW184" s="239"/>
      <c r="RNX184" s="239"/>
      <c r="RNY184" s="239"/>
      <c r="RNZ184" s="239"/>
      <c r="ROA184" s="239"/>
      <c r="ROB184" s="239"/>
      <c r="ROC184" s="239"/>
      <c r="ROD184" s="239"/>
      <c r="ROE184" s="239"/>
      <c r="ROF184" s="239"/>
      <c r="ROG184" s="239"/>
      <c r="ROH184" s="239"/>
      <c r="ROI184" s="239"/>
      <c r="ROJ184" s="239"/>
      <c r="ROK184" s="239"/>
      <c r="ROL184" s="239"/>
      <c r="ROM184" s="239"/>
      <c r="RON184" s="239"/>
      <c r="ROO184" s="239"/>
      <c r="ROP184" s="239"/>
      <c r="ROQ184" s="239"/>
      <c r="ROR184" s="239"/>
      <c r="ROS184" s="239"/>
      <c r="ROT184" s="239"/>
      <c r="ROU184" s="239"/>
      <c r="ROV184" s="239"/>
      <c r="ROW184" s="239"/>
      <c r="ROX184" s="239"/>
      <c r="ROY184" s="239"/>
      <c r="ROZ184" s="239"/>
      <c r="RPA184" s="239"/>
      <c r="RPB184" s="239"/>
      <c r="RPC184" s="239"/>
      <c r="RPD184" s="239"/>
      <c r="RPE184" s="239"/>
      <c r="RPF184" s="239"/>
      <c r="RPG184" s="239"/>
      <c r="RPH184" s="239"/>
      <c r="RPI184" s="239"/>
      <c r="RPJ184" s="239"/>
      <c r="RPK184" s="239"/>
      <c r="RPL184" s="239"/>
      <c r="RPM184" s="239"/>
      <c r="RPN184" s="239"/>
      <c r="RPO184" s="239"/>
      <c r="RPP184" s="239"/>
      <c r="RPQ184" s="239"/>
      <c r="RPR184" s="239"/>
      <c r="RPS184" s="239"/>
      <c r="RPT184" s="239"/>
      <c r="RPU184" s="239"/>
      <c r="RPV184" s="239"/>
      <c r="RPW184" s="239"/>
      <c r="RPX184" s="239"/>
      <c r="RPY184" s="239"/>
      <c r="RPZ184" s="239"/>
      <c r="RQA184" s="239"/>
      <c r="RQB184" s="239"/>
      <c r="RQC184" s="239"/>
      <c r="RQD184" s="239"/>
      <c r="RQE184" s="239"/>
      <c r="RQF184" s="239"/>
      <c r="RQG184" s="239"/>
      <c r="RQH184" s="239"/>
      <c r="RQI184" s="239"/>
      <c r="RQJ184" s="239"/>
      <c r="RQK184" s="239"/>
      <c r="RQL184" s="239"/>
      <c r="RQM184" s="239"/>
      <c r="RQN184" s="239"/>
      <c r="RQO184" s="239"/>
      <c r="RQP184" s="239"/>
      <c r="RQQ184" s="239"/>
      <c r="RQR184" s="239"/>
      <c r="RQS184" s="239"/>
      <c r="RQT184" s="239"/>
      <c r="RQU184" s="239"/>
      <c r="RQV184" s="239"/>
      <c r="RQW184" s="239"/>
      <c r="RQX184" s="239"/>
      <c r="RQY184" s="239"/>
      <c r="RQZ184" s="239"/>
      <c r="RRA184" s="239"/>
      <c r="RRB184" s="239"/>
      <c r="RRC184" s="239"/>
      <c r="RRD184" s="239"/>
      <c r="RRE184" s="239"/>
      <c r="RRF184" s="239"/>
      <c r="RRG184" s="239"/>
      <c r="RRH184" s="239"/>
      <c r="RRI184" s="239"/>
      <c r="RRJ184" s="239"/>
      <c r="RRK184" s="239"/>
      <c r="RRL184" s="239"/>
      <c r="RRM184" s="239"/>
      <c r="RRN184" s="239"/>
      <c r="RRO184" s="239"/>
      <c r="RRP184" s="239"/>
      <c r="RRQ184" s="239"/>
      <c r="RRR184" s="239"/>
      <c r="RRS184" s="239"/>
      <c r="RRT184" s="239"/>
      <c r="RRU184" s="239"/>
      <c r="RRV184" s="239"/>
      <c r="RRW184" s="239"/>
      <c r="RRX184" s="239"/>
      <c r="RRY184" s="239"/>
      <c r="RRZ184" s="239"/>
      <c r="RSA184" s="239"/>
      <c r="RSB184" s="239"/>
      <c r="RSC184" s="239"/>
      <c r="RSD184" s="239"/>
      <c r="RSE184" s="239"/>
      <c r="RSF184" s="239"/>
      <c r="RSG184" s="239"/>
      <c r="RSH184" s="239"/>
      <c r="RSI184" s="239"/>
      <c r="RSJ184" s="239"/>
      <c r="RSK184" s="239"/>
      <c r="RSL184" s="239"/>
      <c r="RSM184" s="239"/>
      <c r="RSN184" s="239"/>
      <c r="RSO184" s="239"/>
      <c r="RSP184" s="239"/>
      <c r="RSQ184" s="239"/>
      <c r="RSR184" s="239"/>
      <c r="RSS184" s="239"/>
      <c r="RST184" s="239"/>
      <c r="RSU184" s="239"/>
      <c r="RSV184" s="239"/>
      <c r="RSW184" s="239"/>
      <c r="RSX184" s="239"/>
      <c r="RSY184" s="239"/>
      <c r="RSZ184" s="239"/>
      <c r="RTA184" s="239"/>
      <c r="RTB184" s="239"/>
      <c r="RTC184" s="239"/>
      <c r="RTD184" s="239"/>
      <c r="RTE184" s="239"/>
      <c r="RTF184" s="239"/>
      <c r="RTG184" s="239"/>
      <c r="RTH184" s="239"/>
      <c r="RTI184" s="239"/>
      <c r="RTJ184" s="239"/>
      <c r="RTK184" s="239"/>
      <c r="RTL184" s="239"/>
      <c r="RTM184" s="239"/>
      <c r="RTN184" s="239"/>
      <c r="RTO184" s="239"/>
      <c r="RTP184" s="239"/>
      <c r="RTQ184" s="239"/>
      <c r="RTR184" s="239"/>
      <c r="RTS184" s="239"/>
      <c r="RTT184" s="239"/>
      <c r="RTU184" s="239"/>
      <c r="RTV184" s="239"/>
      <c r="RTW184" s="239"/>
      <c r="RTX184" s="239"/>
      <c r="RTY184" s="239"/>
      <c r="RTZ184" s="239"/>
      <c r="RUA184" s="239"/>
      <c r="RUB184" s="239"/>
      <c r="RUC184" s="239"/>
      <c r="RUD184" s="239"/>
      <c r="RUE184" s="239"/>
      <c r="RUF184" s="239"/>
      <c r="RUG184" s="239"/>
      <c r="RUH184" s="239"/>
      <c r="RUI184" s="239"/>
      <c r="RUJ184" s="239"/>
      <c r="RUK184" s="239"/>
      <c r="RUL184" s="239"/>
      <c r="RUM184" s="239"/>
      <c r="RUN184" s="239"/>
      <c r="RUO184" s="239"/>
      <c r="RUP184" s="239"/>
      <c r="RUQ184" s="239"/>
      <c r="RUR184" s="239"/>
      <c r="RUS184" s="239"/>
      <c r="RUT184" s="239"/>
      <c r="RUU184" s="239"/>
      <c r="RUV184" s="239"/>
      <c r="RUW184" s="239"/>
      <c r="RUX184" s="239"/>
      <c r="RUY184" s="239"/>
      <c r="RUZ184" s="239"/>
      <c r="RVA184" s="239"/>
      <c r="RVB184" s="239"/>
      <c r="RVC184" s="239"/>
      <c r="RVD184" s="239"/>
      <c r="RVE184" s="239"/>
      <c r="RVF184" s="239"/>
      <c r="RVG184" s="239"/>
      <c r="RVH184" s="239"/>
      <c r="RVI184" s="239"/>
      <c r="RVJ184" s="239"/>
      <c r="RVK184" s="239"/>
      <c r="RVL184" s="239"/>
      <c r="RVM184" s="239"/>
      <c r="RVN184" s="239"/>
      <c r="RVO184" s="239"/>
      <c r="RVP184" s="239"/>
      <c r="RVQ184" s="239"/>
      <c r="RVR184" s="239"/>
      <c r="RVS184" s="239"/>
      <c r="RVT184" s="239"/>
      <c r="RVU184" s="239"/>
      <c r="RVV184" s="239"/>
      <c r="RVW184" s="239"/>
      <c r="RVX184" s="239"/>
      <c r="RVY184" s="239"/>
      <c r="RVZ184" s="239"/>
      <c r="RWA184" s="239"/>
      <c r="RWB184" s="239"/>
      <c r="RWC184" s="239"/>
      <c r="RWD184" s="239"/>
      <c r="RWE184" s="239"/>
      <c r="RWF184" s="239"/>
      <c r="RWG184" s="239"/>
      <c r="RWH184" s="239"/>
      <c r="RWI184" s="239"/>
      <c r="RWJ184" s="239"/>
      <c r="RWK184" s="239"/>
      <c r="RWL184" s="239"/>
      <c r="RWM184" s="239"/>
      <c r="RWN184" s="239"/>
      <c r="RWO184" s="239"/>
      <c r="RWP184" s="239"/>
      <c r="RWQ184" s="239"/>
      <c r="RWR184" s="239"/>
      <c r="RWS184" s="239"/>
      <c r="RWT184" s="239"/>
      <c r="RWU184" s="239"/>
      <c r="RWV184" s="239"/>
      <c r="RWW184" s="239"/>
      <c r="RWX184" s="239"/>
      <c r="RWY184" s="239"/>
      <c r="RWZ184" s="239"/>
      <c r="RXA184" s="239"/>
      <c r="RXB184" s="239"/>
      <c r="RXC184" s="239"/>
      <c r="RXD184" s="239"/>
      <c r="RXE184" s="239"/>
      <c r="RXF184" s="239"/>
      <c r="RXG184" s="239"/>
      <c r="RXH184" s="239"/>
      <c r="RXI184" s="239"/>
      <c r="RXJ184" s="239"/>
      <c r="RXK184" s="239"/>
      <c r="RXL184" s="239"/>
      <c r="RXM184" s="239"/>
      <c r="RXN184" s="239"/>
      <c r="RXO184" s="239"/>
      <c r="RXP184" s="239"/>
      <c r="RXQ184" s="239"/>
      <c r="RXR184" s="239"/>
      <c r="RXS184" s="239"/>
      <c r="RXT184" s="239"/>
      <c r="RXU184" s="239"/>
      <c r="RXV184" s="239"/>
      <c r="RXW184" s="239"/>
      <c r="RXX184" s="239"/>
      <c r="RXY184" s="239"/>
      <c r="RXZ184" s="239"/>
      <c r="RYA184" s="239"/>
      <c r="RYB184" s="239"/>
      <c r="RYC184" s="239"/>
      <c r="RYD184" s="239"/>
      <c r="RYE184" s="239"/>
      <c r="RYF184" s="239"/>
      <c r="RYG184" s="239"/>
      <c r="RYH184" s="239"/>
      <c r="RYI184" s="239"/>
      <c r="RYJ184" s="239"/>
      <c r="RYK184" s="239"/>
      <c r="RYL184" s="239"/>
      <c r="RYM184" s="239"/>
      <c r="RYN184" s="239"/>
      <c r="RYO184" s="239"/>
      <c r="RYP184" s="239"/>
      <c r="RYQ184" s="239"/>
      <c r="RYR184" s="239"/>
      <c r="RYS184" s="239"/>
      <c r="RYT184" s="239"/>
      <c r="RYU184" s="239"/>
      <c r="RYV184" s="239"/>
      <c r="RYW184" s="239"/>
      <c r="RYX184" s="239"/>
      <c r="RYY184" s="239"/>
      <c r="RYZ184" s="239"/>
      <c r="RZA184" s="239"/>
      <c r="RZB184" s="239"/>
      <c r="RZC184" s="239"/>
      <c r="RZD184" s="239"/>
      <c r="RZE184" s="239"/>
      <c r="RZF184" s="239"/>
      <c r="RZG184" s="239"/>
      <c r="RZH184" s="239"/>
      <c r="RZI184" s="239"/>
      <c r="RZJ184" s="239"/>
      <c r="RZK184" s="239"/>
      <c r="RZL184" s="239"/>
      <c r="RZM184" s="239"/>
      <c r="RZN184" s="239"/>
      <c r="RZO184" s="239"/>
      <c r="RZP184" s="239"/>
      <c r="RZQ184" s="239"/>
      <c r="RZR184" s="239"/>
      <c r="RZS184" s="239"/>
      <c r="RZT184" s="239"/>
      <c r="RZU184" s="239"/>
      <c r="RZV184" s="239"/>
      <c r="RZW184" s="239"/>
      <c r="RZX184" s="239"/>
      <c r="RZY184" s="239"/>
      <c r="RZZ184" s="239"/>
      <c r="SAA184" s="239"/>
      <c r="SAB184" s="239"/>
      <c r="SAC184" s="239"/>
      <c r="SAD184" s="239"/>
      <c r="SAE184" s="239"/>
      <c r="SAF184" s="239"/>
      <c r="SAG184" s="239"/>
      <c r="SAH184" s="239"/>
      <c r="SAI184" s="239"/>
      <c r="SAJ184" s="239"/>
      <c r="SAK184" s="239"/>
      <c r="SAL184" s="239"/>
      <c r="SAM184" s="239"/>
      <c r="SAN184" s="239"/>
      <c r="SAO184" s="239"/>
      <c r="SAP184" s="239"/>
      <c r="SAQ184" s="239"/>
      <c r="SAR184" s="239"/>
      <c r="SAS184" s="239"/>
      <c r="SAT184" s="239"/>
      <c r="SAU184" s="239"/>
      <c r="SAV184" s="239"/>
      <c r="SAW184" s="239"/>
      <c r="SAX184" s="239"/>
      <c r="SAY184" s="239"/>
      <c r="SAZ184" s="239"/>
      <c r="SBA184" s="239"/>
      <c r="SBB184" s="239"/>
      <c r="SBC184" s="239"/>
      <c r="SBD184" s="239"/>
      <c r="SBE184" s="239"/>
      <c r="SBF184" s="239"/>
      <c r="SBG184" s="239"/>
      <c r="SBH184" s="239"/>
      <c r="SBI184" s="239"/>
      <c r="SBJ184" s="239"/>
      <c r="SBK184" s="239"/>
      <c r="SBL184" s="239"/>
      <c r="SBM184" s="239"/>
      <c r="SBN184" s="239"/>
      <c r="SBO184" s="239"/>
      <c r="SBP184" s="239"/>
      <c r="SBQ184" s="239"/>
      <c r="SBR184" s="239"/>
      <c r="SBS184" s="239"/>
      <c r="SBT184" s="239"/>
      <c r="SBU184" s="239"/>
      <c r="SBV184" s="239"/>
      <c r="SBW184" s="239"/>
      <c r="SBX184" s="239"/>
      <c r="SBY184" s="239"/>
      <c r="SBZ184" s="239"/>
      <c r="SCA184" s="239"/>
      <c r="SCB184" s="239"/>
      <c r="SCC184" s="239"/>
      <c r="SCD184" s="239"/>
      <c r="SCE184" s="239"/>
      <c r="SCF184" s="239"/>
      <c r="SCG184" s="239"/>
      <c r="SCH184" s="239"/>
      <c r="SCI184" s="239"/>
      <c r="SCJ184" s="239"/>
      <c r="SCK184" s="239"/>
      <c r="SCL184" s="239"/>
      <c r="SCM184" s="239"/>
      <c r="SCN184" s="239"/>
      <c r="SCO184" s="239"/>
      <c r="SCP184" s="239"/>
      <c r="SCQ184" s="239"/>
      <c r="SCR184" s="239"/>
      <c r="SCS184" s="239"/>
      <c r="SCT184" s="239"/>
      <c r="SCU184" s="239"/>
      <c r="SCV184" s="239"/>
      <c r="SCW184" s="239"/>
      <c r="SCX184" s="239"/>
      <c r="SCY184" s="239"/>
      <c r="SCZ184" s="239"/>
      <c r="SDA184" s="239"/>
      <c r="SDB184" s="239"/>
      <c r="SDC184" s="239"/>
      <c r="SDD184" s="239"/>
      <c r="SDE184" s="239"/>
      <c r="SDF184" s="239"/>
      <c r="SDG184" s="239"/>
      <c r="SDH184" s="239"/>
      <c r="SDI184" s="239"/>
      <c r="SDJ184" s="239"/>
      <c r="SDK184" s="239"/>
      <c r="SDL184" s="239"/>
      <c r="SDM184" s="239"/>
      <c r="SDN184" s="239"/>
      <c r="SDO184" s="239"/>
      <c r="SDP184" s="239"/>
      <c r="SDQ184" s="239"/>
      <c r="SDR184" s="239"/>
      <c r="SDS184" s="239"/>
      <c r="SDT184" s="239"/>
      <c r="SDU184" s="239"/>
      <c r="SDV184" s="239"/>
      <c r="SDW184" s="239"/>
      <c r="SDX184" s="239"/>
      <c r="SDY184" s="239"/>
      <c r="SDZ184" s="239"/>
      <c r="SEA184" s="239"/>
      <c r="SEB184" s="239"/>
      <c r="SEC184" s="239"/>
      <c r="SED184" s="239"/>
      <c r="SEE184" s="239"/>
      <c r="SEF184" s="239"/>
      <c r="SEG184" s="239"/>
      <c r="SEH184" s="239"/>
      <c r="SEI184" s="239"/>
      <c r="SEJ184" s="239"/>
      <c r="SEK184" s="239"/>
      <c r="SEL184" s="239"/>
      <c r="SEM184" s="239"/>
      <c r="SEN184" s="239"/>
      <c r="SEO184" s="239"/>
      <c r="SEP184" s="239"/>
      <c r="SEQ184" s="239"/>
      <c r="SER184" s="239"/>
      <c r="SES184" s="239"/>
      <c r="SET184" s="239"/>
      <c r="SEU184" s="239"/>
      <c r="SEV184" s="239"/>
      <c r="SEW184" s="239"/>
      <c r="SEX184" s="239"/>
      <c r="SEY184" s="239"/>
      <c r="SEZ184" s="239"/>
      <c r="SFA184" s="239"/>
      <c r="SFB184" s="239"/>
      <c r="SFC184" s="239"/>
      <c r="SFD184" s="239"/>
      <c r="SFE184" s="239"/>
      <c r="SFF184" s="239"/>
      <c r="SFG184" s="239"/>
      <c r="SFH184" s="239"/>
      <c r="SFI184" s="239"/>
      <c r="SFJ184" s="239"/>
      <c r="SFK184" s="239"/>
      <c r="SFL184" s="239"/>
      <c r="SFM184" s="239"/>
      <c r="SFN184" s="239"/>
      <c r="SFO184" s="239"/>
      <c r="SFP184" s="239"/>
      <c r="SFQ184" s="239"/>
      <c r="SFR184" s="239"/>
      <c r="SFS184" s="239"/>
      <c r="SFT184" s="239"/>
      <c r="SFU184" s="239"/>
      <c r="SFV184" s="239"/>
      <c r="SFW184" s="239"/>
      <c r="SFX184" s="239"/>
      <c r="SFY184" s="239"/>
      <c r="SFZ184" s="239"/>
      <c r="SGA184" s="239"/>
      <c r="SGB184" s="239"/>
      <c r="SGC184" s="239"/>
      <c r="SGD184" s="239"/>
      <c r="SGE184" s="239"/>
      <c r="SGF184" s="239"/>
      <c r="SGG184" s="239"/>
      <c r="SGH184" s="239"/>
      <c r="SGI184" s="239"/>
      <c r="SGJ184" s="239"/>
      <c r="SGK184" s="239"/>
      <c r="SGL184" s="239"/>
      <c r="SGM184" s="239"/>
      <c r="SGN184" s="239"/>
      <c r="SGO184" s="239"/>
      <c r="SGP184" s="239"/>
      <c r="SGQ184" s="239"/>
      <c r="SGR184" s="239"/>
      <c r="SGS184" s="239"/>
      <c r="SGT184" s="239"/>
      <c r="SGU184" s="239"/>
      <c r="SGV184" s="239"/>
      <c r="SGW184" s="239"/>
      <c r="SGX184" s="239"/>
      <c r="SGY184" s="239"/>
      <c r="SGZ184" s="239"/>
      <c r="SHA184" s="239"/>
      <c r="SHB184" s="239"/>
      <c r="SHC184" s="239"/>
      <c r="SHD184" s="239"/>
      <c r="SHE184" s="239"/>
      <c r="SHF184" s="239"/>
      <c r="SHG184" s="239"/>
      <c r="SHH184" s="239"/>
      <c r="SHI184" s="239"/>
      <c r="SHJ184" s="239"/>
      <c r="SHK184" s="239"/>
      <c r="SHL184" s="239"/>
      <c r="SHM184" s="239"/>
      <c r="SHN184" s="239"/>
      <c r="SHO184" s="239"/>
      <c r="SHP184" s="239"/>
      <c r="SHQ184" s="239"/>
      <c r="SHR184" s="239"/>
      <c r="SHS184" s="239"/>
      <c r="SHT184" s="239"/>
      <c r="SHU184" s="239"/>
      <c r="SHV184" s="239"/>
      <c r="SHW184" s="239"/>
      <c r="SHX184" s="239"/>
      <c r="SHY184" s="239"/>
      <c r="SHZ184" s="239"/>
      <c r="SIA184" s="239"/>
      <c r="SIB184" s="239"/>
      <c r="SIC184" s="239"/>
      <c r="SID184" s="239"/>
      <c r="SIE184" s="239"/>
      <c r="SIF184" s="239"/>
      <c r="SIG184" s="239"/>
      <c r="SIH184" s="239"/>
      <c r="SII184" s="239"/>
      <c r="SIJ184" s="239"/>
      <c r="SIK184" s="239"/>
      <c r="SIL184" s="239"/>
      <c r="SIM184" s="239"/>
      <c r="SIN184" s="239"/>
      <c r="SIO184" s="239"/>
      <c r="SIP184" s="239"/>
      <c r="SIQ184" s="239"/>
      <c r="SIR184" s="239"/>
      <c r="SIS184" s="239"/>
      <c r="SIT184" s="239"/>
      <c r="SIU184" s="239"/>
      <c r="SIV184" s="239"/>
      <c r="SIW184" s="239"/>
      <c r="SIX184" s="239"/>
      <c r="SIY184" s="239"/>
      <c r="SIZ184" s="239"/>
      <c r="SJA184" s="239"/>
      <c r="SJB184" s="239"/>
      <c r="SJC184" s="239"/>
      <c r="SJD184" s="239"/>
      <c r="SJE184" s="239"/>
      <c r="SJF184" s="239"/>
      <c r="SJG184" s="239"/>
      <c r="SJH184" s="239"/>
      <c r="SJI184" s="239"/>
      <c r="SJJ184" s="239"/>
      <c r="SJK184" s="239"/>
      <c r="SJL184" s="239"/>
      <c r="SJM184" s="239"/>
      <c r="SJN184" s="239"/>
      <c r="SJO184" s="239"/>
      <c r="SJP184" s="239"/>
      <c r="SJQ184" s="239"/>
      <c r="SJR184" s="239"/>
      <c r="SJS184" s="239"/>
      <c r="SJT184" s="239"/>
      <c r="SJU184" s="239"/>
      <c r="SJV184" s="239"/>
      <c r="SJW184" s="239"/>
      <c r="SJX184" s="239"/>
      <c r="SJY184" s="239"/>
      <c r="SJZ184" s="239"/>
      <c r="SKA184" s="239"/>
      <c r="SKB184" s="239"/>
      <c r="SKC184" s="239"/>
      <c r="SKD184" s="239"/>
      <c r="SKE184" s="239"/>
      <c r="SKF184" s="239"/>
      <c r="SKG184" s="239"/>
      <c r="SKH184" s="239"/>
      <c r="SKI184" s="239"/>
      <c r="SKJ184" s="239"/>
      <c r="SKK184" s="239"/>
      <c r="SKL184" s="239"/>
      <c r="SKM184" s="239"/>
      <c r="SKN184" s="239"/>
      <c r="SKO184" s="239"/>
      <c r="SKP184" s="239"/>
      <c r="SKQ184" s="239"/>
      <c r="SKR184" s="239"/>
      <c r="SKS184" s="239"/>
      <c r="SKT184" s="239"/>
      <c r="SKU184" s="239"/>
      <c r="SKV184" s="239"/>
      <c r="SKW184" s="239"/>
      <c r="SKX184" s="239"/>
      <c r="SKY184" s="239"/>
      <c r="SKZ184" s="239"/>
      <c r="SLA184" s="239"/>
      <c r="SLB184" s="239"/>
      <c r="SLC184" s="239"/>
      <c r="SLD184" s="239"/>
      <c r="SLE184" s="239"/>
      <c r="SLF184" s="239"/>
      <c r="SLG184" s="239"/>
      <c r="SLH184" s="239"/>
      <c r="SLI184" s="239"/>
      <c r="SLJ184" s="239"/>
      <c r="SLK184" s="239"/>
      <c r="SLL184" s="239"/>
      <c r="SLM184" s="239"/>
      <c r="SLN184" s="239"/>
      <c r="SLO184" s="239"/>
      <c r="SLP184" s="239"/>
      <c r="SLQ184" s="239"/>
      <c r="SLR184" s="239"/>
      <c r="SLS184" s="239"/>
      <c r="SLT184" s="239"/>
      <c r="SLU184" s="239"/>
      <c r="SLV184" s="239"/>
      <c r="SLW184" s="239"/>
      <c r="SLX184" s="239"/>
      <c r="SLY184" s="239"/>
      <c r="SLZ184" s="239"/>
      <c r="SMA184" s="239"/>
      <c r="SMB184" s="239"/>
      <c r="SMC184" s="239"/>
      <c r="SMD184" s="239"/>
      <c r="SME184" s="239"/>
      <c r="SMF184" s="239"/>
      <c r="SMG184" s="239"/>
      <c r="SMH184" s="239"/>
      <c r="SMI184" s="239"/>
      <c r="SMJ184" s="239"/>
      <c r="SMK184" s="239"/>
      <c r="SML184" s="239"/>
      <c r="SMM184" s="239"/>
      <c r="SMN184" s="239"/>
      <c r="SMO184" s="239"/>
      <c r="SMP184" s="239"/>
      <c r="SMQ184" s="239"/>
      <c r="SMR184" s="239"/>
      <c r="SMS184" s="239"/>
      <c r="SMT184" s="239"/>
      <c r="SMU184" s="239"/>
      <c r="SMV184" s="239"/>
      <c r="SMW184" s="239"/>
      <c r="SMX184" s="239"/>
      <c r="SMY184" s="239"/>
      <c r="SMZ184" s="239"/>
      <c r="SNA184" s="239"/>
      <c r="SNB184" s="239"/>
      <c r="SNC184" s="239"/>
      <c r="SND184" s="239"/>
      <c r="SNE184" s="239"/>
      <c r="SNF184" s="239"/>
      <c r="SNG184" s="239"/>
      <c r="SNH184" s="239"/>
      <c r="SNI184" s="239"/>
      <c r="SNJ184" s="239"/>
      <c r="SNK184" s="239"/>
      <c r="SNL184" s="239"/>
      <c r="SNM184" s="239"/>
      <c r="SNN184" s="239"/>
      <c r="SNO184" s="239"/>
      <c r="SNP184" s="239"/>
      <c r="SNQ184" s="239"/>
      <c r="SNR184" s="239"/>
      <c r="SNS184" s="239"/>
      <c r="SNT184" s="239"/>
      <c r="SNU184" s="239"/>
      <c r="SNV184" s="239"/>
      <c r="SNW184" s="239"/>
      <c r="SNX184" s="239"/>
      <c r="SNY184" s="239"/>
      <c r="SNZ184" s="239"/>
      <c r="SOA184" s="239"/>
      <c r="SOB184" s="239"/>
      <c r="SOC184" s="239"/>
      <c r="SOD184" s="239"/>
      <c r="SOE184" s="239"/>
      <c r="SOF184" s="239"/>
      <c r="SOG184" s="239"/>
      <c r="SOH184" s="239"/>
      <c r="SOI184" s="239"/>
      <c r="SOJ184" s="239"/>
      <c r="SOK184" s="239"/>
      <c r="SOL184" s="239"/>
      <c r="SOM184" s="239"/>
      <c r="SON184" s="239"/>
      <c r="SOO184" s="239"/>
      <c r="SOP184" s="239"/>
      <c r="SOQ184" s="239"/>
      <c r="SOR184" s="239"/>
      <c r="SOS184" s="239"/>
      <c r="SOT184" s="239"/>
      <c r="SOU184" s="239"/>
      <c r="SOV184" s="239"/>
      <c r="SOW184" s="239"/>
      <c r="SOX184" s="239"/>
      <c r="SOY184" s="239"/>
      <c r="SOZ184" s="239"/>
      <c r="SPA184" s="239"/>
      <c r="SPB184" s="239"/>
      <c r="SPC184" s="239"/>
      <c r="SPD184" s="239"/>
      <c r="SPE184" s="239"/>
      <c r="SPF184" s="239"/>
      <c r="SPG184" s="239"/>
      <c r="SPH184" s="239"/>
      <c r="SPI184" s="239"/>
      <c r="SPJ184" s="239"/>
      <c r="SPK184" s="239"/>
      <c r="SPL184" s="239"/>
      <c r="SPM184" s="239"/>
      <c r="SPN184" s="239"/>
      <c r="SPO184" s="239"/>
      <c r="SPP184" s="239"/>
      <c r="SPQ184" s="239"/>
      <c r="SPR184" s="239"/>
      <c r="SPS184" s="239"/>
      <c r="SPT184" s="239"/>
      <c r="SPU184" s="239"/>
      <c r="SPV184" s="239"/>
      <c r="SPW184" s="239"/>
      <c r="SPX184" s="239"/>
      <c r="SPY184" s="239"/>
      <c r="SPZ184" s="239"/>
      <c r="SQA184" s="239"/>
      <c r="SQB184" s="239"/>
      <c r="SQC184" s="239"/>
      <c r="SQD184" s="239"/>
      <c r="SQE184" s="239"/>
      <c r="SQF184" s="239"/>
      <c r="SQG184" s="239"/>
      <c r="SQH184" s="239"/>
      <c r="SQI184" s="239"/>
      <c r="SQJ184" s="239"/>
      <c r="SQK184" s="239"/>
      <c r="SQL184" s="239"/>
      <c r="SQM184" s="239"/>
      <c r="SQN184" s="239"/>
      <c r="SQO184" s="239"/>
      <c r="SQP184" s="239"/>
      <c r="SQQ184" s="239"/>
      <c r="SQR184" s="239"/>
      <c r="SQS184" s="239"/>
      <c r="SQT184" s="239"/>
      <c r="SQU184" s="239"/>
      <c r="SQV184" s="239"/>
      <c r="SQW184" s="239"/>
      <c r="SQX184" s="239"/>
      <c r="SQY184" s="239"/>
      <c r="SQZ184" s="239"/>
      <c r="SRA184" s="239"/>
      <c r="SRB184" s="239"/>
      <c r="SRC184" s="239"/>
      <c r="SRD184" s="239"/>
      <c r="SRE184" s="239"/>
      <c r="SRF184" s="239"/>
      <c r="SRG184" s="239"/>
      <c r="SRH184" s="239"/>
      <c r="SRI184" s="239"/>
      <c r="SRJ184" s="239"/>
      <c r="SRK184" s="239"/>
      <c r="SRL184" s="239"/>
      <c r="SRM184" s="239"/>
      <c r="SRN184" s="239"/>
      <c r="SRO184" s="239"/>
      <c r="SRP184" s="239"/>
      <c r="SRQ184" s="239"/>
      <c r="SRR184" s="239"/>
      <c r="SRS184" s="239"/>
      <c r="SRT184" s="239"/>
      <c r="SRU184" s="239"/>
      <c r="SRV184" s="239"/>
      <c r="SRW184" s="239"/>
      <c r="SRX184" s="239"/>
      <c r="SRY184" s="239"/>
      <c r="SRZ184" s="239"/>
      <c r="SSA184" s="239"/>
      <c r="SSB184" s="239"/>
      <c r="SSC184" s="239"/>
      <c r="SSD184" s="239"/>
      <c r="SSE184" s="239"/>
      <c r="SSF184" s="239"/>
      <c r="SSG184" s="239"/>
      <c r="SSH184" s="239"/>
      <c r="SSI184" s="239"/>
      <c r="SSJ184" s="239"/>
      <c r="SSK184" s="239"/>
      <c r="SSL184" s="239"/>
      <c r="SSM184" s="239"/>
      <c r="SSN184" s="239"/>
      <c r="SSO184" s="239"/>
      <c r="SSP184" s="239"/>
      <c r="SSQ184" s="239"/>
      <c r="SSR184" s="239"/>
      <c r="SSS184" s="239"/>
      <c r="SST184" s="239"/>
      <c r="SSU184" s="239"/>
      <c r="SSV184" s="239"/>
      <c r="SSW184" s="239"/>
      <c r="SSX184" s="239"/>
      <c r="SSY184" s="239"/>
      <c r="SSZ184" s="239"/>
      <c r="STA184" s="239"/>
      <c r="STB184" s="239"/>
      <c r="STC184" s="239"/>
      <c r="STD184" s="239"/>
      <c r="STE184" s="239"/>
      <c r="STF184" s="239"/>
      <c r="STG184" s="239"/>
      <c r="STH184" s="239"/>
      <c r="STI184" s="239"/>
      <c r="STJ184" s="239"/>
      <c r="STK184" s="239"/>
      <c r="STL184" s="239"/>
      <c r="STM184" s="239"/>
      <c r="STN184" s="239"/>
      <c r="STO184" s="239"/>
      <c r="STP184" s="239"/>
      <c r="STQ184" s="239"/>
      <c r="STR184" s="239"/>
      <c r="STS184" s="239"/>
      <c r="STT184" s="239"/>
      <c r="STU184" s="239"/>
      <c r="STV184" s="239"/>
      <c r="STW184" s="239"/>
      <c r="STX184" s="239"/>
      <c r="STY184" s="239"/>
      <c r="STZ184" s="239"/>
      <c r="SUA184" s="239"/>
      <c r="SUB184" s="239"/>
      <c r="SUC184" s="239"/>
      <c r="SUD184" s="239"/>
      <c r="SUE184" s="239"/>
      <c r="SUF184" s="239"/>
      <c r="SUG184" s="239"/>
      <c r="SUH184" s="239"/>
      <c r="SUI184" s="239"/>
      <c r="SUJ184" s="239"/>
      <c r="SUK184" s="239"/>
      <c r="SUL184" s="239"/>
      <c r="SUM184" s="239"/>
      <c r="SUN184" s="239"/>
      <c r="SUO184" s="239"/>
      <c r="SUP184" s="239"/>
      <c r="SUQ184" s="239"/>
      <c r="SUR184" s="239"/>
      <c r="SUS184" s="239"/>
      <c r="SUT184" s="239"/>
      <c r="SUU184" s="239"/>
      <c r="SUV184" s="239"/>
      <c r="SUW184" s="239"/>
      <c r="SUX184" s="239"/>
      <c r="SUY184" s="239"/>
      <c r="SUZ184" s="239"/>
      <c r="SVA184" s="239"/>
      <c r="SVB184" s="239"/>
      <c r="SVC184" s="239"/>
      <c r="SVD184" s="239"/>
      <c r="SVE184" s="239"/>
      <c r="SVF184" s="239"/>
      <c r="SVG184" s="239"/>
      <c r="SVH184" s="239"/>
      <c r="SVI184" s="239"/>
      <c r="SVJ184" s="239"/>
      <c r="SVK184" s="239"/>
      <c r="SVL184" s="239"/>
      <c r="SVM184" s="239"/>
      <c r="SVN184" s="239"/>
      <c r="SVO184" s="239"/>
      <c r="SVP184" s="239"/>
      <c r="SVQ184" s="239"/>
      <c r="SVR184" s="239"/>
      <c r="SVS184" s="239"/>
      <c r="SVT184" s="239"/>
      <c r="SVU184" s="239"/>
      <c r="SVV184" s="239"/>
      <c r="SVW184" s="239"/>
      <c r="SVX184" s="239"/>
      <c r="SVY184" s="239"/>
      <c r="SVZ184" s="239"/>
      <c r="SWA184" s="239"/>
      <c r="SWB184" s="239"/>
      <c r="SWC184" s="239"/>
      <c r="SWD184" s="239"/>
      <c r="SWE184" s="239"/>
      <c r="SWF184" s="239"/>
      <c r="SWG184" s="239"/>
      <c r="SWH184" s="239"/>
      <c r="SWI184" s="239"/>
      <c r="SWJ184" s="239"/>
      <c r="SWK184" s="239"/>
      <c r="SWL184" s="239"/>
      <c r="SWM184" s="239"/>
      <c r="SWN184" s="239"/>
      <c r="SWO184" s="239"/>
      <c r="SWP184" s="239"/>
      <c r="SWQ184" s="239"/>
      <c r="SWR184" s="239"/>
      <c r="SWS184" s="239"/>
      <c r="SWT184" s="239"/>
      <c r="SWU184" s="239"/>
      <c r="SWV184" s="239"/>
      <c r="SWW184" s="239"/>
      <c r="SWX184" s="239"/>
      <c r="SWY184" s="239"/>
      <c r="SWZ184" s="239"/>
      <c r="SXA184" s="239"/>
      <c r="SXB184" s="239"/>
      <c r="SXC184" s="239"/>
      <c r="SXD184" s="239"/>
      <c r="SXE184" s="239"/>
      <c r="SXF184" s="239"/>
      <c r="SXG184" s="239"/>
      <c r="SXH184" s="239"/>
      <c r="SXI184" s="239"/>
      <c r="SXJ184" s="239"/>
      <c r="SXK184" s="239"/>
      <c r="SXL184" s="239"/>
      <c r="SXM184" s="239"/>
      <c r="SXN184" s="239"/>
      <c r="SXO184" s="239"/>
      <c r="SXP184" s="239"/>
      <c r="SXQ184" s="239"/>
      <c r="SXR184" s="239"/>
      <c r="SXS184" s="239"/>
      <c r="SXT184" s="239"/>
      <c r="SXU184" s="239"/>
      <c r="SXV184" s="239"/>
      <c r="SXW184" s="239"/>
      <c r="SXX184" s="239"/>
      <c r="SXY184" s="239"/>
      <c r="SXZ184" s="239"/>
      <c r="SYA184" s="239"/>
      <c r="SYB184" s="239"/>
      <c r="SYC184" s="239"/>
      <c r="SYD184" s="239"/>
      <c r="SYE184" s="239"/>
      <c r="SYF184" s="239"/>
      <c r="SYG184" s="239"/>
      <c r="SYH184" s="239"/>
      <c r="SYI184" s="239"/>
      <c r="SYJ184" s="239"/>
      <c r="SYK184" s="239"/>
      <c r="SYL184" s="239"/>
      <c r="SYM184" s="239"/>
      <c r="SYN184" s="239"/>
      <c r="SYO184" s="239"/>
      <c r="SYP184" s="239"/>
      <c r="SYQ184" s="239"/>
      <c r="SYR184" s="239"/>
      <c r="SYS184" s="239"/>
      <c r="SYT184" s="239"/>
      <c r="SYU184" s="239"/>
      <c r="SYV184" s="239"/>
      <c r="SYW184" s="239"/>
      <c r="SYX184" s="239"/>
      <c r="SYY184" s="239"/>
      <c r="SYZ184" s="239"/>
      <c r="SZA184" s="239"/>
      <c r="SZB184" s="239"/>
      <c r="SZC184" s="239"/>
      <c r="SZD184" s="239"/>
      <c r="SZE184" s="239"/>
      <c r="SZF184" s="239"/>
      <c r="SZG184" s="239"/>
      <c r="SZH184" s="239"/>
      <c r="SZI184" s="239"/>
      <c r="SZJ184" s="239"/>
      <c r="SZK184" s="239"/>
      <c r="SZL184" s="239"/>
      <c r="SZM184" s="239"/>
      <c r="SZN184" s="239"/>
      <c r="SZO184" s="239"/>
      <c r="SZP184" s="239"/>
      <c r="SZQ184" s="239"/>
      <c r="SZR184" s="239"/>
      <c r="SZS184" s="239"/>
      <c r="SZT184" s="239"/>
      <c r="SZU184" s="239"/>
      <c r="SZV184" s="239"/>
      <c r="SZW184" s="239"/>
      <c r="SZX184" s="239"/>
      <c r="SZY184" s="239"/>
      <c r="SZZ184" s="239"/>
      <c r="TAA184" s="239"/>
      <c r="TAB184" s="239"/>
      <c r="TAC184" s="239"/>
      <c r="TAD184" s="239"/>
      <c r="TAE184" s="239"/>
      <c r="TAF184" s="239"/>
      <c r="TAG184" s="239"/>
      <c r="TAH184" s="239"/>
      <c r="TAI184" s="239"/>
      <c r="TAJ184" s="239"/>
      <c r="TAK184" s="239"/>
      <c r="TAL184" s="239"/>
      <c r="TAM184" s="239"/>
      <c r="TAN184" s="239"/>
      <c r="TAO184" s="239"/>
      <c r="TAP184" s="239"/>
      <c r="TAQ184" s="239"/>
      <c r="TAR184" s="239"/>
      <c r="TAS184" s="239"/>
      <c r="TAT184" s="239"/>
      <c r="TAU184" s="239"/>
      <c r="TAV184" s="239"/>
      <c r="TAW184" s="239"/>
      <c r="TAX184" s="239"/>
      <c r="TAY184" s="239"/>
      <c r="TAZ184" s="239"/>
      <c r="TBA184" s="239"/>
      <c r="TBB184" s="239"/>
      <c r="TBC184" s="239"/>
      <c r="TBD184" s="239"/>
      <c r="TBE184" s="239"/>
      <c r="TBF184" s="239"/>
      <c r="TBG184" s="239"/>
      <c r="TBH184" s="239"/>
      <c r="TBI184" s="239"/>
      <c r="TBJ184" s="239"/>
      <c r="TBK184" s="239"/>
      <c r="TBL184" s="239"/>
      <c r="TBM184" s="239"/>
      <c r="TBN184" s="239"/>
      <c r="TBO184" s="239"/>
      <c r="TBP184" s="239"/>
      <c r="TBQ184" s="239"/>
      <c r="TBR184" s="239"/>
      <c r="TBS184" s="239"/>
      <c r="TBT184" s="239"/>
      <c r="TBU184" s="239"/>
      <c r="TBV184" s="239"/>
      <c r="TBW184" s="239"/>
      <c r="TBX184" s="239"/>
      <c r="TBY184" s="239"/>
      <c r="TBZ184" s="239"/>
      <c r="TCA184" s="239"/>
      <c r="TCB184" s="239"/>
      <c r="TCC184" s="239"/>
      <c r="TCD184" s="239"/>
      <c r="TCE184" s="239"/>
      <c r="TCF184" s="239"/>
      <c r="TCG184" s="239"/>
      <c r="TCH184" s="239"/>
      <c r="TCI184" s="239"/>
      <c r="TCJ184" s="239"/>
      <c r="TCK184" s="239"/>
      <c r="TCL184" s="239"/>
      <c r="TCM184" s="239"/>
      <c r="TCN184" s="239"/>
      <c r="TCO184" s="239"/>
      <c r="TCP184" s="239"/>
      <c r="TCQ184" s="239"/>
      <c r="TCR184" s="239"/>
      <c r="TCS184" s="239"/>
      <c r="TCT184" s="239"/>
      <c r="TCU184" s="239"/>
      <c r="TCV184" s="239"/>
      <c r="TCW184" s="239"/>
      <c r="TCX184" s="239"/>
      <c r="TCY184" s="239"/>
      <c r="TCZ184" s="239"/>
      <c r="TDA184" s="239"/>
      <c r="TDB184" s="239"/>
      <c r="TDC184" s="239"/>
      <c r="TDD184" s="239"/>
      <c r="TDE184" s="239"/>
      <c r="TDF184" s="239"/>
      <c r="TDG184" s="239"/>
      <c r="TDH184" s="239"/>
      <c r="TDI184" s="239"/>
      <c r="TDJ184" s="239"/>
      <c r="TDK184" s="239"/>
      <c r="TDL184" s="239"/>
      <c r="TDM184" s="239"/>
      <c r="TDN184" s="239"/>
      <c r="TDO184" s="239"/>
      <c r="TDP184" s="239"/>
      <c r="TDQ184" s="239"/>
      <c r="TDR184" s="239"/>
      <c r="TDS184" s="239"/>
      <c r="TDT184" s="239"/>
      <c r="TDU184" s="239"/>
      <c r="TDV184" s="239"/>
      <c r="TDW184" s="239"/>
      <c r="TDX184" s="239"/>
      <c r="TDY184" s="239"/>
      <c r="TDZ184" s="239"/>
      <c r="TEA184" s="239"/>
      <c r="TEB184" s="239"/>
      <c r="TEC184" s="239"/>
      <c r="TED184" s="239"/>
      <c r="TEE184" s="239"/>
      <c r="TEF184" s="239"/>
      <c r="TEG184" s="239"/>
      <c r="TEH184" s="239"/>
      <c r="TEI184" s="239"/>
      <c r="TEJ184" s="239"/>
      <c r="TEK184" s="239"/>
      <c r="TEL184" s="239"/>
      <c r="TEM184" s="239"/>
      <c r="TEN184" s="239"/>
      <c r="TEO184" s="239"/>
      <c r="TEP184" s="239"/>
      <c r="TEQ184" s="239"/>
      <c r="TER184" s="239"/>
      <c r="TES184" s="239"/>
      <c r="TET184" s="239"/>
      <c r="TEU184" s="239"/>
      <c r="TEV184" s="239"/>
      <c r="TEW184" s="239"/>
      <c r="TEX184" s="239"/>
      <c r="TEY184" s="239"/>
      <c r="TEZ184" s="239"/>
      <c r="TFA184" s="239"/>
      <c r="TFB184" s="239"/>
      <c r="TFC184" s="239"/>
      <c r="TFD184" s="239"/>
      <c r="TFE184" s="239"/>
      <c r="TFF184" s="239"/>
      <c r="TFG184" s="239"/>
      <c r="TFH184" s="239"/>
      <c r="TFI184" s="239"/>
      <c r="TFJ184" s="239"/>
      <c r="TFK184" s="239"/>
      <c r="TFL184" s="239"/>
      <c r="TFM184" s="239"/>
      <c r="TFN184" s="239"/>
      <c r="TFO184" s="239"/>
      <c r="TFP184" s="239"/>
      <c r="TFQ184" s="239"/>
      <c r="TFR184" s="239"/>
      <c r="TFS184" s="239"/>
      <c r="TFT184" s="239"/>
      <c r="TFU184" s="239"/>
      <c r="TFV184" s="239"/>
      <c r="TFW184" s="239"/>
      <c r="TFX184" s="239"/>
      <c r="TFY184" s="239"/>
      <c r="TFZ184" s="239"/>
      <c r="TGA184" s="239"/>
      <c r="TGB184" s="239"/>
      <c r="TGC184" s="239"/>
      <c r="TGD184" s="239"/>
      <c r="TGE184" s="239"/>
      <c r="TGF184" s="239"/>
      <c r="TGG184" s="239"/>
      <c r="TGH184" s="239"/>
      <c r="TGI184" s="239"/>
      <c r="TGJ184" s="239"/>
      <c r="TGK184" s="239"/>
      <c r="TGL184" s="239"/>
      <c r="TGM184" s="239"/>
      <c r="TGN184" s="239"/>
      <c r="TGO184" s="239"/>
      <c r="TGP184" s="239"/>
      <c r="TGQ184" s="239"/>
      <c r="TGR184" s="239"/>
      <c r="TGS184" s="239"/>
      <c r="TGT184" s="239"/>
      <c r="TGU184" s="239"/>
      <c r="TGV184" s="239"/>
      <c r="TGW184" s="239"/>
      <c r="TGX184" s="239"/>
      <c r="TGY184" s="239"/>
      <c r="TGZ184" s="239"/>
      <c r="THA184" s="239"/>
      <c r="THB184" s="239"/>
      <c r="THC184" s="239"/>
      <c r="THD184" s="239"/>
      <c r="THE184" s="239"/>
      <c r="THF184" s="239"/>
      <c r="THG184" s="239"/>
      <c r="THH184" s="239"/>
      <c r="THI184" s="239"/>
      <c r="THJ184" s="239"/>
      <c r="THK184" s="239"/>
      <c r="THL184" s="239"/>
      <c r="THM184" s="239"/>
      <c r="THN184" s="239"/>
      <c r="THO184" s="239"/>
      <c r="THP184" s="239"/>
      <c r="THQ184" s="239"/>
      <c r="THR184" s="239"/>
      <c r="THS184" s="239"/>
      <c r="THT184" s="239"/>
      <c r="THU184" s="239"/>
      <c r="THV184" s="239"/>
      <c r="THW184" s="239"/>
      <c r="THX184" s="239"/>
      <c r="THY184" s="239"/>
      <c r="THZ184" s="239"/>
      <c r="TIA184" s="239"/>
      <c r="TIB184" s="239"/>
      <c r="TIC184" s="239"/>
      <c r="TID184" s="239"/>
      <c r="TIE184" s="239"/>
      <c r="TIF184" s="239"/>
      <c r="TIG184" s="239"/>
      <c r="TIH184" s="239"/>
      <c r="TII184" s="239"/>
      <c r="TIJ184" s="239"/>
      <c r="TIK184" s="239"/>
      <c r="TIL184" s="239"/>
      <c r="TIM184" s="239"/>
      <c r="TIN184" s="239"/>
      <c r="TIO184" s="239"/>
      <c r="TIP184" s="239"/>
      <c r="TIQ184" s="239"/>
      <c r="TIR184" s="239"/>
      <c r="TIS184" s="239"/>
      <c r="TIT184" s="239"/>
      <c r="TIU184" s="239"/>
      <c r="TIV184" s="239"/>
      <c r="TIW184" s="239"/>
      <c r="TIX184" s="239"/>
      <c r="TIY184" s="239"/>
      <c r="TIZ184" s="239"/>
      <c r="TJA184" s="239"/>
      <c r="TJB184" s="239"/>
      <c r="TJC184" s="239"/>
      <c r="TJD184" s="239"/>
      <c r="TJE184" s="239"/>
      <c r="TJF184" s="239"/>
      <c r="TJG184" s="239"/>
      <c r="TJH184" s="239"/>
      <c r="TJI184" s="239"/>
      <c r="TJJ184" s="239"/>
      <c r="TJK184" s="239"/>
      <c r="TJL184" s="239"/>
      <c r="TJM184" s="239"/>
      <c r="TJN184" s="239"/>
      <c r="TJO184" s="239"/>
      <c r="TJP184" s="239"/>
      <c r="TJQ184" s="239"/>
      <c r="TJR184" s="239"/>
      <c r="TJS184" s="239"/>
      <c r="TJT184" s="239"/>
      <c r="TJU184" s="239"/>
      <c r="TJV184" s="239"/>
      <c r="TJW184" s="239"/>
      <c r="TJX184" s="239"/>
      <c r="TJY184" s="239"/>
      <c r="TJZ184" s="239"/>
      <c r="TKA184" s="239"/>
      <c r="TKB184" s="239"/>
      <c r="TKC184" s="239"/>
      <c r="TKD184" s="239"/>
      <c r="TKE184" s="239"/>
      <c r="TKF184" s="239"/>
      <c r="TKG184" s="239"/>
      <c r="TKH184" s="239"/>
      <c r="TKI184" s="239"/>
      <c r="TKJ184" s="239"/>
      <c r="TKK184" s="239"/>
      <c r="TKL184" s="239"/>
      <c r="TKM184" s="239"/>
      <c r="TKN184" s="239"/>
      <c r="TKO184" s="239"/>
      <c r="TKP184" s="239"/>
      <c r="TKQ184" s="239"/>
      <c r="TKR184" s="239"/>
      <c r="TKS184" s="239"/>
      <c r="TKT184" s="239"/>
      <c r="TKU184" s="239"/>
      <c r="TKV184" s="239"/>
      <c r="TKW184" s="239"/>
      <c r="TKX184" s="239"/>
      <c r="TKY184" s="239"/>
      <c r="TKZ184" s="239"/>
      <c r="TLA184" s="239"/>
      <c r="TLB184" s="239"/>
      <c r="TLC184" s="239"/>
      <c r="TLD184" s="239"/>
      <c r="TLE184" s="239"/>
      <c r="TLF184" s="239"/>
      <c r="TLG184" s="239"/>
      <c r="TLH184" s="239"/>
      <c r="TLI184" s="239"/>
      <c r="TLJ184" s="239"/>
      <c r="TLK184" s="239"/>
      <c r="TLL184" s="239"/>
      <c r="TLM184" s="239"/>
      <c r="TLN184" s="239"/>
      <c r="TLO184" s="239"/>
      <c r="TLP184" s="239"/>
      <c r="TLQ184" s="239"/>
      <c r="TLR184" s="239"/>
      <c r="TLS184" s="239"/>
      <c r="TLT184" s="239"/>
      <c r="TLU184" s="239"/>
      <c r="TLV184" s="239"/>
      <c r="TLW184" s="239"/>
      <c r="TLX184" s="239"/>
      <c r="TLY184" s="239"/>
      <c r="TLZ184" s="239"/>
      <c r="TMA184" s="239"/>
      <c r="TMB184" s="239"/>
      <c r="TMC184" s="239"/>
      <c r="TMD184" s="239"/>
      <c r="TME184" s="239"/>
      <c r="TMF184" s="239"/>
      <c r="TMG184" s="239"/>
      <c r="TMH184" s="239"/>
      <c r="TMI184" s="239"/>
      <c r="TMJ184" s="239"/>
      <c r="TMK184" s="239"/>
      <c r="TML184" s="239"/>
      <c r="TMM184" s="239"/>
      <c r="TMN184" s="239"/>
      <c r="TMO184" s="239"/>
      <c r="TMP184" s="239"/>
      <c r="TMQ184" s="239"/>
      <c r="TMR184" s="239"/>
      <c r="TMS184" s="239"/>
      <c r="TMT184" s="239"/>
      <c r="TMU184" s="239"/>
      <c r="TMV184" s="239"/>
      <c r="TMW184" s="239"/>
      <c r="TMX184" s="239"/>
      <c r="TMY184" s="239"/>
      <c r="TMZ184" s="239"/>
      <c r="TNA184" s="239"/>
      <c r="TNB184" s="239"/>
      <c r="TNC184" s="239"/>
      <c r="TND184" s="239"/>
      <c r="TNE184" s="239"/>
      <c r="TNF184" s="239"/>
      <c r="TNG184" s="239"/>
      <c r="TNH184" s="239"/>
      <c r="TNI184" s="239"/>
      <c r="TNJ184" s="239"/>
      <c r="TNK184" s="239"/>
      <c r="TNL184" s="239"/>
      <c r="TNM184" s="239"/>
      <c r="TNN184" s="239"/>
      <c r="TNO184" s="239"/>
      <c r="TNP184" s="239"/>
      <c r="TNQ184" s="239"/>
      <c r="TNR184" s="239"/>
      <c r="TNS184" s="239"/>
      <c r="TNT184" s="239"/>
      <c r="TNU184" s="239"/>
      <c r="TNV184" s="239"/>
      <c r="TNW184" s="239"/>
      <c r="TNX184" s="239"/>
      <c r="TNY184" s="239"/>
      <c r="TNZ184" s="239"/>
      <c r="TOA184" s="239"/>
      <c r="TOB184" s="239"/>
      <c r="TOC184" s="239"/>
      <c r="TOD184" s="239"/>
      <c r="TOE184" s="239"/>
      <c r="TOF184" s="239"/>
      <c r="TOG184" s="239"/>
      <c r="TOH184" s="239"/>
      <c r="TOI184" s="239"/>
      <c r="TOJ184" s="239"/>
      <c r="TOK184" s="239"/>
      <c r="TOL184" s="239"/>
      <c r="TOM184" s="239"/>
      <c r="TON184" s="239"/>
      <c r="TOO184" s="239"/>
      <c r="TOP184" s="239"/>
      <c r="TOQ184" s="239"/>
      <c r="TOR184" s="239"/>
      <c r="TOS184" s="239"/>
      <c r="TOT184" s="239"/>
      <c r="TOU184" s="239"/>
      <c r="TOV184" s="239"/>
      <c r="TOW184" s="239"/>
      <c r="TOX184" s="239"/>
      <c r="TOY184" s="239"/>
      <c r="TOZ184" s="239"/>
      <c r="TPA184" s="239"/>
      <c r="TPB184" s="239"/>
      <c r="TPC184" s="239"/>
      <c r="TPD184" s="239"/>
      <c r="TPE184" s="239"/>
      <c r="TPF184" s="239"/>
      <c r="TPG184" s="239"/>
      <c r="TPH184" s="239"/>
      <c r="TPI184" s="239"/>
      <c r="TPJ184" s="239"/>
      <c r="TPK184" s="239"/>
      <c r="TPL184" s="239"/>
      <c r="TPM184" s="239"/>
      <c r="TPN184" s="239"/>
      <c r="TPO184" s="239"/>
      <c r="TPP184" s="239"/>
      <c r="TPQ184" s="239"/>
      <c r="TPR184" s="239"/>
      <c r="TPS184" s="239"/>
      <c r="TPT184" s="239"/>
      <c r="TPU184" s="239"/>
      <c r="TPV184" s="239"/>
      <c r="TPW184" s="239"/>
      <c r="TPX184" s="239"/>
      <c r="TPY184" s="239"/>
      <c r="TPZ184" s="239"/>
      <c r="TQA184" s="239"/>
      <c r="TQB184" s="239"/>
      <c r="TQC184" s="239"/>
      <c r="TQD184" s="239"/>
      <c r="TQE184" s="239"/>
      <c r="TQF184" s="239"/>
      <c r="TQG184" s="239"/>
      <c r="TQH184" s="239"/>
      <c r="TQI184" s="239"/>
      <c r="TQJ184" s="239"/>
      <c r="TQK184" s="239"/>
      <c r="TQL184" s="239"/>
      <c r="TQM184" s="239"/>
      <c r="TQN184" s="239"/>
      <c r="TQO184" s="239"/>
      <c r="TQP184" s="239"/>
      <c r="TQQ184" s="239"/>
      <c r="TQR184" s="239"/>
      <c r="TQS184" s="239"/>
      <c r="TQT184" s="239"/>
      <c r="TQU184" s="239"/>
      <c r="TQV184" s="239"/>
      <c r="TQW184" s="239"/>
      <c r="TQX184" s="239"/>
      <c r="TQY184" s="239"/>
      <c r="TQZ184" s="239"/>
      <c r="TRA184" s="239"/>
      <c r="TRB184" s="239"/>
      <c r="TRC184" s="239"/>
      <c r="TRD184" s="239"/>
      <c r="TRE184" s="239"/>
      <c r="TRF184" s="239"/>
      <c r="TRG184" s="239"/>
      <c r="TRH184" s="239"/>
      <c r="TRI184" s="239"/>
      <c r="TRJ184" s="239"/>
      <c r="TRK184" s="239"/>
      <c r="TRL184" s="239"/>
      <c r="TRM184" s="239"/>
      <c r="TRN184" s="239"/>
      <c r="TRO184" s="239"/>
      <c r="TRP184" s="239"/>
      <c r="TRQ184" s="239"/>
      <c r="TRR184" s="239"/>
      <c r="TRS184" s="239"/>
      <c r="TRT184" s="239"/>
      <c r="TRU184" s="239"/>
      <c r="TRV184" s="239"/>
      <c r="TRW184" s="239"/>
      <c r="TRX184" s="239"/>
      <c r="TRY184" s="239"/>
      <c r="TRZ184" s="239"/>
      <c r="TSA184" s="239"/>
      <c r="TSB184" s="239"/>
      <c r="TSC184" s="239"/>
      <c r="TSD184" s="239"/>
      <c r="TSE184" s="239"/>
      <c r="TSF184" s="239"/>
      <c r="TSG184" s="239"/>
      <c r="TSH184" s="239"/>
      <c r="TSI184" s="239"/>
      <c r="TSJ184" s="239"/>
      <c r="TSK184" s="239"/>
      <c r="TSL184" s="239"/>
      <c r="TSM184" s="239"/>
      <c r="TSN184" s="239"/>
      <c r="TSO184" s="239"/>
      <c r="TSP184" s="239"/>
      <c r="TSQ184" s="239"/>
      <c r="TSR184" s="239"/>
      <c r="TSS184" s="239"/>
      <c r="TST184" s="239"/>
      <c r="TSU184" s="239"/>
      <c r="TSV184" s="239"/>
      <c r="TSW184" s="239"/>
      <c r="TSX184" s="239"/>
      <c r="TSY184" s="239"/>
      <c r="TSZ184" s="239"/>
      <c r="TTA184" s="239"/>
      <c r="TTB184" s="239"/>
      <c r="TTC184" s="239"/>
      <c r="TTD184" s="239"/>
      <c r="TTE184" s="239"/>
      <c r="TTF184" s="239"/>
      <c r="TTG184" s="239"/>
      <c r="TTH184" s="239"/>
      <c r="TTI184" s="239"/>
      <c r="TTJ184" s="239"/>
      <c r="TTK184" s="239"/>
      <c r="TTL184" s="239"/>
      <c r="TTM184" s="239"/>
      <c r="TTN184" s="239"/>
      <c r="TTO184" s="239"/>
      <c r="TTP184" s="239"/>
      <c r="TTQ184" s="239"/>
      <c r="TTR184" s="239"/>
      <c r="TTS184" s="239"/>
      <c r="TTT184" s="239"/>
      <c r="TTU184" s="239"/>
      <c r="TTV184" s="239"/>
      <c r="TTW184" s="239"/>
      <c r="TTX184" s="239"/>
      <c r="TTY184" s="239"/>
      <c r="TTZ184" s="239"/>
      <c r="TUA184" s="239"/>
      <c r="TUB184" s="239"/>
      <c r="TUC184" s="239"/>
      <c r="TUD184" s="239"/>
      <c r="TUE184" s="239"/>
      <c r="TUF184" s="239"/>
      <c r="TUG184" s="239"/>
      <c r="TUH184" s="239"/>
      <c r="TUI184" s="239"/>
      <c r="TUJ184" s="239"/>
      <c r="TUK184" s="239"/>
      <c r="TUL184" s="239"/>
      <c r="TUM184" s="239"/>
      <c r="TUN184" s="239"/>
      <c r="TUO184" s="239"/>
      <c r="TUP184" s="239"/>
      <c r="TUQ184" s="239"/>
      <c r="TUR184" s="239"/>
      <c r="TUS184" s="239"/>
      <c r="TUT184" s="239"/>
      <c r="TUU184" s="239"/>
      <c r="TUV184" s="239"/>
      <c r="TUW184" s="239"/>
      <c r="TUX184" s="239"/>
      <c r="TUY184" s="239"/>
      <c r="TUZ184" s="239"/>
      <c r="TVA184" s="239"/>
      <c r="TVB184" s="239"/>
      <c r="TVC184" s="239"/>
      <c r="TVD184" s="239"/>
      <c r="TVE184" s="239"/>
      <c r="TVF184" s="239"/>
      <c r="TVG184" s="239"/>
      <c r="TVH184" s="239"/>
      <c r="TVI184" s="239"/>
      <c r="TVJ184" s="239"/>
      <c r="TVK184" s="239"/>
      <c r="TVL184" s="239"/>
      <c r="TVM184" s="239"/>
      <c r="TVN184" s="239"/>
      <c r="TVO184" s="239"/>
      <c r="TVP184" s="239"/>
      <c r="TVQ184" s="239"/>
      <c r="TVR184" s="239"/>
      <c r="TVS184" s="239"/>
      <c r="TVT184" s="239"/>
      <c r="TVU184" s="239"/>
      <c r="TVV184" s="239"/>
      <c r="TVW184" s="239"/>
      <c r="TVX184" s="239"/>
      <c r="TVY184" s="239"/>
      <c r="TVZ184" s="239"/>
      <c r="TWA184" s="239"/>
      <c r="TWB184" s="239"/>
      <c r="TWC184" s="239"/>
      <c r="TWD184" s="239"/>
      <c r="TWE184" s="239"/>
      <c r="TWF184" s="239"/>
      <c r="TWG184" s="239"/>
      <c r="TWH184" s="239"/>
      <c r="TWI184" s="239"/>
      <c r="TWJ184" s="239"/>
      <c r="TWK184" s="239"/>
      <c r="TWL184" s="239"/>
      <c r="TWM184" s="239"/>
      <c r="TWN184" s="239"/>
      <c r="TWO184" s="239"/>
      <c r="TWP184" s="239"/>
      <c r="TWQ184" s="239"/>
      <c r="TWR184" s="239"/>
      <c r="TWS184" s="239"/>
      <c r="TWT184" s="239"/>
      <c r="TWU184" s="239"/>
      <c r="TWV184" s="239"/>
      <c r="TWW184" s="239"/>
      <c r="TWX184" s="239"/>
      <c r="TWY184" s="239"/>
      <c r="TWZ184" s="239"/>
      <c r="TXA184" s="239"/>
      <c r="TXB184" s="239"/>
      <c r="TXC184" s="239"/>
      <c r="TXD184" s="239"/>
      <c r="TXE184" s="239"/>
      <c r="TXF184" s="239"/>
      <c r="TXG184" s="239"/>
      <c r="TXH184" s="239"/>
      <c r="TXI184" s="239"/>
      <c r="TXJ184" s="239"/>
      <c r="TXK184" s="239"/>
      <c r="TXL184" s="239"/>
      <c r="TXM184" s="239"/>
      <c r="TXN184" s="239"/>
      <c r="TXO184" s="239"/>
      <c r="TXP184" s="239"/>
      <c r="TXQ184" s="239"/>
      <c r="TXR184" s="239"/>
      <c r="TXS184" s="239"/>
      <c r="TXT184" s="239"/>
      <c r="TXU184" s="239"/>
      <c r="TXV184" s="239"/>
      <c r="TXW184" s="239"/>
      <c r="TXX184" s="239"/>
      <c r="TXY184" s="239"/>
      <c r="TXZ184" s="239"/>
      <c r="TYA184" s="239"/>
      <c r="TYB184" s="239"/>
      <c r="TYC184" s="239"/>
      <c r="TYD184" s="239"/>
      <c r="TYE184" s="239"/>
      <c r="TYF184" s="239"/>
      <c r="TYG184" s="239"/>
      <c r="TYH184" s="239"/>
      <c r="TYI184" s="239"/>
      <c r="TYJ184" s="239"/>
      <c r="TYK184" s="239"/>
      <c r="TYL184" s="239"/>
      <c r="TYM184" s="239"/>
      <c r="TYN184" s="239"/>
      <c r="TYO184" s="239"/>
      <c r="TYP184" s="239"/>
      <c r="TYQ184" s="239"/>
      <c r="TYR184" s="239"/>
      <c r="TYS184" s="239"/>
      <c r="TYT184" s="239"/>
      <c r="TYU184" s="239"/>
      <c r="TYV184" s="239"/>
      <c r="TYW184" s="239"/>
      <c r="TYX184" s="239"/>
      <c r="TYY184" s="239"/>
      <c r="TYZ184" s="239"/>
      <c r="TZA184" s="239"/>
      <c r="TZB184" s="239"/>
      <c r="TZC184" s="239"/>
      <c r="TZD184" s="239"/>
      <c r="TZE184" s="239"/>
      <c r="TZF184" s="239"/>
      <c r="TZG184" s="239"/>
      <c r="TZH184" s="239"/>
      <c r="TZI184" s="239"/>
      <c r="TZJ184" s="239"/>
      <c r="TZK184" s="239"/>
      <c r="TZL184" s="239"/>
      <c r="TZM184" s="239"/>
      <c r="TZN184" s="239"/>
      <c r="TZO184" s="239"/>
      <c r="TZP184" s="239"/>
      <c r="TZQ184" s="239"/>
      <c r="TZR184" s="239"/>
      <c r="TZS184" s="239"/>
      <c r="TZT184" s="239"/>
      <c r="TZU184" s="239"/>
      <c r="TZV184" s="239"/>
      <c r="TZW184" s="239"/>
      <c r="TZX184" s="239"/>
      <c r="TZY184" s="239"/>
      <c r="TZZ184" s="239"/>
      <c r="UAA184" s="239"/>
      <c r="UAB184" s="239"/>
      <c r="UAC184" s="239"/>
      <c r="UAD184" s="239"/>
      <c r="UAE184" s="239"/>
      <c r="UAF184" s="239"/>
      <c r="UAG184" s="239"/>
      <c r="UAH184" s="239"/>
      <c r="UAI184" s="239"/>
      <c r="UAJ184" s="239"/>
      <c r="UAK184" s="239"/>
      <c r="UAL184" s="239"/>
      <c r="UAM184" s="239"/>
      <c r="UAN184" s="239"/>
      <c r="UAO184" s="239"/>
      <c r="UAP184" s="239"/>
      <c r="UAQ184" s="239"/>
      <c r="UAR184" s="239"/>
      <c r="UAS184" s="239"/>
      <c r="UAT184" s="239"/>
      <c r="UAU184" s="239"/>
      <c r="UAV184" s="239"/>
      <c r="UAW184" s="239"/>
      <c r="UAX184" s="239"/>
      <c r="UAY184" s="239"/>
      <c r="UAZ184" s="239"/>
      <c r="UBA184" s="239"/>
      <c r="UBB184" s="239"/>
      <c r="UBC184" s="239"/>
      <c r="UBD184" s="239"/>
      <c r="UBE184" s="239"/>
      <c r="UBF184" s="239"/>
      <c r="UBG184" s="239"/>
      <c r="UBH184" s="239"/>
      <c r="UBI184" s="239"/>
      <c r="UBJ184" s="239"/>
      <c r="UBK184" s="239"/>
      <c r="UBL184" s="239"/>
      <c r="UBM184" s="239"/>
      <c r="UBN184" s="239"/>
      <c r="UBO184" s="239"/>
      <c r="UBP184" s="239"/>
      <c r="UBQ184" s="239"/>
      <c r="UBR184" s="239"/>
      <c r="UBS184" s="239"/>
      <c r="UBT184" s="239"/>
      <c r="UBU184" s="239"/>
      <c r="UBV184" s="239"/>
      <c r="UBW184" s="239"/>
      <c r="UBX184" s="239"/>
      <c r="UBY184" s="239"/>
      <c r="UBZ184" s="239"/>
      <c r="UCA184" s="239"/>
      <c r="UCB184" s="239"/>
      <c r="UCC184" s="239"/>
      <c r="UCD184" s="239"/>
      <c r="UCE184" s="239"/>
      <c r="UCF184" s="239"/>
      <c r="UCG184" s="239"/>
      <c r="UCH184" s="239"/>
      <c r="UCI184" s="239"/>
      <c r="UCJ184" s="239"/>
      <c r="UCK184" s="239"/>
      <c r="UCL184" s="239"/>
      <c r="UCM184" s="239"/>
      <c r="UCN184" s="239"/>
      <c r="UCO184" s="239"/>
      <c r="UCP184" s="239"/>
      <c r="UCQ184" s="239"/>
      <c r="UCR184" s="239"/>
      <c r="UCS184" s="239"/>
      <c r="UCT184" s="239"/>
      <c r="UCU184" s="239"/>
      <c r="UCV184" s="239"/>
      <c r="UCW184" s="239"/>
      <c r="UCX184" s="239"/>
      <c r="UCY184" s="239"/>
      <c r="UCZ184" s="239"/>
      <c r="UDA184" s="239"/>
      <c r="UDB184" s="239"/>
      <c r="UDC184" s="239"/>
      <c r="UDD184" s="239"/>
      <c r="UDE184" s="239"/>
      <c r="UDF184" s="239"/>
      <c r="UDG184" s="239"/>
      <c r="UDH184" s="239"/>
      <c r="UDI184" s="239"/>
      <c r="UDJ184" s="239"/>
      <c r="UDK184" s="239"/>
      <c r="UDL184" s="239"/>
      <c r="UDM184" s="239"/>
      <c r="UDN184" s="239"/>
      <c r="UDO184" s="239"/>
      <c r="UDP184" s="239"/>
      <c r="UDQ184" s="239"/>
      <c r="UDR184" s="239"/>
      <c r="UDS184" s="239"/>
      <c r="UDT184" s="239"/>
      <c r="UDU184" s="239"/>
      <c r="UDV184" s="239"/>
      <c r="UDW184" s="239"/>
      <c r="UDX184" s="239"/>
      <c r="UDY184" s="239"/>
      <c r="UDZ184" s="239"/>
      <c r="UEA184" s="239"/>
      <c r="UEB184" s="239"/>
      <c r="UEC184" s="239"/>
      <c r="UED184" s="239"/>
      <c r="UEE184" s="239"/>
      <c r="UEF184" s="239"/>
      <c r="UEG184" s="239"/>
      <c r="UEH184" s="239"/>
      <c r="UEI184" s="239"/>
      <c r="UEJ184" s="239"/>
      <c r="UEK184" s="239"/>
      <c r="UEL184" s="239"/>
      <c r="UEM184" s="239"/>
      <c r="UEN184" s="239"/>
      <c r="UEO184" s="239"/>
      <c r="UEP184" s="239"/>
      <c r="UEQ184" s="239"/>
      <c r="UER184" s="239"/>
      <c r="UES184" s="239"/>
      <c r="UET184" s="239"/>
      <c r="UEU184" s="239"/>
      <c r="UEV184" s="239"/>
      <c r="UEW184" s="239"/>
      <c r="UEX184" s="239"/>
      <c r="UEY184" s="239"/>
      <c r="UEZ184" s="239"/>
      <c r="UFA184" s="239"/>
      <c r="UFB184" s="239"/>
      <c r="UFC184" s="239"/>
      <c r="UFD184" s="239"/>
      <c r="UFE184" s="239"/>
      <c r="UFF184" s="239"/>
      <c r="UFG184" s="239"/>
      <c r="UFH184" s="239"/>
      <c r="UFI184" s="239"/>
      <c r="UFJ184" s="239"/>
      <c r="UFK184" s="239"/>
      <c r="UFL184" s="239"/>
      <c r="UFM184" s="239"/>
      <c r="UFN184" s="239"/>
      <c r="UFO184" s="239"/>
      <c r="UFP184" s="239"/>
      <c r="UFQ184" s="239"/>
      <c r="UFR184" s="239"/>
      <c r="UFS184" s="239"/>
      <c r="UFT184" s="239"/>
      <c r="UFU184" s="239"/>
      <c r="UFV184" s="239"/>
      <c r="UFW184" s="239"/>
      <c r="UFX184" s="239"/>
      <c r="UFY184" s="239"/>
      <c r="UFZ184" s="239"/>
      <c r="UGA184" s="239"/>
      <c r="UGB184" s="239"/>
      <c r="UGC184" s="239"/>
      <c r="UGD184" s="239"/>
      <c r="UGE184" s="239"/>
      <c r="UGF184" s="239"/>
      <c r="UGG184" s="239"/>
      <c r="UGH184" s="239"/>
      <c r="UGI184" s="239"/>
      <c r="UGJ184" s="239"/>
      <c r="UGK184" s="239"/>
      <c r="UGL184" s="239"/>
      <c r="UGM184" s="239"/>
      <c r="UGN184" s="239"/>
      <c r="UGO184" s="239"/>
      <c r="UGP184" s="239"/>
      <c r="UGQ184" s="239"/>
      <c r="UGR184" s="239"/>
      <c r="UGS184" s="239"/>
      <c r="UGT184" s="239"/>
      <c r="UGU184" s="239"/>
      <c r="UGV184" s="239"/>
      <c r="UGW184" s="239"/>
      <c r="UGX184" s="239"/>
      <c r="UGY184" s="239"/>
      <c r="UGZ184" s="239"/>
      <c r="UHA184" s="239"/>
      <c r="UHB184" s="239"/>
      <c r="UHC184" s="239"/>
      <c r="UHD184" s="239"/>
      <c r="UHE184" s="239"/>
      <c r="UHF184" s="239"/>
      <c r="UHG184" s="239"/>
      <c r="UHH184" s="239"/>
      <c r="UHI184" s="239"/>
      <c r="UHJ184" s="239"/>
      <c r="UHK184" s="239"/>
      <c r="UHL184" s="239"/>
      <c r="UHM184" s="239"/>
      <c r="UHN184" s="239"/>
      <c r="UHO184" s="239"/>
      <c r="UHP184" s="239"/>
      <c r="UHQ184" s="239"/>
      <c r="UHR184" s="239"/>
      <c r="UHS184" s="239"/>
      <c r="UHT184" s="239"/>
      <c r="UHU184" s="239"/>
      <c r="UHV184" s="239"/>
      <c r="UHW184" s="239"/>
      <c r="UHX184" s="239"/>
      <c r="UHY184" s="239"/>
      <c r="UHZ184" s="239"/>
      <c r="UIA184" s="239"/>
      <c r="UIB184" s="239"/>
      <c r="UIC184" s="239"/>
      <c r="UID184" s="239"/>
      <c r="UIE184" s="239"/>
      <c r="UIF184" s="239"/>
      <c r="UIG184" s="239"/>
      <c r="UIH184" s="239"/>
      <c r="UII184" s="239"/>
      <c r="UIJ184" s="239"/>
      <c r="UIK184" s="239"/>
      <c r="UIL184" s="239"/>
      <c r="UIM184" s="239"/>
      <c r="UIN184" s="239"/>
      <c r="UIO184" s="239"/>
      <c r="UIP184" s="239"/>
      <c r="UIQ184" s="239"/>
      <c r="UIR184" s="239"/>
      <c r="UIS184" s="239"/>
      <c r="UIT184" s="239"/>
      <c r="UIU184" s="239"/>
      <c r="UIV184" s="239"/>
      <c r="UIW184" s="239"/>
      <c r="UIX184" s="239"/>
      <c r="UIY184" s="239"/>
      <c r="UIZ184" s="239"/>
      <c r="UJA184" s="239"/>
      <c r="UJB184" s="239"/>
      <c r="UJC184" s="239"/>
      <c r="UJD184" s="239"/>
      <c r="UJE184" s="239"/>
      <c r="UJF184" s="239"/>
      <c r="UJG184" s="239"/>
      <c r="UJH184" s="239"/>
      <c r="UJI184" s="239"/>
      <c r="UJJ184" s="239"/>
      <c r="UJK184" s="239"/>
      <c r="UJL184" s="239"/>
      <c r="UJM184" s="239"/>
      <c r="UJN184" s="239"/>
      <c r="UJO184" s="239"/>
      <c r="UJP184" s="239"/>
      <c r="UJQ184" s="239"/>
      <c r="UJR184" s="239"/>
      <c r="UJS184" s="239"/>
      <c r="UJT184" s="239"/>
      <c r="UJU184" s="239"/>
      <c r="UJV184" s="239"/>
      <c r="UJW184" s="239"/>
      <c r="UJX184" s="239"/>
      <c r="UJY184" s="239"/>
      <c r="UJZ184" s="239"/>
      <c r="UKA184" s="239"/>
      <c r="UKB184" s="239"/>
      <c r="UKC184" s="239"/>
      <c r="UKD184" s="239"/>
      <c r="UKE184" s="239"/>
      <c r="UKF184" s="239"/>
      <c r="UKG184" s="239"/>
      <c r="UKH184" s="239"/>
      <c r="UKI184" s="239"/>
      <c r="UKJ184" s="239"/>
      <c r="UKK184" s="239"/>
      <c r="UKL184" s="239"/>
      <c r="UKM184" s="239"/>
      <c r="UKN184" s="239"/>
      <c r="UKO184" s="239"/>
      <c r="UKP184" s="239"/>
      <c r="UKQ184" s="239"/>
      <c r="UKR184" s="239"/>
      <c r="UKS184" s="239"/>
      <c r="UKT184" s="239"/>
      <c r="UKU184" s="239"/>
      <c r="UKV184" s="239"/>
      <c r="UKW184" s="239"/>
      <c r="UKX184" s="239"/>
      <c r="UKY184" s="239"/>
      <c r="UKZ184" s="239"/>
      <c r="ULA184" s="239"/>
      <c r="ULB184" s="239"/>
      <c r="ULC184" s="239"/>
      <c r="ULD184" s="239"/>
      <c r="ULE184" s="239"/>
      <c r="ULF184" s="239"/>
      <c r="ULG184" s="239"/>
      <c r="ULH184" s="239"/>
      <c r="ULI184" s="239"/>
      <c r="ULJ184" s="239"/>
      <c r="ULK184" s="239"/>
      <c r="ULL184" s="239"/>
      <c r="ULM184" s="239"/>
      <c r="ULN184" s="239"/>
      <c r="ULO184" s="239"/>
      <c r="ULP184" s="239"/>
      <c r="ULQ184" s="239"/>
      <c r="ULR184" s="239"/>
      <c r="ULS184" s="239"/>
      <c r="ULT184" s="239"/>
      <c r="ULU184" s="239"/>
      <c r="ULV184" s="239"/>
      <c r="ULW184" s="239"/>
      <c r="ULX184" s="239"/>
      <c r="ULY184" s="239"/>
      <c r="ULZ184" s="239"/>
      <c r="UMA184" s="239"/>
      <c r="UMB184" s="239"/>
      <c r="UMC184" s="239"/>
      <c r="UMD184" s="239"/>
      <c r="UME184" s="239"/>
      <c r="UMF184" s="239"/>
      <c r="UMG184" s="239"/>
      <c r="UMH184" s="239"/>
      <c r="UMI184" s="239"/>
      <c r="UMJ184" s="239"/>
      <c r="UMK184" s="239"/>
      <c r="UML184" s="239"/>
      <c r="UMM184" s="239"/>
      <c r="UMN184" s="239"/>
      <c r="UMO184" s="239"/>
      <c r="UMP184" s="239"/>
      <c r="UMQ184" s="239"/>
      <c r="UMR184" s="239"/>
      <c r="UMS184" s="239"/>
      <c r="UMT184" s="239"/>
      <c r="UMU184" s="239"/>
      <c r="UMV184" s="239"/>
      <c r="UMW184" s="239"/>
      <c r="UMX184" s="239"/>
      <c r="UMY184" s="239"/>
      <c r="UMZ184" s="239"/>
      <c r="UNA184" s="239"/>
      <c r="UNB184" s="239"/>
      <c r="UNC184" s="239"/>
      <c r="UND184" s="239"/>
      <c r="UNE184" s="239"/>
      <c r="UNF184" s="239"/>
      <c r="UNG184" s="239"/>
      <c r="UNH184" s="239"/>
      <c r="UNI184" s="239"/>
      <c r="UNJ184" s="239"/>
      <c r="UNK184" s="239"/>
      <c r="UNL184" s="239"/>
      <c r="UNM184" s="239"/>
      <c r="UNN184" s="239"/>
      <c r="UNO184" s="239"/>
      <c r="UNP184" s="239"/>
      <c r="UNQ184" s="239"/>
      <c r="UNR184" s="239"/>
      <c r="UNS184" s="239"/>
      <c r="UNT184" s="239"/>
      <c r="UNU184" s="239"/>
      <c r="UNV184" s="239"/>
      <c r="UNW184" s="239"/>
      <c r="UNX184" s="239"/>
      <c r="UNY184" s="239"/>
      <c r="UNZ184" s="239"/>
      <c r="UOA184" s="239"/>
      <c r="UOB184" s="239"/>
      <c r="UOC184" s="239"/>
      <c r="UOD184" s="239"/>
      <c r="UOE184" s="239"/>
      <c r="UOF184" s="239"/>
      <c r="UOG184" s="239"/>
      <c r="UOH184" s="239"/>
      <c r="UOI184" s="239"/>
      <c r="UOJ184" s="239"/>
      <c r="UOK184" s="239"/>
      <c r="UOL184" s="239"/>
      <c r="UOM184" s="239"/>
      <c r="UON184" s="239"/>
      <c r="UOO184" s="239"/>
      <c r="UOP184" s="239"/>
      <c r="UOQ184" s="239"/>
      <c r="UOR184" s="239"/>
      <c r="UOS184" s="239"/>
      <c r="UOT184" s="239"/>
      <c r="UOU184" s="239"/>
      <c r="UOV184" s="239"/>
      <c r="UOW184" s="239"/>
      <c r="UOX184" s="239"/>
      <c r="UOY184" s="239"/>
      <c r="UOZ184" s="239"/>
      <c r="UPA184" s="239"/>
      <c r="UPB184" s="239"/>
      <c r="UPC184" s="239"/>
      <c r="UPD184" s="239"/>
      <c r="UPE184" s="239"/>
      <c r="UPF184" s="239"/>
      <c r="UPG184" s="239"/>
      <c r="UPH184" s="239"/>
      <c r="UPI184" s="239"/>
      <c r="UPJ184" s="239"/>
      <c r="UPK184" s="239"/>
      <c r="UPL184" s="239"/>
      <c r="UPM184" s="239"/>
      <c r="UPN184" s="239"/>
      <c r="UPO184" s="239"/>
      <c r="UPP184" s="239"/>
      <c r="UPQ184" s="239"/>
      <c r="UPR184" s="239"/>
      <c r="UPS184" s="239"/>
      <c r="UPT184" s="239"/>
      <c r="UPU184" s="239"/>
      <c r="UPV184" s="239"/>
      <c r="UPW184" s="239"/>
      <c r="UPX184" s="239"/>
      <c r="UPY184" s="239"/>
      <c r="UPZ184" s="239"/>
      <c r="UQA184" s="239"/>
      <c r="UQB184" s="239"/>
      <c r="UQC184" s="239"/>
      <c r="UQD184" s="239"/>
      <c r="UQE184" s="239"/>
      <c r="UQF184" s="239"/>
      <c r="UQG184" s="239"/>
      <c r="UQH184" s="239"/>
      <c r="UQI184" s="239"/>
      <c r="UQJ184" s="239"/>
      <c r="UQK184" s="239"/>
      <c r="UQL184" s="239"/>
      <c r="UQM184" s="239"/>
      <c r="UQN184" s="239"/>
      <c r="UQO184" s="239"/>
      <c r="UQP184" s="239"/>
      <c r="UQQ184" s="239"/>
      <c r="UQR184" s="239"/>
      <c r="UQS184" s="239"/>
      <c r="UQT184" s="239"/>
      <c r="UQU184" s="239"/>
      <c r="UQV184" s="239"/>
      <c r="UQW184" s="239"/>
      <c r="UQX184" s="239"/>
      <c r="UQY184" s="239"/>
      <c r="UQZ184" s="239"/>
      <c r="URA184" s="239"/>
      <c r="URB184" s="239"/>
      <c r="URC184" s="239"/>
      <c r="URD184" s="239"/>
      <c r="URE184" s="239"/>
      <c r="URF184" s="239"/>
      <c r="URG184" s="239"/>
      <c r="URH184" s="239"/>
      <c r="URI184" s="239"/>
      <c r="URJ184" s="239"/>
      <c r="URK184" s="239"/>
      <c r="URL184" s="239"/>
      <c r="URM184" s="239"/>
      <c r="URN184" s="239"/>
      <c r="URO184" s="239"/>
      <c r="URP184" s="239"/>
      <c r="URQ184" s="239"/>
      <c r="URR184" s="239"/>
      <c r="URS184" s="239"/>
      <c r="URT184" s="239"/>
      <c r="URU184" s="239"/>
      <c r="URV184" s="239"/>
      <c r="URW184" s="239"/>
      <c r="URX184" s="239"/>
      <c r="URY184" s="239"/>
      <c r="URZ184" s="239"/>
      <c r="USA184" s="239"/>
      <c r="USB184" s="239"/>
      <c r="USC184" s="239"/>
      <c r="USD184" s="239"/>
      <c r="USE184" s="239"/>
      <c r="USF184" s="239"/>
      <c r="USG184" s="239"/>
      <c r="USH184" s="239"/>
      <c r="USI184" s="239"/>
      <c r="USJ184" s="239"/>
      <c r="USK184" s="239"/>
      <c r="USL184" s="239"/>
      <c r="USM184" s="239"/>
      <c r="USN184" s="239"/>
      <c r="USO184" s="239"/>
      <c r="USP184" s="239"/>
      <c r="USQ184" s="239"/>
      <c r="USR184" s="239"/>
      <c r="USS184" s="239"/>
      <c r="UST184" s="239"/>
      <c r="USU184" s="239"/>
      <c r="USV184" s="239"/>
      <c r="USW184" s="239"/>
      <c r="USX184" s="239"/>
      <c r="USY184" s="239"/>
      <c r="USZ184" s="239"/>
      <c r="UTA184" s="239"/>
      <c r="UTB184" s="239"/>
      <c r="UTC184" s="239"/>
      <c r="UTD184" s="239"/>
      <c r="UTE184" s="239"/>
      <c r="UTF184" s="239"/>
      <c r="UTG184" s="239"/>
      <c r="UTH184" s="239"/>
      <c r="UTI184" s="239"/>
      <c r="UTJ184" s="239"/>
      <c r="UTK184" s="239"/>
      <c r="UTL184" s="239"/>
      <c r="UTM184" s="239"/>
      <c r="UTN184" s="239"/>
      <c r="UTO184" s="239"/>
      <c r="UTP184" s="239"/>
      <c r="UTQ184" s="239"/>
      <c r="UTR184" s="239"/>
      <c r="UTS184" s="239"/>
      <c r="UTT184" s="239"/>
      <c r="UTU184" s="239"/>
      <c r="UTV184" s="239"/>
      <c r="UTW184" s="239"/>
      <c r="UTX184" s="239"/>
      <c r="UTY184" s="239"/>
      <c r="UTZ184" s="239"/>
      <c r="UUA184" s="239"/>
      <c r="UUB184" s="239"/>
      <c r="UUC184" s="239"/>
      <c r="UUD184" s="239"/>
      <c r="UUE184" s="239"/>
      <c r="UUF184" s="239"/>
      <c r="UUG184" s="239"/>
      <c r="UUH184" s="239"/>
      <c r="UUI184" s="239"/>
      <c r="UUJ184" s="239"/>
      <c r="UUK184" s="239"/>
      <c r="UUL184" s="239"/>
      <c r="UUM184" s="239"/>
      <c r="UUN184" s="239"/>
      <c r="UUO184" s="239"/>
      <c r="UUP184" s="239"/>
      <c r="UUQ184" s="239"/>
      <c r="UUR184" s="239"/>
      <c r="UUS184" s="239"/>
      <c r="UUT184" s="239"/>
      <c r="UUU184" s="239"/>
      <c r="UUV184" s="239"/>
      <c r="UUW184" s="239"/>
      <c r="UUX184" s="239"/>
      <c r="UUY184" s="239"/>
      <c r="UUZ184" s="239"/>
      <c r="UVA184" s="239"/>
      <c r="UVB184" s="239"/>
      <c r="UVC184" s="239"/>
      <c r="UVD184" s="239"/>
      <c r="UVE184" s="239"/>
      <c r="UVF184" s="239"/>
      <c r="UVG184" s="239"/>
      <c r="UVH184" s="239"/>
      <c r="UVI184" s="239"/>
      <c r="UVJ184" s="239"/>
      <c r="UVK184" s="239"/>
      <c r="UVL184" s="239"/>
      <c r="UVM184" s="239"/>
      <c r="UVN184" s="239"/>
      <c r="UVO184" s="239"/>
      <c r="UVP184" s="239"/>
      <c r="UVQ184" s="239"/>
      <c r="UVR184" s="239"/>
      <c r="UVS184" s="239"/>
      <c r="UVT184" s="239"/>
      <c r="UVU184" s="239"/>
      <c r="UVV184" s="239"/>
      <c r="UVW184" s="239"/>
      <c r="UVX184" s="239"/>
      <c r="UVY184" s="239"/>
      <c r="UVZ184" s="239"/>
      <c r="UWA184" s="239"/>
      <c r="UWB184" s="239"/>
      <c r="UWC184" s="239"/>
      <c r="UWD184" s="239"/>
      <c r="UWE184" s="239"/>
      <c r="UWF184" s="239"/>
      <c r="UWG184" s="239"/>
      <c r="UWH184" s="239"/>
      <c r="UWI184" s="239"/>
      <c r="UWJ184" s="239"/>
      <c r="UWK184" s="239"/>
      <c r="UWL184" s="239"/>
      <c r="UWM184" s="239"/>
      <c r="UWN184" s="239"/>
      <c r="UWO184" s="239"/>
      <c r="UWP184" s="239"/>
      <c r="UWQ184" s="239"/>
      <c r="UWR184" s="239"/>
      <c r="UWS184" s="239"/>
      <c r="UWT184" s="239"/>
      <c r="UWU184" s="239"/>
      <c r="UWV184" s="239"/>
      <c r="UWW184" s="239"/>
      <c r="UWX184" s="239"/>
      <c r="UWY184" s="239"/>
      <c r="UWZ184" s="239"/>
      <c r="UXA184" s="239"/>
      <c r="UXB184" s="239"/>
      <c r="UXC184" s="239"/>
      <c r="UXD184" s="239"/>
      <c r="UXE184" s="239"/>
      <c r="UXF184" s="239"/>
      <c r="UXG184" s="239"/>
      <c r="UXH184" s="239"/>
      <c r="UXI184" s="239"/>
      <c r="UXJ184" s="239"/>
      <c r="UXK184" s="239"/>
      <c r="UXL184" s="239"/>
      <c r="UXM184" s="239"/>
      <c r="UXN184" s="239"/>
      <c r="UXO184" s="239"/>
      <c r="UXP184" s="239"/>
      <c r="UXQ184" s="239"/>
      <c r="UXR184" s="239"/>
      <c r="UXS184" s="239"/>
      <c r="UXT184" s="239"/>
      <c r="UXU184" s="239"/>
      <c r="UXV184" s="239"/>
      <c r="UXW184" s="239"/>
      <c r="UXX184" s="239"/>
      <c r="UXY184" s="239"/>
      <c r="UXZ184" s="239"/>
      <c r="UYA184" s="239"/>
      <c r="UYB184" s="239"/>
      <c r="UYC184" s="239"/>
      <c r="UYD184" s="239"/>
      <c r="UYE184" s="239"/>
      <c r="UYF184" s="239"/>
      <c r="UYG184" s="239"/>
      <c r="UYH184" s="239"/>
      <c r="UYI184" s="239"/>
      <c r="UYJ184" s="239"/>
      <c r="UYK184" s="239"/>
      <c r="UYL184" s="239"/>
      <c r="UYM184" s="239"/>
      <c r="UYN184" s="239"/>
      <c r="UYO184" s="239"/>
      <c r="UYP184" s="239"/>
      <c r="UYQ184" s="239"/>
      <c r="UYR184" s="239"/>
      <c r="UYS184" s="239"/>
      <c r="UYT184" s="239"/>
      <c r="UYU184" s="239"/>
      <c r="UYV184" s="239"/>
      <c r="UYW184" s="239"/>
      <c r="UYX184" s="239"/>
      <c r="UYY184" s="239"/>
      <c r="UYZ184" s="239"/>
      <c r="UZA184" s="239"/>
      <c r="UZB184" s="239"/>
      <c r="UZC184" s="239"/>
      <c r="UZD184" s="239"/>
      <c r="UZE184" s="239"/>
      <c r="UZF184" s="239"/>
      <c r="UZG184" s="239"/>
      <c r="UZH184" s="239"/>
      <c r="UZI184" s="239"/>
      <c r="UZJ184" s="239"/>
      <c r="UZK184" s="239"/>
      <c r="UZL184" s="239"/>
      <c r="UZM184" s="239"/>
      <c r="UZN184" s="239"/>
      <c r="UZO184" s="239"/>
      <c r="UZP184" s="239"/>
      <c r="UZQ184" s="239"/>
      <c r="UZR184" s="239"/>
      <c r="UZS184" s="239"/>
      <c r="UZT184" s="239"/>
      <c r="UZU184" s="239"/>
      <c r="UZV184" s="239"/>
      <c r="UZW184" s="239"/>
      <c r="UZX184" s="239"/>
      <c r="UZY184" s="239"/>
      <c r="UZZ184" s="239"/>
      <c r="VAA184" s="239"/>
      <c r="VAB184" s="239"/>
      <c r="VAC184" s="239"/>
      <c r="VAD184" s="239"/>
      <c r="VAE184" s="239"/>
      <c r="VAF184" s="239"/>
      <c r="VAG184" s="239"/>
      <c r="VAH184" s="239"/>
      <c r="VAI184" s="239"/>
      <c r="VAJ184" s="239"/>
      <c r="VAK184" s="239"/>
      <c r="VAL184" s="239"/>
      <c r="VAM184" s="239"/>
      <c r="VAN184" s="239"/>
      <c r="VAO184" s="239"/>
      <c r="VAP184" s="239"/>
      <c r="VAQ184" s="239"/>
      <c r="VAR184" s="239"/>
      <c r="VAS184" s="239"/>
      <c r="VAT184" s="239"/>
      <c r="VAU184" s="239"/>
      <c r="VAV184" s="239"/>
      <c r="VAW184" s="239"/>
      <c r="VAX184" s="239"/>
      <c r="VAY184" s="239"/>
      <c r="VAZ184" s="239"/>
      <c r="VBA184" s="239"/>
      <c r="VBB184" s="239"/>
      <c r="VBC184" s="239"/>
      <c r="VBD184" s="239"/>
      <c r="VBE184" s="239"/>
      <c r="VBF184" s="239"/>
      <c r="VBG184" s="239"/>
      <c r="VBH184" s="239"/>
      <c r="VBI184" s="239"/>
      <c r="VBJ184" s="239"/>
      <c r="VBK184" s="239"/>
      <c r="VBL184" s="239"/>
      <c r="VBM184" s="239"/>
      <c r="VBN184" s="239"/>
      <c r="VBO184" s="239"/>
      <c r="VBP184" s="239"/>
      <c r="VBQ184" s="239"/>
      <c r="VBR184" s="239"/>
      <c r="VBS184" s="239"/>
      <c r="VBT184" s="239"/>
      <c r="VBU184" s="239"/>
      <c r="VBV184" s="239"/>
      <c r="VBW184" s="239"/>
      <c r="VBX184" s="239"/>
      <c r="VBY184" s="239"/>
      <c r="VBZ184" s="239"/>
      <c r="VCA184" s="239"/>
      <c r="VCB184" s="239"/>
      <c r="VCC184" s="239"/>
      <c r="VCD184" s="239"/>
      <c r="VCE184" s="239"/>
      <c r="VCF184" s="239"/>
      <c r="VCG184" s="239"/>
      <c r="VCH184" s="239"/>
      <c r="VCI184" s="239"/>
      <c r="VCJ184" s="239"/>
      <c r="VCK184" s="239"/>
      <c r="VCL184" s="239"/>
      <c r="VCM184" s="239"/>
      <c r="VCN184" s="239"/>
      <c r="VCO184" s="239"/>
      <c r="VCP184" s="239"/>
      <c r="VCQ184" s="239"/>
      <c r="VCR184" s="239"/>
      <c r="VCS184" s="239"/>
      <c r="VCT184" s="239"/>
      <c r="VCU184" s="239"/>
      <c r="VCV184" s="239"/>
      <c r="VCW184" s="239"/>
      <c r="VCX184" s="239"/>
      <c r="VCY184" s="239"/>
      <c r="VCZ184" s="239"/>
      <c r="VDA184" s="239"/>
      <c r="VDB184" s="239"/>
      <c r="VDC184" s="239"/>
      <c r="VDD184" s="239"/>
      <c r="VDE184" s="239"/>
      <c r="VDF184" s="239"/>
      <c r="VDG184" s="239"/>
      <c r="VDH184" s="239"/>
      <c r="VDI184" s="239"/>
      <c r="VDJ184" s="239"/>
      <c r="VDK184" s="239"/>
      <c r="VDL184" s="239"/>
      <c r="VDM184" s="239"/>
      <c r="VDN184" s="239"/>
      <c r="VDO184" s="239"/>
      <c r="VDP184" s="239"/>
      <c r="VDQ184" s="239"/>
      <c r="VDR184" s="239"/>
      <c r="VDS184" s="239"/>
      <c r="VDT184" s="239"/>
      <c r="VDU184" s="239"/>
      <c r="VDV184" s="239"/>
      <c r="VDW184" s="239"/>
      <c r="VDX184" s="239"/>
      <c r="VDY184" s="239"/>
      <c r="VDZ184" s="239"/>
      <c r="VEA184" s="239"/>
      <c r="VEB184" s="239"/>
      <c r="VEC184" s="239"/>
      <c r="VED184" s="239"/>
      <c r="VEE184" s="239"/>
      <c r="VEF184" s="239"/>
      <c r="VEG184" s="239"/>
      <c r="VEH184" s="239"/>
      <c r="VEI184" s="239"/>
      <c r="VEJ184" s="239"/>
      <c r="VEK184" s="239"/>
      <c r="VEL184" s="239"/>
      <c r="VEM184" s="239"/>
      <c r="VEN184" s="239"/>
      <c r="VEO184" s="239"/>
      <c r="VEP184" s="239"/>
      <c r="VEQ184" s="239"/>
      <c r="VER184" s="239"/>
      <c r="VES184" s="239"/>
      <c r="VET184" s="239"/>
      <c r="VEU184" s="239"/>
      <c r="VEV184" s="239"/>
      <c r="VEW184" s="239"/>
      <c r="VEX184" s="239"/>
      <c r="VEY184" s="239"/>
      <c r="VEZ184" s="239"/>
      <c r="VFA184" s="239"/>
      <c r="VFB184" s="239"/>
      <c r="VFC184" s="239"/>
      <c r="VFD184" s="239"/>
      <c r="VFE184" s="239"/>
      <c r="VFF184" s="239"/>
      <c r="VFG184" s="239"/>
      <c r="VFH184" s="239"/>
      <c r="VFI184" s="239"/>
      <c r="VFJ184" s="239"/>
      <c r="VFK184" s="239"/>
      <c r="VFL184" s="239"/>
      <c r="VFM184" s="239"/>
      <c r="VFN184" s="239"/>
      <c r="VFO184" s="239"/>
      <c r="VFP184" s="239"/>
      <c r="VFQ184" s="239"/>
      <c r="VFR184" s="239"/>
      <c r="VFS184" s="239"/>
      <c r="VFT184" s="239"/>
      <c r="VFU184" s="239"/>
      <c r="VFV184" s="239"/>
      <c r="VFW184" s="239"/>
      <c r="VFX184" s="239"/>
      <c r="VFY184" s="239"/>
      <c r="VFZ184" s="239"/>
      <c r="VGA184" s="239"/>
      <c r="VGB184" s="239"/>
      <c r="VGC184" s="239"/>
      <c r="VGD184" s="239"/>
      <c r="VGE184" s="239"/>
      <c r="VGF184" s="239"/>
      <c r="VGG184" s="239"/>
      <c r="VGH184" s="239"/>
      <c r="VGI184" s="239"/>
      <c r="VGJ184" s="239"/>
      <c r="VGK184" s="239"/>
      <c r="VGL184" s="239"/>
      <c r="VGM184" s="239"/>
      <c r="VGN184" s="239"/>
      <c r="VGO184" s="239"/>
      <c r="VGP184" s="239"/>
      <c r="VGQ184" s="239"/>
      <c r="VGR184" s="239"/>
      <c r="VGS184" s="239"/>
      <c r="VGT184" s="239"/>
      <c r="VGU184" s="239"/>
      <c r="VGV184" s="239"/>
      <c r="VGW184" s="239"/>
      <c r="VGX184" s="239"/>
      <c r="VGY184" s="239"/>
      <c r="VGZ184" s="239"/>
      <c r="VHA184" s="239"/>
      <c r="VHB184" s="239"/>
      <c r="VHC184" s="239"/>
      <c r="VHD184" s="239"/>
      <c r="VHE184" s="239"/>
      <c r="VHF184" s="239"/>
      <c r="VHG184" s="239"/>
      <c r="VHH184" s="239"/>
      <c r="VHI184" s="239"/>
      <c r="VHJ184" s="239"/>
      <c r="VHK184" s="239"/>
      <c r="VHL184" s="239"/>
      <c r="VHM184" s="239"/>
      <c r="VHN184" s="239"/>
      <c r="VHO184" s="239"/>
      <c r="VHP184" s="239"/>
      <c r="VHQ184" s="239"/>
      <c r="VHR184" s="239"/>
      <c r="VHS184" s="239"/>
      <c r="VHT184" s="239"/>
      <c r="VHU184" s="239"/>
      <c r="VHV184" s="239"/>
      <c r="VHW184" s="239"/>
      <c r="VHX184" s="239"/>
      <c r="VHY184" s="239"/>
      <c r="VHZ184" s="239"/>
      <c r="VIA184" s="239"/>
      <c r="VIB184" s="239"/>
      <c r="VIC184" s="239"/>
      <c r="VID184" s="239"/>
      <c r="VIE184" s="239"/>
      <c r="VIF184" s="239"/>
      <c r="VIG184" s="239"/>
      <c r="VIH184" s="239"/>
      <c r="VII184" s="239"/>
      <c r="VIJ184" s="239"/>
      <c r="VIK184" s="239"/>
      <c r="VIL184" s="239"/>
      <c r="VIM184" s="239"/>
      <c r="VIN184" s="239"/>
      <c r="VIO184" s="239"/>
      <c r="VIP184" s="239"/>
      <c r="VIQ184" s="239"/>
      <c r="VIR184" s="239"/>
      <c r="VIS184" s="239"/>
      <c r="VIT184" s="239"/>
      <c r="VIU184" s="239"/>
      <c r="VIV184" s="239"/>
      <c r="VIW184" s="239"/>
      <c r="VIX184" s="239"/>
      <c r="VIY184" s="239"/>
      <c r="VIZ184" s="239"/>
      <c r="VJA184" s="239"/>
      <c r="VJB184" s="239"/>
      <c r="VJC184" s="239"/>
      <c r="VJD184" s="239"/>
      <c r="VJE184" s="239"/>
      <c r="VJF184" s="239"/>
      <c r="VJG184" s="239"/>
      <c r="VJH184" s="239"/>
      <c r="VJI184" s="239"/>
      <c r="VJJ184" s="239"/>
      <c r="VJK184" s="239"/>
      <c r="VJL184" s="239"/>
      <c r="VJM184" s="239"/>
      <c r="VJN184" s="239"/>
      <c r="VJO184" s="239"/>
      <c r="VJP184" s="239"/>
      <c r="VJQ184" s="239"/>
      <c r="VJR184" s="239"/>
      <c r="VJS184" s="239"/>
      <c r="VJT184" s="239"/>
      <c r="VJU184" s="239"/>
      <c r="VJV184" s="239"/>
      <c r="VJW184" s="239"/>
      <c r="VJX184" s="239"/>
      <c r="VJY184" s="239"/>
      <c r="VJZ184" s="239"/>
      <c r="VKA184" s="239"/>
      <c r="VKB184" s="239"/>
      <c r="VKC184" s="239"/>
      <c r="VKD184" s="239"/>
      <c r="VKE184" s="239"/>
      <c r="VKF184" s="239"/>
      <c r="VKG184" s="239"/>
      <c r="VKH184" s="239"/>
      <c r="VKI184" s="239"/>
      <c r="VKJ184" s="239"/>
      <c r="VKK184" s="239"/>
      <c r="VKL184" s="239"/>
      <c r="VKM184" s="239"/>
      <c r="VKN184" s="239"/>
      <c r="VKO184" s="239"/>
      <c r="VKP184" s="239"/>
      <c r="VKQ184" s="239"/>
      <c r="VKR184" s="239"/>
      <c r="VKS184" s="239"/>
      <c r="VKT184" s="239"/>
      <c r="VKU184" s="239"/>
      <c r="VKV184" s="239"/>
      <c r="VKW184" s="239"/>
      <c r="VKX184" s="239"/>
      <c r="VKY184" s="239"/>
      <c r="VKZ184" s="239"/>
      <c r="VLA184" s="239"/>
      <c r="VLB184" s="239"/>
      <c r="VLC184" s="239"/>
      <c r="VLD184" s="239"/>
      <c r="VLE184" s="239"/>
      <c r="VLF184" s="239"/>
      <c r="VLG184" s="239"/>
      <c r="VLH184" s="239"/>
      <c r="VLI184" s="239"/>
      <c r="VLJ184" s="239"/>
      <c r="VLK184" s="239"/>
      <c r="VLL184" s="239"/>
      <c r="VLM184" s="239"/>
      <c r="VLN184" s="239"/>
      <c r="VLO184" s="239"/>
      <c r="VLP184" s="239"/>
      <c r="VLQ184" s="239"/>
      <c r="VLR184" s="239"/>
      <c r="VLS184" s="239"/>
      <c r="VLT184" s="239"/>
      <c r="VLU184" s="239"/>
      <c r="VLV184" s="239"/>
      <c r="VLW184" s="239"/>
      <c r="VLX184" s="239"/>
      <c r="VLY184" s="239"/>
      <c r="VLZ184" s="239"/>
      <c r="VMA184" s="239"/>
      <c r="VMB184" s="239"/>
      <c r="VMC184" s="239"/>
      <c r="VMD184" s="239"/>
      <c r="VME184" s="239"/>
      <c r="VMF184" s="239"/>
      <c r="VMG184" s="239"/>
      <c r="VMH184" s="239"/>
      <c r="VMI184" s="239"/>
      <c r="VMJ184" s="239"/>
      <c r="VMK184" s="239"/>
      <c r="VML184" s="239"/>
      <c r="VMM184" s="239"/>
      <c r="VMN184" s="239"/>
      <c r="VMO184" s="239"/>
      <c r="VMP184" s="239"/>
      <c r="VMQ184" s="239"/>
      <c r="VMR184" s="239"/>
      <c r="VMS184" s="239"/>
      <c r="VMT184" s="239"/>
      <c r="VMU184" s="239"/>
      <c r="VMV184" s="239"/>
      <c r="VMW184" s="239"/>
      <c r="VMX184" s="239"/>
      <c r="VMY184" s="239"/>
      <c r="VMZ184" s="239"/>
      <c r="VNA184" s="239"/>
      <c r="VNB184" s="239"/>
      <c r="VNC184" s="239"/>
      <c r="VND184" s="239"/>
      <c r="VNE184" s="239"/>
      <c r="VNF184" s="239"/>
      <c r="VNG184" s="239"/>
      <c r="VNH184" s="239"/>
      <c r="VNI184" s="239"/>
      <c r="VNJ184" s="239"/>
      <c r="VNK184" s="239"/>
      <c r="VNL184" s="239"/>
      <c r="VNM184" s="239"/>
      <c r="VNN184" s="239"/>
      <c r="VNO184" s="239"/>
      <c r="VNP184" s="239"/>
      <c r="VNQ184" s="239"/>
      <c r="VNR184" s="239"/>
      <c r="VNS184" s="239"/>
      <c r="VNT184" s="239"/>
      <c r="VNU184" s="239"/>
      <c r="VNV184" s="239"/>
      <c r="VNW184" s="239"/>
      <c r="VNX184" s="239"/>
      <c r="VNY184" s="239"/>
      <c r="VNZ184" s="239"/>
      <c r="VOA184" s="239"/>
      <c r="VOB184" s="239"/>
      <c r="VOC184" s="239"/>
      <c r="VOD184" s="239"/>
      <c r="VOE184" s="239"/>
      <c r="VOF184" s="239"/>
      <c r="VOG184" s="239"/>
      <c r="VOH184" s="239"/>
      <c r="VOI184" s="239"/>
      <c r="VOJ184" s="239"/>
      <c r="VOK184" s="239"/>
      <c r="VOL184" s="239"/>
      <c r="VOM184" s="239"/>
      <c r="VON184" s="239"/>
      <c r="VOO184" s="239"/>
      <c r="VOP184" s="239"/>
      <c r="VOQ184" s="239"/>
      <c r="VOR184" s="239"/>
      <c r="VOS184" s="239"/>
      <c r="VOT184" s="239"/>
      <c r="VOU184" s="239"/>
      <c r="VOV184" s="239"/>
      <c r="VOW184" s="239"/>
      <c r="VOX184" s="239"/>
      <c r="VOY184" s="239"/>
      <c r="VOZ184" s="239"/>
      <c r="VPA184" s="239"/>
      <c r="VPB184" s="239"/>
      <c r="VPC184" s="239"/>
      <c r="VPD184" s="239"/>
      <c r="VPE184" s="239"/>
      <c r="VPF184" s="239"/>
      <c r="VPG184" s="239"/>
      <c r="VPH184" s="239"/>
      <c r="VPI184" s="239"/>
      <c r="VPJ184" s="239"/>
      <c r="VPK184" s="239"/>
      <c r="VPL184" s="239"/>
      <c r="VPM184" s="239"/>
      <c r="VPN184" s="239"/>
      <c r="VPO184" s="239"/>
      <c r="VPP184" s="239"/>
      <c r="VPQ184" s="239"/>
      <c r="VPR184" s="239"/>
      <c r="VPS184" s="239"/>
      <c r="VPT184" s="239"/>
      <c r="VPU184" s="239"/>
      <c r="VPV184" s="239"/>
      <c r="VPW184" s="239"/>
      <c r="VPX184" s="239"/>
      <c r="VPY184" s="239"/>
      <c r="VPZ184" s="239"/>
      <c r="VQA184" s="239"/>
      <c r="VQB184" s="239"/>
      <c r="VQC184" s="239"/>
      <c r="VQD184" s="239"/>
      <c r="VQE184" s="239"/>
      <c r="VQF184" s="239"/>
      <c r="VQG184" s="239"/>
      <c r="VQH184" s="239"/>
      <c r="VQI184" s="239"/>
      <c r="VQJ184" s="239"/>
      <c r="VQK184" s="239"/>
      <c r="VQL184" s="239"/>
      <c r="VQM184" s="239"/>
      <c r="VQN184" s="239"/>
      <c r="VQO184" s="239"/>
      <c r="VQP184" s="239"/>
      <c r="VQQ184" s="239"/>
      <c r="VQR184" s="239"/>
      <c r="VQS184" s="239"/>
      <c r="VQT184" s="239"/>
      <c r="VQU184" s="239"/>
      <c r="VQV184" s="239"/>
      <c r="VQW184" s="239"/>
      <c r="VQX184" s="239"/>
      <c r="VQY184" s="239"/>
      <c r="VQZ184" s="239"/>
      <c r="VRA184" s="239"/>
      <c r="VRB184" s="239"/>
      <c r="VRC184" s="239"/>
      <c r="VRD184" s="239"/>
      <c r="VRE184" s="239"/>
      <c r="VRF184" s="239"/>
      <c r="VRG184" s="239"/>
      <c r="VRH184" s="239"/>
      <c r="VRI184" s="239"/>
      <c r="VRJ184" s="239"/>
      <c r="VRK184" s="239"/>
      <c r="VRL184" s="239"/>
      <c r="VRM184" s="239"/>
      <c r="VRN184" s="239"/>
      <c r="VRO184" s="239"/>
      <c r="VRP184" s="239"/>
      <c r="VRQ184" s="239"/>
      <c r="VRR184" s="239"/>
      <c r="VRS184" s="239"/>
      <c r="VRT184" s="239"/>
      <c r="VRU184" s="239"/>
      <c r="VRV184" s="239"/>
      <c r="VRW184" s="239"/>
      <c r="VRX184" s="239"/>
      <c r="VRY184" s="239"/>
      <c r="VRZ184" s="239"/>
      <c r="VSA184" s="239"/>
      <c r="VSB184" s="239"/>
      <c r="VSC184" s="239"/>
      <c r="VSD184" s="239"/>
      <c r="VSE184" s="239"/>
      <c r="VSF184" s="239"/>
      <c r="VSG184" s="239"/>
      <c r="VSH184" s="239"/>
      <c r="VSI184" s="239"/>
      <c r="VSJ184" s="239"/>
      <c r="VSK184" s="239"/>
      <c r="VSL184" s="239"/>
      <c r="VSM184" s="239"/>
      <c r="VSN184" s="239"/>
      <c r="VSO184" s="239"/>
      <c r="VSP184" s="239"/>
      <c r="VSQ184" s="239"/>
      <c r="VSR184" s="239"/>
      <c r="VSS184" s="239"/>
      <c r="VST184" s="239"/>
      <c r="VSU184" s="239"/>
      <c r="VSV184" s="239"/>
      <c r="VSW184" s="239"/>
      <c r="VSX184" s="239"/>
      <c r="VSY184" s="239"/>
      <c r="VSZ184" s="239"/>
      <c r="VTA184" s="239"/>
      <c r="VTB184" s="239"/>
      <c r="VTC184" s="239"/>
      <c r="VTD184" s="239"/>
      <c r="VTE184" s="239"/>
      <c r="VTF184" s="239"/>
      <c r="VTG184" s="239"/>
      <c r="VTH184" s="239"/>
      <c r="VTI184" s="239"/>
      <c r="VTJ184" s="239"/>
      <c r="VTK184" s="239"/>
      <c r="VTL184" s="239"/>
      <c r="VTM184" s="239"/>
      <c r="VTN184" s="239"/>
      <c r="VTO184" s="239"/>
      <c r="VTP184" s="239"/>
      <c r="VTQ184" s="239"/>
      <c r="VTR184" s="239"/>
      <c r="VTS184" s="239"/>
      <c r="VTT184" s="239"/>
      <c r="VTU184" s="239"/>
      <c r="VTV184" s="239"/>
      <c r="VTW184" s="239"/>
      <c r="VTX184" s="239"/>
      <c r="VTY184" s="239"/>
      <c r="VTZ184" s="239"/>
      <c r="VUA184" s="239"/>
      <c r="VUB184" s="239"/>
      <c r="VUC184" s="239"/>
      <c r="VUD184" s="239"/>
      <c r="VUE184" s="239"/>
      <c r="VUF184" s="239"/>
      <c r="VUG184" s="239"/>
      <c r="VUH184" s="239"/>
      <c r="VUI184" s="239"/>
      <c r="VUJ184" s="239"/>
      <c r="VUK184" s="239"/>
      <c r="VUL184" s="239"/>
      <c r="VUM184" s="239"/>
      <c r="VUN184" s="239"/>
      <c r="VUO184" s="239"/>
      <c r="VUP184" s="239"/>
      <c r="VUQ184" s="239"/>
      <c r="VUR184" s="239"/>
      <c r="VUS184" s="239"/>
      <c r="VUT184" s="239"/>
      <c r="VUU184" s="239"/>
      <c r="VUV184" s="239"/>
      <c r="VUW184" s="239"/>
      <c r="VUX184" s="239"/>
      <c r="VUY184" s="239"/>
      <c r="VUZ184" s="239"/>
      <c r="VVA184" s="239"/>
      <c r="VVB184" s="239"/>
      <c r="VVC184" s="239"/>
      <c r="VVD184" s="239"/>
      <c r="VVE184" s="239"/>
      <c r="VVF184" s="239"/>
      <c r="VVG184" s="239"/>
      <c r="VVH184" s="239"/>
      <c r="VVI184" s="239"/>
      <c r="VVJ184" s="239"/>
      <c r="VVK184" s="239"/>
      <c r="VVL184" s="239"/>
      <c r="VVM184" s="239"/>
      <c r="VVN184" s="239"/>
      <c r="VVO184" s="239"/>
      <c r="VVP184" s="239"/>
      <c r="VVQ184" s="239"/>
      <c r="VVR184" s="239"/>
      <c r="VVS184" s="239"/>
      <c r="VVT184" s="239"/>
      <c r="VVU184" s="239"/>
      <c r="VVV184" s="239"/>
      <c r="VVW184" s="239"/>
      <c r="VVX184" s="239"/>
      <c r="VVY184" s="239"/>
      <c r="VVZ184" s="239"/>
      <c r="VWA184" s="239"/>
      <c r="VWB184" s="239"/>
      <c r="VWC184" s="239"/>
      <c r="VWD184" s="239"/>
      <c r="VWE184" s="239"/>
      <c r="VWF184" s="239"/>
      <c r="VWG184" s="239"/>
      <c r="VWH184" s="239"/>
      <c r="VWI184" s="239"/>
      <c r="VWJ184" s="239"/>
      <c r="VWK184" s="239"/>
      <c r="VWL184" s="239"/>
      <c r="VWM184" s="239"/>
      <c r="VWN184" s="239"/>
      <c r="VWO184" s="239"/>
      <c r="VWP184" s="239"/>
      <c r="VWQ184" s="239"/>
      <c r="VWR184" s="239"/>
      <c r="VWS184" s="239"/>
      <c r="VWT184" s="239"/>
      <c r="VWU184" s="239"/>
      <c r="VWV184" s="239"/>
      <c r="VWW184" s="239"/>
      <c r="VWX184" s="239"/>
      <c r="VWY184" s="239"/>
      <c r="VWZ184" s="239"/>
      <c r="VXA184" s="239"/>
      <c r="VXB184" s="239"/>
      <c r="VXC184" s="239"/>
      <c r="VXD184" s="239"/>
      <c r="VXE184" s="239"/>
      <c r="VXF184" s="239"/>
      <c r="VXG184" s="239"/>
      <c r="VXH184" s="239"/>
      <c r="VXI184" s="239"/>
      <c r="VXJ184" s="239"/>
      <c r="VXK184" s="239"/>
      <c r="VXL184" s="239"/>
      <c r="VXM184" s="239"/>
      <c r="VXN184" s="239"/>
      <c r="VXO184" s="239"/>
      <c r="VXP184" s="239"/>
      <c r="VXQ184" s="239"/>
      <c r="VXR184" s="239"/>
      <c r="VXS184" s="239"/>
      <c r="VXT184" s="239"/>
      <c r="VXU184" s="239"/>
      <c r="VXV184" s="239"/>
      <c r="VXW184" s="239"/>
      <c r="VXX184" s="239"/>
      <c r="VXY184" s="239"/>
      <c r="VXZ184" s="239"/>
      <c r="VYA184" s="239"/>
      <c r="VYB184" s="239"/>
      <c r="VYC184" s="239"/>
      <c r="VYD184" s="239"/>
      <c r="VYE184" s="239"/>
      <c r="VYF184" s="239"/>
      <c r="VYG184" s="239"/>
      <c r="VYH184" s="239"/>
      <c r="VYI184" s="239"/>
      <c r="VYJ184" s="239"/>
      <c r="VYK184" s="239"/>
      <c r="VYL184" s="239"/>
      <c r="VYM184" s="239"/>
      <c r="VYN184" s="239"/>
      <c r="VYO184" s="239"/>
      <c r="VYP184" s="239"/>
      <c r="VYQ184" s="239"/>
      <c r="VYR184" s="239"/>
      <c r="VYS184" s="239"/>
      <c r="VYT184" s="239"/>
      <c r="VYU184" s="239"/>
      <c r="VYV184" s="239"/>
      <c r="VYW184" s="239"/>
      <c r="VYX184" s="239"/>
      <c r="VYY184" s="239"/>
      <c r="VYZ184" s="239"/>
      <c r="VZA184" s="239"/>
      <c r="VZB184" s="239"/>
      <c r="VZC184" s="239"/>
      <c r="VZD184" s="239"/>
      <c r="VZE184" s="239"/>
      <c r="VZF184" s="239"/>
      <c r="VZG184" s="239"/>
      <c r="VZH184" s="239"/>
      <c r="VZI184" s="239"/>
      <c r="VZJ184" s="239"/>
      <c r="VZK184" s="239"/>
      <c r="VZL184" s="239"/>
      <c r="VZM184" s="239"/>
      <c r="VZN184" s="239"/>
      <c r="VZO184" s="239"/>
      <c r="VZP184" s="239"/>
      <c r="VZQ184" s="239"/>
      <c r="VZR184" s="239"/>
      <c r="VZS184" s="239"/>
      <c r="VZT184" s="239"/>
      <c r="VZU184" s="239"/>
      <c r="VZV184" s="239"/>
      <c r="VZW184" s="239"/>
      <c r="VZX184" s="239"/>
      <c r="VZY184" s="239"/>
      <c r="VZZ184" s="239"/>
      <c r="WAA184" s="239"/>
      <c r="WAB184" s="239"/>
      <c r="WAC184" s="239"/>
      <c r="WAD184" s="239"/>
      <c r="WAE184" s="239"/>
      <c r="WAF184" s="239"/>
      <c r="WAG184" s="239"/>
      <c r="WAH184" s="239"/>
      <c r="WAI184" s="239"/>
      <c r="WAJ184" s="239"/>
      <c r="WAK184" s="239"/>
      <c r="WAL184" s="239"/>
      <c r="WAM184" s="239"/>
      <c r="WAN184" s="239"/>
      <c r="WAO184" s="239"/>
      <c r="WAP184" s="239"/>
      <c r="WAQ184" s="239"/>
      <c r="WAR184" s="239"/>
      <c r="WAS184" s="239"/>
      <c r="WAT184" s="239"/>
      <c r="WAU184" s="239"/>
      <c r="WAV184" s="239"/>
      <c r="WAW184" s="239"/>
      <c r="WAX184" s="239"/>
      <c r="WAY184" s="239"/>
      <c r="WAZ184" s="239"/>
      <c r="WBA184" s="239"/>
      <c r="WBB184" s="239"/>
      <c r="WBC184" s="239"/>
      <c r="WBD184" s="239"/>
      <c r="WBE184" s="239"/>
      <c r="WBF184" s="239"/>
      <c r="WBG184" s="239"/>
      <c r="WBH184" s="239"/>
      <c r="WBI184" s="239"/>
      <c r="WBJ184" s="239"/>
      <c r="WBK184" s="239"/>
      <c r="WBL184" s="239"/>
      <c r="WBM184" s="239"/>
      <c r="WBN184" s="239"/>
      <c r="WBO184" s="239"/>
      <c r="WBP184" s="239"/>
      <c r="WBQ184" s="239"/>
      <c r="WBR184" s="239"/>
      <c r="WBS184" s="239"/>
      <c r="WBT184" s="239"/>
      <c r="WBU184" s="239"/>
      <c r="WBV184" s="239"/>
      <c r="WBW184" s="239"/>
      <c r="WBX184" s="239"/>
      <c r="WBY184" s="239"/>
      <c r="WBZ184" s="239"/>
      <c r="WCA184" s="239"/>
      <c r="WCB184" s="239"/>
      <c r="WCC184" s="239"/>
      <c r="WCD184" s="239"/>
      <c r="WCE184" s="239"/>
      <c r="WCF184" s="239"/>
      <c r="WCG184" s="239"/>
      <c r="WCH184" s="239"/>
      <c r="WCI184" s="239"/>
      <c r="WCJ184" s="239"/>
      <c r="WCK184" s="239"/>
      <c r="WCL184" s="239"/>
      <c r="WCM184" s="239"/>
      <c r="WCN184" s="239"/>
      <c r="WCO184" s="239"/>
      <c r="WCP184" s="239"/>
      <c r="WCQ184" s="239"/>
      <c r="WCR184" s="239"/>
      <c r="WCS184" s="239"/>
      <c r="WCT184" s="239"/>
      <c r="WCU184" s="239"/>
      <c r="WCV184" s="239"/>
      <c r="WCW184" s="239"/>
      <c r="WCX184" s="239"/>
      <c r="WCY184" s="239"/>
      <c r="WCZ184" s="239"/>
      <c r="WDA184" s="239"/>
      <c r="WDB184" s="239"/>
      <c r="WDC184" s="239"/>
      <c r="WDD184" s="239"/>
      <c r="WDE184" s="239"/>
      <c r="WDF184" s="239"/>
      <c r="WDG184" s="239"/>
      <c r="WDH184" s="239"/>
      <c r="WDI184" s="239"/>
      <c r="WDJ184" s="239"/>
      <c r="WDK184" s="239"/>
      <c r="WDL184" s="239"/>
      <c r="WDM184" s="239"/>
      <c r="WDN184" s="239"/>
      <c r="WDO184" s="239"/>
      <c r="WDP184" s="239"/>
      <c r="WDQ184" s="239"/>
      <c r="WDR184" s="239"/>
      <c r="WDS184" s="239"/>
      <c r="WDT184" s="239"/>
      <c r="WDU184" s="239"/>
      <c r="WDV184" s="239"/>
      <c r="WDW184" s="239"/>
      <c r="WDX184" s="239"/>
      <c r="WDY184" s="239"/>
      <c r="WDZ184" s="239"/>
      <c r="WEA184" s="239"/>
      <c r="WEB184" s="239"/>
      <c r="WEC184" s="239"/>
      <c r="WED184" s="239"/>
      <c r="WEE184" s="239"/>
      <c r="WEF184" s="239"/>
      <c r="WEG184" s="239"/>
      <c r="WEH184" s="239"/>
      <c r="WEI184" s="239"/>
      <c r="WEJ184" s="239"/>
      <c r="WEK184" s="239"/>
      <c r="WEL184" s="239"/>
      <c r="WEM184" s="239"/>
      <c r="WEN184" s="239"/>
      <c r="WEO184" s="239"/>
      <c r="WEP184" s="239"/>
      <c r="WEQ184" s="239"/>
      <c r="WER184" s="239"/>
      <c r="WES184" s="239"/>
      <c r="WET184" s="239"/>
      <c r="WEU184" s="239"/>
      <c r="WEV184" s="239"/>
      <c r="WEW184" s="239"/>
      <c r="WEX184" s="239"/>
      <c r="WEY184" s="239"/>
      <c r="WEZ184" s="239"/>
      <c r="WFA184" s="239"/>
      <c r="WFB184" s="239"/>
      <c r="WFC184" s="239"/>
      <c r="WFD184" s="239"/>
      <c r="WFE184" s="239"/>
      <c r="WFF184" s="239"/>
      <c r="WFG184" s="239"/>
      <c r="WFH184" s="239"/>
      <c r="WFI184" s="239"/>
      <c r="WFJ184" s="239"/>
      <c r="WFK184" s="239"/>
      <c r="WFL184" s="239"/>
      <c r="WFM184" s="239"/>
      <c r="WFN184" s="239"/>
      <c r="WFO184" s="239"/>
      <c r="WFP184" s="239"/>
      <c r="WFQ184" s="239"/>
      <c r="WFR184" s="239"/>
      <c r="WFS184" s="239"/>
      <c r="WFT184" s="239"/>
      <c r="WFU184" s="239"/>
      <c r="WFV184" s="239"/>
      <c r="WFW184" s="239"/>
      <c r="WFX184" s="239"/>
      <c r="WFY184" s="239"/>
      <c r="WFZ184" s="239"/>
      <c r="WGA184" s="239"/>
      <c r="WGB184" s="239"/>
      <c r="WGC184" s="239"/>
      <c r="WGD184" s="239"/>
      <c r="WGE184" s="239"/>
      <c r="WGF184" s="239"/>
      <c r="WGG184" s="239"/>
      <c r="WGH184" s="239"/>
      <c r="WGI184" s="239"/>
      <c r="WGJ184" s="239"/>
      <c r="WGK184" s="239"/>
      <c r="WGL184" s="239"/>
      <c r="WGM184" s="239"/>
      <c r="WGN184" s="239"/>
      <c r="WGO184" s="239"/>
      <c r="WGP184" s="239"/>
      <c r="WGQ184" s="239"/>
      <c r="WGR184" s="239"/>
      <c r="WGS184" s="239"/>
      <c r="WGT184" s="239"/>
      <c r="WGU184" s="239"/>
      <c r="WGV184" s="239"/>
      <c r="WGW184" s="239"/>
      <c r="WGX184" s="239"/>
      <c r="WGY184" s="239"/>
      <c r="WGZ184" s="239"/>
      <c r="WHA184" s="239"/>
      <c r="WHB184" s="239"/>
      <c r="WHC184" s="239"/>
      <c r="WHD184" s="239"/>
      <c r="WHE184" s="239"/>
      <c r="WHF184" s="239"/>
      <c r="WHG184" s="239"/>
      <c r="WHH184" s="239"/>
      <c r="WHI184" s="239"/>
      <c r="WHJ184" s="239"/>
      <c r="WHK184" s="239"/>
      <c r="WHL184" s="239"/>
      <c r="WHM184" s="239"/>
      <c r="WHN184" s="239"/>
      <c r="WHO184" s="239"/>
      <c r="WHP184" s="239"/>
      <c r="WHQ184" s="239"/>
      <c r="WHR184" s="239"/>
      <c r="WHS184" s="239"/>
      <c r="WHT184" s="239"/>
      <c r="WHU184" s="239"/>
      <c r="WHV184" s="239"/>
      <c r="WHW184" s="239"/>
      <c r="WHX184" s="239"/>
      <c r="WHY184" s="239"/>
      <c r="WHZ184" s="239"/>
      <c r="WIA184" s="239"/>
      <c r="WIB184" s="239"/>
      <c r="WIC184" s="239"/>
      <c r="WID184" s="239"/>
      <c r="WIE184" s="239"/>
      <c r="WIF184" s="239"/>
      <c r="WIG184" s="239"/>
      <c r="WIH184" s="239"/>
      <c r="WII184" s="239"/>
      <c r="WIJ184" s="239"/>
      <c r="WIK184" s="239"/>
      <c r="WIL184" s="239"/>
      <c r="WIM184" s="239"/>
      <c r="WIN184" s="239"/>
      <c r="WIO184" s="239"/>
      <c r="WIP184" s="239"/>
      <c r="WIQ184" s="239"/>
      <c r="WIR184" s="239"/>
      <c r="WIS184" s="239"/>
      <c r="WIT184" s="239"/>
      <c r="WIU184" s="239"/>
      <c r="WIV184" s="239"/>
      <c r="WIW184" s="239"/>
      <c r="WIX184" s="239"/>
      <c r="WIY184" s="239"/>
      <c r="WIZ184" s="239"/>
      <c r="WJA184" s="239"/>
      <c r="WJB184" s="239"/>
      <c r="WJC184" s="239"/>
      <c r="WJD184" s="239"/>
      <c r="WJE184" s="239"/>
      <c r="WJF184" s="239"/>
      <c r="WJG184" s="239"/>
      <c r="WJH184" s="239"/>
      <c r="WJI184" s="239"/>
      <c r="WJJ184" s="239"/>
      <c r="WJK184" s="239"/>
      <c r="WJL184" s="239"/>
      <c r="WJM184" s="239"/>
      <c r="WJN184" s="239"/>
      <c r="WJO184" s="239"/>
      <c r="WJP184" s="239"/>
      <c r="WJQ184" s="239"/>
      <c r="WJR184" s="239"/>
      <c r="WJS184" s="239"/>
      <c r="WJT184" s="239"/>
      <c r="WJU184" s="239"/>
      <c r="WJV184" s="239"/>
      <c r="WJW184" s="239"/>
      <c r="WJX184" s="239"/>
      <c r="WJY184" s="239"/>
      <c r="WJZ184" s="239"/>
      <c r="WKA184" s="239"/>
      <c r="WKB184" s="239"/>
      <c r="WKC184" s="239"/>
      <c r="WKD184" s="239"/>
      <c r="WKE184" s="239"/>
      <c r="WKF184" s="239"/>
      <c r="WKG184" s="239"/>
      <c r="WKH184" s="239"/>
      <c r="WKI184" s="239"/>
      <c r="WKJ184" s="239"/>
      <c r="WKK184" s="239"/>
      <c r="WKL184" s="239"/>
      <c r="WKM184" s="239"/>
      <c r="WKN184" s="239"/>
      <c r="WKO184" s="239"/>
      <c r="WKP184" s="239"/>
      <c r="WKQ184" s="239"/>
      <c r="WKR184" s="239"/>
      <c r="WKS184" s="239"/>
      <c r="WKT184" s="239"/>
      <c r="WKU184" s="239"/>
      <c r="WKV184" s="239"/>
      <c r="WKW184" s="239"/>
      <c r="WKX184" s="239"/>
      <c r="WKY184" s="239"/>
      <c r="WKZ184" s="239"/>
      <c r="WLA184" s="239"/>
      <c r="WLB184" s="239"/>
      <c r="WLC184" s="239"/>
      <c r="WLD184" s="239"/>
      <c r="WLE184" s="239"/>
      <c r="WLF184" s="239"/>
      <c r="WLG184" s="239"/>
      <c r="WLH184" s="239"/>
      <c r="WLI184" s="239"/>
      <c r="WLJ184" s="239"/>
      <c r="WLK184" s="239"/>
      <c r="WLL184" s="239"/>
      <c r="WLM184" s="239"/>
      <c r="WLN184" s="239"/>
      <c r="WLO184" s="239"/>
      <c r="WLP184" s="239"/>
      <c r="WLQ184" s="239"/>
      <c r="WLR184" s="239"/>
      <c r="WLS184" s="239"/>
      <c r="WLT184" s="239"/>
      <c r="WLU184" s="239"/>
      <c r="WLV184" s="239"/>
      <c r="WLW184" s="239"/>
      <c r="WLX184" s="239"/>
      <c r="WLY184" s="239"/>
      <c r="WLZ184" s="239"/>
      <c r="WMA184" s="239"/>
      <c r="WMB184" s="239"/>
      <c r="WMC184" s="239"/>
      <c r="WMD184" s="239"/>
      <c r="WME184" s="239"/>
      <c r="WMF184" s="239"/>
      <c r="WMG184" s="239"/>
      <c r="WMH184" s="239"/>
      <c r="WMI184" s="239"/>
      <c r="WMJ184" s="239"/>
      <c r="WMK184" s="239"/>
      <c r="WML184" s="239"/>
      <c r="WMM184" s="239"/>
      <c r="WMN184" s="239"/>
      <c r="WMO184" s="239"/>
      <c r="WMP184" s="239"/>
      <c r="WMQ184" s="239"/>
      <c r="WMR184" s="239"/>
      <c r="WMS184" s="239"/>
      <c r="WMT184" s="239"/>
      <c r="WMU184" s="239"/>
      <c r="WMV184" s="239"/>
      <c r="WMW184" s="239"/>
      <c r="WMX184" s="239"/>
      <c r="WMY184" s="239"/>
      <c r="WMZ184" s="239"/>
      <c r="WNA184" s="239"/>
      <c r="WNB184" s="239"/>
      <c r="WNC184" s="239"/>
      <c r="WND184" s="239"/>
      <c r="WNE184" s="239"/>
      <c r="WNF184" s="239"/>
      <c r="WNG184" s="239"/>
      <c r="WNH184" s="239"/>
      <c r="WNI184" s="239"/>
      <c r="WNJ184" s="239"/>
      <c r="WNK184" s="239"/>
      <c r="WNL184" s="239"/>
      <c r="WNM184" s="239"/>
      <c r="WNN184" s="239"/>
      <c r="WNO184" s="239"/>
      <c r="WNP184" s="239"/>
      <c r="WNQ184" s="239"/>
      <c r="WNR184" s="239"/>
      <c r="WNS184" s="239"/>
      <c r="WNT184" s="239"/>
      <c r="WNU184" s="239"/>
      <c r="WNV184" s="239"/>
      <c r="WNW184" s="239"/>
      <c r="WNX184" s="239"/>
      <c r="WNY184" s="239"/>
      <c r="WNZ184" s="239"/>
      <c r="WOA184" s="239"/>
      <c r="WOB184" s="239"/>
      <c r="WOC184" s="239"/>
      <c r="WOD184" s="239"/>
      <c r="WOE184" s="239"/>
      <c r="WOF184" s="239"/>
      <c r="WOG184" s="239"/>
      <c r="WOH184" s="239"/>
      <c r="WOI184" s="239"/>
      <c r="WOJ184" s="239"/>
      <c r="WOK184" s="239"/>
      <c r="WOL184" s="239"/>
      <c r="WOM184" s="239"/>
      <c r="WON184" s="239"/>
      <c r="WOO184" s="239"/>
      <c r="WOP184" s="239"/>
      <c r="WOQ184" s="239"/>
      <c r="WOR184" s="239"/>
      <c r="WOS184" s="239"/>
      <c r="WOT184" s="239"/>
      <c r="WOU184" s="239"/>
      <c r="WOV184" s="239"/>
      <c r="WOW184" s="239"/>
      <c r="WOX184" s="239"/>
      <c r="WOY184" s="239"/>
      <c r="WOZ184" s="239"/>
      <c r="WPA184" s="239"/>
      <c r="WPB184" s="239"/>
      <c r="WPC184" s="239"/>
      <c r="WPD184" s="239"/>
      <c r="WPE184" s="239"/>
      <c r="WPF184" s="239"/>
      <c r="WPG184" s="239"/>
      <c r="WPH184" s="239"/>
      <c r="WPI184" s="239"/>
      <c r="WPJ184" s="239"/>
      <c r="WPK184" s="239"/>
      <c r="WPL184" s="239"/>
      <c r="WPM184" s="239"/>
      <c r="WPN184" s="239"/>
      <c r="WPO184" s="239"/>
      <c r="WPP184" s="239"/>
      <c r="WPQ184" s="239"/>
      <c r="WPR184" s="239"/>
      <c r="WPS184" s="239"/>
      <c r="WPT184" s="239"/>
      <c r="WPU184" s="239"/>
      <c r="WPV184" s="239"/>
      <c r="WPW184" s="239"/>
      <c r="WPX184" s="239"/>
      <c r="WPY184" s="239"/>
      <c r="WPZ184" s="239"/>
      <c r="WQA184" s="239"/>
      <c r="WQB184" s="239"/>
      <c r="WQC184" s="239"/>
      <c r="WQD184" s="239"/>
      <c r="WQE184" s="239"/>
      <c r="WQF184" s="239"/>
      <c r="WQG184" s="239"/>
      <c r="WQH184" s="239"/>
      <c r="WQI184" s="239"/>
      <c r="WQJ184" s="239"/>
      <c r="WQK184" s="239"/>
      <c r="WQL184" s="239"/>
      <c r="WQM184" s="239"/>
      <c r="WQN184" s="239"/>
      <c r="WQO184" s="239"/>
      <c r="WQP184" s="239"/>
      <c r="WQQ184" s="239"/>
      <c r="WQR184" s="239"/>
      <c r="WQS184" s="239"/>
      <c r="WQT184" s="239"/>
      <c r="WQU184" s="239"/>
      <c r="WQV184" s="239"/>
      <c r="WQW184" s="239"/>
      <c r="WQX184" s="239"/>
      <c r="WQY184" s="239"/>
      <c r="WQZ184" s="239"/>
      <c r="WRA184" s="239"/>
      <c r="WRB184" s="239"/>
      <c r="WRC184" s="239"/>
      <c r="WRD184" s="239"/>
      <c r="WRE184" s="239"/>
      <c r="WRF184" s="239"/>
      <c r="WRG184" s="239"/>
      <c r="WRH184" s="239"/>
      <c r="WRI184" s="239"/>
      <c r="WRJ184" s="239"/>
      <c r="WRK184" s="239"/>
      <c r="WRL184" s="239"/>
      <c r="WRM184" s="239"/>
      <c r="WRN184" s="239"/>
      <c r="WRO184" s="239"/>
      <c r="WRP184" s="239"/>
      <c r="WRQ184" s="239"/>
      <c r="WRR184" s="239"/>
      <c r="WRS184" s="239"/>
      <c r="WRT184" s="239"/>
      <c r="WRU184" s="239"/>
      <c r="WRV184" s="239"/>
      <c r="WRW184" s="239"/>
      <c r="WRX184" s="239"/>
      <c r="WRY184" s="239"/>
      <c r="WRZ184" s="239"/>
      <c r="WSA184" s="239"/>
      <c r="WSB184" s="239"/>
      <c r="WSC184" s="239"/>
      <c r="WSD184" s="239"/>
      <c r="WSE184" s="239"/>
      <c r="WSF184" s="239"/>
      <c r="WSG184" s="239"/>
      <c r="WSH184" s="239"/>
      <c r="WSI184" s="239"/>
      <c r="WSJ184" s="239"/>
      <c r="WSK184" s="239"/>
      <c r="WSL184" s="239"/>
      <c r="WSM184" s="239"/>
      <c r="WSN184" s="239"/>
      <c r="WSO184" s="239"/>
      <c r="WSP184" s="239"/>
      <c r="WSQ184" s="239"/>
      <c r="WSR184" s="239"/>
      <c r="WSS184" s="239"/>
      <c r="WST184" s="239"/>
      <c r="WSU184" s="239"/>
      <c r="WSV184" s="239"/>
      <c r="WSW184" s="239"/>
      <c r="WSX184" s="239"/>
      <c r="WSY184" s="239"/>
      <c r="WSZ184" s="239"/>
      <c r="WTA184" s="239"/>
      <c r="WTB184" s="239"/>
      <c r="WTC184" s="239"/>
      <c r="WTD184" s="239"/>
      <c r="WTE184" s="239"/>
      <c r="WTF184" s="239"/>
      <c r="WTG184" s="239"/>
      <c r="WTH184" s="239"/>
      <c r="WTI184" s="239"/>
      <c r="WTJ184" s="239"/>
      <c r="WTK184" s="239"/>
      <c r="WTL184" s="239"/>
      <c r="WTM184" s="239"/>
      <c r="WTN184" s="239"/>
      <c r="WTO184" s="239"/>
      <c r="WTP184" s="239"/>
      <c r="WTQ184" s="239"/>
      <c r="WTR184" s="239"/>
      <c r="WTS184" s="239"/>
      <c r="WTT184" s="239"/>
      <c r="WTU184" s="239"/>
      <c r="WTV184" s="239"/>
      <c r="WTW184" s="239"/>
      <c r="WTX184" s="239"/>
      <c r="WTY184" s="239"/>
      <c r="WTZ184" s="239"/>
      <c r="WUA184" s="239"/>
      <c r="WUB184" s="239"/>
      <c r="WUC184" s="239"/>
      <c r="WUD184" s="239"/>
      <c r="WUE184" s="239"/>
      <c r="WUF184" s="239"/>
      <c r="WUG184" s="239"/>
      <c r="WUH184" s="239"/>
      <c r="WUI184" s="239"/>
      <c r="WUJ184" s="239"/>
      <c r="WUK184" s="239"/>
      <c r="WUL184" s="239"/>
      <c r="WUM184" s="239"/>
      <c r="WUN184" s="239"/>
      <c r="WUO184" s="239"/>
      <c r="WUP184" s="239"/>
      <c r="WUQ184" s="239"/>
      <c r="WUR184" s="239"/>
      <c r="WUS184" s="239"/>
      <c r="WUT184" s="239"/>
      <c r="WUU184" s="239"/>
      <c r="WUV184" s="239"/>
      <c r="WUW184" s="239"/>
      <c r="WUX184" s="239"/>
      <c r="WUY184" s="239"/>
      <c r="WUZ184" s="239"/>
      <c r="WVA184" s="239"/>
      <c r="WVB184" s="239"/>
      <c r="WVC184" s="239"/>
      <c r="WVD184" s="239"/>
      <c r="WVE184" s="239"/>
      <c r="WVF184" s="239"/>
      <c r="WVG184" s="239"/>
      <c r="WVH184" s="239"/>
      <c r="WVI184" s="239"/>
      <c r="WVJ184" s="239"/>
      <c r="WVK184" s="239"/>
      <c r="WVL184" s="239"/>
      <c r="WVM184" s="239"/>
      <c r="WVN184" s="239"/>
      <c r="WVO184" s="239"/>
      <c r="WVP184" s="239"/>
      <c r="WVQ184" s="239"/>
      <c r="WVR184" s="239"/>
      <c r="WVS184" s="239"/>
      <c r="WVT184" s="239"/>
      <c r="WVU184" s="239"/>
      <c r="WVV184" s="239"/>
      <c r="WVW184" s="239"/>
      <c r="WVX184" s="239"/>
      <c r="WVY184" s="239"/>
      <c r="WVZ184" s="239"/>
      <c r="WWA184" s="239"/>
      <c r="WWB184" s="239"/>
      <c r="WWC184" s="239"/>
      <c r="WWD184" s="239"/>
      <c r="WWE184" s="239"/>
      <c r="WWF184" s="239"/>
      <c r="WWG184" s="239"/>
      <c r="WWH184" s="239"/>
      <c r="WWI184" s="239"/>
      <c r="WWJ184" s="239"/>
      <c r="WWK184" s="239"/>
      <c r="WWL184" s="239"/>
      <c r="WWM184" s="239"/>
      <c r="WWN184" s="239"/>
      <c r="WWO184" s="239"/>
      <c r="WWP184" s="239"/>
      <c r="WWQ184" s="239"/>
      <c r="WWR184" s="239"/>
      <c r="WWS184" s="239"/>
      <c r="WWT184" s="239"/>
      <c r="WWU184" s="239"/>
      <c r="WWV184" s="239"/>
      <c r="WWW184" s="239"/>
      <c r="WWX184" s="239"/>
      <c r="WWY184" s="239"/>
      <c r="WWZ184" s="239"/>
      <c r="WXA184" s="239"/>
      <c r="WXB184" s="239"/>
      <c r="WXC184" s="239"/>
      <c r="WXD184" s="239"/>
      <c r="WXE184" s="239"/>
      <c r="WXF184" s="239"/>
      <c r="WXG184" s="239"/>
      <c r="WXH184" s="239"/>
      <c r="WXI184" s="239"/>
      <c r="WXJ184" s="239"/>
      <c r="WXK184" s="239"/>
      <c r="WXL184" s="239"/>
      <c r="WXM184" s="239"/>
      <c r="WXN184" s="239"/>
      <c r="WXO184" s="239"/>
      <c r="WXP184" s="239"/>
      <c r="WXQ184" s="239"/>
      <c r="WXR184" s="239"/>
      <c r="WXS184" s="239"/>
      <c r="WXT184" s="239"/>
      <c r="WXU184" s="239"/>
      <c r="WXV184" s="239"/>
      <c r="WXW184" s="239"/>
      <c r="WXX184" s="239"/>
      <c r="WXY184" s="239"/>
      <c r="WXZ184" s="239"/>
      <c r="WYA184" s="239"/>
      <c r="WYB184" s="239"/>
      <c r="WYC184" s="239"/>
      <c r="WYD184" s="239"/>
      <c r="WYE184" s="239"/>
      <c r="WYF184" s="239"/>
      <c r="WYG184" s="239"/>
      <c r="WYH184" s="239"/>
      <c r="WYI184" s="239"/>
      <c r="WYJ184" s="239"/>
      <c r="WYK184" s="239"/>
      <c r="WYL184" s="239"/>
      <c r="WYM184" s="239"/>
      <c r="WYN184" s="239"/>
      <c r="WYO184" s="239"/>
      <c r="WYP184" s="239"/>
      <c r="WYQ184" s="239"/>
      <c r="WYR184" s="239"/>
      <c r="WYS184" s="239"/>
      <c r="WYT184" s="239"/>
      <c r="WYU184" s="239"/>
      <c r="WYV184" s="239"/>
      <c r="WYW184" s="239"/>
      <c r="WYX184" s="239"/>
      <c r="WYY184" s="239"/>
      <c r="WYZ184" s="239"/>
      <c r="WZA184" s="239"/>
      <c r="WZB184" s="239"/>
      <c r="WZC184" s="239"/>
      <c r="WZD184" s="239"/>
      <c r="WZE184" s="239"/>
      <c r="WZF184" s="239"/>
      <c r="WZG184" s="239"/>
      <c r="WZH184" s="239"/>
      <c r="WZI184" s="239"/>
      <c r="WZJ184" s="239"/>
      <c r="WZK184" s="239"/>
      <c r="WZL184" s="239"/>
      <c r="WZM184" s="239"/>
      <c r="WZN184" s="239"/>
      <c r="WZO184" s="239"/>
      <c r="WZP184" s="239"/>
      <c r="WZQ184" s="239"/>
      <c r="WZR184" s="239"/>
      <c r="WZS184" s="239"/>
      <c r="WZT184" s="239"/>
      <c r="WZU184" s="239"/>
      <c r="WZV184" s="239"/>
      <c r="WZW184" s="239"/>
      <c r="WZX184" s="239"/>
      <c r="WZY184" s="239"/>
      <c r="WZZ184" s="239"/>
      <c r="XAA184" s="239"/>
      <c r="XAB184" s="239"/>
      <c r="XAC184" s="239"/>
      <c r="XAD184" s="239"/>
      <c r="XAE184" s="239"/>
      <c r="XAF184" s="239"/>
      <c r="XAG184" s="239"/>
      <c r="XAH184" s="239"/>
      <c r="XAI184" s="239"/>
      <c r="XAJ184" s="239"/>
      <c r="XAK184" s="239"/>
      <c r="XAL184" s="239"/>
      <c r="XAM184" s="239"/>
      <c r="XAN184" s="239"/>
      <c r="XAO184" s="239"/>
      <c r="XAP184" s="239"/>
      <c r="XAQ184" s="239"/>
      <c r="XAR184" s="239"/>
      <c r="XAS184" s="239"/>
      <c r="XAT184" s="239"/>
      <c r="XAU184" s="239"/>
      <c r="XAV184" s="239"/>
      <c r="XAW184" s="239"/>
      <c r="XAX184" s="239"/>
      <c r="XAY184" s="239"/>
      <c r="XAZ184" s="239"/>
      <c r="XBA184" s="239"/>
      <c r="XBB184" s="239"/>
      <c r="XBC184" s="239"/>
      <c r="XBD184" s="239"/>
      <c r="XBE184" s="239"/>
      <c r="XBF184" s="239"/>
      <c r="XBG184" s="239"/>
      <c r="XBH184" s="239"/>
      <c r="XBI184" s="239"/>
      <c r="XBJ184" s="239"/>
      <c r="XBK184" s="239"/>
      <c r="XBL184" s="239"/>
      <c r="XBM184" s="239"/>
      <c r="XBN184" s="239"/>
      <c r="XBO184" s="239"/>
      <c r="XBP184" s="239"/>
      <c r="XBQ184" s="239"/>
      <c r="XBR184" s="239"/>
      <c r="XBS184" s="239"/>
      <c r="XBT184" s="239"/>
      <c r="XBU184" s="239"/>
      <c r="XBV184" s="239"/>
      <c r="XBW184" s="239"/>
      <c r="XBX184" s="239"/>
      <c r="XBY184" s="239"/>
      <c r="XBZ184" s="239"/>
      <c r="XCA184" s="239"/>
      <c r="XCB184" s="239"/>
      <c r="XCC184" s="239"/>
      <c r="XCD184" s="239"/>
      <c r="XCE184" s="239"/>
      <c r="XCF184" s="239"/>
      <c r="XCG184" s="239"/>
      <c r="XCH184" s="239"/>
      <c r="XCI184" s="239"/>
      <c r="XCJ184" s="239"/>
      <c r="XCK184" s="239"/>
      <c r="XCL184" s="239"/>
      <c r="XCM184" s="239"/>
      <c r="XCN184" s="239"/>
      <c r="XCO184" s="239"/>
      <c r="XCP184" s="239"/>
      <c r="XCQ184" s="239"/>
      <c r="XCR184" s="239"/>
      <c r="XCS184" s="239"/>
      <c r="XCT184" s="239"/>
      <c r="XCU184" s="239"/>
      <c r="XCV184" s="239"/>
      <c r="XCW184" s="239"/>
      <c r="XCX184" s="239"/>
      <c r="XCY184" s="239"/>
      <c r="XCZ184" s="239"/>
      <c r="XDA184" s="239"/>
      <c r="XDB184" s="239"/>
      <c r="XDC184" s="239"/>
      <c r="XDD184" s="239"/>
      <c r="XDE184" s="239"/>
      <c r="XDF184" s="239"/>
      <c r="XDG184" s="239"/>
      <c r="XDH184" s="239"/>
      <c r="XDI184" s="239"/>
      <c r="XDJ184" s="239"/>
      <c r="XDK184" s="239"/>
      <c r="XDL184" s="239"/>
      <c r="XDM184" s="239"/>
      <c r="XDN184" s="239"/>
      <c r="XDO184" s="239"/>
      <c r="XDP184" s="239"/>
      <c r="XDQ184" s="239"/>
      <c r="XDR184" s="239"/>
      <c r="XDS184" s="239"/>
      <c r="XDT184" s="239"/>
      <c r="XDU184" s="239"/>
      <c r="XDV184" s="239"/>
      <c r="XDW184" s="239"/>
      <c r="XDX184" s="239"/>
      <c r="XDY184" s="239"/>
      <c r="XDZ184" s="239"/>
      <c r="XEA184" s="239"/>
      <c r="XEB184" s="239"/>
      <c r="XEC184" s="239"/>
      <c r="XED184" s="239"/>
      <c r="XEE184" s="239"/>
      <c r="XEF184" s="239"/>
      <c r="XEG184" s="239"/>
      <c r="XEH184" s="239"/>
      <c r="XEI184" s="239"/>
      <c r="XEJ184" s="239"/>
      <c r="XEK184" s="239"/>
      <c r="XEL184" s="239"/>
      <c r="XEM184" s="239"/>
      <c r="XEN184" s="239"/>
      <c r="XEO184" s="239"/>
      <c r="XEP184" s="239"/>
      <c r="XEQ184" s="239"/>
      <c r="XER184" s="239"/>
      <c r="XES184" s="239"/>
      <c r="XET184" s="239"/>
      <c r="XEU184" s="239"/>
      <c r="XEV184" s="239"/>
      <c r="XEW184" s="239"/>
      <c r="XEX184" s="239"/>
      <c r="XEY184" s="239"/>
      <c r="XEZ184" s="239"/>
      <c r="XFA184" s="239"/>
      <c r="XFB184" s="239"/>
      <c r="XFC184" s="238"/>
    </row>
    <row r="185" spans="1:16383" x14ac:dyDescent="0.35">
      <c r="A185" s="240">
        <v>44098</v>
      </c>
      <c r="B185" s="241">
        <v>103.6525</v>
      </c>
      <c r="C185" s="217">
        <v>5.6100000000000004E-2</v>
      </c>
      <c r="D185" s="242">
        <v>100.77000000000001</v>
      </c>
      <c r="E185" s="220">
        <v>6.9000000000000006E-2</v>
      </c>
      <c r="F185" s="241">
        <v>100.85000000000001</v>
      </c>
      <c r="G185" s="217">
        <v>7.4099999999999999E-2</v>
      </c>
      <c r="H185" s="242">
        <v>100.77</v>
      </c>
      <c r="I185" s="243">
        <v>7.4300000000000005E-2</v>
      </c>
      <c r="J185" s="244"/>
    </row>
    <row r="186" spans="1:16383" x14ac:dyDescent="0.35">
      <c r="A186" s="245">
        <v>44099</v>
      </c>
      <c r="B186" s="241">
        <v>103.51375000000002</v>
      </c>
      <c r="C186" s="217">
        <v>5.6400000000000006E-2</v>
      </c>
      <c r="D186" s="242">
        <v>100.76</v>
      </c>
      <c r="E186" s="220">
        <v>6.9000000000000006E-2</v>
      </c>
      <c r="F186" s="241">
        <v>100.78</v>
      </c>
      <c r="G186" s="217">
        <v>7.4200000000000002E-2</v>
      </c>
      <c r="H186" s="242">
        <v>100.72</v>
      </c>
      <c r="I186" s="243">
        <v>7.4300000000000005E-2</v>
      </c>
      <c r="J186" s="246"/>
      <c r="K186" s="225"/>
      <c r="L186" s="225"/>
      <c r="M186" s="225"/>
      <c r="N186" s="225"/>
      <c r="O186" s="225"/>
      <c r="P186" s="225"/>
      <c r="Q186" s="225"/>
      <c r="R186" s="225"/>
      <c r="S186" s="225"/>
      <c r="T186" s="225"/>
      <c r="U186" s="225"/>
      <c r="V186" s="225"/>
      <c r="W186" s="225"/>
      <c r="X186" s="225"/>
      <c r="Y186" s="225"/>
      <c r="Z186" s="225"/>
      <c r="AA186" s="225"/>
      <c r="AB186" s="225"/>
      <c r="AC186" s="225"/>
      <c r="AD186" s="225"/>
      <c r="AE186" s="225"/>
      <c r="AF186" s="225"/>
      <c r="AG186" s="225"/>
      <c r="AH186" s="225"/>
      <c r="AI186" s="225"/>
      <c r="AJ186" s="225"/>
      <c r="AK186" s="225"/>
      <c r="AL186" s="225"/>
      <c r="AM186" s="225"/>
      <c r="AN186" s="225"/>
      <c r="AO186" s="225"/>
      <c r="AP186" s="225"/>
      <c r="AQ186" s="225"/>
      <c r="AR186" s="225"/>
      <c r="AS186" s="225"/>
      <c r="AT186" s="225"/>
      <c r="AU186" s="225"/>
      <c r="AV186" s="225"/>
      <c r="AW186" s="225"/>
      <c r="AX186" s="225"/>
      <c r="AY186" s="225"/>
      <c r="AZ186" s="225"/>
      <c r="BA186" s="225"/>
      <c r="BB186" s="225"/>
      <c r="BC186" s="225"/>
      <c r="BD186" s="225"/>
      <c r="BE186" s="225"/>
      <c r="BF186" s="225"/>
      <c r="BG186" s="225"/>
      <c r="BH186" s="225"/>
      <c r="BI186" s="225"/>
      <c r="BJ186" s="225"/>
      <c r="BK186" s="225"/>
      <c r="BL186" s="225"/>
      <c r="BM186" s="225"/>
      <c r="BN186" s="225"/>
      <c r="BO186" s="225"/>
      <c r="BP186" s="225"/>
      <c r="BQ186" s="225"/>
      <c r="BR186" s="225"/>
      <c r="BS186" s="225"/>
      <c r="BT186" s="225"/>
      <c r="BU186" s="225"/>
      <c r="BV186" s="225"/>
      <c r="BW186" s="225"/>
      <c r="BX186" s="225"/>
      <c r="BY186" s="225"/>
      <c r="BZ186" s="225"/>
      <c r="CA186" s="225"/>
      <c r="CB186" s="225"/>
      <c r="CC186" s="225"/>
      <c r="CD186" s="225"/>
      <c r="CE186" s="225"/>
      <c r="CF186" s="225"/>
      <c r="CG186" s="225"/>
      <c r="CH186" s="225"/>
      <c r="CI186" s="225"/>
      <c r="CJ186" s="225"/>
      <c r="CK186" s="225"/>
      <c r="CL186" s="225"/>
      <c r="CM186" s="225"/>
      <c r="CN186" s="225"/>
      <c r="CO186" s="225"/>
      <c r="CP186" s="225"/>
      <c r="CQ186" s="225"/>
      <c r="CR186" s="225"/>
      <c r="CS186" s="225"/>
      <c r="CT186" s="225"/>
      <c r="CU186" s="225"/>
      <c r="CV186" s="225"/>
      <c r="CW186" s="225"/>
      <c r="CX186" s="225"/>
      <c r="CY186" s="225"/>
      <c r="CZ186" s="225"/>
      <c r="DA186" s="225"/>
      <c r="DB186" s="225"/>
      <c r="DC186" s="225"/>
      <c r="DD186" s="225"/>
      <c r="DE186" s="225"/>
      <c r="DF186" s="225"/>
      <c r="DG186" s="225"/>
      <c r="DH186" s="225"/>
      <c r="DI186" s="225"/>
      <c r="DJ186" s="225"/>
      <c r="DK186" s="225"/>
      <c r="DL186" s="225"/>
      <c r="DM186" s="225"/>
      <c r="DN186" s="225"/>
      <c r="DO186" s="225"/>
      <c r="DP186" s="225"/>
      <c r="DQ186" s="225"/>
      <c r="DR186" s="225"/>
      <c r="DS186" s="225"/>
      <c r="DT186" s="225"/>
      <c r="DU186" s="225"/>
      <c r="DV186" s="225"/>
      <c r="DW186" s="225"/>
      <c r="DX186" s="225"/>
      <c r="DY186" s="225"/>
      <c r="DZ186" s="225"/>
      <c r="EA186" s="225"/>
      <c r="EB186" s="225"/>
      <c r="EC186" s="225"/>
      <c r="ED186" s="225"/>
      <c r="EE186" s="225"/>
      <c r="EF186" s="225"/>
      <c r="EG186" s="225"/>
      <c r="EH186" s="225"/>
      <c r="EI186" s="225"/>
      <c r="EJ186" s="225"/>
      <c r="EK186" s="225"/>
      <c r="EL186" s="225"/>
      <c r="EM186" s="225"/>
      <c r="EN186" s="225"/>
      <c r="EO186" s="225"/>
      <c r="EP186" s="225"/>
      <c r="EQ186" s="225"/>
      <c r="ER186" s="225"/>
      <c r="ES186" s="225"/>
      <c r="ET186" s="225"/>
      <c r="EU186" s="225"/>
      <c r="EV186" s="225"/>
      <c r="EW186" s="225"/>
      <c r="EX186" s="225"/>
      <c r="EY186" s="225"/>
      <c r="EZ186" s="225"/>
      <c r="FA186" s="225"/>
      <c r="FB186" s="225"/>
      <c r="FC186" s="225"/>
      <c r="FD186" s="225"/>
      <c r="FE186" s="225"/>
      <c r="FF186" s="225"/>
      <c r="FG186" s="225"/>
      <c r="FH186" s="225"/>
      <c r="FI186" s="225"/>
      <c r="FJ186" s="225"/>
      <c r="FK186" s="225"/>
      <c r="FL186" s="225"/>
      <c r="FM186" s="225"/>
      <c r="FN186" s="225"/>
      <c r="FO186" s="225"/>
      <c r="FP186" s="225"/>
      <c r="FQ186" s="225"/>
      <c r="FR186" s="225"/>
      <c r="FS186" s="225"/>
      <c r="FT186" s="225"/>
      <c r="FU186" s="225"/>
      <c r="FV186" s="225"/>
      <c r="FW186" s="225"/>
      <c r="FX186" s="225"/>
      <c r="FY186" s="225"/>
      <c r="FZ186" s="225"/>
      <c r="GA186" s="225"/>
      <c r="GB186" s="225"/>
      <c r="GC186" s="225"/>
      <c r="GD186" s="225"/>
      <c r="GE186" s="225"/>
      <c r="GF186" s="225"/>
      <c r="GG186" s="225"/>
      <c r="GH186" s="225"/>
      <c r="GI186" s="225"/>
      <c r="GJ186" s="225"/>
      <c r="GK186" s="225"/>
      <c r="GL186" s="225"/>
      <c r="GM186" s="225"/>
      <c r="GN186" s="225"/>
      <c r="GO186" s="225"/>
      <c r="GP186" s="225"/>
      <c r="GQ186" s="225"/>
      <c r="GR186" s="225"/>
      <c r="GS186" s="225"/>
      <c r="GT186" s="225"/>
      <c r="GU186" s="225"/>
      <c r="GV186" s="225"/>
      <c r="GW186" s="225"/>
      <c r="GX186" s="225"/>
      <c r="GY186" s="225"/>
      <c r="GZ186" s="225"/>
      <c r="HA186" s="225"/>
      <c r="HB186" s="225"/>
      <c r="HC186" s="225"/>
      <c r="HD186" s="225"/>
      <c r="HE186" s="225"/>
      <c r="HF186" s="225"/>
      <c r="HG186" s="225"/>
      <c r="HH186" s="225"/>
      <c r="HI186" s="225"/>
      <c r="HJ186" s="225"/>
      <c r="HK186" s="225"/>
      <c r="HL186" s="225"/>
      <c r="HM186" s="225"/>
      <c r="HN186" s="225"/>
      <c r="HO186" s="225"/>
      <c r="HP186" s="225"/>
      <c r="HQ186" s="225"/>
      <c r="HR186" s="225"/>
      <c r="HS186" s="225"/>
      <c r="HT186" s="225"/>
      <c r="HU186" s="225"/>
      <c r="HV186" s="225"/>
      <c r="HW186" s="225"/>
      <c r="HX186" s="225"/>
      <c r="HY186" s="225"/>
      <c r="HZ186" s="225"/>
      <c r="IA186" s="225"/>
      <c r="IB186" s="225"/>
      <c r="IC186" s="225"/>
      <c r="ID186" s="225"/>
      <c r="IE186" s="225"/>
      <c r="IF186" s="225"/>
      <c r="IG186" s="225"/>
      <c r="IH186" s="225"/>
      <c r="II186" s="225"/>
      <c r="IJ186" s="225"/>
      <c r="IK186" s="225"/>
      <c r="IL186" s="225"/>
      <c r="IM186" s="225"/>
      <c r="IN186" s="225"/>
      <c r="IO186" s="225"/>
      <c r="IP186" s="225"/>
      <c r="IQ186" s="225"/>
      <c r="IR186" s="225"/>
      <c r="IS186" s="225"/>
      <c r="IT186" s="225"/>
      <c r="IU186" s="225"/>
      <c r="IV186" s="225"/>
      <c r="IW186" s="225"/>
      <c r="IX186" s="225"/>
      <c r="IY186" s="225"/>
      <c r="IZ186" s="225"/>
      <c r="JA186" s="225"/>
      <c r="JB186" s="225"/>
      <c r="JC186" s="225"/>
      <c r="JD186" s="225"/>
      <c r="JE186" s="225"/>
      <c r="JF186" s="225"/>
      <c r="JG186" s="225"/>
      <c r="JH186" s="225"/>
      <c r="JI186" s="225"/>
      <c r="JJ186" s="225"/>
      <c r="JK186" s="225"/>
      <c r="JL186" s="225"/>
      <c r="JM186" s="225"/>
      <c r="JN186" s="225"/>
      <c r="JO186" s="225"/>
      <c r="JP186" s="225"/>
      <c r="JQ186" s="225"/>
      <c r="JR186" s="225"/>
      <c r="JS186" s="225"/>
      <c r="JT186" s="225"/>
      <c r="JU186" s="225"/>
      <c r="JV186" s="225"/>
      <c r="JW186" s="225"/>
      <c r="JX186" s="225"/>
      <c r="JY186" s="225"/>
      <c r="JZ186" s="225"/>
      <c r="KA186" s="225"/>
      <c r="KB186" s="225"/>
      <c r="KC186" s="225"/>
      <c r="KD186" s="225"/>
      <c r="KE186" s="225"/>
      <c r="KF186" s="225"/>
      <c r="KG186" s="225"/>
      <c r="KH186" s="225"/>
      <c r="KI186" s="225"/>
      <c r="KJ186" s="225"/>
      <c r="KK186" s="225"/>
      <c r="KL186" s="225"/>
      <c r="KM186" s="225"/>
      <c r="KN186" s="225"/>
      <c r="KO186" s="225"/>
      <c r="KP186" s="225"/>
      <c r="KQ186" s="225"/>
      <c r="KR186" s="225"/>
      <c r="KS186" s="225"/>
      <c r="KT186" s="225"/>
      <c r="KU186" s="225"/>
      <c r="KV186" s="225"/>
      <c r="KW186" s="225"/>
      <c r="KX186" s="225"/>
      <c r="KY186" s="225"/>
      <c r="KZ186" s="225"/>
      <c r="LA186" s="225"/>
      <c r="LB186" s="225"/>
      <c r="LC186" s="225"/>
      <c r="LD186" s="225"/>
      <c r="LE186" s="225"/>
      <c r="LF186" s="225"/>
      <c r="LG186" s="225"/>
      <c r="LH186" s="225"/>
      <c r="LI186" s="225"/>
      <c r="LJ186" s="225"/>
      <c r="LK186" s="225"/>
      <c r="LL186" s="225"/>
      <c r="LM186" s="225"/>
      <c r="LN186" s="225"/>
      <c r="LO186" s="225"/>
      <c r="LP186" s="225"/>
      <c r="LQ186" s="225"/>
      <c r="LR186" s="225"/>
      <c r="LS186" s="225"/>
      <c r="LT186" s="225"/>
      <c r="LU186" s="225"/>
      <c r="LV186" s="225"/>
      <c r="LW186" s="225"/>
      <c r="LX186" s="225"/>
      <c r="LY186" s="225"/>
      <c r="LZ186" s="225"/>
      <c r="MA186" s="225"/>
      <c r="MB186" s="225"/>
      <c r="MC186" s="225"/>
      <c r="MD186" s="225"/>
      <c r="ME186" s="225"/>
      <c r="MF186" s="225"/>
      <c r="MG186" s="225"/>
      <c r="MH186" s="225"/>
      <c r="MI186" s="225"/>
      <c r="MJ186" s="225"/>
      <c r="MK186" s="225"/>
      <c r="ML186" s="225"/>
      <c r="MM186" s="225"/>
      <c r="MN186" s="225"/>
      <c r="MO186" s="225"/>
      <c r="MP186" s="225"/>
      <c r="MQ186" s="225"/>
      <c r="MR186" s="225"/>
      <c r="MS186" s="225"/>
      <c r="MT186" s="225"/>
      <c r="MU186" s="225"/>
      <c r="MV186" s="225"/>
      <c r="MW186" s="225"/>
      <c r="MX186" s="225"/>
      <c r="MY186" s="225"/>
      <c r="MZ186" s="225"/>
      <c r="NA186" s="225"/>
      <c r="NB186" s="225"/>
      <c r="NC186" s="225"/>
      <c r="ND186" s="225"/>
      <c r="NE186" s="225"/>
      <c r="NF186" s="225"/>
      <c r="NG186" s="225"/>
      <c r="NH186" s="225"/>
      <c r="NI186" s="225"/>
      <c r="NJ186" s="225"/>
      <c r="NK186" s="225"/>
      <c r="NL186" s="225"/>
      <c r="NM186" s="225"/>
      <c r="NN186" s="225"/>
      <c r="NO186" s="225"/>
      <c r="NP186" s="225"/>
      <c r="NQ186" s="225"/>
      <c r="NR186" s="225"/>
      <c r="NS186" s="225"/>
      <c r="NT186" s="225"/>
      <c r="NU186" s="225"/>
      <c r="NV186" s="225"/>
      <c r="NW186" s="225"/>
      <c r="NX186" s="225"/>
      <c r="NY186" s="225"/>
      <c r="NZ186" s="225"/>
      <c r="OA186" s="225"/>
      <c r="OB186" s="225"/>
      <c r="OC186" s="225"/>
      <c r="OD186" s="225"/>
      <c r="OE186" s="225"/>
      <c r="OF186" s="225"/>
      <c r="OG186" s="225"/>
      <c r="OH186" s="225"/>
      <c r="OI186" s="225"/>
      <c r="OJ186" s="225"/>
      <c r="OK186" s="225"/>
      <c r="OL186" s="225"/>
      <c r="OM186" s="225"/>
      <c r="ON186" s="225"/>
      <c r="OO186" s="225"/>
      <c r="OP186" s="225"/>
      <c r="OQ186" s="225"/>
      <c r="OR186" s="225"/>
      <c r="OS186" s="225"/>
      <c r="OT186" s="225"/>
      <c r="OU186" s="225"/>
      <c r="OV186" s="225"/>
      <c r="OW186" s="225"/>
      <c r="OX186" s="225"/>
      <c r="OY186" s="225"/>
      <c r="OZ186" s="225"/>
      <c r="PA186" s="225"/>
      <c r="PB186" s="225"/>
      <c r="PC186" s="225"/>
      <c r="PD186" s="225"/>
      <c r="PE186" s="225"/>
      <c r="PF186" s="225"/>
      <c r="PG186" s="225"/>
      <c r="PH186" s="225"/>
      <c r="PI186" s="225"/>
      <c r="PJ186" s="225"/>
      <c r="PK186" s="225"/>
      <c r="PL186" s="225"/>
      <c r="PM186" s="225"/>
      <c r="PN186" s="225"/>
      <c r="PO186" s="225"/>
      <c r="PP186" s="225"/>
      <c r="PQ186" s="225"/>
      <c r="PR186" s="225"/>
      <c r="PS186" s="225"/>
      <c r="PT186" s="225"/>
      <c r="PU186" s="225"/>
      <c r="PV186" s="225"/>
      <c r="PW186" s="225"/>
      <c r="PX186" s="225"/>
      <c r="PY186" s="225"/>
      <c r="PZ186" s="225"/>
      <c r="QA186" s="225"/>
      <c r="QB186" s="225"/>
      <c r="QC186" s="225"/>
      <c r="QD186" s="225"/>
      <c r="QE186" s="225"/>
      <c r="QF186" s="225"/>
      <c r="QG186" s="225"/>
      <c r="QH186" s="225"/>
      <c r="QI186" s="225"/>
      <c r="QJ186" s="225"/>
      <c r="QK186" s="225"/>
      <c r="QL186" s="225"/>
      <c r="QM186" s="225"/>
      <c r="QN186" s="225"/>
      <c r="QO186" s="225"/>
      <c r="QP186" s="225"/>
      <c r="QQ186" s="225"/>
      <c r="QR186" s="225"/>
      <c r="QS186" s="225"/>
      <c r="QT186" s="225"/>
      <c r="QU186" s="225"/>
      <c r="QV186" s="225"/>
      <c r="QW186" s="225"/>
      <c r="QX186" s="225"/>
      <c r="QY186" s="225"/>
      <c r="QZ186" s="225"/>
      <c r="RA186" s="225"/>
      <c r="RB186" s="225"/>
      <c r="RC186" s="225"/>
      <c r="RD186" s="225"/>
      <c r="RE186" s="225"/>
      <c r="RF186" s="225"/>
      <c r="RG186" s="225"/>
      <c r="RH186" s="225"/>
      <c r="RI186" s="225"/>
      <c r="RJ186" s="225"/>
      <c r="RK186" s="225"/>
      <c r="RL186" s="225"/>
      <c r="RM186" s="225"/>
      <c r="RN186" s="225"/>
      <c r="RO186" s="225"/>
      <c r="RP186" s="225"/>
      <c r="RQ186" s="225"/>
      <c r="RR186" s="225"/>
      <c r="RS186" s="225"/>
      <c r="RT186" s="225"/>
      <c r="RU186" s="225"/>
      <c r="RV186" s="225"/>
      <c r="RW186" s="225"/>
      <c r="RX186" s="225"/>
      <c r="RY186" s="225"/>
      <c r="RZ186" s="225"/>
      <c r="SA186" s="225"/>
      <c r="SB186" s="225"/>
      <c r="SC186" s="225"/>
      <c r="SD186" s="225"/>
      <c r="SE186" s="225"/>
      <c r="SF186" s="225"/>
      <c r="SG186" s="225"/>
      <c r="SH186" s="225"/>
      <c r="SI186" s="225"/>
      <c r="SJ186" s="225"/>
      <c r="SK186" s="225"/>
      <c r="SL186" s="225"/>
      <c r="SM186" s="225"/>
      <c r="SN186" s="225"/>
      <c r="SO186" s="225"/>
      <c r="SP186" s="225"/>
      <c r="SQ186" s="225"/>
      <c r="SR186" s="225"/>
      <c r="SS186" s="225"/>
      <c r="ST186" s="225"/>
      <c r="SU186" s="225"/>
      <c r="SV186" s="225"/>
      <c r="SW186" s="225"/>
      <c r="SX186" s="225"/>
      <c r="SY186" s="225"/>
      <c r="SZ186" s="225"/>
      <c r="TA186" s="225"/>
      <c r="TB186" s="225"/>
      <c r="TC186" s="225"/>
      <c r="TD186" s="225"/>
      <c r="TE186" s="225"/>
      <c r="TF186" s="225"/>
      <c r="TG186" s="225"/>
      <c r="TH186" s="225"/>
      <c r="TI186" s="225"/>
      <c r="TJ186" s="225"/>
      <c r="TK186" s="225"/>
      <c r="TL186" s="225"/>
      <c r="TM186" s="225"/>
      <c r="TN186" s="225"/>
      <c r="TO186" s="225"/>
      <c r="TP186" s="225"/>
      <c r="TQ186" s="225"/>
      <c r="TR186" s="225"/>
      <c r="TS186" s="225"/>
      <c r="TT186" s="225"/>
      <c r="TU186" s="225"/>
      <c r="TV186" s="225"/>
      <c r="TW186" s="225"/>
      <c r="TX186" s="225"/>
      <c r="TY186" s="225"/>
      <c r="TZ186" s="225"/>
      <c r="UA186" s="225"/>
      <c r="UB186" s="225"/>
      <c r="UC186" s="225"/>
      <c r="UD186" s="225"/>
      <c r="UE186" s="225"/>
      <c r="UF186" s="225"/>
      <c r="UG186" s="225"/>
      <c r="UH186" s="225"/>
      <c r="UI186" s="225"/>
      <c r="UJ186" s="225"/>
      <c r="UK186" s="225"/>
      <c r="UL186" s="225"/>
      <c r="UM186" s="225"/>
      <c r="UN186" s="225"/>
      <c r="UO186" s="225"/>
      <c r="UP186" s="225"/>
      <c r="UQ186" s="225"/>
      <c r="UR186" s="225"/>
      <c r="US186" s="225"/>
      <c r="UT186" s="225"/>
      <c r="UU186" s="225"/>
      <c r="UV186" s="225"/>
      <c r="UW186" s="225"/>
      <c r="UX186" s="225"/>
      <c r="UY186" s="225"/>
      <c r="UZ186" s="225"/>
      <c r="VA186" s="225"/>
      <c r="VB186" s="225"/>
      <c r="VC186" s="225"/>
      <c r="VD186" s="225"/>
      <c r="VE186" s="225"/>
      <c r="VF186" s="225"/>
      <c r="VG186" s="225"/>
      <c r="VH186" s="225"/>
      <c r="VI186" s="225"/>
      <c r="VJ186" s="225"/>
      <c r="VK186" s="225"/>
      <c r="VL186" s="225"/>
      <c r="VM186" s="225"/>
      <c r="VN186" s="225"/>
      <c r="VO186" s="225"/>
      <c r="VP186" s="225"/>
      <c r="VQ186" s="225"/>
      <c r="VR186" s="225"/>
      <c r="VS186" s="225"/>
      <c r="VT186" s="225"/>
      <c r="VU186" s="225"/>
      <c r="VV186" s="225"/>
      <c r="VW186" s="225"/>
      <c r="VX186" s="225"/>
      <c r="VY186" s="225"/>
      <c r="VZ186" s="225"/>
      <c r="WA186" s="225"/>
      <c r="WB186" s="225"/>
      <c r="WC186" s="225"/>
      <c r="WD186" s="225"/>
      <c r="WE186" s="225"/>
      <c r="WF186" s="225"/>
      <c r="WG186" s="225"/>
      <c r="WH186" s="225"/>
      <c r="WI186" s="225"/>
      <c r="WJ186" s="225"/>
      <c r="WK186" s="225"/>
      <c r="WL186" s="225"/>
      <c r="WM186" s="225"/>
      <c r="WN186" s="225"/>
      <c r="WO186" s="225"/>
      <c r="WP186" s="225"/>
      <c r="WQ186" s="225"/>
      <c r="WR186" s="225"/>
      <c r="WS186" s="225"/>
      <c r="WT186" s="225"/>
      <c r="WU186" s="225"/>
      <c r="WV186" s="225"/>
      <c r="WW186" s="225"/>
      <c r="WX186" s="225"/>
      <c r="WY186" s="225"/>
      <c r="WZ186" s="225"/>
      <c r="XA186" s="225"/>
      <c r="XB186" s="225"/>
      <c r="XC186" s="225"/>
      <c r="XD186" s="225"/>
      <c r="XE186" s="225"/>
      <c r="XF186" s="225"/>
      <c r="XG186" s="225"/>
      <c r="XH186" s="225"/>
      <c r="XI186" s="225"/>
      <c r="XJ186" s="225"/>
      <c r="XK186" s="225"/>
      <c r="XL186" s="225"/>
      <c r="XM186" s="225"/>
      <c r="XN186" s="225"/>
      <c r="XO186" s="225"/>
      <c r="XP186" s="225"/>
      <c r="XQ186" s="225"/>
      <c r="XR186" s="225"/>
      <c r="XS186" s="225"/>
      <c r="XT186" s="225"/>
      <c r="XU186" s="225"/>
      <c r="XV186" s="225"/>
      <c r="XW186" s="225"/>
      <c r="XX186" s="225"/>
      <c r="XY186" s="225"/>
      <c r="XZ186" s="225"/>
      <c r="YA186" s="225"/>
      <c r="YB186" s="225"/>
      <c r="YC186" s="225"/>
      <c r="YD186" s="225"/>
      <c r="YE186" s="225"/>
      <c r="YF186" s="225"/>
      <c r="YG186" s="225"/>
      <c r="YH186" s="225"/>
      <c r="YI186" s="225"/>
      <c r="YJ186" s="225"/>
      <c r="YK186" s="225"/>
      <c r="YL186" s="225"/>
      <c r="YM186" s="225"/>
      <c r="YN186" s="225"/>
      <c r="YO186" s="225"/>
      <c r="YP186" s="225"/>
      <c r="YQ186" s="225"/>
      <c r="YR186" s="225"/>
      <c r="YS186" s="225"/>
      <c r="YT186" s="225"/>
      <c r="YU186" s="225"/>
      <c r="YV186" s="225"/>
      <c r="YW186" s="225"/>
      <c r="YX186" s="225"/>
      <c r="YY186" s="225"/>
      <c r="YZ186" s="225"/>
      <c r="ZA186" s="225"/>
      <c r="ZB186" s="225"/>
      <c r="ZC186" s="225"/>
      <c r="ZD186" s="225"/>
      <c r="ZE186" s="225"/>
      <c r="ZF186" s="225"/>
      <c r="ZG186" s="225"/>
      <c r="ZH186" s="225"/>
      <c r="ZI186" s="225"/>
      <c r="ZJ186" s="225"/>
      <c r="ZK186" s="225"/>
      <c r="ZL186" s="225"/>
      <c r="ZM186" s="225"/>
      <c r="ZN186" s="225"/>
      <c r="ZO186" s="225"/>
      <c r="ZP186" s="225"/>
      <c r="ZQ186" s="225"/>
      <c r="ZR186" s="225"/>
      <c r="ZS186" s="225"/>
      <c r="ZT186" s="225"/>
      <c r="ZU186" s="225"/>
      <c r="ZV186" s="225"/>
      <c r="ZW186" s="225"/>
      <c r="ZX186" s="225"/>
      <c r="ZY186" s="225"/>
      <c r="ZZ186" s="225"/>
      <c r="AAA186" s="225"/>
      <c r="AAB186" s="225"/>
      <c r="AAC186" s="225"/>
      <c r="AAD186" s="225"/>
      <c r="AAE186" s="225"/>
      <c r="AAF186" s="225"/>
      <c r="AAG186" s="225"/>
      <c r="AAH186" s="225"/>
      <c r="AAI186" s="225"/>
      <c r="AAJ186" s="225"/>
      <c r="AAK186" s="225"/>
      <c r="AAL186" s="225"/>
      <c r="AAM186" s="225"/>
      <c r="AAN186" s="225"/>
      <c r="AAO186" s="225"/>
      <c r="AAP186" s="225"/>
      <c r="AAQ186" s="225"/>
      <c r="AAR186" s="225"/>
      <c r="AAS186" s="225"/>
      <c r="AAT186" s="225"/>
      <c r="AAU186" s="225"/>
      <c r="AAV186" s="225"/>
      <c r="AAW186" s="225"/>
      <c r="AAX186" s="225"/>
      <c r="AAY186" s="225"/>
      <c r="AAZ186" s="225"/>
      <c r="ABA186" s="225"/>
      <c r="ABB186" s="225"/>
      <c r="ABC186" s="225"/>
      <c r="ABD186" s="225"/>
      <c r="ABE186" s="225"/>
      <c r="ABF186" s="225"/>
      <c r="ABG186" s="225"/>
      <c r="ABH186" s="225"/>
      <c r="ABI186" s="225"/>
      <c r="ABJ186" s="225"/>
      <c r="ABK186" s="225"/>
      <c r="ABL186" s="225"/>
      <c r="ABM186" s="225"/>
      <c r="ABN186" s="225"/>
      <c r="ABO186" s="225"/>
      <c r="ABP186" s="225"/>
      <c r="ABQ186" s="225"/>
      <c r="ABR186" s="225"/>
      <c r="ABS186" s="225"/>
      <c r="ABT186" s="225"/>
      <c r="ABU186" s="225"/>
      <c r="ABV186" s="225"/>
      <c r="ABW186" s="225"/>
      <c r="ABX186" s="225"/>
      <c r="ABY186" s="225"/>
      <c r="ABZ186" s="225"/>
      <c r="ACA186" s="225"/>
      <c r="ACB186" s="225"/>
      <c r="ACC186" s="225"/>
      <c r="ACD186" s="225"/>
      <c r="ACE186" s="225"/>
      <c r="ACF186" s="225"/>
      <c r="ACG186" s="225"/>
      <c r="ACH186" s="225"/>
      <c r="ACI186" s="225"/>
      <c r="ACJ186" s="225"/>
      <c r="ACK186" s="225"/>
      <c r="ACL186" s="225"/>
      <c r="ACM186" s="225"/>
      <c r="ACN186" s="225"/>
      <c r="ACO186" s="225"/>
      <c r="ACP186" s="225"/>
      <c r="ACQ186" s="225"/>
      <c r="ACR186" s="225"/>
      <c r="ACS186" s="225"/>
      <c r="ACT186" s="225"/>
      <c r="ACU186" s="225"/>
      <c r="ACV186" s="225"/>
      <c r="ACW186" s="225"/>
      <c r="ACX186" s="225"/>
      <c r="ACY186" s="225"/>
      <c r="ACZ186" s="225"/>
      <c r="ADA186" s="225"/>
      <c r="ADB186" s="225"/>
      <c r="ADC186" s="225"/>
      <c r="ADD186" s="225"/>
      <c r="ADE186" s="225"/>
      <c r="ADF186" s="225"/>
      <c r="ADG186" s="225"/>
      <c r="ADH186" s="225"/>
      <c r="ADI186" s="225"/>
      <c r="ADJ186" s="225"/>
      <c r="ADK186" s="225"/>
      <c r="ADL186" s="225"/>
      <c r="ADM186" s="225"/>
      <c r="ADN186" s="225"/>
      <c r="ADO186" s="225"/>
      <c r="ADP186" s="225"/>
      <c r="ADQ186" s="225"/>
      <c r="ADR186" s="225"/>
      <c r="ADS186" s="225"/>
      <c r="ADT186" s="225"/>
      <c r="ADU186" s="225"/>
      <c r="ADV186" s="225"/>
      <c r="ADW186" s="225"/>
      <c r="ADX186" s="225"/>
      <c r="ADY186" s="225"/>
      <c r="ADZ186" s="225"/>
      <c r="AEA186" s="225"/>
      <c r="AEB186" s="225"/>
      <c r="AEC186" s="225"/>
      <c r="AED186" s="225"/>
      <c r="AEE186" s="225"/>
      <c r="AEF186" s="225"/>
      <c r="AEG186" s="225"/>
      <c r="AEH186" s="225"/>
      <c r="AEI186" s="225"/>
      <c r="AEJ186" s="225"/>
      <c r="AEK186" s="225"/>
      <c r="AEL186" s="225"/>
      <c r="AEM186" s="225"/>
      <c r="AEN186" s="225"/>
      <c r="AEO186" s="225"/>
      <c r="AEP186" s="225"/>
      <c r="AEQ186" s="225"/>
      <c r="AER186" s="225"/>
      <c r="AES186" s="225"/>
      <c r="AET186" s="225"/>
      <c r="AEU186" s="225"/>
      <c r="AEV186" s="225"/>
      <c r="AEW186" s="225"/>
      <c r="AEX186" s="225"/>
      <c r="AEY186" s="225"/>
      <c r="AEZ186" s="225"/>
      <c r="AFA186" s="225"/>
      <c r="AFB186" s="225"/>
      <c r="AFC186" s="225"/>
      <c r="AFD186" s="225"/>
      <c r="AFE186" s="225"/>
      <c r="AFF186" s="225"/>
      <c r="AFG186" s="225"/>
      <c r="AFH186" s="225"/>
      <c r="AFI186" s="225"/>
      <c r="AFJ186" s="225"/>
      <c r="AFK186" s="225"/>
      <c r="AFL186" s="225"/>
      <c r="AFM186" s="225"/>
      <c r="AFN186" s="225"/>
      <c r="AFO186" s="225"/>
      <c r="AFP186" s="225"/>
      <c r="AFQ186" s="225"/>
      <c r="AFR186" s="225"/>
      <c r="AFS186" s="225"/>
      <c r="AFT186" s="225"/>
      <c r="AFU186" s="225"/>
      <c r="AFV186" s="225"/>
      <c r="AFW186" s="225"/>
      <c r="AFX186" s="225"/>
      <c r="AFY186" s="225"/>
      <c r="AFZ186" s="225"/>
      <c r="AGA186" s="225"/>
      <c r="AGB186" s="225"/>
      <c r="AGC186" s="225"/>
      <c r="AGD186" s="225"/>
      <c r="AGE186" s="225"/>
      <c r="AGF186" s="225"/>
      <c r="AGG186" s="225"/>
      <c r="AGH186" s="225"/>
      <c r="AGI186" s="225"/>
      <c r="AGJ186" s="225"/>
      <c r="AGK186" s="225"/>
      <c r="AGL186" s="225"/>
      <c r="AGM186" s="225"/>
      <c r="AGN186" s="225"/>
      <c r="AGO186" s="225"/>
      <c r="AGP186" s="225"/>
      <c r="AGQ186" s="225"/>
      <c r="AGR186" s="225"/>
      <c r="AGS186" s="225"/>
      <c r="AGT186" s="225"/>
      <c r="AGU186" s="225"/>
      <c r="AGV186" s="225"/>
      <c r="AGW186" s="225"/>
      <c r="AGX186" s="225"/>
      <c r="AGY186" s="225"/>
      <c r="AGZ186" s="225"/>
      <c r="AHA186" s="225"/>
      <c r="AHB186" s="225"/>
      <c r="AHC186" s="225"/>
      <c r="AHD186" s="225"/>
      <c r="AHE186" s="225"/>
      <c r="AHF186" s="225"/>
      <c r="AHG186" s="225"/>
      <c r="AHH186" s="225"/>
      <c r="AHI186" s="225"/>
      <c r="AHJ186" s="225"/>
      <c r="AHK186" s="225"/>
      <c r="AHL186" s="225"/>
      <c r="AHM186" s="225"/>
      <c r="AHN186" s="225"/>
      <c r="AHO186" s="225"/>
      <c r="AHP186" s="225"/>
      <c r="AHQ186" s="225"/>
      <c r="AHR186" s="225"/>
      <c r="AHS186" s="225"/>
      <c r="AHT186" s="225"/>
      <c r="AHU186" s="225"/>
      <c r="AHV186" s="225"/>
      <c r="AHW186" s="225"/>
      <c r="AHX186" s="225"/>
      <c r="AHY186" s="225"/>
      <c r="AHZ186" s="225"/>
      <c r="AIA186" s="225"/>
      <c r="AIB186" s="225"/>
      <c r="AIC186" s="225"/>
      <c r="AID186" s="225"/>
      <c r="AIE186" s="225"/>
      <c r="AIF186" s="225"/>
      <c r="AIG186" s="225"/>
      <c r="AIH186" s="225"/>
      <c r="AII186" s="225"/>
      <c r="AIJ186" s="225"/>
      <c r="AIK186" s="225"/>
      <c r="AIL186" s="225"/>
      <c r="AIM186" s="225"/>
      <c r="AIN186" s="225"/>
      <c r="AIO186" s="225"/>
      <c r="AIP186" s="225"/>
      <c r="AIQ186" s="225"/>
      <c r="AIR186" s="225"/>
      <c r="AIS186" s="225"/>
      <c r="AIT186" s="225"/>
      <c r="AIU186" s="225"/>
      <c r="AIV186" s="225"/>
      <c r="AIW186" s="225"/>
      <c r="AIX186" s="225"/>
      <c r="AIY186" s="225"/>
      <c r="AIZ186" s="225"/>
      <c r="AJA186" s="225"/>
      <c r="AJB186" s="225"/>
      <c r="AJC186" s="225"/>
      <c r="AJD186" s="225"/>
      <c r="AJE186" s="225"/>
      <c r="AJF186" s="225"/>
      <c r="AJG186" s="225"/>
      <c r="AJH186" s="225"/>
      <c r="AJI186" s="225"/>
      <c r="AJJ186" s="225"/>
      <c r="AJK186" s="225"/>
      <c r="AJL186" s="225"/>
      <c r="AJM186" s="225"/>
      <c r="AJN186" s="225"/>
      <c r="AJO186" s="225"/>
      <c r="AJP186" s="225"/>
      <c r="AJQ186" s="225"/>
      <c r="AJR186" s="225"/>
      <c r="AJS186" s="225"/>
      <c r="AJT186" s="225"/>
      <c r="AJU186" s="225"/>
      <c r="AJV186" s="225"/>
      <c r="AJW186" s="225"/>
      <c r="AJX186" s="225"/>
      <c r="AJY186" s="225"/>
      <c r="AJZ186" s="225"/>
      <c r="AKA186" s="225"/>
      <c r="AKB186" s="225"/>
      <c r="AKC186" s="225"/>
      <c r="AKD186" s="225"/>
      <c r="AKE186" s="225"/>
      <c r="AKF186" s="225"/>
      <c r="AKG186" s="225"/>
      <c r="AKH186" s="225"/>
      <c r="AKI186" s="225"/>
      <c r="AKJ186" s="225"/>
      <c r="AKK186" s="225"/>
      <c r="AKL186" s="225"/>
      <c r="AKM186" s="225"/>
      <c r="AKN186" s="225"/>
      <c r="AKO186" s="225"/>
      <c r="AKP186" s="225"/>
      <c r="AKQ186" s="225"/>
      <c r="AKR186" s="225"/>
      <c r="AKS186" s="225"/>
      <c r="AKT186" s="225"/>
      <c r="AKU186" s="225"/>
      <c r="AKV186" s="225"/>
      <c r="AKW186" s="225"/>
      <c r="AKX186" s="225"/>
      <c r="AKY186" s="225"/>
      <c r="AKZ186" s="225"/>
      <c r="ALA186" s="225"/>
      <c r="ALB186" s="225"/>
      <c r="ALC186" s="225"/>
      <c r="ALD186" s="225"/>
      <c r="ALE186" s="225"/>
      <c r="ALF186" s="225"/>
      <c r="ALG186" s="225"/>
      <c r="ALH186" s="225"/>
      <c r="ALI186" s="225"/>
      <c r="ALJ186" s="225"/>
      <c r="ALK186" s="225"/>
      <c r="ALL186" s="225"/>
      <c r="ALM186" s="225"/>
      <c r="ALN186" s="225"/>
      <c r="ALO186" s="225"/>
      <c r="ALP186" s="225"/>
      <c r="ALQ186" s="225"/>
      <c r="ALR186" s="225"/>
      <c r="ALS186" s="225"/>
      <c r="ALT186" s="225"/>
      <c r="ALU186" s="225"/>
      <c r="ALV186" s="225"/>
      <c r="ALW186" s="225"/>
      <c r="ALX186" s="225"/>
      <c r="ALY186" s="225"/>
      <c r="ALZ186" s="225"/>
      <c r="AMA186" s="225"/>
      <c r="AMB186" s="225"/>
      <c r="AMC186" s="225"/>
      <c r="AMD186" s="225"/>
      <c r="AME186" s="225"/>
      <c r="AMF186" s="225"/>
      <c r="AMG186" s="225"/>
      <c r="AMH186" s="225"/>
      <c r="AMI186" s="225"/>
      <c r="AMJ186" s="225"/>
      <c r="AMK186" s="225"/>
      <c r="AML186" s="225"/>
      <c r="AMM186" s="225"/>
      <c r="AMN186" s="225"/>
      <c r="AMO186" s="225"/>
      <c r="AMP186" s="225"/>
      <c r="AMQ186" s="225"/>
      <c r="AMR186" s="225"/>
      <c r="AMS186" s="225"/>
      <c r="AMT186" s="225"/>
      <c r="AMU186" s="225"/>
      <c r="AMV186" s="225"/>
      <c r="AMW186" s="225"/>
      <c r="AMX186" s="225"/>
      <c r="AMY186" s="225"/>
      <c r="AMZ186" s="225"/>
      <c r="ANA186" s="225"/>
      <c r="ANB186" s="225"/>
      <c r="ANC186" s="225"/>
      <c r="AND186" s="225"/>
      <c r="ANE186" s="225"/>
      <c r="ANF186" s="225"/>
      <c r="ANG186" s="225"/>
      <c r="ANH186" s="225"/>
      <c r="ANI186" s="225"/>
      <c r="ANJ186" s="225"/>
      <c r="ANK186" s="225"/>
      <c r="ANL186" s="225"/>
      <c r="ANM186" s="225"/>
      <c r="ANN186" s="225"/>
      <c r="ANO186" s="225"/>
      <c r="ANP186" s="225"/>
      <c r="ANQ186" s="225"/>
      <c r="ANR186" s="225"/>
      <c r="ANS186" s="225"/>
      <c r="ANT186" s="225"/>
      <c r="ANU186" s="225"/>
      <c r="ANV186" s="225"/>
      <c r="ANW186" s="225"/>
      <c r="ANX186" s="225"/>
      <c r="ANY186" s="225"/>
      <c r="ANZ186" s="225"/>
      <c r="AOA186" s="225"/>
      <c r="AOB186" s="225"/>
      <c r="AOC186" s="225"/>
      <c r="AOD186" s="225"/>
      <c r="AOE186" s="225"/>
      <c r="AOF186" s="225"/>
      <c r="AOG186" s="225"/>
      <c r="AOH186" s="225"/>
      <c r="AOI186" s="225"/>
      <c r="AOJ186" s="225"/>
      <c r="AOK186" s="225"/>
      <c r="AOL186" s="225"/>
      <c r="AOM186" s="225"/>
      <c r="AON186" s="225"/>
      <c r="AOO186" s="225"/>
      <c r="AOP186" s="225"/>
      <c r="AOQ186" s="225"/>
      <c r="AOR186" s="225"/>
      <c r="AOS186" s="225"/>
      <c r="AOT186" s="225"/>
      <c r="AOU186" s="225"/>
      <c r="AOV186" s="225"/>
      <c r="AOW186" s="225"/>
      <c r="AOX186" s="225"/>
      <c r="AOY186" s="225"/>
      <c r="AOZ186" s="225"/>
      <c r="APA186" s="225"/>
      <c r="APB186" s="225"/>
      <c r="APC186" s="225"/>
      <c r="APD186" s="225"/>
      <c r="APE186" s="225"/>
      <c r="APF186" s="225"/>
      <c r="APG186" s="225"/>
      <c r="APH186" s="225"/>
      <c r="API186" s="225"/>
      <c r="APJ186" s="225"/>
      <c r="APK186" s="225"/>
      <c r="APL186" s="225"/>
      <c r="APM186" s="225"/>
      <c r="APN186" s="225"/>
      <c r="APO186" s="225"/>
      <c r="APP186" s="225"/>
      <c r="APQ186" s="225"/>
      <c r="APR186" s="225"/>
      <c r="APS186" s="225"/>
      <c r="APT186" s="225"/>
      <c r="APU186" s="225"/>
      <c r="APV186" s="225"/>
      <c r="APW186" s="225"/>
      <c r="APX186" s="225"/>
      <c r="APY186" s="225"/>
      <c r="APZ186" s="225"/>
      <c r="AQA186" s="225"/>
      <c r="AQB186" s="225"/>
      <c r="AQC186" s="225"/>
      <c r="AQD186" s="225"/>
      <c r="AQE186" s="225"/>
      <c r="AQF186" s="225"/>
      <c r="AQG186" s="225"/>
      <c r="AQH186" s="225"/>
      <c r="AQI186" s="225"/>
      <c r="AQJ186" s="225"/>
      <c r="AQK186" s="225"/>
      <c r="AQL186" s="225"/>
      <c r="AQM186" s="225"/>
      <c r="AQN186" s="225"/>
      <c r="AQO186" s="225"/>
      <c r="AQP186" s="225"/>
      <c r="AQQ186" s="225"/>
      <c r="AQR186" s="225"/>
      <c r="AQS186" s="225"/>
      <c r="AQT186" s="225"/>
      <c r="AQU186" s="225"/>
      <c r="AQV186" s="225"/>
      <c r="AQW186" s="225"/>
      <c r="AQX186" s="225"/>
      <c r="AQY186" s="225"/>
      <c r="AQZ186" s="225"/>
      <c r="ARA186" s="225"/>
      <c r="ARB186" s="225"/>
      <c r="ARC186" s="225"/>
      <c r="ARD186" s="225"/>
      <c r="ARE186" s="225"/>
      <c r="ARF186" s="225"/>
      <c r="ARG186" s="225"/>
      <c r="ARH186" s="225"/>
      <c r="ARI186" s="225"/>
      <c r="ARJ186" s="225"/>
      <c r="ARK186" s="225"/>
      <c r="ARL186" s="225"/>
      <c r="ARM186" s="225"/>
      <c r="ARN186" s="225"/>
      <c r="ARO186" s="225"/>
      <c r="ARP186" s="225"/>
      <c r="ARQ186" s="225"/>
      <c r="ARR186" s="225"/>
      <c r="ARS186" s="225"/>
      <c r="ART186" s="225"/>
      <c r="ARU186" s="225"/>
      <c r="ARV186" s="225"/>
      <c r="ARW186" s="225"/>
      <c r="ARX186" s="225"/>
      <c r="ARY186" s="225"/>
      <c r="ARZ186" s="225"/>
      <c r="ASA186" s="225"/>
      <c r="ASB186" s="225"/>
      <c r="ASC186" s="225"/>
      <c r="ASD186" s="225"/>
      <c r="ASE186" s="225"/>
      <c r="ASF186" s="225"/>
      <c r="ASG186" s="225"/>
      <c r="ASH186" s="225"/>
      <c r="ASI186" s="225"/>
      <c r="ASJ186" s="225"/>
      <c r="ASK186" s="225"/>
      <c r="ASL186" s="225"/>
      <c r="ASM186" s="225"/>
      <c r="ASN186" s="225"/>
      <c r="ASO186" s="225"/>
      <c r="ASP186" s="225"/>
      <c r="ASQ186" s="225"/>
      <c r="ASR186" s="225"/>
      <c r="ASS186" s="225"/>
      <c r="AST186" s="225"/>
      <c r="ASU186" s="225"/>
      <c r="ASV186" s="225"/>
      <c r="ASW186" s="225"/>
      <c r="ASX186" s="225"/>
      <c r="ASY186" s="225"/>
      <c r="ASZ186" s="225"/>
      <c r="ATA186" s="225"/>
      <c r="ATB186" s="225"/>
      <c r="ATC186" s="225"/>
      <c r="ATD186" s="225"/>
      <c r="ATE186" s="225"/>
      <c r="ATF186" s="225"/>
      <c r="ATG186" s="225"/>
      <c r="ATH186" s="225"/>
      <c r="ATI186" s="225"/>
      <c r="ATJ186" s="225"/>
      <c r="ATK186" s="225"/>
      <c r="ATL186" s="225"/>
      <c r="ATM186" s="225"/>
      <c r="ATN186" s="225"/>
      <c r="ATO186" s="225"/>
      <c r="ATP186" s="225"/>
      <c r="ATQ186" s="225"/>
      <c r="ATR186" s="225"/>
      <c r="ATS186" s="225"/>
      <c r="ATT186" s="225"/>
      <c r="ATU186" s="225"/>
      <c r="ATV186" s="225"/>
      <c r="ATW186" s="225"/>
      <c r="ATX186" s="225"/>
      <c r="ATY186" s="225"/>
      <c r="ATZ186" s="225"/>
      <c r="AUA186" s="225"/>
      <c r="AUB186" s="225"/>
      <c r="AUC186" s="225"/>
      <c r="AUD186" s="225"/>
      <c r="AUE186" s="225"/>
      <c r="AUF186" s="225"/>
      <c r="AUG186" s="225"/>
      <c r="AUH186" s="225"/>
      <c r="AUI186" s="225"/>
      <c r="AUJ186" s="225"/>
      <c r="AUK186" s="225"/>
      <c r="AUL186" s="225"/>
      <c r="AUM186" s="225"/>
      <c r="AUN186" s="225"/>
      <c r="AUO186" s="225"/>
      <c r="AUP186" s="225"/>
      <c r="AUQ186" s="225"/>
      <c r="AUR186" s="225"/>
      <c r="AUS186" s="225"/>
      <c r="AUT186" s="225"/>
      <c r="AUU186" s="225"/>
      <c r="AUV186" s="225"/>
      <c r="AUW186" s="225"/>
      <c r="AUX186" s="225"/>
      <c r="AUY186" s="225"/>
      <c r="AUZ186" s="225"/>
      <c r="AVA186" s="225"/>
      <c r="AVB186" s="225"/>
      <c r="AVC186" s="225"/>
      <c r="AVD186" s="225"/>
      <c r="AVE186" s="225"/>
      <c r="AVF186" s="225"/>
      <c r="AVG186" s="225"/>
      <c r="AVH186" s="225"/>
      <c r="AVI186" s="225"/>
      <c r="AVJ186" s="225"/>
      <c r="AVK186" s="225"/>
      <c r="AVL186" s="225"/>
      <c r="AVM186" s="225"/>
      <c r="AVN186" s="225"/>
      <c r="AVO186" s="225"/>
      <c r="AVP186" s="225"/>
      <c r="AVQ186" s="225"/>
      <c r="AVR186" s="225"/>
      <c r="AVS186" s="225"/>
      <c r="AVT186" s="225"/>
      <c r="AVU186" s="225"/>
      <c r="AVV186" s="225"/>
      <c r="AVW186" s="225"/>
      <c r="AVX186" s="225"/>
      <c r="AVY186" s="225"/>
      <c r="AVZ186" s="225"/>
      <c r="AWA186" s="225"/>
      <c r="AWB186" s="225"/>
      <c r="AWC186" s="225"/>
      <c r="AWD186" s="225"/>
      <c r="AWE186" s="225"/>
      <c r="AWF186" s="225"/>
      <c r="AWG186" s="225"/>
      <c r="AWH186" s="225"/>
      <c r="AWI186" s="225"/>
      <c r="AWJ186" s="225"/>
      <c r="AWK186" s="225"/>
      <c r="AWL186" s="225"/>
      <c r="AWM186" s="225"/>
      <c r="AWN186" s="225"/>
      <c r="AWO186" s="225"/>
      <c r="AWP186" s="225"/>
      <c r="AWQ186" s="225"/>
      <c r="AWR186" s="225"/>
      <c r="AWS186" s="225"/>
      <c r="AWT186" s="225"/>
      <c r="AWU186" s="225"/>
      <c r="AWV186" s="225"/>
      <c r="AWW186" s="225"/>
      <c r="AWX186" s="225"/>
      <c r="AWY186" s="225"/>
      <c r="AWZ186" s="225"/>
      <c r="AXA186" s="225"/>
      <c r="AXB186" s="225"/>
      <c r="AXC186" s="225"/>
      <c r="AXD186" s="225"/>
      <c r="AXE186" s="225"/>
      <c r="AXF186" s="225"/>
      <c r="AXG186" s="225"/>
      <c r="AXH186" s="225"/>
      <c r="AXI186" s="225"/>
      <c r="AXJ186" s="225"/>
      <c r="AXK186" s="225"/>
      <c r="AXL186" s="225"/>
      <c r="AXM186" s="225"/>
      <c r="AXN186" s="225"/>
      <c r="AXO186" s="225"/>
      <c r="AXP186" s="225"/>
      <c r="AXQ186" s="225"/>
      <c r="AXR186" s="225"/>
      <c r="AXS186" s="225"/>
      <c r="AXT186" s="225"/>
      <c r="AXU186" s="225"/>
      <c r="AXV186" s="225"/>
      <c r="AXW186" s="225"/>
      <c r="AXX186" s="225"/>
      <c r="AXY186" s="225"/>
      <c r="AXZ186" s="225"/>
      <c r="AYA186" s="225"/>
      <c r="AYB186" s="225"/>
      <c r="AYC186" s="225"/>
      <c r="AYD186" s="225"/>
      <c r="AYE186" s="225"/>
      <c r="AYF186" s="225"/>
      <c r="AYG186" s="225"/>
      <c r="AYH186" s="225"/>
      <c r="AYI186" s="225"/>
      <c r="AYJ186" s="225"/>
      <c r="AYK186" s="225"/>
      <c r="AYL186" s="225"/>
      <c r="AYM186" s="225"/>
      <c r="AYN186" s="225"/>
      <c r="AYO186" s="225"/>
      <c r="AYP186" s="225"/>
      <c r="AYQ186" s="225"/>
      <c r="AYR186" s="225"/>
      <c r="AYS186" s="225"/>
      <c r="AYT186" s="225"/>
      <c r="AYU186" s="225"/>
      <c r="AYV186" s="225"/>
      <c r="AYW186" s="225"/>
      <c r="AYX186" s="225"/>
      <c r="AYY186" s="225"/>
      <c r="AYZ186" s="225"/>
      <c r="AZA186" s="225"/>
      <c r="AZB186" s="225"/>
      <c r="AZC186" s="225"/>
      <c r="AZD186" s="225"/>
      <c r="AZE186" s="225"/>
      <c r="AZF186" s="225"/>
      <c r="AZG186" s="225"/>
      <c r="AZH186" s="225"/>
      <c r="AZI186" s="225"/>
      <c r="AZJ186" s="225"/>
      <c r="AZK186" s="225"/>
      <c r="AZL186" s="225"/>
      <c r="AZM186" s="225"/>
      <c r="AZN186" s="225"/>
      <c r="AZO186" s="225"/>
      <c r="AZP186" s="225"/>
      <c r="AZQ186" s="225"/>
      <c r="AZR186" s="225"/>
      <c r="AZS186" s="225"/>
      <c r="AZT186" s="225"/>
      <c r="AZU186" s="225"/>
      <c r="AZV186" s="225"/>
      <c r="AZW186" s="225"/>
      <c r="AZX186" s="225"/>
      <c r="AZY186" s="225"/>
      <c r="AZZ186" s="225"/>
      <c r="BAA186" s="225"/>
      <c r="BAB186" s="225"/>
      <c r="BAC186" s="225"/>
      <c r="BAD186" s="225"/>
      <c r="BAE186" s="225"/>
      <c r="BAF186" s="225"/>
      <c r="BAG186" s="225"/>
      <c r="BAH186" s="225"/>
      <c r="BAI186" s="225"/>
      <c r="BAJ186" s="225"/>
      <c r="BAK186" s="225"/>
      <c r="BAL186" s="225"/>
      <c r="BAM186" s="225"/>
      <c r="BAN186" s="225"/>
      <c r="BAO186" s="225"/>
      <c r="BAP186" s="225"/>
      <c r="BAQ186" s="225"/>
      <c r="BAR186" s="225"/>
      <c r="BAS186" s="225"/>
      <c r="BAT186" s="225"/>
      <c r="BAU186" s="225"/>
      <c r="BAV186" s="225"/>
      <c r="BAW186" s="225"/>
      <c r="BAX186" s="225"/>
      <c r="BAY186" s="225"/>
      <c r="BAZ186" s="225"/>
      <c r="BBA186" s="225"/>
      <c r="BBB186" s="225"/>
      <c r="BBC186" s="225"/>
      <c r="BBD186" s="225"/>
      <c r="BBE186" s="225"/>
      <c r="BBF186" s="225"/>
      <c r="BBG186" s="225"/>
      <c r="BBH186" s="225"/>
      <c r="BBI186" s="225"/>
      <c r="BBJ186" s="225"/>
      <c r="BBK186" s="225"/>
      <c r="BBL186" s="225"/>
      <c r="BBM186" s="225"/>
      <c r="BBN186" s="225"/>
      <c r="BBO186" s="225"/>
      <c r="BBP186" s="225"/>
      <c r="BBQ186" s="225"/>
      <c r="BBR186" s="225"/>
      <c r="BBS186" s="225"/>
      <c r="BBT186" s="225"/>
      <c r="BBU186" s="225"/>
      <c r="BBV186" s="225"/>
      <c r="BBW186" s="225"/>
      <c r="BBX186" s="225"/>
      <c r="BBY186" s="225"/>
      <c r="BBZ186" s="225"/>
      <c r="BCA186" s="225"/>
      <c r="BCB186" s="225"/>
      <c r="BCC186" s="225"/>
      <c r="BCD186" s="225"/>
      <c r="BCE186" s="225"/>
      <c r="BCF186" s="225"/>
      <c r="BCG186" s="225"/>
      <c r="BCH186" s="225"/>
      <c r="BCI186" s="225"/>
      <c r="BCJ186" s="225"/>
      <c r="BCK186" s="225"/>
      <c r="BCL186" s="225"/>
      <c r="BCM186" s="225"/>
      <c r="BCN186" s="225"/>
      <c r="BCO186" s="225"/>
      <c r="BCP186" s="225"/>
      <c r="BCQ186" s="225"/>
      <c r="BCR186" s="225"/>
      <c r="BCS186" s="225"/>
      <c r="BCT186" s="225"/>
      <c r="BCU186" s="225"/>
      <c r="BCV186" s="225"/>
      <c r="BCW186" s="225"/>
      <c r="BCX186" s="225"/>
      <c r="BCY186" s="225"/>
      <c r="BCZ186" s="225"/>
      <c r="BDA186" s="225"/>
      <c r="BDB186" s="225"/>
      <c r="BDC186" s="225"/>
      <c r="BDD186" s="225"/>
      <c r="BDE186" s="225"/>
      <c r="BDF186" s="225"/>
      <c r="BDG186" s="225"/>
      <c r="BDH186" s="225"/>
      <c r="BDI186" s="225"/>
      <c r="BDJ186" s="225"/>
      <c r="BDK186" s="225"/>
      <c r="BDL186" s="225"/>
      <c r="BDM186" s="225"/>
      <c r="BDN186" s="225"/>
      <c r="BDO186" s="225"/>
      <c r="BDP186" s="225"/>
      <c r="BDQ186" s="225"/>
      <c r="BDR186" s="225"/>
      <c r="BDS186" s="225"/>
      <c r="BDT186" s="225"/>
      <c r="BDU186" s="225"/>
      <c r="BDV186" s="225"/>
      <c r="BDW186" s="225"/>
      <c r="BDX186" s="225"/>
      <c r="BDY186" s="225"/>
      <c r="BDZ186" s="225"/>
      <c r="BEA186" s="225"/>
      <c r="BEB186" s="225"/>
      <c r="BEC186" s="225"/>
      <c r="BED186" s="225"/>
      <c r="BEE186" s="225"/>
      <c r="BEF186" s="225"/>
      <c r="BEG186" s="225"/>
      <c r="BEH186" s="225"/>
      <c r="BEI186" s="225"/>
      <c r="BEJ186" s="225"/>
      <c r="BEK186" s="225"/>
      <c r="BEL186" s="225"/>
      <c r="BEM186" s="225"/>
      <c r="BEN186" s="225"/>
      <c r="BEO186" s="225"/>
      <c r="BEP186" s="225"/>
      <c r="BEQ186" s="225"/>
      <c r="BER186" s="225"/>
      <c r="BES186" s="225"/>
      <c r="BET186" s="225"/>
      <c r="BEU186" s="225"/>
      <c r="BEV186" s="225"/>
      <c r="BEW186" s="225"/>
      <c r="BEX186" s="225"/>
      <c r="BEY186" s="225"/>
      <c r="BEZ186" s="225"/>
      <c r="BFA186" s="225"/>
      <c r="BFB186" s="225"/>
      <c r="BFC186" s="225"/>
      <c r="BFD186" s="225"/>
      <c r="BFE186" s="225"/>
      <c r="BFF186" s="225"/>
      <c r="BFG186" s="225"/>
      <c r="BFH186" s="225"/>
      <c r="BFI186" s="225"/>
      <c r="BFJ186" s="225"/>
      <c r="BFK186" s="225"/>
      <c r="BFL186" s="225"/>
      <c r="BFM186" s="225"/>
      <c r="BFN186" s="225"/>
      <c r="BFO186" s="225"/>
      <c r="BFP186" s="225"/>
      <c r="BFQ186" s="225"/>
      <c r="BFR186" s="225"/>
      <c r="BFS186" s="225"/>
      <c r="BFT186" s="225"/>
      <c r="BFU186" s="225"/>
      <c r="BFV186" s="225"/>
      <c r="BFW186" s="225"/>
      <c r="BFX186" s="225"/>
      <c r="BFY186" s="225"/>
      <c r="BFZ186" s="225"/>
      <c r="BGA186" s="225"/>
      <c r="BGB186" s="225"/>
      <c r="BGC186" s="225"/>
      <c r="BGD186" s="225"/>
      <c r="BGE186" s="225"/>
      <c r="BGF186" s="225"/>
      <c r="BGG186" s="225"/>
      <c r="BGH186" s="225"/>
      <c r="BGI186" s="225"/>
      <c r="BGJ186" s="225"/>
      <c r="BGK186" s="225"/>
      <c r="BGL186" s="225"/>
      <c r="BGM186" s="225"/>
      <c r="BGN186" s="225"/>
      <c r="BGO186" s="225"/>
      <c r="BGP186" s="225"/>
      <c r="BGQ186" s="225"/>
      <c r="BGR186" s="225"/>
      <c r="BGS186" s="225"/>
      <c r="BGT186" s="225"/>
      <c r="BGU186" s="225"/>
      <c r="BGV186" s="225"/>
      <c r="BGW186" s="225"/>
      <c r="BGX186" s="225"/>
      <c r="BGY186" s="225"/>
      <c r="BGZ186" s="225"/>
      <c r="BHA186" s="225"/>
      <c r="BHB186" s="225"/>
      <c r="BHC186" s="225"/>
      <c r="BHD186" s="225"/>
      <c r="BHE186" s="225"/>
      <c r="BHF186" s="225"/>
      <c r="BHG186" s="225"/>
      <c r="BHH186" s="225"/>
      <c r="BHI186" s="225"/>
      <c r="BHJ186" s="225"/>
      <c r="BHK186" s="225"/>
      <c r="BHL186" s="225"/>
      <c r="BHM186" s="225"/>
      <c r="BHN186" s="225"/>
      <c r="BHO186" s="225"/>
      <c r="BHP186" s="225"/>
      <c r="BHQ186" s="225"/>
      <c r="BHR186" s="225"/>
      <c r="BHS186" s="225"/>
      <c r="BHT186" s="225"/>
      <c r="BHU186" s="225"/>
      <c r="BHV186" s="225"/>
      <c r="BHW186" s="225"/>
      <c r="BHX186" s="225"/>
      <c r="BHY186" s="225"/>
      <c r="BHZ186" s="225"/>
      <c r="BIA186" s="225"/>
      <c r="BIB186" s="225"/>
      <c r="BIC186" s="225"/>
      <c r="BID186" s="225"/>
      <c r="BIE186" s="225"/>
      <c r="BIF186" s="225"/>
      <c r="BIG186" s="225"/>
      <c r="BIH186" s="225"/>
      <c r="BII186" s="225"/>
      <c r="BIJ186" s="225"/>
      <c r="BIK186" s="225"/>
      <c r="BIL186" s="225"/>
      <c r="BIM186" s="225"/>
      <c r="BIN186" s="225"/>
      <c r="BIO186" s="225"/>
      <c r="BIP186" s="225"/>
      <c r="BIQ186" s="225"/>
      <c r="BIR186" s="225"/>
      <c r="BIS186" s="225"/>
      <c r="BIT186" s="225"/>
      <c r="BIU186" s="225"/>
      <c r="BIV186" s="225"/>
      <c r="BIW186" s="225"/>
      <c r="BIX186" s="225"/>
      <c r="BIY186" s="225"/>
      <c r="BIZ186" s="225"/>
      <c r="BJA186" s="225"/>
      <c r="BJB186" s="225"/>
      <c r="BJC186" s="225"/>
      <c r="BJD186" s="225"/>
      <c r="BJE186" s="225"/>
      <c r="BJF186" s="225"/>
      <c r="BJG186" s="225"/>
      <c r="BJH186" s="225"/>
      <c r="BJI186" s="225"/>
      <c r="BJJ186" s="225"/>
      <c r="BJK186" s="225"/>
      <c r="BJL186" s="225"/>
      <c r="BJM186" s="225"/>
      <c r="BJN186" s="225"/>
      <c r="BJO186" s="225"/>
      <c r="BJP186" s="225"/>
      <c r="BJQ186" s="225"/>
      <c r="BJR186" s="225"/>
      <c r="BJS186" s="225"/>
      <c r="BJT186" s="225"/>
      <c r="BJU186" s="225"/>
      <c r="BJV186" s="225"/>
      <c r="BJW186" s="225"/>
      <c r="BJX186" s="225"/>
      <c r="BJY186" s="225"/>
      <c r="BJZ186" s="225"/>
      <c r="BKA186" s="225"/>
      <c r="BKB186" s="225"/>
      <c r="BKC186" s="225"/>
      <c r="BKD186" s="225"/>
      <c r="BKE186" s="225"/>
      <c r="BKF186" s="225"/>
      <c r="BKG186" s="225"/>
      <c r="BKH186" s="225"/>
      <c r="BKI186" s="225"/>
      <c r="BKJ186" s="225"/>
      <c r="BKK186" s="225"/>
      <c r="BKL186" s="225"/>
      <c r="BKM186" s="225"/>
      <c r="BKN186" s="225"/>
      <c r="BKO186" s="225"/>
      <c r="BKP186" s="225"/>
      <c r="BKQ186" s="225"/>
      <c r="BKR186" s="225"/>
      <c r="BKS186" s="225"/>
      <c r="BKT186" s="225"/>
      <c r="BKU186" s="225"/>
      <c r="BKV186" s="225"/>
      <c r="BKW186" s="225"/>
      <c r="BKX186" s="225"/>
      <c r="BKY186" s="225"/>
      <c r="BKZ186" s="225"/>
      <c r="BLA186" s="225"/>
      <c r="BLB186" s="225"/>
      <c r="BLC186" s="225"/>
      <c r="BLD186" s="225"/>
      <c r="BLE186" s="225"/>
      <c r="BLF186" s="225"/>
      <c r="BLG186" s="225"/>
      <c r="BLH186" s="225"/>
      <c r="BLI186" s="225"/>
      <c r="BLJ186" s="225"/>
      <c r="BLK186" s="225"/>
      <c r="BLL186" s="225"/>
      <c r="BLM186" s="225"/>
      <c r="BLN186" s="225"/>
      <c r="BLO186" s="225"/>
      <c r="BLP186" s="225"/>
      <c r="BLQ186" s="225"/>
      <c r="BLR186" s="225"/>
      <c r="BLS186" s="225"/>
      <c r="BLT186" s="225"/>
      <c r="BLU186" s="225"/>
      <c r="BLV186" s="225"/>
      <c r="BLW186" s="225"/>
      <c r="BLX186" s="225"/>
      <c r="BLY186" s="225"/>
      <c r="BLZ186" s="225"/>
      <c r="BMA186" s="225"/>
      <c r="BMB186" s="225"/>
      <c r="BMC186" s="225"/>
      <c r="BMD186" s="225"/>
      <c r="BME186" s="225"/>
      <c r="BMF186" s="225"/>
      <c r="BMG186" s="225"/>
      <c r="BMH186" s="225"/>
      <c r="BMI186" s="225"/>
      <c r="BMJ186" s="225"/>
      <c r="BMK186" s="225"/>
      <c r="BML186" s="225"/>
      <c r="BMM186" s="225"/>
      <c r="BMN186" s="225"/>
      <c r="BMO186" s="225"/>
      <c r="BMP186" s="225"/>
      <c r="BMQ186" s="225"/>
      <c r="BMR186" s="225"/>
      <c r="BMS186" s="225"/>
      <c r="BMT186" s="225"/>
      <c r="BMU186" s="225"/>
      <c r="BMV186" s="225"/>
      <c r="BMW186" s="225"/>
      <c r="BMX186" s="225"/>
      <c r="BMY186" s="225"/>
      <c r="BMZ186" s="225"/>
      <c r="BNA186" s="225"/>
      <c r="BNB186" s="225"/>
      <c r="BNC186" s="225"/>
      <c r="BND186" s="225"/>
      <c r="BNE186" s="225"/>
      <c r="BNF186" s="225"/>
      <c r="BNG186" s="225"/>
      <c r="BNH186" s="225"/>
      <c r="BNI186" s="225"/>
      <c r="BNJ186" s="225"/>
      <c r="BNK186" s="225"/>
      <c r="BNL186" s="225"/>
      <c r="BNM186" s="225"/>
      <c r="BNN186" s="225"/>
      <c r="BNO186" s="225"/>
      <c r="BNP186" s="225"/>
      <c r="BNQ186" s="225"/>
      <c r="BNR186" s="225"/>
      <c r="BNS186" s="225"/>
      <c r="BNT186" s="225"/>
      <c r="BNU186" s="225"/>
      <c r="BNV186" s="225"/>
      <c r="BNW186" s="225"/>
      <c r="BNX186" s="225"/>
      <c r="BNY186" s="225"/>
      <c r="BNZ186" s="225"/>
      <c r="BOA186" s="225"/>
      <c r="BOB186" s="225"/>
      <c r="BOC186" s="225"/>
      <c r="BOD186" s="225"/>
      <c r="BOE186" s="225"/>
      <c r="BOF186" s="225"/>
      <c r="BOG186" s="225"/>
      <c r="BOH186" s="225"/>
      <c r="BOI186" s="225"/>
      <c r="BOJ186" s="225"/>
      <c r="BOK186" s="225"/>
      <c r="BOL186" s="225"/>
      <c r="BOM186" s="225"/>
      <c r="BON186" s="225"/>
      <c r="BOO186" s="225"/>
      <c r="BOP186" s="225"/>
      <c r="BOQ186" s="225"/>
      <c r="BOR186" s="225"/>
      <c r="BOS186" s="225"/>
      <c r="BOT186" s="225"/>
      <c r="BOU186" s="225"/>
      <c r="BOV186" s="225"/>
      <c r="BOW186" s="225"/>
      <c r="BOX186" s="225"/>
      <c r="BOY186" s="225"/>
      <c r="BOZ186" s="225"/>
      <c r="BPA186" s="225"/>
      <c r="BPB186" s="225"/>
      <c r="BPC186" s="225"/>
      <c r="BPD186" s="225"/>
      <c r="BPE186" s="225"/>
      <c r="BPF186" s="225"/>
      <c r="BPG186" s="225"/>
      <c r="BPH186" s="225"/>
      <c r="BPI186" s="225"/>
      <c r="BPJ186" s="225"/>
      <c r="BPK186" s="225"/>
      <c r="BPL186" s="225"/>
      <c r="BPM186" s="225"/>
      <c r="BPN186" s="225"/>
      <c r="BPO186" s="225"/>
      <c r="BPP186" s="225"/>
      <c r="BPQ186" s="225"/>
      <c r="BPR186" s="225"/>
      <c r="BPS186" s="225"/>
      <c r="BPT186" s="225"/>
      <c r="BPU186" s="225"/>
      <c r="BPV186" s="225"/>
      <c r="BPW186" s="225"/>
      <c r="BPX186" s="225"/>
      <c r="BPY186" s="225"/>
      <c r="BPZ186" s="225"/>
      <c r="BQA186" s="225"/>
      <c r="BQB186" s="225"/>
      <c r="BQC186" s="225"/>
      <c r="BQD186" s="225"/>
      <c r="BQE186" s="225"/>
      <c r="BQF186" s="225"/>
      <c r="BQG186" s="225"/>
      <c r="BQH186" s="225"/>
      <c r="BQI186" s="225"/>
      <c r="BQJ186" s="225"/>
      <c r="BQK186" s="225"/>
      <c r="BQL186" s="225"/>
      <c r="BQM186" s="225"/>
      <c r="BQN186" s="225"/>
      <c r="BQO186" s="225"/>
      <c r="BQP186" s="225"/>
      <c r="BQQ186" s="225"/>
      <c r="BQR186" s="225"/>
      <c r="BQS186" s="225"/>
      <c r="BQT186" s="225"/>
      <c r="BQU186" s="225"/>
      <c r="BQV186" s="225"/>
      <c r="BQW186" s="225"/>
      <c r="BQX186" s="225"/>
      <c r="BQY186" s="225"/>
      <c r="BQZ186" s="225"/>
      <c r="BRA186" s="225"/>
      <c r="BRB186" s="225"/>
      <c r="BRC186" s="225"/>
      <c r="BRD186" s="225"/>
      <c r="BRE186" s="225"/>
      <c r="BRF186" s="225"/>
      <c r="BRG186" s="225"/>
      <c r="BRH186" s="225"/>
      <c r="BRI186" s="225"/>
      <c r="BRJ186" s="225"/>
      <c r="BRK186" s="225"/>
      <c r="BRL186" s="225"/>
      <c r="BRM186" s="225"/>
      <c r="BRN186" s="225"/>
      <c r="BRO186" s="225"/>
      <c r="BRP186" s="225"/>
      <c r="BRQ186" s="225"/>
      <c r="BRR186" s="225"/>
      <c r="BRS186" s="225"/>
      <c r="BRT186" s="225"/>
      <c r="BRU186" s="225"/>
      <c r="BRV186" s="225"/>
      <c r="BRW186" s="225"/>
      <c r="BRX186" s="225"/>
      <c r="BRY186" s="225"/>
      <c r="BRZ186" s="225"/>
      <c r="BSA186" s="225"/>
      <c r="BSB186" s="225"/>
      <c r="BSC186" s="225"/>
      <c r="BSD186" s="225"/>
      <c r="BSE186" s="225"/>
      <c r="BSF186" s="225"/>
      <c r="BSG186" s="225"/>
      <c r="BSH186" s="225"/>
      <c r="BSI186" s="225"/>
      <c r="BSJ186" s="225"/>
      <c r="BSK186" s="225"/>
      <c r="BSL186" s="225"/>
      <c r="BSM186" s="225"/>
      <c r="BSN186" s="225"/>
      <c r="BSO186" s="225"/>
      <c r="BSP186" s="225"/>
      <c r="BSQ186" s="225"/>
      <c r="BSR186" s="225"/>
      <c r="BSS186" s="225"/>
      <c r="BST186" s="225"/>
      <c r="BSU186" s="225"/>
      <c r="BSV186" s="225"/>
      <c r="BSW186" s="225"/>
      <c r="BSX186" s="225"/>
      <c r="BSY186" s="225"/>
      <c r="BSZ186" s="225"/>
      <c r="BTA186" s="225"/>
      <c r="BTB186" s="225"/>
      <c r="BTC186" s="225"/>
      <c r="BTD186" s="225"/>
      <c r="BTE186" s="225"/>
      <c r="BTF186" s="225"/>
      <c r="BTG186" s="225"/>
      <c r="BTH186" s="225"/>
      <c r="BTI186" s="225"/>
      <c r="BTJ186" s="225"/>
      <c r="BTK186" s="225"/>
      <c r="BTL186" s="225"/>
      <c r="BTM186" s="225"/>
      <c r="BTN186" s="225"/>
      <c r="BTO186" s="225"/>
      <c r="BTP186" s="225"/>
      <c r="BTQ186" s="225"/>
      <c r="BTR186" s="225"/>
      <c r="BTS186" s="225"/>
      <c r="BTT186" s="225"/>
      <c r="BTU186" s="225"/>
      <c r="BTV186" s="225"/>
      <c r="BTW186" s="225"/>
      <c r="BTX186" s="225"/>
      <c r="BTY186" s="225"/>
      <c r="BTZ186" s="225"/>
      <c r="BUA186" s="225"/>
      <c r="BUB186" s="225"/>
      <c r="BUC186" s="225"/>
      <c r="BUD186" s="225"/>
      <c r="BUE186" s="225"/>
      <c r="BUF186" s="225"/>
      <c r="BUG186" s="225"/>
      <c r="BUH186" s="225"/>
      <c r="BUI186" s="225"/>
      <c r="BUJ186" s="225"/>
      <c r="BUK186" s="225"/>
      <c r="BUL186" s="225"/>
      <c r="BUM186" s="225"/>
      <c r="BUN186" s="225"/>
      <c r="BUO186" s="225"/>
      <c r="BUP186" s="225"/>
      <c r="BUQ186" s="225"/>
      <c r="BUR186" s="225"/>
      <c r="BUS186" s="225"/>
      <c r="BUT186" s="225"/>
      <c r="BUU186" s="225"/>
      <c r="BUV186" s="225"/>
      <c r="BUW186" s="225"/>
      <c r="BUX186" s="225"/>
      <c r="BUY186" s="225"/>
      <c r="BUZ186" s="225"/>
      <c r="BVA186" s="225"/>
      <c r="BVB186" s="225"/>
      <c r="BVC186" s="225"/>
      <c r="BVD186" s="225"/>
      <c r="BVE186" s="225"/>
      <c r="BVF186" s="225"/>
      <c r="BVG186" s="225"/>
      <c r="BVH186" s="225"/>
      <c r="BVI186" s="225"/>
      <c r="BVJ186" s="225"/>
      <c r="BVK186" s="225"/>
      <c r="BVL186" s="225"/>
      <c r="BVM186" s="225"/>
      <c r="BVN186" s="225"/>
      <c r="BVO186" s="225"/>
      <c r="BVP186" s="225"/>
      <c r="BVQ186" s="225"/>
      <c r="BVR186" s="225"/>
      <c r="BVS186" s="225"/>
      <c r="BVT186" s="225"/>
      <c r="BVU186" s="225"/>
      <c r="BVV186" s="225"/>
      <c r="BVW186" s="225"/>
      <c r="BVX186" s="225"/>
      <c r="BVY186" s="225"/>
      <c r="BVZ186" s="225"/>
      <c r="BWA186" s="225"/>
      <c r="BWB186" s="225"/>
      <c r="BWC186" s="225"/>
      <c r="BWD186" s="225"/>
      <c r="BWE186" s="225"/>
      <c r="BWF186" s="225"/>
      <c r="BWG186" s="225"/>
      <c r="BWH186" s="225"/>
      <c r="BWI186" s="225"/>
      <c r="BWJ186" s="225"/>
      <c r="BWK186" s="225"/>
      <c r="BWL186" s="225"/>
      <c r="BWM186" s="225"/>
      <c r="BWN186" s="225"/>
      <c r="BWO186" s="225"/>
      <c r="BWP186" s="225"/>
      <c r="BWQ186" s="225"/>
      <c r="BWR186" s="225"/>
      <c r="BWS186" s="225"/>
      <c r="BWT186" s="225"/>
      <c r="BWU186" s="225"/>
      <c r="BWV186" s="225"/>
      <c r="BWW186" s="225"/>
      <c r="BWX186" s="225"/>
      <c r="BWY186" s="225"/>
      <c r="BWZ186" s="225"/>
      <c r="BXA186" s="225"/>
      <c r="BXB186" s="225"/>
      <c r="BXC186" s="225"/>
      <c r="BXD186" s="225"/>
      <c r="BXE186" s="225"/>
      <c r="BXF186" s="225"/>
      <c r="BXG186" s="225"/>
      <c r="BXH186" s="225"/>
      <c r="BXI186" s="225"/>
      <c r="BXJ186" s="225"/>
      <c r="BXK186" s="225"/>
      <c r="BXL186" s="225"/>
      <c r="BXM186" s="225"/>
      <c r="BXN186" s="225"/>
      <c r="BXO186" s="225"/>
      <c r="BXP186" s="225"/>
      <c r="BXQ186" s="225"/>
      <c r="BXR186" s="225"/>
      <c r="BXS186" s="225"/>
      <c r="BXT186" s="225"/>
      <c r="BXU186" s="225"/>
      <c r="BXV186" s="225"/>
      <c r="BXW186" s="225"/>
      <c r="BXX186" s="225"/>
      <c r="BXY186" s="225"/>
      <c r="BXZ186" s="225"/>
      <c r="BYA186" s="225"/>
      <c r="BYB186" s="225"/>
      <c r="BYC186" s="225"/>
      <c r="BYD186" s="225"/>
      <c r="BYE186" s="225"/>
      <c r="BYF186" s="225"/>
      <c r="BYG186" s="225"/>
      <c r="BYH186" s="225"/>
      <c r="BYI186" s="225"/>
      <c r="BYJ186" s="225"/>
      <c r="BYK186" s="225"/>
      <c r="BYL186" s="225"/>
      <c r="BYM186" s="225"/>
      <c r="BYN186" s="225"/>
      <c r="BYO186" s="225"/>
      <c r="BYP186" s="225"/>
      <c r="BYQ186" s="225"/>
      <c r="BYR186" s="225"/>
      <c r="BYS186" s="225"/>
      <c r="BYT186" s="225"/>
      <c r="BYU186" s="225"/>
      <c r="BYV186" s="225"/>
      <c r="BYW186" s="225"/>
      <c r="BYX186" s="225"/>
      <c r="BYY186" s="225"/>
      <c r="BYZ186" s="225"/>
      <c r="BZA186" s="225"/>
      <c r="BZB186" s="225"/>
      <c r="BZC186" s="225"/>
      <c r="BZD186" s="225"/>
      <c r="BZE186" s="225"/>
      <c r="BZF186" s="225"/>
      <c r="BZG186" s="225"/>
      <c r="BZH186" s="225"/>
      <c r="BZI186" s="225"/>
      <c r="BZJ186" s="225"/>
      <c r="BZK186" s="225"/>
      <c r="BZL186" s="225"/>
      <c r="BZM186" s="225"/>
      <c r="BZN186" s="225"/>
      <c r="BZO186" s="225"/>
      <c r="BZP186" s="225"/>
      <c r="BZQ186" s="225"/>
      <c r="BZR186" s="225"/>
      <c r="BZS186" s="225"/>
      <c r="BZT186" s="225"/>
      <c r="BZU186" s="225"/>
      <c r="BZV186" s="225"/>
      <c r="BZW186" s="225"/>
      <c r="BZX186" s="225"/>
      <c r="BZY186" s="225"/>
      <c r="BZZ186" s="225"/>
      <c r="CAA186" s="225"/>
      <c r="CAB186" s="225"/>
      <c r="CAC186" s="225"/>
      <c r="CAD186" s="225"/>
      <c r="CAE186" s="225"/>
      <c r="CAF186" s="225"/>
      <c r="CAG186" s="225"/>
      <c r="CAH186" s="225"/>
      <c r="CAI186" s="225"/>
      <c r="CAJ186" s="225"/>
      <c r="CAK186" s="225"/>
      <c r="CAL186" s="225"/>
      <c r="CAM186" s="225"/>
      <c r="CAN186" s="225"/>
      <c r="CAO186" s="225"/>
      <c r="CAP186" s="225"/>
      <c r="CAQ186" s="225"/>
      <c r="CAR186" s="225"/>
      <c r="CAS186" s="225"/>
      <c r="CAT186" s="225"/>
      <c r="CAU186" s="225"/>
      <c r="CAV186" s="225"/>
      <c r="CAW186" s="225"/>
      <c r="CAX186" s="225"/>
      <c r="CAY186" s="225"/>
      <c r="CAZ186" s="225"/>
      <c r="CBA186" s="225"/>
      <c r="CBB186" s="225"/>
      <c r="CBC186" s="225"/>
      <c r="CBD186" s="225"/>
      <c r="CBE186" s="225"/>
      <c r="CBF186" s="225"/>
      <c r="CBG186" s="225"/>
      <c r="CBH186" s="225"/>
      <c r="CBI186" s="225"/>
      <c r="CBJ186" s="225"/>
      <c r="CBK186" s="225"/>
      <c r="CBL186" s="225"/>
      <c r="CBM186" s="225"/>
      <c r="CBN186" s="225"/>
      <c r="CBO186" s="225"/>
      <c r="CBP186" s="225"/>
      <c r="CBQ186" s="225"/>
      <c r="CBR186" s="225"/>
      <c r="CBS186" s="225"/>
      <c r="CBT186" s="225"/>
      <c r="CBU186" s="225"/>
      <c r="CBV186" s="225"/>
      <c r="CBW186" s="225"/>
      <c r="CBX186" s="225"/>
      <c r="CBY186" s="225"/>
      <c r="CBZ186" s="225"/>
      <c r="CCA186" s="225"/>
      <c r="CCB186" s="225"/>
      <c r="CCC186" s="225"/>
      <c r="CCD186" s="225"/>
      <c r="CCE186" s="225"/>
      <c r="CCF186" s="225"/>
      <c r="CCG186" s="225"/>
      <c r="CCH186" s="225"/>
      <c r="CCI186" s="225"/>
      <c r="CCJ186" s="225"/>
      <c r="CCK186" s="225"/>
      <c r="CCL186" s="225"/>
      <c r="CCM186" s="225"/>
      <c r="CCN186" s="225"/>
      <c r="CCO186" s="225"/>
      <c r="CCP186" s="225"/>
      <c r="CCQ186" s="225"/>
      <c r="CCR186" s="225"/>
      <c r="CCS186" s="225"/>
      <c r="CCT186" s="225"/>
      <c r="CCU186" s="225"/>
      <c r="CCV186" s="225"/>
      <c r="CCW186" s="225"/>
      <c r="CCX186" s="225"/>
      <c r="CCY186" s="225"/>
      <c r="CCZ186" s="225"/>
      <c r="CDA186" s="225"/>
      <c r="CDB186" s="225"/>
      <c r="CDC186" s="225"/>
      <c r="CDD186" s="225"/>
      <c r="CDE186" s="225"/>
      <c r="CDF186" s="225"/>
      <c r="CDG186" s="225"/>
      <c r="CDH186" s="225"/>
      <c r="CDI186" s="225"/>
      <c r="CDJ186" s="225"/>
      <c r="CDK186" s="225"/>
      <c r="CDL186" s="225"/>
      <c r="CDM186" s="225"/>
      <c r="CDN186" s="225"/>
      <c r="CDO186" s="225"/>
      <c r="CDP186" s="225"/>
      <c r="CDQ186" s="225"/>
      <c r="CDR186" s="225"/>
      <c r="CDS186" s="225"/>
      <c r="CDT186" s="225"/>
      <c r="CDU186" s="225"/>
      <c r="CDV186" s="225"/>
      <c r="CDW186" s="225"/>
      <c r="CDX186" s="225"/>
      <c r="CDY186" s="225"/>
      <c r="CDZ186" s="225"/>
      <c r="CEA186" s="225"/>
      <c r="CEB186" s="225"/>
      <c r="CEC186" s="225"/>
      <c r="CED186" s="225"/>
      <c r="CEE186" s="225"/>
      <c r="CEF186" s="225"/>
      <c r="CEG186" s="225"/>
      <c r="CEH186" s="225"/>
      <c r="CEI186" s="225"/>
      <c r="CEJ186" s="225"/>
      <c r="CEK186" s="225"/>
      <c r="CEL186" s="225"/>
      <c r="CEM186" s="225"/>
      <c r="CEN186" s="225"/>
      <c r="CEO186" s="225"/>
      <c r="CEP186" s="225"/>
      <c r="CEQ186" s="225"/>
      <c r="CER186" s="225"/>
      <c r="CES186" s="225"/>
      <c r="CET186" s="225"/>
      <c r="CEU186" s="225"/>
      <c r="CEV186" s="225"/>
      <c r="CEW186" s="225"/>
      <c r="CEX186" s="225"/>
      <c r="CEY186" s="225"/>
      <c r="CEZ186" s="225"/>
      <c r="CFA186" s="225"/>
      <c r="CFB186" s="225"/>
      <c r="CFC186" s="225"/>
      <c r="CFD186" s="225"/>
      <c r="CFE186" s="225"/>
      <c r="CFF186" s="225"/>
      <c r="CFG186" s="225"/>
      <c r="CFH186" s="225"/>
      <c r="CFI186" s="225"/>
      <c r="CFJ186" s="225"/>
      <c r="CFK186" s="225"/>
      <c r="CFL186" s="225"/>
      <c r="CFM186" s="225"/>
      <c r="CFN186" s="225"/>
      <c r="CFO186" s="225"/>
      <c r="CFP186" s="225"/>
      <c r="CFQ186" s="225"/>
      <c r="CFR186" s="225"/>
      <c r="CFS186" s="225"/>
      <c r="CFT186" s="225"/>
      <c r="CFU186" s="225"/>
      <c r="CFV186" s="225"/>
      <c r="CFW186" s="225"/>
      <c r="CFX186" s="225"/>
      <c r="CFY186" s="225"/>
      <c r="CFZ186" s="225"/>
      <c r="CGA186" s="225"/>
      <c r="CGB186" s="225"/>
      <c r="CGC186" s="225"/>
      <c r="CGD186" s="225"/>
      <c r="CGE186" s="225"/>
      <c r="CGF186" s="225"/>
      <c r="CGG186" s="225"/>
      <c r="CGH186" s="225"/>
      <c r="CGI186" s="225"/>
      <c r="CGJ186" s="225"/>
      <c r="CGK186" s="225"/>
      <c r="CGL186" s="225"/>
      <c r="CGM186" s="225"/>
      <c r="CGN186" s="225"/>
      <c r="CGO186" s="225"/>
      <c r="CGP186" s="225"/>
      <c r="CGQ186" s="225"/>
      <c r="CGR186" s="225"/>
      <c r="CGS186" s="225"/>
      <c r="CGT186" s="225"/>
      <c r="CGU186" s="225"/>
      <c r="CGV186" s="225"/>
      <c r="CGW186" s="225"/>
      <c r="CGX186" s="225"/>
      <c r="CGY186" s="225"/>
      <c r="CGZ186" s="225"/>
      <c r="CHA186" s="225"/>
      <c r="CHB186" s="225"/>
      <c r="CHC186" s="225"/>
      <c r="CHD186" s="225"/>
      <c r="CHE186" s="225"/>
      <c r="CHF186" s="225"/>
      <c r="CHG186" s="225"/>
      <c r="CHH186" s="225"/>
      <c r="CHI186" s="225"/>
      <c r="CHJ186" s="225"/>
      <c r="CHK186" s="225"/>
      <c r="CHL186" s="225"/>
      <c r="CHM186" s="225"/>
      <c r="CHN186" s="225"/>
      <c r="CHO186" s="225"/>
      <c r="CHP186" s="225"/>
      <c r="CHQ186" s="225"/>
      <c r="CHR186" s="225"/>
      <c r="CHS186" s="225"/>
      <c r="CHT186" s="225"/>
      <c r="CHU186" s="225"/>
      <c r="CHV186" s="225"/>
      <c r="CHW186" s="225"/>
      <c r="CHX186" s="225"/>
      <c r="CHY186" s="225"/>
      <c r="CHZ186" s="225"/>
      <c r="CIA186" s="225"/>
      <c r="CIB186" s="225"/>
      <c r="CIC186" s="225"/>
      <c r="CID186" s="225"/>
      <c r="CIE186" s="225"/>
      <c r="CIF186" s="225"/>
      <c r="CIG186" s="225"/>
      <c r="CIH186" s="225"/>
      <c r="CII186" s="225"/>
      <c r="CIJ186" s="225"/>
      <c r="CIK186" s="225"/>
      <c r="CIL186" s="225"/>
      <c r="CIM186" s="225"/>
      <c r="CIN186" s="225"/>
      <c r="CIO186" s="225"/>
      <c r="CIP186" s="225"/>
      <c r="CIQ186" s="225"/>
      <c r="CIR186" s="225"/>
      <c r="CIS186" s="225"/>
      <c r="CIT186" s="225"/>
      <c r="CIU186" s="225"/>
      <c r="CIV186" s="225"/>
      <c r="CIW186" s="225"/>
      <c r="CIX186" s="225"/>
      <c r="CIY186" s="225"/>
      <c r="CIZ186" s="225"/>
      <c r="CJA186" s="225"/>
      <c r="CJB186" s="225"/>
      <c r="CJC186" s="225"/>
      <c r="CJD186" s="225"/>
      <c r="CJE186" s="225"/>
      <c r="CJF186" s="225"/>
      <c r="CJG186" s="225"/>
      <c r="CJH186" s="225"/>
      <c r="CJI186" s="225"/>
      <c r="CJJ186" s="225"/>
      <c r="CJK186" s="225"/>
      <c r="CJL186" s="225"/>
      <c r="CJM186" s="225"/>
      <c r="CJN186" s="225"/>
      <c r="CJO186" s="225"/>
      <c r="CJP186" s="225"/>
      <c r="CJQ186" s="225"/>
      <c r="CJR186" s="225"/>
      <c r="CJS186" s="225"/>
      <c r="CJT186" s="225"/>
      <c r="CJU186" s="225"/>
      <c r="CJV186" s="225"/>
      <c r="CJW186" s="225"/>
      <c r="CJX186" s="225"/>
      <c r="CJY186" s="225"/>
      <c r="CJZ186" s="225"/>
      <c r="CKA186" s="225"/>
      <c r="CKB186" s="225"/>
      <c r="CKC186" s="225"/>
      <c r="CKD186" s="225"/>
      <c r="CKE186" s="225"/>
      <c r="CKF186" s="225"/>
      <c r="CKG186" s="225"/>
      <c r="CKH186" s="225"/>
      <c r="CKI186" s="225"/>
      <c r="CKJ186" s="225"/>
      <c r="CKK186" s="225"/>
      <c r="CKL186" s="225"/>
      <c r="CKM186" s="225"/>
      <c r="CKN186" s="225"/>
      <c r="CKO186" s="225"/>
      <c r="CKP186" s="225"/>
      <c r="CKQ186" s="225"/>
      <c r="CKR186" s="225"/>
      <c r="CKS186" s="225"/>
      <c r="CKT186" s="225"/>
      <c r="CKU186" s="225"/>
      <c r="CKV186" s="225"/>
      <c r="CKW186" s="225"/>
      <c r="CKX186" s="225"/>
      <c r="CKY186" s="225"/>
      <c r="CKZ186" s="225"/>
      <c r="CLA186" s="225"/>
      <c r="CLB186" s="225"/>
      <c r="CLC186" s="225"/>
      <c r="CLD186" s="225"/>
      <c r="CLE186" s="225"/>
      <c r="CLF186" s="225"/>
      <c r="CLG186" s="225"/>
      <c r="CLH186" s="225"/>
      <c r="CLI186" s="225"/>
      <c r="CLJ186" s="225"/>
      <c r="CLK186" s="225"/>
      <c r="CLL186" s="225"/>
      <c r="CLM186" s="225"/>
      <c r="CLN186" s="225"/>
      <c r="CLO186" s="225"/>
      <c r="CLP186" s="225"/>
      <c r="CLQ186" s="225"/>
      <c r="CLR186" s="225"/>
      <c r="CLS186" s="225"/>
      <c r="CLT186" s="225"/>
      <c r="CLU186" s="225"/>
      <c r="CLV186" s="225"/>
      <c r="CLW186" s="225"/>
      <c r="CLX186" s="225"/>
      <c r="CLY186" s="225"/>
      <c r="CLZ186" s="225"/>
      <c r="CMA186" s="225"/>
      <c r="CMB186" s="225"/>
      <c r="CMC186" s="225"/>
      <c r="CMD186" s="225"/>
      <c r="CME186" s="225"/>
      <c r="CMF186" s="225"/>
      <c r="CMG186" s="225"/>
      <c r="CMH186" s="225"/>
      <c r="CMI186" s="225"/>
      <c r="CMJ186" s="225"/>
      <c r="CMK186" s="225"/>
      <c r="CML186" s="225"/>
      <c r="CMM186" s="225"/>
      <c r="CMN186" s="225"/>
      <c r="CMO186" s="225"/>
      <c r="CMP186" s="225"/>
      <c r="CMQ186" s="225"/>
      <c r="CMR186" s="225"/>
      <c r="CMS186" s="225"/>
      <c r="CMT186" s="225"/>
      <c r="CMU186" s="225"/>
      <c r="CMV186" s="225"/>
      <c r="CMW186" s="225"/>
      <c r="CMX186" s="225"/>
      <c r="CMY186" s="225"/>
      <c r="CMZ186" s="225"/>
      <c r="CNA186" s="225"/>
      <c r="CNB186" s="225"/>
      <c r="CNC186" s="225"/>
      <c r="CND186" s="225"/>
      <c r="CNE186" s="225"/>
      <c r="CNF186" s="225"/>
      <c r="CNG186" s="225"/>
      <c r="CNH186" s="225"/>
      <c r="CNI186" s="225"/>
      <c r="CNJ186" s="225"/>
      <c r="CNK186" s="225"/>
      <c r="CNL186" s="225"/>
      <c r="CNM186" s="225"/>
      <c r="CNN186" s="225"/>
      <c r="CNO186" s="225"/>
      <c r="CNP186" s="225"/>
      <c r="CNQ186" s="225"/>
      <c r="CNR186" s="225"/>
      <c r="CNS186" s="225"/>
      <c r="CNT186" s="225"/>
      <c r="CNU186" s="225"/>
      <c r="CNV186" s="225"/>
      <c r="CNW186" s="225"/>
      <c r="CNX186" s="225"/>
      <c r="CNY186" s="225"/>
      <c r="CNZ186" s="225"/>
      <c r="COA186" s="225"/>
      <c r="COB186" s="225"/>
      <c r="COC186" s="225"/>
      <c r="COD186" s="225"/>
      <c r="COE186" s="225"/>
      <c r="COF186" s="225"/>
      <c r="COG186" s="225"/>
      <c r="COH186" s="225"/>
      <c r="COI186" s="225"/>
      <c r="COJ186" s="225"/>
      <c r="COK186" s="225"/>
      <c r="COL186" s="225"/>
      <c r="COM186" s="225"/>
      <c r="CON186" s="225"/>
      <c r="COO186" s="225"/>
      <c r="COP186" s="225"/>
      <c r="COQ186" s="225"/>
      <c r="COR186" s="225"/>
      <c r="COS186" s="225"/>
      <c r="COT186" s="225"/>
      <c r="COU186" s="225"/>
      <c r="COV186" s="225"/>
      <c r="COW186" s="225"/>
      <c r="COX186" s="225"/>
      <c r="COY186" s="225"/>
      <c r="COZ186" s="225"/>
      <c r="CPA186" s="225"/>
      <c r="CPB186" s="225"/>
      <c r="CPC186" s="225"/>
      <c r="CPD186" s="225"/>
      <c r="CPE186" s="225"/>
      <c r="CPF186" s="225"/>
      <c r="CPG186" s="225"/>
      <c r="CPH186" s="225"/>
      <c r="CPI186" s="225"/>
      <c r="CPJ186" s="225"/>
      <c r="CPK186" s="225"/>
      <c r="CPL186" s="225"/>
      <c r="CPM186" s="225"/>
      <c r="CPN186" s="225"/>
      <c r="CPO186" s="225"/>
      <c r="CPP186" s="225"/>
      <c r="CPQ186" s="225"/>
      <c r="CPR186" s="225"/>
      <c r="CPS186" s="225"/>
      <c r="CPT186" s="225"/>
      <c r="CPU186" s="225"/>
      <c r="CPV186" s="225"/>
      <c r="CPW186" s="225"/>
      <c r="CPX186" s="225"/>
      <c r="CPY186" s="225"/>
      <c r="CPZ186" s="225"/>
      <c r="CQA186" s="225"/>
      <c r="CQB186" s="225"/>
      <c r="CQC186" s="225"/>
      <c r="CQD186" s="225"/>
      <c r="CQE186" s="225"/>
      <c r="CQF186" s="225"/>
      <c r="CQG186" s="225"/>
      <c r="CQH186" s="225"/>
      <c r="CQI186" s="225"/>
      <c r="CQJ186" s="225"/>
      <c r="CQK186" s="225"/>
      <c r="CQL186" s="225"/>
      <c r="CQM186" s="225"/>
      <c r="CQN186" s="225"/>
      <c r="CQO186" s="225"/>
      <c r="CQP186" s="225"/>
      <c r="CQQ186" s="225"/>
      <c r="CQR186" s="225"/>
      <c r="CQS186" s="225"/>
      <c r="CQT186" s="225"/>
      <c r="CQU186" s="225"/>
      <c r="CQV186" s="225"/>
      <c r="CQW186" s="225"/>
      <c r="CQX186" s="225"/>
      <c r="CQY186" s="225"/>
      <c r="CQZ186" s="225"/>
      <c r="CRA186" s="225"/>
      <c r="CRB186" s="225"/>
      <c r="CRC186" s="225"/>
      <c r="CRD186" s="225"/>
      <c r="CRE186" s="225"/>
      <c r="CRF186" s="225"/>
      <c r="CRG186" s="225"/>
      <c r="CRH186" s="225"/>
      <c r="CRI186" s="225"/>
      <c r="CRJ186" s="225"/>
      <c r="CRK186" s="225"/>
      <c r="CRL186" s="225"/>
      <c r="CRM186" s="225"/>
      <c r="CRN186" s="225"/>
      <c r="CRO186" s="225"/>
      <c r="CRP186" s="225"/>
      <c r="CRQ186" s="225"/>
      <c r="CRR186" s="225"/>
      <c r="CRS186" s="225"/>
      <c r="CRT186" s="225"/>
      <c r="CRU186" s="225"/>
      <c r="CRV186" s="225"/>
      <c r="CRW186" s="225"/>
      <c r="CRX186" s="225"/>
      <c r="CRY186" s="225"/>
      <c r="CRZ186" s="225"/>
      <c r="CSA186" s="225"/>
      <c r="CSB186" s="225"/>
      <c r="CSC186" s="225"/>
      <c r="CSD186" s="225"/>
      <c r="CSE186" s="225"/>
      <c r="CSF186" s="225"/>
      <c r="CSG186" s="225"/>
      <c r="CSH186" s="225"/>
      <c r="CSI186" s="225"/>
      <c r="CSJ186" s="225"/>
      <c r="CSK186" s="225"/>
      <c r="CSL186" s="225"/>
      <c r="CSM186" s="225"/>
      <c r="CSN186" s="225"/>
      <c r="CSO186" s="225"/>
      <c r="CSP186" s="225"/>
      <c r="CSQ186" s="225"/>
      <c r="CSR186" s="225"/>
      <c r="CSS186" s="225"/>
      <c r="CST186" s="225"/>
      <c r="CSU186" s="225"/>
      <c r="CSV186" s="225"/>
      <c r="CSW186" s="225"/>
      <c r="CSX186" s="225"/>
      <c r="CSY186" s="225"/>
      <c r="CSZ186" s="225"/>
      <c r="CTA186" s="225"/>
      <c r="CTB186" s="225"/>
      <c r="CTC186" s="225"/>
      <c r="CTD186" s="225"/>
      <c r="CTE186" s="225"/>
      <c r="CTF186" s="225"/>
      <c r="CTG186" s="225"/>
      <c r="CTH186" s="225"/>
      <c r="CTI186" s="225"/>
      <c r="CTJ186" s="225"/>
      <c r="CTK186" s="225"/>
      <c r="CTL186" s="225"/>
      <c r="CTM186" s="225"/>
      <c r="CTN186" s="225"/>
      <c r="CTO186" s="225"/>
      <c r="CTP186" s="225"/>
      <c r="CTQ186" s="225"/>
      <c r="CTR186" s="225"/>
      <c r="CTS186" s="225"/>
      <c r="CTT186" s="225"/>
      <c r="CTU186" s="225"/>
      <c r="CTV186" s="225"/>
      <c r="CTW186" s="225"/>
      <c r="CTX186" s="225"/>
      <c r="CTY186" s="225"/>
      <c r="CTZ186" s="225"/>
      <c r="CUA186" s="225"/>
      <c r="CUB186" s="225"/>
      <c r="CUC186" s="225"/>
      <c r="CUD186" s="225"/>
      <c r="CUE186" s="225"/>
      <c r="CUF186" s="225"/>
      <c r="CUG186" s="225"/>
      <c r="CUH186" s="225"/>
      <c r="CUI186" s="225"/>
      <c r="CUJ186" s="225"/>
      <c r="CUK186" s="225"/>
      <c r="CUL186" s="225"/>
      <c r="CUM186" s="225"/>
      <c r="CUN186" s="225"/>
      <c r="CUO186" s="225"/>
      <c r="CUP186" s="225"/>
      <c r="CUQ186" s="225"/>
      <c r="CUR186" s="225"/>
      <c r="CUS186" s="225"/>
      <c r="CUT186" s="225"/>
      <c r="CUU186" s="225"/>
      <c r="CUV186" s="225"/>
      <c r="CUW186" s="225"/>
      <c r="CUX186" s="225"/>
      <c r="CUY186" s="225"/>
      <c r="CUZ186" s="225"/>
      <c r="CVA186" s="225"/>
      <c r="CVB186" s="225"/>
      <c r="CVC186" s="225"/>
      <c r="CVD186" s="225"/>
      <c r="CVE186" s="225"/>
      <c r="CVF186" s="225"/>
      <c r="CVG186" s="225"/>
      <c r="CVH186" s="225"/>
      <c r="CVI186" s="225"/>
      <c r="CVJ186" s="225"/>
      <c r="CVK186" s="225"/>
      <c r="CVL186" s="225"/>
      <c r="CVM186" s="225"/>
      <c r="CVN186" s="225"/>
      <c r="CVO186" s="225"/>
      <c r="CVP186" s="225"/>
      <c r="CVQ186" s="225"/>
      <c r="CVR186" s="225"/>
      <c r="CVS186" s="225"/>
      <c r="CVT186" s="225"/>
      <c r="CVU186" s="225"/>
      <c r="CVV186" s="225"/>
      <c r="CVW186" s="225"/>
      <c r="CVX186" s="225"/>
      <c r="CVY186" s="225"/>
      <c r="CVZ186" s="225"/>
      <c r="CWA186" s="225"/>
      <c r="CWB186" s="225"/>
      <c r="CWC186" s="225"/>
      <c r="CWD186" s="225"/>
      <c r="CWE186" s="225"/>
      <c r="CWF186" s="225"/>
      <c r="CWG186" s="225"/>
      <c r="CWH186" s="225"/>
      <c r="CWI186" s="225"/>
      <c r="CWJ186" s="225"/>
      <c r="CWK186" s="225"/>
      <c r="CWL186" s="225"/>
      <c r="CWM186" s="225"/>
      <c r="CWN186" s="225"/>
      <c r="CWO186" s="225"/>
      <c r="CWP186" s="225"/>
      <c r="CWQ186" s="225"/>
      <c r="CWR186" s="225"/>
      <c r="CWS186" s="225"/>
      <c r="CWT186" s="225"/>
      <c r="CWU186" s="225"/>
      <c r="CWV186" s="225"/>
      <c r="CWW186" s="225"/>
      <c r="CWX186" s="225"/>
      <c r="CWY186" s="225"/>
      <c r="CWZ186" s="225"/>
      <c r="CXA186" s="225"/>
      <c r="CXB186" s="225"/>
      <c r="CXC186" s="225"/>
      <c r="CXD186" s="225"/>
      <c r="CXE186" s="225"/>
      <c r="CXF186" s="225"/>
      <c r="CXG186" s="225"/>
      <c r="CXH186" s="225"/>
      <c r="CXI186" s="225"/>
      <c r="CXJ186" s="225"/>
      <c r="CXK186" s="225"/>
      <c r="CXL186" s="225"/>
      <c r="CXM186" s="225"/>
      <c r="CXN186" s="225"/>
      <c r="CXO186" s="225"/>
      <c r="CXP186" s="225"/>
      <c r="CXQ186" s="225"/>
      <c r="CXR186" s="225"/>
      <c r="CXS186" s="225"/>
      <c r="CXT186" s="225"/>
      <c r="CXU186" s="225"/>
      <c r="CXV186" s="225"/>
      <c r="CXW186" s="225"/>
      <c r="CXX186" s="225"/>
      <c r="CXY186" s="225"/>
      <c r="CXZ186" s="225"/>
      <c r="CYA186" s="225"/>
      <c r="CYB186" s="225"/>
      <c r="CYC186" s="225"/>
      <c r="CYD186" s="225"/>
      <c r="CYE186" s="225"/>
      <c r="CYF186" s="225"/>
      <c r="CYG186" s="225"/>
      <c r="CYH186" s="225"/>
      <c r="CYI186" s="225"/>
      <c r="CYJ186" s="225"/>
      <c r="CYK186" s="225"/>
      <c r="CYL186" s="225"/>
      <c r="CYM186" s="225"/>
      <c r="CYN186" s="225"/>
      <c r="CYO186" s="225"/>
      <c r="CYP186" s="225"/>
      <c r="CYQ186" s="225"/>
      <c r="CYR186" s="225"/>
      <c r="CYS186" s="225"/>
      <c r="CYT186" s="225"/>
      <c r="CYU186" s="225"/>
      <c r="CYV186" s="225"/>
      <c r="CYW186" s="225"/>
      <c r="CYX186" s="225"/>
      <c r="CYY186" s="225"/>
      <c r="CYZ186" s="225"/>
      <c r="CZA186" s="225"/>
      <c r="CZB186" s="225"/>
      <c r="CZC186" s="225"/>
      <c r="CZD186" s="225"/>
      <c r="CZE186" s="225"/>
      <c r="CZF186" s="225"/>
      <c r="CZG186" s="225"/>
      <c r="CZH186" s="225"/>
      <c r="CZI186" s="225"/>
      <c r="CZJ186" s="225"/>
      <c r="CZK186" s="225"/>
      <c r="CZL186" s="225"/>
      <c r="CZM186" s="225"/>
      <c r="CZN186" s="225"/>
      <c r="CZO186" s="225"/>
      <c r="CZP186" s="225"/>
      <c r="CZQ186" s="225"/>
      <c r="CZR186" s="225"/>
      <c r="CZS186" s="225"/>
      <c r="CZT186" s="225"/>
      <c r="CZU186" s="225"/>
      <c r="CZV186" s="225"/>
      <c r="CZW186" s="225"/>
      <c r="CZX186" s="225"/>
      <c r="CZY186" s="225"/>
      <c r="CZZ186" s="225"/>
      <c r="DAA186" s="225"/>
      <c r="DAB186" s="225"/>
      <c r="DAC186" s="225"/>
      <c r="DAD186" s="225"/>
      <c r="DAE186" s="225"/>
      <c r="DAF186" s="225"/>
      <c r="DAG186" s="225"/>
      <c r="DAH186" s="225"/>
      <c r="DAI186" s="225"/>
      <c r="DAJ186" s="225"/>
      <c r="DAK186" s="225"/>
      <c r="DAL186" s="225"/>
      <c r="DAM186" s="225"/>
      <c r="DAN186" s="225"/>
      <c r="DAO186" s="225"/>
      <c r="DAP186" s="225"/>
      <c r="DAQ186" s="225"/>
      <c r="DAR186" s="225"/>
      <c r="DAS186" s="225"/>
      <c r="DAT186" s="225"/>
      <c r="DAU186" s="225"/>
      <c r="DAV186" s="225"/>
      <c r="DAW186" s="225"/>
      <c r="DAX186" s="225"/>
      <c r="DAY186" s="225"/>
      <c r="DAZ186" s="225"/>
      <c r="DBA186" s="225"/>
      <c r="DBB186" s="225"/>
      <c r="DBC186" s="225"/>
      <c r="DBD186" s="225"/>
      <c r="DBE186" s="225"/>
      <c r="DBF186" s="225"/>
      <c r="DBG186" s="225"/>
      <c r="DBH186" s="225"/>
      <c r="DBI186" s="225"/>
      <c r="DBJ186" s="225"/>
      <c r="DBK186" s="225"/>
      <c r="DBL186" s="225"/>
      <c r="DBM186" s="225"/>
      <c r="DBN186" s="225"/>
      <c r="DBO186" s="225"/>
      <c r="DBP186" s="225"/>
      <c r="DBQ186" s="225"/>
      <c r="DBR186" s="225"/>
      <c r="DBS186" s="225"/>
      <c r="DBT186" s="225"/>
      <c r="DBU186" s="225"/>
      <c r="DBV186" s="225"/>
      <c r="DBW186" s="225"/>
      <c r="DBX186" s="225"/>
      <c r="DBY186" s="225"/>
      <c r="DBZ186" s="225"/>
      <c r="DCA186" s="225"/>
      <c r="DCB186" s="225"/>
      <c r="DCC186" s="225"/>
      <c r="DCD186" s="225"/>
      <c r="DCE186" s="225"/>
      <c r="DCF186" s="225"/>
      <c r="DCG186" s="225"/>
      <c r="DCH186" s="225"/>
      <c r="DCI186" s="225"/>
      <c r="DCJ186" s="225"/>
      <c r="DCK186" s="225"/>
      <c r="DCL186" s="225"/>
      <c r="DCM186" s="225"/>
      <c r="DCN186" s="225"/>
      <c r="DCO186" s="225"/>
      <c r="DCP186" s="225"/>
      <c r="DCQ186" s="225"/>
      <c r="DCR186" s="225"/>
      <c r="DCS186" s="225"/>
      <c r="DCT186" s="225"/>
      <c r="DCU186" s="225"/>
      <c r="DCV186" s="225"/>
      <c r="DCW186" s="225"/>
      <c r="DCX186" s="225"/>
      <c r="DCY186" s="225"/>
      <c r="DCZ186" s="225"/>
      <c r="DDA186" s="225"/>
      <c r="DDB186" s="225"/>
      <c r="DDC186" s="225"/>
      <c r="DDD186" s="225"/>
      <c r="DDE186" s="225"/>
      <c r="DDF186" s="225"/>
      <c r="DDG186" s="225"/>
      <c r="DDH186" s="225"/>
      <c r="DDI186" s="225"/>
      <c r="DDJ186" s="225"/>
      <c r="DDK186" s="225"/>
      <c r="DDL186" s="225"/>
      <c r="DDM186" s="225"/>
      <c r="DDN186" s="225"/>
      <c r="DDO186" s="225"/>
      <c r="DDP186" s="225"/>
      <c r="DDQ186" s="225"/>
      <c r="DDR186" s="225"/>
      <c r="DDS186" s="225"/>
      <c r="DDT186" s="225"/>
      <c r="DDU186" s="225"/>
      <c r="DDV186" s="225"/>
      <c r="DDW186" s="225"/>
      <c r="DDX186" s="225"/>
      <c r="DDY186" s="225"/>
      <c r="DDZ186" s="225"/>
      <c r="DEA186" s="225"/>
      <c r="DEB186" s="225"/>
      <c r="DEC186" s="225"/>
      <c r="DED186" s="225"/>
      <c r="DEE186" s="225"/>
      <c r="DEF186" s="225"/>
      <c r="DEG186" s="225"/>
      <c r="DEH186" s="225"/>
      <c r="DEI186" s="225"/>
      <c r="DEJ186" s="225"/>
      <c r="DEK186" s="225"/>
      <c r="DEL186" s="225"/>
      <c r="DEM186" s="225"/>
      <c r="DEN186" s="225"/>
      <c r="DEO186" s="225"/>
      <c r="DEP186" s="225"/>
      <c r="DEQ186" s="225"/>
      <c r="DER186" s="225"/>
      <c r="DES186" s="225"/>
      <c r="DET186" s="225"/>
      <c r="DEU186" s="225"/>
      <c r="DEV186" s="225"/>
      <c r="DEW186" s="225"/>
      <c r="DEX186" s="225"/>
      <c r="DEY186" s="225"/>
      <c r="DEZ186" s="225"/>
      <c r="DFA186" s="225"/>
      <c r="DFB186" s="225"/>
      <c r="DFC186" s="225"/>
      <c r="DFD186" s="225"/>
      <c r="DFE186" s="225"/>
      <c r="DFF186" s="225"/>
      <c r="DFG186" s="225"/>
      <c r="DFH186" s="225"/>
      <c r="DFI186" s="225"/>
      <c r="DFJ186" s="225"/>
      <c r="DFK186" s="225"/>
      <c r="DFL186" s="225"/>
      <c r="DFM186" s="225"/>
      <c r="DFN186" s="225"/>
      <c r="DFO186" s="225"/>
      <c r="DFP186" s="225"/>
      <c r="DFQ186" s="225"/>
      <c r="DFR186" s="225"/>
      <c r="DFS186" s="225"/>
      <c r="DFT186" s="225"/>
      <c r="DFU186" s="225"/>
      <c r="DFV186" s="225"/>
      <c r="DFW186" s="225"/>
      <c r="DFX186" s="225"/>
      <c r="DFY186" s="225"/>
      <c r="DFZ186" s="225"/>
      <c r="DGA186" s="225"/>
      <c r="DGB186" s="225"/>
      <c r="DGC186" s="225"/>
      <c r="DGD186" s="225"/>
      <c r="DGE186" s="225"/>
      <c r="DGF186" s="225"/>
      <c r="DGG186" s="225"/>
      <c r="DGH186" s="225"/>
      <c r="DGI186" s="225"/>
      <c r="DGJ186" s="225"/>
      <c r="DGK186" s="225"/>
      <c r="DGL186" s="225"/>
      <c r="DGM186" s="225"/>
      <c r="DGN186" s="225"/>
      <c r="DGO186" s="225"/>
      <c r="DGP186" s="225"/>
      <c r="DGQ186" s="225"/>
      <c r="DGR186" s="225"/>
      <c r="DGS186" s="225"/>
      <c r="DGT186" s="225"/>
      <c r="DGU186" s="225"/>
      <c r="DGV186" s="225"/>
      <c r="DGW186" s="225"/>
      <c r="DGX186" s="225"/>
      <c r="DGY186" s="225"/>
      <c r="DGZ186" s="225"/>
      <c r="DHA186" s="225"/>
      <c r="DHB186" s="225"/>
      <c r="DHC186" s="225"/>
      <c r="DHD186" s="225"/>
      <c r="DHE186" s="225"/>
      <c r="DHF186" s="225"/>
      <c r="DHG186" s="225"/>
      <c r="DHH186" s="225"/>
      <c r="DHI186" s="225"/>
      <c r="DHJ186" s="225"/>
      <c r="DHK186" s="225"/>
      <c r="DHL186" s="225"/>
      <c r="DHM186" s="225"/>
      <c r="DHN186" s="225"/>
      <c r="DHO186" s="225"/>
      <c r="DHP186" s="225"/>
      <c r="DHQ186" s="225"/>
      <c r="DHR186" s="225"/>
      <c r="DHS186" s="225"/>
      <c r="DHT186" s="225"/>
      <c r="DHU186" s="225"/>
      <c r="DHV186" s="225"/>
      <c r="DHW186" s="225"/>
      <c r="DHX186" s="225"/>
      <c r="DHY186" s="225"/>
      <c r="DHZ186" s="225"/>
      <c r="DIA186" s="225"/>
      <c r="DIB186" s="225"/>
      <c r="DIC186" s="225"/>
      <c r="DID186" s="225"/>
      <c r="DIE186" s="225"/>
      <c r="DIF186" s="225"/>
      <c r="DIG186" s="225"/>
      <c r="DIH186" s="225"/>
      <c r="DII186" s="225"/>
      <c r="DIJ186" s="225"/>
      <c r="DIK186" s="225"/>
      <c r="DIL186" s="225"/>
      <c r="DIM186" s="225"/>
      <c r="DIN186" s="225"/>
      <c r="DIO186" s="225"/>
      <c r="DIP186" s="225"/>
      <c r="DIQ186" s="225"/>
      <c r="DIR186" s="225"/>
      <c r="DIS186" s="225"/>
      <c r="DIT186" s="225"/>
      <c r="DIU186" s="225"/>
      <c r="DIV186" s="225"/>
      <c r="DIW186" s="225"/>
      <c r="DIX186" s="225"/>
      <c r="DIY186" s="225"/>
      <c r="DIZ186" s="225"/>
      <c r="DJA186" s="225"/>
      <c r="DJB186" s="225"/>
      <c r="DJC186" s="225"/>
      <c r="DJD186" s="225"/>
      <c r="DJE186" s="225"/>
      <c r="DJF186" s="225"/>
      <c r="DJG186" s="225"/>
      <c r="DJH186" s="225"/>
      <c r="DJI186" s="225"/>
      <c r="DJJ186" s="225"/>
      <c r="DJK186" s="225"/>
      <c r="DJL186" s="225"/>
      <c r="DJM186" s="225"/>
      <c r="DJN186" s="225"/>
      <c r="DJO186" s="225"/>
      <c r="DJP186" s="225"/>
      <c r="DJQ186" s="225"/>
      <c r="DJR186" s="225"/>
      <c r="DJS186" s="225"/>
      <c r="DJT186" s="225"/>
      <c r="DJU186" s="225"/>
      <c r="DJV186" s="225"/>
      <c r="DJW186" s="225"/>
      <c r="DJX186" s="225"/>
      <c r="DJY186" s="225"/>
      <c r="DJZ186" s="225"/>
      <c r="DKA186" s="225"/>
      <c r="DKB186" s="225"/>
      <c r="DKC186" s="225"/>
      <c r="DKD186" s="225"/>
      <c r="DKE186" s="225"/>
      <c r="DKF186" s="225"/>
      <c r="DKG186" s="225"/>
      <c r="DKH186" s="225"/>
      <c r="DKI186" s="225"/>
      <c r="DKJ186" s="225"/>
      <c r="DKK186" s="225"/>
      <c r="DKL186" s="225"/>
      <c r="DKM186" s="225"/>
      <c r="DKN186" s="225"/>
      <c r="DKO186" s="225"/>
      <c r="DKP186" s="225"/>
      <c r="DKQ186" s="225"/>
      <c r="DKR186" s="225"/>
      <c r="DKS186" s="225"/>
      <c r="DKT186" s="225"/>
      <c r="DKU186" s="225"/>
      <c r="DKV186" s="225"/>
      <c r="DKW186" s="225"/>
      <c r="DKX186" s="225"/>
      <c r="DKY186" s="225"/>
      <c r="DKZ186" s="225"/>
      <c r="DLA186" s="225"/>
      <c r="DLB186" s="225"/>
      <c r="DLC186" s="225"/>
      <c r="DLD186" s="225"/>
      <c r="DLE186" s="225"/>
      <c r="DLF186" s="225"/>
      <c r="DLG186" s="225"/>
      <c r="DLH186" s="225"/>
      <c r="DLI186" s="225"/>
      <c r="DLJ186" s="225"/>
      <c r="DLK186" s="225"/>
      <c r="DLL186" s="225"/>
      <c r="DLM186" s="225"/>
      <c r="DLN186" s="225"/>
      <c r="DLO186" s="225"/>
      <c r="DLP186" s="225"/>
      <c r="DLQ186" s="225"/>
      <c r="DLR186" s="225"/>
      <c r="DLS186" s="225"/>
      <c r="DLT186" s="225"/>
      <c r="DLU186" s="225"/>
      <c r="DLV186" s="225"/>
      <c r="DLW186" s="225"/>
      <c r="DLX186" s="225"/>
      <c r="DLY186" s="225"/>
      <c r="DLZ186" s="225"/>
      <c r="DMA186" s="225"/>
      <c r="DMB186" s="225"/>
      <c r="DMC186" s="225"/>
      <c r="DMD186" s="225"/>
      <c r="DME186" s="225"/>
      <c r="DMF186" s="225"/>
      <c r="DMG186" s="225"/>
      <c r="DMH186" s="225"/>
      <c r="DMI186" s="225"/>
      <c r="DMJ186" s="225"/>
      <c r="DMK186" s="225"/>
      <c r="DML186" s="225"/>
      <c r="DMM186" s="225"/>
      <c r="DMN186" s="225"/>
      <c r="DMO186" s="225"/>
      <c r="DMP186" s="225"/>
      <c r="DMQ186" s="225"/>
      <c r="DMR186" s="225"/>
      <c r="DMS186" s="225"/>
      <c r="DMT186" s="225"/>
      <c r="DMU186" s="225"/>
      <c r="DMV186" s="225"/>
      <c r="DMW186" s="225"/>
      <c r="DMX186" s="225"/>
      <c r="DMY186" s="225"/>
      <c r="DMZ186" s="225"/>
      <c r="DNA186" s="225"/>
      <c r="DNB186" s="225"/>
      <c r="DNC186" s="225"/>
      <c r="DND186" s="225"/>
      <c r="DNE186" s="225"/>
      <c r="DNF186" s="225"/>
      <c r="DNG186" s="225"/>
      <c r="DNH186" s="225"/>
      <c r="DNI186" s="225"/>
      <c r="DNJ186" s="225"/>
      <c r="DNK186" s="225"/>
      <c r="DNL186" s="225"/>
      <c r="DNM186" s="225"/>
      <c r="DNN186" s="225"/>
      <c r="DNO186" s="225"/>
      <c r="DNP186" s="225"/>
      <c r="DNQ186" s="225"/>
      <c r="DNR186" s="225"/>
      <c r="DNS186" s="225"/>
      <c r="DNT186" s="225"/>
      <c r="DNU186" s="225"/>
      <c r="DNV186" s="225"/>
      <c r="DNW186" s="225"/>
      <c r="DNX186" s="225"/>
      <c r="DNY186" s="225"/>
      <c r="DNZ186" s="225"/>
      <c r="DOA186" s="225"/>
      <c r="DOB186" s="225"/>
      <c r="DOC186" s="225"/>
      <c r="DOD186" s="225"/>
      <c r="DOE186" s="225"/>
      <c r="DOF186" s="225"/>
      <c r="DOG186" s="225"/>
      <c r="DOH186" s="225"/>
      <c r="DOI186" s="225"/>
      <c r="DOJ186" s="225"/>
      <c r="DOK186" s="225"/>
      <c r="DOL186" s="225"/>
      <c r="DOM186" s="225"/>
      <c r="DON186" s="225"/>
      <c r="DOO186" s="225"/>
      <c r="DOP186" s="225"/>
      <c r="DOQ186" s="225"/>
      <c r="DOR186" s="225"/>
      <c r="DOS186" s="225"/>
      <c r="DOT186" s="225"/>
      <c r="DOU186" s="225"/>
      <c r="DOV186" s="225"/>
      <c r="DOW186" s="225"/>
      <c r="DOX186" s="225"/>
      <c r="DOY186" s="225"/>
      <c r="DOZ186" s="225"/>
      <c r="DPA186" s="225"/>
      <c r="DPB186" s="225"/>
      <c r="DPC186" s="225"/>
      <c r="DPD186" s="225"/>
      <c r="DPE186" s="225"/>
      <c r="DPF186" s="225"/>
      <c r="DPG186" s="225"/>
      <c r="DPH186" s="225"/>
      <c r="DPI186" s="225"/>
      <c r="DPJ186" s="225"/>
      <c r="DPK186" s="225"/>
      <c r="DPL186" s="225"/>
      <c r="DPM186" s="225"/>
      <c r="DPN186" s="225"/>
      <c r="DPO186" s="225"/>
      <c r="DPP186" s="225"/>
      <c r="DPQ186" s="225"/>
      <c r="DPR186" s="225"/>
      <c r="DPS186" s="225"/>
      <c r="DPT186" s="225"/>
      <c r="DPU186" s="225"/>
      <c r="DPV186" s="225"/>
      <c r="DPW186" s="225"/>
      <c r="DPX186" s="225"/>
      <c r="DPY186" s="225"/>
      <c r="DPZ186" s="225"/>
      <c r="DQA186" s="225"/>
      <c r="DQB186" s="225"/>
      <c r="DQC186" s="225"/>
      <c r="DQD186" s="225"/>
      <c r="DQE186" s="225"/>
      <c r="DQF186" s="225"/>
      <c r="DQG186" s="225"/>
      <c r="DQH186" s="225"/>
      <c r="DQI186" s="225"/>
      <c r="DQJ186" s="225"/>
      <c r="DQK186" s="225"/>
      <c r="DQL186" s="225"/>
      <c r="DQM186" s="225"/>
      <c r="DQN186" s="225"/>
      <c r="DQO186" s="225"/>
      <c r="DQP186" s="225"/>
      <c r="DQQ186" s="225"/>
      <c r="DQR186" s="225"/>
      <c r="DQS186" s="225"/>
      <c r="DQT186" s="225"/>
      <c r="DQU186" s="225"/>
      <c r="DQV186" s="225"/>
      <c r="DQW186" s="225"/>
      <c r="DQX186" s="225"/>
      <c r="DQY186" s="225"/>
      <c r="DQZ186" s="225"/>
      <c r="DRA186" s="225"/>
      <c r="DRB186" s="225"/>
      <c r="DRC186" s="225"/>
      <c r="DRD186" s="225"/>
      <c r="DRE186" s="225"/>
      <c r="DRF186" s="225"/>
      <c r="DRG186" s="225"/>
      <c r="DRH186" s="225"/>
      <c r="DRI186" s="225"/>
      <c r="DRJ186" s="225"/>
      <c r="DRK186" s="225"/>
      <c r="DRL186" s="225"/>
      <c r="DRM186" s="225"/>
      <c r="DRN186" s="225"/>
      <c r="DRO186" s="225"/>
      <c r="DRP186" s="225"/>
      <c r="DRQ186" s="225"/>
      <c r="DRR186" s="225"/>
      <c r="DRS186" s="225"/>
      <c r="DRT186" s="225"/>
      <c r="DRU186" s="225"/>
      <c r="DRV186" s="225"/>
      <c r="DRW186" s="225"/>
      <c r="DRX186" s="225"/>
      <c r="DRY186" s="225"/>
      <c r="DRZ186" s="225"/>
      <c r="DSA186" s="225"/>
      <c r="DSB186" s="225"/>
      <c r="DSC186" s="225"/>
      <c r="DSD186" s="225"/>
      <c r="DSE186" s="225"/>
      <c r="DSF186" s="225"/>
      <c r="DSG186" s="225"/>
      <c r="DSH186" s="225"/>
      <c r="DSI186" s="225"/>
      <c r="DSJ186" s="225"/>
      <c r="DSK186" s="225"/>
      <c r="DSL186" s="225"/>
      <c r="DSM186" s="225"/>
      <c r="DSN186" s="225"/>
      <c r="DSO186" s="225"/>
      <c r="DSP186" s="225"/>
      <c r="DSQ186" s="225"/>
      <c r="DSR186" s="225"/>
      <c r="DSS186" s="225"/>
      <c r="DST186" s="225"/>
      <c r="DSU186" s="225"/>
      <c r="DSV186" s="225"/>
      <c r="DSW186" s="225"/>
      <c r="DSX186" s="225"/>
      <c r="DSY186" s="225"/>
      <c r="DSZ186" s="225"/>
      <c r="DTA186" s="225"/>
      <c r="DTB186" s="225"/>
      <c r="DTC186" s="225"/>
      <c r="DTD186" s="225"/>
      <c r="DTE186" s="225"/>
      <c r="DTF186" s="225"/>
      <c r="DTG186" s="225"/>
      <c r="DTH186" s="225"/>
      <c r="DTI186" s="225"/>
      <c r="DTJ186" s="225"/>
      <c r="DTK186" s="225"/>
      <c r="DTL186" s="225"/>
      <c r="DTM186" s="225"/>
      <c r="DTN186" s="225"/>
      <c r="DTO186" s="225"/>
      <c r="DTP186" s="225"/>
      <c r="DTQ186" s="225"/>
      <c r="DTR186" s="225"/>
      <c r="DTS186" s="225"/>
      <c r="DTT186" s="225"/>
      <c r="DTU186" s="225"/>
      <c r="DTV186" s="225"/>
      <c r="DTW186" s="225"/>
      <c r="DTX186" s="225"/>
      <c r="DTY186" s="225"/>
      <c r="DTZ186" s="225"/>
      <c r="DUA186" s="225"/>
      <c r="DUB186" s="225"/>
      <c r="DUC186" s="225"/>
      <c r="DUD186" s="225"/>
      <c r="DUE186" s="225"/>
      <c r="DUF186" s="225"/>
      <c r="DUG186" s="225"/>
      <c r="DUH186" s="225"/>
      <c r="DUI186" s="225"/>
      <c r="DUJ186" s="225"/>
      <c r="DUK186" s="225"/>
      <c r="DUL186" s="225"/>
      <c r="DUM186" s="225"/>
      <c r="DUN186" s="225"/>
      <c r="DUO186" s="225"/>
      <c r="DUP186" s="225"/>
      <c r="DUQ186" s="225"/>
      <c r="DUR186" s="225"/>
      <c r="DUS186" s="225"/>
      <c r="DUT186" s="225"/>
      <c r="DUU186" s="225"/>
      <c r="DUV186" s="225"/>
      <c r="DUW186" s="225"/>
      <c r="DUX186" s="225"/>
      <c r="DUY186" s="225"/>
      <c r="DUZ186" s="225"/>
      <c r="DVA186" s="225"/>
      <c r="DVB186" s="225"/>
      <c r="DVC186" s="225"/>
      <c r="DVD186" s="225"/>
      <c r="DVE186" s="225"/>
      <c r="DVF186" s="225"/>
      <c r="DVG186" s="225"/>
      <c r="DVH186" s="225"/>
      <c r="DVI186" s="225"/>
      <c r="DVJ186" s="225"/>
      <c r="DVK186" s="225"/>
      <c r="DVL186" s="225"/>
      <c r="DVM186" s="225"/>
      <c r="DVN186" s="225"/>
      <c r="DVO186" s="225"/>
      <c r="DVP186" s="225"/>
      <c r="DVQ186" s="225"/>
      <c r="DVR186" s="225"/>
      <c r="DVS186" s="225"/>
      <c r="DVT186" s="225"/>
      <c r="DVU186" s="225"/>
      <c r="DVV186" s="225"/>
      <c r="DVW186" s="225"/>
      <c r="DVX186" s="225"/>
      <c r="DVY186" s="225"/>
      <c r="DVZ186" s="225"/>
      <c r="DWA186" s="225"/>
      <c r="DWB186" s="225"/>
      <c r="DWC186" s="225"/>
      <c r="DWD186" s="225"/>
      <c r="DWE186" s="225"/>
      <c r="DWF186" s="225"/>
      <c r="DWG186" s="225"/>
      <c r="DWH186" s="225"/>
      <c r="DWI186" s="225"/>
      <c r="DWJ186" s="225"/>
      <c r="DWK186" s="225"/>
      <c r="DWL186" s="225"/>
      <c r="DWM186" s="225"/>
      <c r="DWN186" s="225"/>
      <c r="DWO186" s="225"/>
      <c r="DWP186" s="225"/>
      <c r="DWQ186" s="225"/>
      <c r="DWR186" s="225"/>
      <c r="DWS186" s="225"/>
      <c r="DWT186" s="225"/>
      <c r="DWU186" s="225"/>
      <c r="DWV186" s="225"/>
      <c r="DWW186" s="225"/>
      <c r="DWX186" s="225"/>
      <c r="DWY186" s="225"/>
      <c r="DWZ186" s="225"/>
      <c r="DXA186" s="225"/>
      <c r="DXB186" s="225"/>
      <c r="DXC186" s="225"/>
      <c r="DXD186" s="225"/>
      <c r="DXE186" s="225"/>
      <c r="DXF186" s="225"/>
      <c r="DXG186" s="225"/>
      <c r="DXH186" s="225"/>
      <c r="DXI186" s="225"/>
      <c r="DXJ186" s="225"/>
      <c r="DXK186" s="225"/>
      <c r="DXL186" s="225"/>
      <c r="DXM186" s="225"/>
      <c r="DXN186" s="225"/>
      <c r="DXO186" s="225"/>
      <c r="DXP186" s="225"/>
      <c r="DXQ186" s="225"/>
      <c r="DXR186" s="225"/>
      <c r="DXS186" s="225"/>
      <c r="DXT186" s="225"/>
      <c r="DXU186" s="225"/>
      <c r="DXV186" s="225"/>
      <c r="DXW186" s="225"/>
      <c r="DXX186" s="225"/>
      <c r="DXY186" s="225"/>
      <c r="DXZ186" s="225"/>
      <c r="DYA186" s="225"/>
      <c r="DYB186" s="225"/>
      <c r="DYC186" s="225"/>
      <c r="DYD186" s="225"/>
      <c r="DYE186" s="225"/>
      <c r="DYF186" s="225"/>
      <c r="DYG186" s="225"/>
      <c r="DYH186" s="225"/>
      <c r="DYI186" s="225"/>
      <c r="DYJ186" s="225"/>
      <c r="DYK186" s="225"/>
      <c r="DYL186" s="225"/>
      <c r="DYM186" s="225"/>
      <c r="DYN186" s="225"/>
      <c r="DYO186" s="225"/>
      <c r="DYP186" s="225"/>
      <c r="DYQ186" s="225"/>
      <c r="DYR186" s="225"/>
      <c r="DYS186" s="225"/>
      <c r="DYT186" s="225"/>
      <c r="DYU186" s="225"/>
      <c r="DYV186" s="225"/>
      <c r="DYW186" s="225"/>
      <c r="DYX186" s="225"/>
      <c r="DYY186" s="225"/>
      <c r="DYZ186" s="225"/>
      <c r="DZA186" s="225"/>
      <c r="DZB186" s="225"/>
      <c r="DZC186" s="225"/>
      <c r="DZD186" s="225"/>
      <c r="DZE186" s="225"/>
      <c r="DZF186" s="225"/>
      <c r="DZG186" s="225"/>
      <c r="DZH186" s="225"/>
      <c r="DZI186" s="225"/>
      <c r="DZJ186" s="225"/>
      <c r="DZK186" s="225"/>
      <c r="DZL186" s="225"/>
      <c r="DZM186" s="225"/>
      <c r="DZN186" s="225"/>
      <c r="DZO186" s="225"/>
      <c r="DZP186" s="225"/>
      <c r="DZQ186" s="225"/>
      <c r="DZR186" s="225"/>
      <c r="DZS186" s="225"/>
      <c r="DZT186" s="225"/>
      <c r="DZU186" s="225"/>
      <c r="DZV186" s="225"/>
      <c r="DZW186" s="225"/>
      <c r="DZX186" s="225"/>
      <c r="DZY186" s="225"/>
      <c r="DZZ186" s="225"/>
      <c r="EAA186" s="225"/>
      <c r="EAB186" s="225"/>
      <c r="EAC186" s="225"/>
      <c r="EAD186" s="225"/>
      <c r="EAE186" s="225"/>
      <c r="EAF186" s="225"/>
      <c r="EAG186" s="225"/>
      <c r="EAH186" s="225"/>
      <c r="EAI186" s="225"/>
      <c r="EAJ186" s="225"/>
      <c r="EAK186" s="225"/>
      <c r="EAL186" s="225"/>
      <c r="EAM186" s="225"/>
      <c r="EAN186" s="225"/>
      <c r="EAO186" s="225"/>
      <c r="EAP186" s="225"/>
      <c r="EAQ186" s="225"/>
      <c r="EAR186" s="225"/>
      <c r="EAS186" s="225"/>
      <c r="EAT186" s="225"/>
      <c r="EAU186" s="225"/>
      <c r="EAV186" s="225"/>
      <c r="EAW186" s="225"/>
      <c r="EAX186" s="225"/>
      <c r="EAY186" s="225"/>
      <c r="EAZ186" s="225"/>
      <c r="EBA186" s="225"/>
      <c r="EBB186" s="225"/>
      <c r="EBC186" s="225"/>
      <c r="EBD186" s="225"/>
      <c r="EBE186" s="225"/>
      <c r="EBF186" s="225"/>
      <c r="EBG186" s="225"/>
      <c r="EBH186" s="225"/>
      <c r="EBI186" s="225"/>
      <c r="EBJ186" s="225"/>
      <c r="EBK186" s="225"/>
      <c r="EBL186" s="225"/>
      <c r="EBM186" s="225"/>
      <c r="EBN186" s="225"/>
      <c r="EBO186" s="225"/>
      <c r="EBP186" s="225"/>
      <c r="EBQ186" s="225"/>
      <c r="EBR186" s="225"/>
      <c r="EBS186" s="225"/>
      <c r="EBT186" s="225"/>
      <c r="EBU186" s="225"/>
      <c r="EBV186" s="225"/>
      <c r="EBW186" s="225"/>
      <c r="EBX186" s="225"/>
      <c r="EBY186" s="225"/>
      <c r="EBZ186" s="225"/>
      <c r="ECA186" s="225"/>
      <c r="ECB186" s="225"/>
      <c r="ECC186" s="225"/>
      <c r="ECD186" s="225"/>
      <c r="ECE186" s="225"/>
      <c r="ECF186" s="225"/>
      <c r="ECG186" s="225"/>
      <c r="ECH186" s="225"/>
      <c r="ECI186" s="225"/>
      <c r="ECJ186" s="225"/>
      <c r="ECK186" s="225"/>
      <c r="ECL186" s="225"/>
      <c r="ECM186" s="225"/>
      <c r="ECN186" s="225"/>
      <c r="ECO186" s="225"/>
      <c r="ECP186" s="225"/>
      <c r="ECQ186" s="225"/>
      <c r="ECR186" s="225"/>
      <c r="ECS186" s="225"/>
      <c r="ECT186" s="225"/>
      <c r="ECU186" s="225"/>
      <c r="ECV186" s="225"/>
      <c r="ECW186" s="225"/>
      <c r="ECX186" s="225"/>
      <c r="ECY186" s="225"/>
      <c r="ECZ186" s="225"/>
      <c r="EDA186" s="225"/>
      <c r="EDB186" s="225"/>
      <c r="EDC186" s="225"/>
      <c r="EDD186" s="225"/>
      <c r="EDE186" s="225"/>
      <c r="EDF186" s="225"/>
      <c r="EDG186" s="225"/>
      <c r="EDH186" s="225"/>
      <c r="EDI186" s="225"/>
      <c r="EDJ186" s="225"/>
      <c r="EDK186" s="225"/>
      <c r="EDL186" s="225"/>
      <c r="EDM186" s="225"/>
      <c r="EDN186" s="225"/>
      <c r="EDO186" s="225"/>
      <c r="EDP186" s="225"/>
      <c r="EDQ186" s="225"/>
      <c r="EDR186" s="225"/>
      <c r="EDS186" s="225"/>
      <c r="EDT186" s="225"/>
      <c r="EDU186" s="225"/>
      <c r="EDV186" s="225"/>
      <c r="EDW186" s="225"/>
      <c r="EDX186" s="225"/>
      <c r="EDY186" s="225"/>
      <c r="EDZ186" s="225"/>
      <c r="EEA186" s="225"/>
      <c r="EEB186" s="225"/>
      <c r="EEC186" s="225"/>
      <c r="EED186" s="225"/>
      <c r="EEE186" s="225"/>
      <c r="EEF186" s="225"/>
      <c r="EEG186" s="225"/>
      <c r="EEH186" s="225"/>
      <c r="EEI186" s="225"/>
      <c r="EEJ186" s="225"/>
      <c r="EEK186" s="225"/>
      <c r="EEL186" s="225"/>
      <c r="EEM186" s="225"/>
      <c r="EEN186" s="225"/>
      <c r="EEO186" s="225"/>
      <c r="EEP186" s="225"/>
      <c r="EEQ186" s="225"/>
      <c r="EER186" s="225"/>
      <c r="EES186" s="225"/>
      <c r="EET186" s="225"/>
      <c r="EEU186" s="225"/>
      <c r="EEV186" s="225"/>
      <c r="EEW186" s="225"/>
      <c r="EEX186" s="225"/>
      <c r="EEY186" s="225"/>
      <c r="EEZ186" s="225"/>
      <c r="EFA186" s="225"/>
      <c r="EFB186" s="225"/>
      <c r="EFC186" s="225"/>
      <c r="EFD186" s="225"/>
      <c r="EFE186" s="225"/>
      <c r="EFF186" s="225"/>
      <c r="EFG186" s="225"/>
      <c r="EFH186" s="225"/>
      <c r="EFI186" s="225"/>
      <c r="EFJ186" s="225"/>
      <c r="EFK186" s="225"/>
      <c r="EFL186" s="225"/>
      <c r="EFM186" s="225"/>
      <c r="EFN186" s="225"/>
      <c r="EFO186" s="225"/>
      <c r="EFP186" s="225"/>
      <c r="EFQ186" s="225"/>
      <c r="EFR186" s="225"/>
      <c r="EFS186" s="225"/>
      <c r="EFT186" s="225"/>
      <c r="EFU186" s="225"/>
      <c r="EFV186" s="225"/>
      <c r="EFW186" s="225"/>
      <c r="EFX186" s="225"/>
      <c r="EFY186" s="225"/>
      <c r="EFZ186" s="225"/>
      <c r="EGA186" s="225"/>
      <c r="EGB186" s="225"/>
      <c r="EGC186" s="225"/>
      <c r="EGD186" s="225"/>
      <c r="EGE186" s="225"/>
      <c r="EGF186" s="225"/>
      <c r="EGG186" s="225"/>
      <c r="EGH186" s="225"/>
      <c r="EGI186" s="225"/>
      <c r="EGJ186" s="225"/>
      <c r="EGK186" s="225"/>
      <c r="EGL186" s="225"/>
      <c r="EGM186" s="225"/>
      <c r="EGN186" s="225"/>
      <c r="EGO186" s="225"/>
      <c r="EGP186" s="225"/>
      <c r="EGQ186" s="225"/>
      <c r="EGR186" s="225"/>
      <c r="EGS186" s="225"/>
      <c r="EGT186" s="225"/>
      <c r="EGU186" s="225"/>
      <c r="EGV186" s="225"/>
      <c r="EGW186" s="225"/>
      <c r="EGX186" s="225"/>
      <c r="EGY186" s="225"/>
      <c r="EGZ186" s="225"/>
      <c r="EHA186" s="225"/>
      <c r="EHB186" s="225"/>
      <c r="EHC186" s="225"/>
      <c r="EHD186" s="225"/>
      <c r="EHE186" s="225"/>
      <c r="EHF186" s="225"/>
      <c r="EHG186" s="225"/>
      <c r="EHH186" s="225"/>
      <c r="EHI186" s="225"/>
      <c r="EHJ186" s="225"/>
      <c r="EHK186" s="225"/>
      <c r="EHL186" s="225"/>
      <c r="EHM186" s="225"/>
      <c r="EHN186" s="225"/>
      <c r="EHO186" s="225"/>
      <c r="EHP186" s="225"/>
      <c r="EHQ186" s="225"/>
      <c r="EHR186" s="225"/>
      <c r="EHS186" s="225"/>
      <c r="EHT186" s="225"/>
      <c r="EHU186" s="225"/>
      <c r="EHV186" s="225"/>
      <c r="EHW186" s="225"/>
      <c r="EHX186" s="225"/>
      <c r="EHY186" s="225"/>
      <c r="EHZ186" s="225"/>
      <c r="EIA186" s="225"/>
      <c r="EIB186" s="225"/>
      <c r="EIC186" s="225"/>
      <c r="EID186" s="225"/>
      <c r="EIE186" s="225"/>
      <c r="EIF186" s="225"/>
      <c r="EIG186" s="225"/>
      <c r="EIH186" s="225"/>
      <c r="EII186" s="225"/>
      <c r="EIJ186" s="225"/>
      <c r="EIK186" s="225"/>
      <c r="EIL186" s="225"/>
      <c r="EIM186" s="225"/>
      <c r="EIN186" s="225"/>
      <c r="EIO186" s="225"/>
      <c r="EIP186" s="225"/>
      <c r="EIQ186" s="225"/>
      <c r="EIR186" s="225"/>
      <c r="EIS186" s="225"/>
      <c r="EIT186" s="225"/>
      <c r="EIU186" s="225"/>
      <c r="EIV186" s="225"/>
      <c r="EIW186" s="225"/>
      <c r="EIX186" s="225"/>
      <c r="EIY186" s="225"/>
      <c r="EIZ186" s="225"/>
      <c r="EJA186" s="225"/>
      <c r="EJB186" s="225"/>
      <c r="EJC186" s="225"/>
      <c r="EJD186" s="225"/>
      <c r="EJE186" s="225"/>
      <c r="EJF186" s="225"/>
      <c r="EJG186" s="225"/>
      <c r="EJH186" s="225"/>
      <c r="EJI186" s="225"/>
      <c r="EJJ186" s="225"/>
      <c r="EJK186" s="225"/>
      <c r="EJL186" s="225"/>
      <c r="EJM186" s="225"/>
      <c r="EJN186" s="225"/>
      <c r="EJO186" s="225"/>
      <c r="EJP186" s="225"/>
      <c r="EJQ186" s="225"/>
      <c r="EJR186" s="225"/>
      <c r="EJS186" s="225"/>
      <c r="EJT186" s="225"/>
      <c r="EJU186" s="225"/>
      <c r="EJV186" s="225"/>
      <c r="EJW186" s="225"/>
      <c r="EJX186" s="225"/>
      <c r="EJY186" s="225"/>
      <c r="EJZ186" s="225"/>
      <c r="EKA186" s="225"/>
      <c r="EKB186" s="225"/>
      <c r="EKC186" s="225"/>
      <c r="EKD186" s="225"/>
      <c r="EKE186" s="225"/>
      <c r="EKF186" s="225"/>
      <c r="EKG186" s="225"/>
      <c r="EKH186" s="225"/>
      <c r="EKI186" s="225"/>
      <c r="EKJ186" s="225"/>
      <c r="EKK186" s="225"/>
      <c r="EKL186" s="225"/>
      <c r="EKM186" s="225"/>
      <c r="EKN186" s="225"/>
      <c r="EKO186" s="225"/>
      <c r="EKP186" s="225"/>
      <c r="EKQ186" s="225"/>
      <c r="EKR186" s="225"/>
      <c r="EKS186" s="225"/>
      <c r="EKT186" s="225"/>
      <c r="EKU186" s="225"/>
      <c r="EKV186" s="225"/>
      <c r="EKW186" s="225"/>
      <c r="EKX186" s="225"/>
      <c r="EKY186" s="225"/>
      <c r="EKZ186" s="225"/>
      <c r="ELA186" s="225"/>
      <c r="ELB186" s="225"/>
      <c r="ELC186" s="225"/>
      <c r="ELD186" s="225"/>
      <c r="ELE186" s="225"/>
      <c r="ELF186" s="225"/>
      <c r="ELG186" s="225"/>
      <c r="ELH186" s="225"/>
      <c r="ELI186" s="225"/>
      <c r="ELJ186" s="225"/>
      <c r="ELK186" s="225"/>
      <c r="ELL186" s="225"/>
      <c r="ELM186" s="225"/>
      <c r="ELN186" s="225"/>
      <c r="ELO186" s="225"/>
      <c r="ELP186" s="225"/>
      <c r="ELQ186" s="225"/>
      <c r="ELR186" s="225"/>
      <c r="ELS186" s="225"/>
      <c r="ELT186" s="225"/>
      <c r="ELU186" s="225"/>
      <c r="ELV186" s="225"/>
      <c r="ELW186" s="225"/>
      <c r="ELX186" s="225"/>
      <c r="ELY186" s="225"/>
      <c r="ELZ186" s="225"/>
      <c r="EMA186" s="225"/>
      <c r="EMB186" s="225"/>
      <c r="EMC186" s="225"/>
      <c r="EMD186" s="225"/>
      <c r="EME186" s="225"/>
      <c r="EMF186" s="225"/>
      <c r="EMG186" s="225"/>
      <c r="EMH186" s="225"/>
      <c r="EMI186" s="225"/>
      <c r="EMJ186" s="225"/>
      <c r="EMK186" s="225"/>
      <c r="EML186" s="225"/>
      <c r="EMM186" s="225"/>
      <c r="EMN186" s="225"/>
      <c r="EMO186" s="225"/>
      <c r="EMP186" s="225"/>
      <c r="EMQ186" s="225"/>
      <c r="EMR186" s="225"/>
      <c r="EMS186" s="225"/>
      <c r="EMT186" s="225"/>
      <c r="EMU186" s="225"/>
      <c r="EMV186" s="225"/>
      <c r="EMW186" s="225"/>
      <c r="EMX186" s="225"/>
      <c r="EMY186" s="225"/>
      <c r="EMZ186" s="225"/>
      <c r="ENA186" s="225"/>
      <c r="ENB186" s="225"/>
      <c r="ENC186" s="225"/>
      <c r="END186" s="225"/>
      <c r="ENE186" s="225"/>
      <c r="ENF186" s="225"/>
      <c r="ENG186" s="225"/>
      <c r="ENH186" s="225"/>
      <c r="ENI186" s="225"/>
      <c r="ENJ186" s="225"/>
      <c r="ENK186" s="225"/>
      <c r="ENL186" s="225"/>
      <c r="ENM186" s="225"/>
      <c r="ENN186" s="225"/>
      <c r="ENO186" s="225"/>
      <c r="ENP186" s="225"/>
      <c r="ENQ186" s="225"/>
      <c r="ENR186" s="225"/>
      <c r="ENS186" s="225"/>
      <c r="ENT186" s="225"/>
      <c r="ENU186" s="225"/>
      <c r="ENV186" s="225"/>
      <c r="ENW186" s="225"/>
      <c r="ENX186" s="225"/>
      <c r="ENY186" s="225"/>
      <c r="ENZ186" s="225"/>
      <c r="EOA186" s="225"/>
      <c r="EOB186" s="225"/>
      <c r="EOC186" s="225"/>
      <c r="EOD186" s="225"/>
      <c r="EOE186" s="225"/>
      <c r="EOF186" s="225"/>
      <c r="EOG186" s="225"/>
      <c r="EOH186" s="225"/>
      <c r="EOI186" s="225"/>
      <c r="EOJ186" s="225"/>
      <c r="EOK186" s="225"/>
      <c r="EOL186" s="225"/>
      <c r="EOM186" s="225"/>
      <c r="EON186" s="225"/>
      <c r="EOO186" s="225"/>
      <c r="EOP186" s="225"/>
      <c r="EOQ186" s="225"/>
      <c r="EOR186" s="225"/>
      <c r="EOS186" s="225"/>
      <c r="EOT186" s="225"/>
      <c r="EOU186" s="225"/>
      <c r="EOV186" s="225"/>
      <c r="EOW186" s="225"/>
      <c r="EOX186" s="225"/>
      <c r="EOY186" s="225"/>
      <c r="EOZ186" s="225"/>
      <c r="EPA186" s="225"/>
      <c r="EPB186" s="225"/>
      <c r="EPC186" s="225"/>
      <c r="EPD186" s="225"/>
      <c r="EPE186" s="225"/>
      <c r="EPF186" s="225"/>
      <c r="EPG186" s="225"/>
      <c r="EPH186" s="225"/>
      <c r="EPI186" s="225"/>
      <c r="EPJ186" s="225"/>
      <c r="EPK186" s="225"/>
      <c r="EPL186" s="225"/>
      <c r="EPM186" s="225"/>
      <c r="EPN186" s="225"/>
      <c r="EPO186" s="225"/>
      <c r="EPP186" s="225"/>
      <c r="EPQ186" s="225"/>
      <c r="EPR186" s="225"/>
      <c r="EPS186" s="225"/>
      <c r="EPT186" s="225"/>
      <c r="EPU186" s="225"/>
      <c r="EPV186" s="225"/>
      <c r="EPW186" s="225"/>
      <c r="EPX186" s="225"/>
      <c r="EPY186" s="225"/>
      <c r="EPZ186" s="225"/>
      <c r="EQA186" s="225"/>
      <c r="EQB186" s="225"/>
      <c r="EQC186" s="225"/>
      <c r="EQD186" s="225"/>
      <c r="EQE186" s="225"/>
      <c r="EQF186" s="225"/>
      <c r="EQG186" s="225"/>
      <c r="EQH186" s="225"/>
      <c r="EQI186" s="225"/>
      <c r="EQJ186" s="225"/>
      <c r="EQK186" s="225"/>
      <c r="EQL186" s="225"/>
      <c r="EQM186" s="225"/>
      <c r="EQN186" s="225"/>
      <c r="EQO186" s="225"/>
      <c r="EQP186" s="225"/>
      <c r="EQQ186" s="225"/>
      <c r="EQR186" s="225"/>
      <c r="EQS186" s="225"/>
      <c r="EQT186" s="225"/>
      <c r="EQU186" s="225"/>
      <c r="EQV186" s="225"/>
      <c r="EQW186" s="225"/>
      <c r="EQX186" s="225"/>
      <c r="EQY186" s="225"/>
      <c r="EQZ186" s="225"/>
      <c r="ERA186" s="225"/>
      <c r="ERB186" s="225"/>
      <c r="ERC186" s="225"/>
      <c r="ERD186" s="225"/>
      <c r="ERE186" s="225"/>
      <c r="ERF186" s="225"/>
      <c r="ERG186" s="225"/>
      <c r="ERH186" s="225"/>
      <c r="ERI186" s="225"/>
      <c r="ERJ186" s="225"/>
      <c r="ERK186" s="225"/>
      <c r="ERL186" s="225"/>
      <c r="ERM186" s="225"/>
      <c r="ERN186" s="225"/>
      <c r="ERO186" s="225"/>
      <c r="ERP186" s="225"/>
      <c r="ERQ186" s="225"/>
      <c r="ERR186" s="225"/>
      <c r="ERS186" s="225"/>
      <c r="ERT186" s="225"/>
      <c r="ERU186" s="225"/>
      <c r="ERV186" s="225"/>
      <c r="ERW186" s="225"/>
      <c r="ERX186" s="225"/>
      <c r="ERY186" s="225"/>
      <c r="ERZ186" s="225"/>
      <c r="ESA186" s="225"/>
      <c r="ESB186" s="225"/>
      <c r="ESC186" s="225"/>
      <c r="ESD186" s="225"/>
      <c r="ESE186" s="225"/>
      <c r="ESF186" s="225"/>
      <c r="ESG186" s="225"/>
      <c r="ESH186" s="225"/>
      <c r="ESI186" s="225"/>
      <c r="ESJ186" s="225"/>
      <c r="ESK186" s="225"/>
      <c r="ESL186" s="225"/>
      <c r="ESM186" s="225"/>
      <c r="ESN186" s="225"/>
      <c r="ESO186" s="225"/>
      <c r="ESP186" s="225"/>
      <c r="ESQ186" s="225"/>
      <c r="ESR186" s="225"/>
      <c r="ESS186" s="225"/>
      <c r="EST186" s="225"/>
      <c r="ESU186" s="225"/>
      <c r="ESV186" s="225"/>
      <c r="ESW186" s="225"/>
      <c r="ESX186" s="225"/>
      <c r="ESY186" s="225"/>
      <c r="ESZ186" s="225"/>
      <c r="ETA186" s="225"/>
      <c r="ETB186" s="225"/>
      <c r="ETC186" s="225"/>
      <c r="ETD186" s="225"/>
      <c r="ETE186" s="225"/>
      <c r="ETF186" s="225"/>
      <c r="ETG186" s="225"/>
      <c r="ETH186" s="225"/>
      <c r="ETI186" s="225"/>
      <c r="ETJ186" s="225"/>
      <c r="ETK186" s="225"/>
      <c r="ETL186" s="225"/>
      <c r="ETM186" s="225"/>
      <c r="ETN186" s="225"/>
      <c r="ETO186" s="225"/>
      <c r="ETP186" s="225"/>
      <c r="ETQ186" s="225"/>
      <c r="ETR186" s="225"/>
      <c r="ETS186" s="225"/>
      <c r="ETT186" s="225"/>
      <c r="ETU186" s="225"/>
      <c r="ETV186" s="225"/>
      <c r="ETW186" s="225"/>
      <c r="ETX186" s="225"/>
      <c r="ETY186" s="225"/>
      <c r="ETZ186" s="225"/>
      <c r="EUA186" s="225"/>
      <c r="EUB186" s="225"/>
      <c r="EUC186" s="225"/>
      <c r="EUD186" s="225"/>
      <c r="EUE186" s="225"/>
      <c r="EUF186" s="225"/>
      <c r="EUG186" s="225"/>
      <c r="EUH186" s="225"/>
      <c r="EUI186" s="225"/>
      <c r="EUJ186" s="225"/>
      <c r="EUK186" s="225"/>
      <c r="EUL186" s="225"/>
      <c r="EUM186" s="225"/>
      <c r="EUN186" s="225"/>
      <c r="EUO186" s="225"/>
      <c r="EUP186" s="225"/>
      <c r="EUQ186" s="225"/>
      <c r="EUR186" s="225"/>
      <c r="EUS186" s="225"/>
      <c r="EUT186" s="225"/>
      <c r="EUU186" s="225"/>
      <c r="EUV186" s="225"/>
      <c r="EUW186" s="225"/>
      <c r="EUX186" s="225"/>
      <c r="EUY186" s="225"/>
      <c r="EUZ186" s="225"/>
      <c r="EVA186" s="225"/>
      <c r="EVB186" s="225"/>
      <c r="EVC186" s="225"/>
      <c r="EVD186" s="225"/>
      <c r="EVE186" s="225"/>
      <c r="EVF186" s="225"/>
      <c r="EVG186" s="225"/>
      <c r="EVH186" s="225"/>
      <c r="EVI186" s="225"/>
      <c r="EVJ186" s="225"/>
      <c r="EVK186" s="225"/>
      <c r="EVL186" s="225"/>
      <c r="EVM186" s="225"/>
      <c r="EVN186" s="225"/>
      <c r="EVO186" s="225"/>
      <c r="EVP186" s="225"/>
      <c r="EVQ186" s="225"/>
      <c r="EVR186" s="225"/>
      <c r="EVS186" s="225"/>
      <c r="EVT186" s="225"/>
      <c r="EVU186" s="225"/>
      <c r="EVV186" s="225"/>
      <c r="EVW186" s="225"/>
      <c r="EVX186" s="225"/>
      <c r="EVY186" s="225"/>
      <c r="EVZ186" s="225"/>
      <c r="EWA186" s="225"/>
      <c r="EWB186" s="225"/>
      <c r="EWC186" s="225"/>
      <c r="EWD186" s="225"/>
      <c r="EWE186" s="225"/>
      <c r="EWF186" s="225"/>
      <c r="EWG186" s="225"/>
      <c r="EWH186" s="225"/>
      <c r="EWI186" s="225"/>
      <c r="EWJ186" s="225"/>
      <c r="EWK186" s="225"/>
      <c r="EWL186" s="225"/>
      <c r="EWM186" s="225"/>
      <c r="EWN186" s="225"/>
      <c r="EWO186" s="225"/>
      <c r="EWP186" s="225"/>
      <c r="EWQ186" s="225"/>
      <c r="EWR186" s="225"/>
      <c r="EWS186" s="225"/>
      <c r="EWT186" s="225"/>
      <c r="EWU186" s="225"/>
      <c r="EWV186" s="225"/>
      <c r="EWW186" s="225"/>
      <c r="EWX186" s="225"/>
      <c r="EWY186" s="225"/>
      <c r="EWZ186" s="225"/>
      <c r="EXA186" s="225"/>
      <c r="EXB186" s="225"/>
      <c r="EXC186" s="225"/>
      <c r="EXD186" s="225"/>
      <c r="EXE186" s="225"/>
      <c r="EXF186" s="225"/>
      <c r="EXG186" s="225"/>
      <c r="EXH186" s="225"/>
      <c r="EXI186" s="225"/>
      <c r="EXJ186" s="225"/>
      <c r="EXK186" s="225"/>
      <c r="EXL186" s="225"/>
      <c r="EXM186" s="225"/>
      <c r="EXN186" s="225"/>
      <c r="EXO186" s="225"/>
      <c r="EXP186" s="225"/>
      <c r="EXQ186" s="225"/>
      <c r="EXR186" s="225"/>
      <c r="EXS186" s="225"/>
      <c r="EXT186" s="225"/>
      <c r="EXU186" s="225"/>
      <c r="EXV186" s="225"/>
      <c r="EXW186" s="225"/>
      <c r="EXX186" s="225"/>
      <c r="EXY186" s="225"/>
      <c r="EXZ186" s="225"/>
      <c r="EYA186" s="225"/>
      <c r="EYB186" s="225"/>
      <c r="EYC186" s="225"/>
      <c r="EYD186" s="225"/>
      <c r="EYE186" s="225"/>
      <c r="EYF186" s="225"/>
      <c r="EYG186" s="225"/>
      <c r="EYH186" s="225"/>
      <c r="EYI186" s="225"/>
      <c r="EYJ186" s="225"/>
      <c r="EYK186" s="225"/>
      <c r="EYL186" s="225"/>
      <c r="EYM186" s="225"/>
      <c r="EYN186" s="225"/>
      <c r="EYO186" s="225"/>
      <c r="EYP186" s="225"/>
      <c r="EYQ186" s="225"/>
      <c r="EYR186" s="225"/>
      <c r="EYS186" s="225"/>
      <c r="EYT186" s="225"/>
      <c r="EYU186" s="225"/>
      <c r="EYV186" s="225"/>
      <c r="EYW186" s="225"/>
      <c r="EYX186" s="225"/>
      <c r="EYY186" s="225"/>
      <c r="EYZ186" s="225"/>
      <c r="EZA186" s="225"/>
      <c r="EZB186" s="225"/>
      <c r="EZC186" s="225"/>
      <c r="EZD186" s="225"/>
      <c r="EZE186" s="225"/>
      <c r="EZF186" s="225"/>
      <c r="EZG186" s="225"/>
      <c r="EZH186" s="225"/>
      <c r="EZI186" s="225"/>
      <c r="EZJ186" s="225"/>
      <c r="EZK186" s="225"/>
      <c r="EZL186" s="225"/>
      <c r="EZM186" s="225"/>
      <c r="EZN186" s="225"/>
      <c r="EZO186" s="225"/>
      <c r="EZP186" s="225"/>
      <c r="EZQ186" s="225"/>
      <c r="EZR186" s="225"/>
      <c r="EZS186" s="225"/>
      <c r="EZT186" s="225"/>
      <c r="EZU186" s="225"/>
      <c r="EZV186" s="225"/>
      <c r="EZW186" s="225"/>
      <c r="EZX186" s="225"/>
      <c r="EZY186" s="225"/>
      <c r="EZZ186" s="225"/>
      <c r="FAA186" s="225"/>
      <c r="FAB186" s="225"/>
      <c r="FAC186" s="225"/>
      <c r="FAD186" s="225"/>
      <c r="FAE186" s="225"/>
      <c r="FAF186" s="225"/>
      <c r="FAG186" s="225"/>
      <c r="FAH186" s="225"/>
      <c r="FAI186" s="225"/>
      <c r="FAJ186" s="225"/>
      <c r="FAK186" s="225"/>
      <c r="FAL186" s="225"/>
      <c r="FAM186" s="225"/>
      <c r="FAN186" s="225"/>
      <c r="FAO186" s="225"/>
      <c r="FAP186" s="225"/>
      <c r="FAQ186" s="225"/>
      <c r="FAR186" s="225"/>
      <c r="FAS186" s="225"/>
      <c r="FAT186" s="225"/>
      <c r="FAU186" s="225"/>
      <c r="FAV186" s="225"/>
      <c r="FAW186" s="225"/>
      <c r="FAX186" s="225"/>
      <c r="FAY186" s="225"/>
      <c r="FAZ186" s="225"/>
      <c r="FBA186" s="225"/>
      <c r="FBB186" s="225"/>
      <c r="FBC186" s="225"/>
      <c r="FBD186" s="225"/>
      <c r="FBE186" s="225"/>
      <c r="FBF186" s="225"/>
      <c r="FBG186" s="225"/>
      <c r="FBH186" s="225"/>
      <c r="FBI186" s="225"/>
      <c r="FBJ186" s="225"/>
      <c r="FBK186" s="225"/>
      <c r="FBL186" s="225"/>
      <c r="FBM186" s="225"/>
      <c r="FBN186" s="225"/>
      <c r="FBO186" s="225"/>
      <c r="FBP186" s="225"/>
      <c r="FBQ186" s="225"/>
      <c r="FBR186" s="225"/>
      <c r="FBS186" s="225"/>
      <c r="FBT186" s="225"/>
      <c r="FBU186" s="225"/>
      <c r="FBV186" s="225"/>
      <c r="FBW186" s="225"/>
      <c r="FBX186" s="225"/>
      <c r="FBY186" s="225"/>
      <c r="FBZ186" s="225"/>
      <c r="FCA186" s="225"/>
      <c r="FCB186" s="225"/>
      <c r="FCC186" s="225"/>
      <c r="FCD186" s="225"/>
      <c r="FCE186" s="225"/>
      <c r="FCF186" s="225"/>
      <c r="FCG186" s="225"/>
      <c r="FCH186" s="225"/>
      <c r="FCI186" s="225"/>
      <c r="FCJ186" s="225"/>
      <c r="FCK186" s="225"/>
      <c r="FCL186" s="225"/>
      <c r="FCM186" s="225"/>
      <c r="FCN186" s="225"/>
      <c r="FCO186" s="225"/>
      <c r="FCP186" s="225"/>
      <c r="FCQ186" s="225"/>
      <c r="FCR186" s="225"/>
      <c r="FCS186" s="225"/>
      <c r="FCT186" s="225"/>
      <c r="FCU186" s="225"/>
      <c r="FCV186" s="225"/>
      <c r="FCW186" s="225"/>
      <c r="FCX186" s="225"/>
      <c r="FCY186" s="225"/>
      <c r="FCZ186" s="225"/>
      <c r="FDA186" s="225"/>
      <c r="FDB186" s="225"/>
      <c r="FDC186" s="225"/>
      <c r="FDD186" s="225"/>
      <c r="FDE186" s="225"/>
      <c r="FDF186" s="225"/>
      <c r="FDG186" s="225"/>
      <c r="FDH186" s="225"/>
      <c r="FDI186" s="225"/>
      <c r="FDJ186" s="225"/>
      <c r="FDK186" s="225"/>
      <c r="FDL186" s="225"/>
      <c r="FDM186" s="225"/>
      <c r="FDN186" s="225"/>
      <c r="FDO186" s="225"/>
      <c r="FDP186" s="225"/>
      <c r="FDQ186" s="225"/>
      <c r="FDR186" s="225"/>
      <c r="FDS186" s="225"/>
      <c r="FDT186" s="225"/>
      <c r="FDU186" s="225"/>
      <c r="FDV186" s="225"/>
      <c r="FDW186" s="225"/>
      <c r="FDX186" s="225"/>
      <c r="FDY186" s="225"/>
      <c r="FDZ186" s="225"/>
      <c r="FEA186" s="225"/>
      <c r="FEB186" s="225"/>
      <c r="FEC186" s="225"/>
      <c r="FED186" s="225"/>
      <c r="FEE186" s="225"/>
      <c r="FEF186" s="225"/>
      <c r="FEG186" s="225"/>
      <c r="FEH186" s="225"/>
      <c r="FEI186" s="225"/>
      <c r="FEJ186" s="225"/>
      <c r="FEK186" s="225"/>
      <c r="FEL186" s="225"/>
      <c r="FEM186" s="225"/>
      <c r="FEN186" s="225"/>
      <c r="FEO186" s="225"/>
      <c r="FEP186" s="225"/>
      <c r="FEQ186" s="225"/>
      <c r="FER186" s="225"/>
      <c r="FES186" s="225"/>
      <c r="FET186" s="225"/>
      <c r="FEU186" s="225"/>
      <c r="FEV186" s="225"/>
      <c r="FEW186" s="225"/>
      <c r="FEX186" s="225"/>
      <c r="FEY186" s="225"/>
      <c r="FEZ186" s="225"/>
      <c r="FFA186" s="225"/>
      <c r="FFB186" s="225"/>
      <c r="FFC186" s="225"/>
      <c r="FFD186" s="225"/>
      <c r="FFE186" s="225"/>
      <c r="FFF186" s="225"/>
      <c r="FFG186" s="225"/>
      <c r="FFH186" s="225"/>
      <c r="FFI186" s="225"/>
      <c r="FFJ186" s="225"/>
      <c r="FFK186" s="225"/>
      <c r="FFL186" s="225"/>
      <c r="FFM186" s="225"/>
      <c r="FFN186" s="225"/>
      <c r="FFO186" s="225"/>
      <c r="FFP186" s="225"/>
      <c r="FFQ186" s="225"/>
      <c r="FFR186" s="225"/>
      <c r="FFS186" s="225"/>
      <c r="FFT186" s="225"/>
      <c r="FFU186" s="225"/>
      <c r="FFV186" s="225"/>
      <c r="FFW186" s="225"/>
      <c r="FFX186" s="225"/>
      <c r="FFY186" s="225"/>
      <c r="FFZ186" s="225"/>
      <c r="FGA186" s="225"/>
      <c r="FGB186" s="225"/>
      <c r="FGC186" s="225"/>
      <c r="FGD186" s="225"/>
      <c r="FGE186" s="225"/>
      <c r="FGF186" s="225"/>
      <c r="FGG186" s="225"/>
      <c r="FGH186" s="225"/>
      <c r="FGI186" s="225"/>
      <c r="FGJ186" s="225"/>
      <c r="FGK186" s="225"/>
      <c r="FGL186" s="225"/>
      <c r="FGM186" s="225"/>
      <c r="FGN186" s="225"/>
      <c r="FGO186" s="225"/>
      <c r="FGP186" s="225"/>
      <c r="FGQ186" s="225"/>
      <c r="FGR186" s="225"/>
      <c r="FGS186" s="225"/>
      <c r="FGT186" s="225"/>
      <c r="FGU186" s="225"/>
      <c r="FGV186" s="225"/>
      <c r="FGW186" s="225"/>
      <c r="FGX186" s="225"/>
      <c r="FGY186" s="225"/>
      <c r="FGZ186" s="225"/>
      <c r="FHA186" s="225"/>
      <c r="FHB186" s="225"/>
      <c r="FHC186" s="225"/>
      <c r="FHD186" s="225"/>
      <c r="FHE186" s="225"/>
      <c r="FHF186" s="225"/>
      <c r="FHG186" s="225"/>
      <c r="FHH186" s="225"/>
      <c r="FHI186" s="225"/>
      <c r="FHJ186" s="225"/>
      <c r="FHK186" s="225"/>
      <c r="FHL186" s="225"/>
      <c r="FHM186" s="225"/>
      <c r="FHN186" s="225"/>
      <c r="FHO186" s="225"/>
      <c r="FHP186" s="225"/>
      <c r="FHQ186" s="225"/>
      <c r="FHR186" s="225"/>
      <c r="FHS186" s="225"/>
      <c r="FHT186" s="225"/>
      <c r="FHU186" s="225"/>
      <c r="FHV186" s="225"/>
      <c r="FHW186" s="225"/>
      <c r="FHX186" s="225"/>
      <c r="FHY186" s="225"/>
      <c r="FHZ186" s="225"/>
      <c r="FIA186" s="225"/>
      <c r="FIB186" s="225"/>
      <c r="FIC186" s="225"/>
      <c r="FID186" s="225"/>
      <c r="FIE186" s="225"/>
      <c r="FIF186" s="225"/>
      <c r="FIG186" s="225"/>
      <c r="FIH186" s="225"/>
      <c r="FII186" s="225"/>
      <c r="FIJ186" s="225"/>
      <c r="FIK186" s="225"/>
      <c r="FIL186" s="225"/>
      <c r="FIM186" s="225"/>
      <c r="FIN186" s="225"/>
      <c r="FIO186" s="225"/>
      <c r="FIP186" s="225"/>
      <c r="FIQ186" s="225"/>
      <c r="FIR186" s="225"/>
      <c r="FIS186" s="225"/>
      <c r="FIT186" s="225"/>
      <c r="FIU186" s="225"/>
      <c r="FIV186" s="225"/>
      <c r="FIW186" s="225"/>
      <c r="FIX186" s="225"/>
      <c r="FIY186" s="225"/>
      <c r="FIZ186" s="225"/>
      <c r="FJA186" s="225"/>
      <c r="FJB186" s="225"/>
      <c r="FJC186" s="225"/>
      <c r="FJD186" s="225"/>
      <c r="FJE186" s="225"/>
      <c r="FJF186" s="225"/>
      <c r="FJG186" s="225"/>
      <c r="FJH186" s="225"/>
      <c r="FJI186" s="225"/>
      <c r="FJJ186" s="225"/>
      <c r="FJK186" s="225"/>
      <c r="FJL186" s="225"/>
      <c r="FJM186" s="225"/>
      <c r="FJN186" s="225"/>
      <c r="FJO186" s="225"/>
      <c r="FJP186" s="225"/>
      <c r="FJQ186" s="225"/>
      <c r="FJR186" s="225"/>
      <c r="FJS186" s="225"/>
      <c r="FJT186" s="225"/>
      <c r="FJU186" s="225"/>
      <c r="FJV186" s="225"/>
      <c r="FJW186" s="225"/>
      <c r="FJX186" s="225"/>
      <c r="FJY186" s="225"/>
      <c r="FJZ186" s="225"/>
      <c r="FKA186" s="225"/>
      <c r="FKB186" s="225"/>
      <c r="FKC186" s="225"/>
      <c r="FKD186" s="225"/>
      <c r="FKE186" s="225"/>
      <c r="FKF186" s="225"/>
      <c r="FKG186" s="225"/>
      <c r="FKH186" s="225"/>
      <c r="FKI186" s="225"/>
      <c r="FKJ186" s="225"/>
      <c r="FKK186" s="225"/>
      <c r="FKL186" s="225"/>
      <c r="FKM186" s="225"/>
      <c r="FKN186" s="225"/>
      <c r="FKO186" s="225"/>
      <c r="FKP186" s="225"/>
      <c r="FKQ186" s="225"/>
      <c r="FKR186" s="225"/>
      <c r="FKS186" s="225"/>
      <c r="FKT186" s="225"/>
      <c r="FKU186" s="225"/>
      <c r="FKV186" s="225"/>
      <c r="FKW186" s="225"/>
      <c r="FKX186" s="225"/>
      <c r="FKY186" s="225"/>
      <c r="FKZ186" s="225"/>
      <c r="FLA186" s="225"/>
      <c r="FLB186" s="225"/>
      <c r="FLC186" s="225"/>
      <c r="FLD186" s="225"/>
      <c r="FLE186" s="225"/>
      <c r="FLF186" s="225"/>
      <c r="FLG186" s="225"/>
      <c r="FLH186" s="225"/>
      <c r="FLI186" s="225"/>
      <c r="FLJ186" s="225"/>
      <c r="FLK186" s="225"/>
      <c r="FLL186" s="225"/>
      <c r="FLM186" s="225"/>
      <c r="FLN186" s="225"/>
      <c r="FLO186" s="225"/>
      <c r="FLP186" s="225"/>
      <c r="FLQ186" s="225"/>
      <c r="FLR186" s="225"/>
      <c r="FLS186" s="225"/>
      <c r="FLT186" s="225"/>
      <c r="FLU186" s="225"/>
      <c r="FLV186" s="225"/>
      <c r="FLW186" s="225"/>
      <c r="FLX186" s="225"/>
      <c r="FLY186" s="225"/>
      <c r="FLZ186" s="225"/>
      <c r="FMA186" s="225"/>
      <c r="FMB186" s="225"/>
      <c r="FMC186" s="225"/>
      <c r="FMD186" s="225"/>
      <c r="FME186" s="225"/>
      <c r="FMF186" s="225"/>
      <c r="FMG186" s="225"/>
      <c r="FMH186" s="225"/>
      <c r="FMI186" s="225"/>
      <c r="FMJ186" s="225"/>
      <c r="FMK186" s="225"/>
      <c r="FML186" s="225"/>
      <c r="FMM186" s="225"/>
      <c r="FMN186" s="225"/>
      <c r="FMO186" s="225"/>
      <c r="FMP186" s="225"/>
      <c r="FMQ186" s="225"/>
      <c r="FMR186" s="225"/>
      <c r="FMS186" s="225"/>
      <c r="FMT186" s="225"/>
      <c r="FMU186" s="225"/>
      <c r="FMV186" s="225"/>
      <c r="FMW186" s="225"/>
      <c r="FMX186" s="225"/>
      <c r="FMY186" s="225"/>
      <c r="FMZ186" s="225"/>
      <c r="FNA186" s="225"/>
      <c r="FNB186" s="225"/>
      <c r="FNC186" s="225"/>
      <c r="FND186" s="225"/>
      <c r="FNE186" s="225"/>
      <c r="FNF186" s="225"/>
      <c r="FNG186" s="225"/>
      <c r="FNH186" s="225"/>
      <c r="FNI186" s="225"/>
      <c r="FNJ186" s="225"/>
      <c r="FNK186" s="225"/>
      <c r="FNL186" s="225"/>
      <c r="FNM186" s="225"/>
      <c r="FNN186" s="225"/>
      <c r="FNO186" s="225"/>
      <c r="FNP186" s="225"/>
      <c r="FNQ186" s="225"/>
      <c r="FNR186" s="225"/>
      <c r="FNS186" s="225"/>
      <c r="FNT186" s="225"/>
      <c r="FNU186" s="225"/>
      <c r="FNV186" s="225"/>
      <c r="FNW186" s="225"/>
      <c r="FNX186" s="225"/>
      <c r="FNY186" s="225"/>
      <c r="FNZ186" s="225"/>
      <c r="FOA186" s="225"/>
      <c r="FOB186" s="225"/>
      <c r="FOC186" s="225"/>
      <c r="FOD186" s="225"/>
      <c r="FOE186" s="225"/>
      <c r="FOF186" s="225"/>
      <c r="FOG186" s="225"/>
      <c r="FOH186" s="225"/>
      <c r="FOI186" s="225"/>
      <c r="FOJ186" s="225"/>
      <c r="FOK186" s="225"/>
      <c r="FOL186" s="225"/>
      <c r="FOM186" s="225"/>
      <c r="FON186" s="225"/>
      <c r="FOO186" s="225"/>
      <c r="FOP186" s="225"/>
      <c r="FOQ186" s="225"/>
      <c r="FOR186" s="225"/>
      <c r="FOS186" s="225"/>
      <c r="FOT186" s="225"/>
      <c r="FOU186" s="225"/>
      <c r="FOV186" s="225"/>
      <c r="FOW186" s="225"/>
      <c r="FOX186" s="225"/>
      <c r="FOY186" s="225"/>
      <c r="FOZ186" s="225"/>
      <c r="FPA186" s="225"/>
      <c r="FPB186" s="225"/>
      <c r="FPC186" s="225"/>
      <c r="FPD186" s="225"/>
      <c r="FPE186" s="225"/>
      <c r="FPF186" s="225"/>
      <c r="FPG186" s="225"/>
      <c r="FPH186" s="225"/>
      <c r="FPI186" s="225"/>
      <c r="FPJ186" s="225"/>
      <c r="FPK186" s="225"/>
      <c r="FPL186" s="225"/>
      <c r="FPM186" s="225"/>
      <c r="FPN186" s="225"/>
      <c r="FPO186" s="225"/>
      <c r="FPP186" s="225"/>
      <c r="FPQ186" s="225"/>
      <c r="FPR186" s="225"/>
      <c r="FPS186" s="225"/>
      <c r="FPT186" s="225"/>
      <c r="FPU186" s="225"/>
      <c r="FPV186" s="225"/>
      <c r="FPW186" s="225"/>
      <c r="FPX186" s="225"/>
      <c r="FPY186" s="225"/>
      <c r="FPZ186" s="225"/>
      <c r="FQA186" s="225"/>
      <c r="FQB186" s="225"/>
      <c r="FQC186" s="225"/>
      <c r="FQD186" s="225"/>
      <c r="FQE186" s="225"/>
      <c r="FQF186" s="225"/>
      <c r="FQG186" s="225"/>
      <c r="FQH186" s="225"/>
      <c r="FQI186" s="225"/>
      <c r="FQJ186" s="225"/>
      <c r="FQK186" s="225"/>
      <c r="FQL186" s="225"/>
      <c r="FQM186" s="225"/>
      <c r="FQN186" s="225"/>
      <c r="FQO186" s="225"/>
      <c r="FQP186" s="225"/>
      <c r="FQQ186" s="225"/>
      <c r="FQR186" s="225"/>
      <c r="FQS186" s="225"/>
      <c r="FQT186" s="225"/>
      <c r="FQU186" s="225"/>
      <c r="FQV186" s="225"/>
      <c r="FQW186" s="225"/>
      <c r="FQX186" s="225"/>
      <c r="FQY186" s="225"/>
      <c r="FQZ186" s="225"/>
      <c r="FRA186" s="225"/>
      <c r="FRB186" s="225"/>
      <c r="FRC186" s="225"/>
      <c r="FRD186" s="225"/>
      <c r="FRE186" s="225"/>
      <c r="FRF186" s="225"/>
      <c r="FRG186" s="225"/>
      <c r="FRH186" s="225"/>
      <c r="FRI186" s="225"/>
      <c r="FRJ186" s="225"/>
      <c r="FRK186" s="225"/>
      <c r="FRL186" s="225"/>
      <c r="FRM186" s="225"/>
      <c r="FRN186" s="225"/>
      <c r="FRO186" s="225"/>
      <c r="FRP186" s="225"/>
      <c r="FRQ186" s="225"/>
      <c r="FRR186" s="225"/>
      <c r="FRS186" s="225"/>
      <c r="FRT186" s="225"/>
      <c r="FRU186" s="225"/>
      <c r="FRV186" s="225"/>
      <c r="FRW186" s="225"/>
      <c r="FRX186" s="225"/>
      <c r="FRY186" s="225"/>
      <c r="FRZ186" s="225"/>
      <c r="FSA186" s="225"/>
      <c r="FSB186" s="225"/>
      <c r="FSC186" s="225"/>
      <c r="FSD186" s="225"/>
      <c r="FSE186" s="225"/>
      <c r="FSF186" s="225"/>
      <c r="FSG186" s="225"/>
      <c r="FSH186" s="225"/>
      <c r="FSI186" s="225"/>
      <c r="FSJ186" s="225"/>
      <c r="FSK186" s="225"/>
      <c r="FSL186" s="225"/>
      <c r="FSM186" s="225"/>
      <c r="FSN186" s="225"/>
      <c r="FSO186" s="225"/>
      <c r="FSP186" s="225"/>
      <c r="FSQ186" s="225"/>
      <c r="FSR186" s="225"/>
      <c r="FSS186" s="225"/>
      <c r="FST186" s="225"/>
      <c r="FSU186" s="225"/>
      <c r="FSV186" s="225"/>
      <c r="FSW186" s="225"/>
      <c r="FSX186" s="225"/>
      <c r="FSY186" s="225"/>
      <c r="FSZ186" s="225"/>
      <c r="FTA186" s="225"/>
      <c r="FTB186" s="225"/>
      <c r="FTC186" s="225"/>
      <c r="FTD186" s="225"/>
      <c r="FTE186" s="225"/>
      <c r="FTF186" s="225"/>
      <c r="FTG186" s="225"/>
      <c r="FTH186" s="225"/>
      <c r="FTI186" s="225"/>
      <c r="FTJ186" s="225"/>
      <c r="FTK186" s="225"/>
      <c r="FTL186" s="225"/>
      <c r="FTM186" s="225"/>
      <c r="FTN186" s="225"/>
      <c r="FTO186" s="225"/>
      <c r="FTP186" s="225"/>
      <c r="FTQ186" s="225"/>
      <c r="FTR186" s="225"/>
      <c r="FTS186" s="225"/>
      <c r="FTT186" s="225"/>
      <c r="FTU186" s="225"/>
      <c r="FTV186" s="225"/>
      <c r="FTW186" s="225"/>
      <c r="FTX186" s="225"/>
      <c r="FTY186" s="225"/>
      <c r="FTZ186" s="225"/>
      <c r="FUA186" s="225"/>
      <c r="FUB186" s="225"/>
      <c r="FUC186" s="225"/>
      <c r="FUD186" s="225"/>
      <c r="FUE186" s="225"/>
      <c r="FUF186" s="225"/>
      <c r="FUG186" s="225"/>
      <c r="FUH186" s="225"/>
      <c r="FUI186" s="225"/>
      <c r="FUJ186" s="225"/>
      <c r="FUK186" s="225"/>
      <c r="FUL186" s="225"/>
      <c r="FUM186" s="225"/>
      <c r="FUN186" s="225"/>
      <c r="FUO186" s="225"/>
      <c r="FUP186" s="225"/>
      <c r="FUQ186" s="225"/>
      <c r="FUR186" s="225"/>
      <c r="FUS186" s="225"/>
      <c r="FUT186" s="225"/>
      <c r="FUU186" s="225"/>
      <c r="FUV186" s="225"/>
      <c r="FUW186" s="225"/>
      <c r="FUX186" s="225"/>
      <c r="FUY186" s="225"/>
      <c r="FUZ186" s="225"/>
      <c r="FVA186" s="225"/>
      <c r="FVB186" s="225"/>
      <c r="FVC186" s="225"/>
      <c r="FVD186" s="225"/>
      <c r="FVE186" s="225"/>
      <c r="FVF186" s="225"/>
      <c r="FVG186" s="225"/>
      <c r="FVH186" s="225"/>
      <c r="FVI186" s="225"/>
      <c r="FVJ186" s="225"/>
      <c r="FVK186" s="225"/>
      <c r="FVL186" s="225"/>
      <c r="FVM186" s="225"/>
      <c r="FVN186" s="225"/>
      <c r="FVO186" s="225"/>
      <c r="FVP186" s="225"/>
      <c r="FVQ186" s="225"/>
      <c r="FVR186" s="225"/>
      <c r="FVS186" s="225"/>
      <c r="FVT186" s="225"/>
      <c r="FVU186" s="225"/>
      <c r="FVV186" s="225"/>
      <c r="FVW186" s="225"/>
      <c r="FVX186" s="225"/>
      <c r="FVY186" s="225"/>
      <c r="FVZ186" s="225"/>
      <c r="FWA186" s="225"/>
      <c r="FWB186" s="225"/>
      <c r="FWC186" s="225"/>
      <c r="FWD186" s="225"/>
      <c r="FWE186" s="225"/>
      <c r="FWF186" s="225"/>
      <c r="FWG186" s="225"/>
      <c r="FWH186" s="225"/>
      <c r="FWI186" s="225"/>
      <c r="FWJ186" s="225"/>
      <c r="FWK186" s="225"/>
      <c r="FWL186" s="225"/>
      <c r="FWM186" s="225"/>
      <c r="FWN186" s="225"/>
      <c r="FWO186" s="225"/>
      <c r="FWP186" s="225"/>
      <c r="FWQ186" s="225"/>
      <c r="FWR186" s="225"/>
      <c r="FWS186" s="225"/>
      <c r="FWT186" s="225"/>
      <c r="FWU186" s="225"/>
      <c r="FWV186" s="225"/>
      <c r="FWW186" s="225"/>
      <c r="FWX186" s="225"/>
      <c r="FWY186" s="225"/>
      <c r="FWZ186" s="225"/>
      <c r="FXA186" s="225"/>
      <c r="FXB186" s="225"/>
      <c r="FXC186" s="225"/>
      <c r="FXD186" s="225"/>
      <c r="FXE186" s="225"/>
      <c r="FXF186" s="225"/>
      <c r="FXG186" s="225"/>
      <c r="FXH186" s="225"/>
      <c r="FXI186" s="225"/>
      <c r="FXJ186" s="225"/>
      <c r="FXK186" s="225"/>
      <c r="FXL186" s="225"/>
      <c r="FXM186" s="225"/>
      <c r="FXN186" s="225"/>
      <c r="FXO186" s="225"/>
      <c r="FXP186" s="225"/>
      <c r="FXQ186" s="225"/>
      <c r="FXR186" s="225"/>
      <c r="FXS186" s="225"/>
      <c r="FXT186" s="225"/>
      <c r="FXU186" s="225"/>
      <c r="FXV186" s="225"/>
      <c r="FXW186" s="225"/>
      <c r="FXX186" s="225"/>
      <c r="FXY186" s="225"/>
      <c r="FXZ186" s="225"/>
      <c r="FYA186" s="225"/>
      <c r="FYB186" s="225"/>
      <c r="FYC186" s="225"/>
      <c r="FYD186" s="225"/>
      <c r="FYE186" s="225"/>
      <c r="FYF186" s="225"/>
      <c r="FYG186" s="225"/>
      <c r="FYH186" s="225"/>
      <c r="FYI186" s="225"/>
      <c r="FYJ186" s="225"/>
      <c r="FYK186" s="225"/>
      <c r="FYL186" s="225"/>
      <c r="FYM186" s="225"/>
      <c r="FYN186" s="225"/>
      <c r="FYO186" s="225"/>
      <c r="FYP186" s="225"/>
      <c r="FYQ186" s="225"/>
      <c r="FYR186" s="225"/>
      <c r="FYS186" s="225"/>
      <c r="FYT186" s="225"/>
      <c r="FYU186" s="225"/>
      <c r="FYV186" s="225"/>
      <c r="FYW186" s="225"/>
      <c r="FYX186" s="225"/>
      <c r="FYY186" s="225"/>
      <c r="FYZ186" s="225"/>
      <c r="FZA186" s="225"/>
      <c r="FZB186" s="225"/>
      <c r="FZC186" s="225"/>
      <c r="FZD186" s="225"/>
      <c r="FZE186" s="225"/>
      <c r="FZF186" s="225"/>
      <c r="FZG186" s="225"/>
      <c r="FZH186" s="225"/>
      <c r="FZI186" s="225"/>
      <c r="FZJ186" s="225"/>
      <c r="FZK186" s="225"/>
      <c r="FZL186" s="225"/>
      <c r="FZM186" s="225"/>
      <c r="FZN186" s="225"/>
      <c r="FZO186" s="225"/>
      <c r="FZP186" s="225"/>
      <c r="FZQ186" s="225"/>
      <c r="FZR186" s="225"/>
      <c r="FZS186" s="225"/>
      <c r="FZT186" s="225"/>
      <c r="FZU186" s="225"/>
      <c r="FZV186" s="225"/>
      <c r="FZW186" s="225"/>
      <c r="FZX186" s="225"/>
      <c r="FZY186" s="225"/>
      <c r="FZZ186" s="225"/>
      <c r="GAA186" s="225"/>
      <c r="GAB186" s="225"/>
      <c r="GAC186" s="225"/>
      <c r="GAD186" s="225"/>
      <c r="GAE186" s="225"/>
      <c r="GAF186" s="225"/>
      <c r="GAG186" s="225"/>
      <c r="GAH186" s="225"/>
      <c r="GAI186" s="225"/>
      <c r="GAJ186" s="225"/>
      <c r="GAK186" s="225"/>
      <c r="GAL186" s="225"/>
      <c r="GAM186" s="225"/>
      <c r="GAN186" s="225"/>
      <c r="GAO186" s="225"/>
      <c r="GAP186" s="225"/>
      <c r="GAQ186" s="225"/>
      <c r="GAR186" s="225"/>
      <c r="GAS186" s="225"/>
      <c r="GAT186" s="225"/>
      <c r="GAU186" s="225"/>
      <c r="GAV186" s="225"/>
      <c r="GAW186" s="225"/>
      <c r="GAX186" s="225"/>
      <c r="GAY186" s="225"/>
      <c r="GAZ186" s="225"/>
      <c r="GBA186" s="225"/>
      <c r="GBB186" s="225"/>
      <c r="GBC186" s="225"/>
      <c r="GBD186" s="225"/>
      <c r="GBE186" s="225"/>
      <c r="GBF186" s="225"/>
      <c r="GBG186" s="225"/>
      <c r="GBH186" s="225"/>
      <c r="GBI186" s="225"/>
      <c r="GBJ186" s="225"/>
      <c r="GBK186" s="225"/>
      <c r="GBL186" s="225"/>
      <c r="GBM186" s="225"/>
      <c r="GBN186" s="225"/>
      <c r="GBO186" s="225"/>
      <c r="GBP186" s="225"/>
      <c r="GBQ186" s="225"/>
      <c r="GBR186" s="225"/>
      <c r="GBS186" s="225"/>
      <c r="GBT186" s="225"/>
      <c r="GBU186" s="225"/>
      <c r="GBV186" s="225"/>
      <c r="GBW186" s="225"/>
      <c r="GBX186" s="225"/>
      <c r="GBY186" s="225"/>
      <c r="GBZ186" s="225"/>
      <c r="GCA186" s="225"/>
      <c r="GCB186" s="225"/>
      <c r="GCC186" s="225"/>
      <c r="GCD186" s="225"/>
      <c r="GCE186" s="225"/>
      <c r="GCF186" s="225"/>
      <c r="GCG186" s="225"/>
      <c r="GCH186" s="225"/>
      <c r="GCI186" s="225"/>
      <c r="GCJ186" s="225"/>
      <c r="GCK186" s="225"/>
      <c r="GCL186" s="225"/>
      <c r="GCM186" s="225"/>
      <c r="GCN186" s="225"/>
      <c r="GCO186" s="225"/>
      <c r="GCP186" s="225"/>
      <c r="GCQ186" s="225"/>
      <c r="GCR186" s="225"/>
      <c r="GCS186" s="225"/>
      <c r="GCT186" s="225"/>
      <c r="GCU186" s="225"/>
      <c r="GCV186" s="225"/>
      <c r="GCW186" s="225"/>
      <c r="GCX186" s="225"/>
      <c r="GCY186" s="225"/>
      <c r="GCZ186" s="225"/>
      <c r="GDA186" s="225"/>
      <c r="GDB186" s="225"/>
      <c r="GDC186" s="225"/>
      <c r="GDD186" s="225"/>
      <c r="GDE186" s="225"/>
      <c r="GDF186" s="225"/>
      <c r="GDG186" s="225"/>
      <c r="GDH186" s="225"/>
      <c r="GDI186" s="225"/>
      <c r="GDJ186" s="225"/>
      <c r="GDK186" s="225"/>
      <c r="GDL186" s="225"/>
      <c r="GDM186" s="225"/>
      <c r="GDN186" s="225"/>
      <c r="GDO186" s="225"/>
      <c r="GDP186" s="225"/>
      <c r="GDQ186" s="225"/>
      <c r="GDR186" s="225"/>
      <c r="GDS186" s="225"/>
      <c r="GDT186" s="225"/>
      <c r="GDU186" s="225"/>
      <c r="GDV186" s="225"/>
      <c r="GDW186" s="225"/>
      <c r="GDX186" s="225"/>
      <c r="GDY186" s="225"/>
      <c r="GDZ186" s="225"/>
      <c r="GEA186" s="225"/>
      <c r="GEB186" s="225"/>
      <c r="GEC186" s="225"/>
      <c r="GED186" s="225"/>
      <c r="GEE186" s="225"/>
      <c r="GEF186" s="225"/>
      <c r="GEG186" s="225"/>
      <c r="GEH186" s="225"/>
      <c r="GEI186" s="225"/>
      <c r="GEJ186" s="225"/>
      <c r="GEK186" s="225"/>
      <c r="GEL186" s="225"/>
      <c r="GEM186" s="225"/>
      <c r="GEN186" s="225"/>
      <c r="GEO186" s="225"/>
      <c r="GEP186" s="225"/>
      <c r="GEQ186" s="225"/>
      <c r="GER186" s="225"/>
      <c r="GES186" s="225"/>
      <c r="GET186" s="225"/>
      <c r="GEU186" s="225"/>
      <c r="GEV186" s="225"/>
      <c r="GEW186" s="225"/>
      <c r="GEX186" s="225"/>
      <c r="GEY186" s="225"/>
      <c r="GEZ186" s="225"/>
      <c r="GFA186" s="225"/>
      <c r="GFB186" s="225"/>
      <c r="GFC186" s="225"/>
      <c r="GFD186" s="225"/>
      <c r="GFE186" s="225"/>
      <c r="GFF186" s="225"/>
      <c r="GFG186" s="225"/>
      <c r="GFH186" s="225"/>
      <c r="GFI186" s="225"/>
      <c r="GFJ186" s="225"/>
      <c r="GFK186" s="225"/>
      <c r="GFL186" s="225"/>
      <c r="GFM186" s="225"/>
      <c r="GFN186" s="225"/>
      <c r="GFO186" s="225"/>
      <c r="GFP186" s="225"/>
      <c r="GFQ186" s="225"/>
      <c r="GFR186" s="225"/>
      <c r="GFS186" s="225"/>
      <c r="GFT186" s="225"/>
      <c r="GFU186" s="225"/>
      <c r="GFV186" s="225"/>
      <c r="GFW186" s="225"/>
      <c r="GFX186" s="225"/>
      <c r="GFY186" s="225"/>
      <c r="GFZ186" s="225"/>
      <c r="GGA186" s="225"/>
      <c r="GGB186" s="225"/>
      <c r="GGC186" s="225"/>
      <c r="GGD186" s="225"/>
      <c r="GGE186" s="225"/>
      <c r="GGF186" s="225"/>
      <c r="GGG186" s="225"/>
      <c r="GGH186" s="225"/>
      <c r="GGI186" s="225"/>
      <c r="GGJ186" s="225"/>
      <c r="GGK186" s="225"/>
      <c r="GGL186" s="225"/>
      <c r="GGM186" s="225"/>
      <c r="GGN186" s="225"/>
      <c r="GGO186" s="225"/>
      <c r="GGP186" s="225"/>
      <c r="GGQ186" s="225"/>
      <c r="GGR186" s="225"/>
      <c r="GGS186" s="225"/>
      <c r="GGT186" s="225"/>
      <c r="GGU186" s="225"/>
      <c r="GGV186" s="225"/>
      <c r="GGW186" s="225"/>
      <c r="GGX186" s="225"/>
      <c r="GGY186" s="225"/>
      <c r="GGZ186" s="225"/>
      <c r="GHA186" s="225"/>
      <c r="GHB186" s="225"/>
      <c r="GHC186" s="225"/>
      <c r="GHD186" s="225"/>
      <c r="GHE186" s="225"/>
      <c r="GHF186" s="225"/>
      <c r="GHG186" s="225"/>
      <c r="GHH186" s="225"/>
      <c r="GHI186" s="225"/>
      <c r="GHJ186" s="225"/>
      <c r="GHK186" s="225"/>
      <c r="GHL186" s="225"/>
      <c r="GHM186" s="225"/>
      <c r="GHN186" s="225"/>
      <c r="GHO186" s="225"/>
      <c r="GHP186" s="225"/>
      <c r="GHQ186" s="225"/>
      <c r="GHR186" s="225"/>
      <c r="GHS186" s="225"/>
      <c r="GHT186" s="225"/>
      <c r="GHU186" s="225"/>
      <c r="GHV186" s="225"/>
      <c r="GHW186" s="225"/>
      <c r="GHX186" s="225"/>
      <c r="GHY186" s="225"/>
      <c r="GHZ186" s="225"/>
      <c r="GIA186" s="225"/>
      <c r="GIB186" s="225"/>
      <c r="GIC186" s="225"/>
      <c r="GID186" s="225"/>
      <c r="GIE186" s="225"/>
      <c r="GIF186" s="225"/>
      <c r="GIG186" s="225"/>
      <c r="GIH186" s="225"/>
      <c r="GII186" s="225"/>
      <c r="GIJ186" s="225"/>
      <c r="GIK186" s="225"/>
      <c r="GIL186" s="225"/>
      <c r="GIM186" s="225"/>
      <c r="GIN186" s="225"/>
      <c r="GIO186" s="225"/>
      <c r="GIP186" s="225"/>
      <c r="GIQ186" s="225"/>
      <c r="GIR186" s="225"/>
      <c r="GIS186" s="225"/>
      <c r="GIT186" s="225"/>
      <c r="GIU186" s="225"/>
      <c r="GIV186" s="225"/>
      <c r="GIW186" s="225"/>
      <c r="GIX186" s="225"/>
      <c r="GIY186" s="225"/>
      <c r="GIZ186" s="225"/>
      <c r="GJA186" s="225"/>
      <c r="GJB186" s="225"/>
      <c r="GJC186" s="225"/>
      <c r="GJD186" s="225"/>
      <c r="GJE186" s="225"/>
      <c r="GJF186" s="225"/>
      <c r="GJG186" s="225"/>
      <c r="GJH186" s="225"/>
      <c r="GJI186" s="225"/>
      <c r="GJJ186" s="225"/>
      <c r="GJK186" s="225"/>
      <c r="GJL186" s="225"/>
      <c r="GJM186" s="225"/>
      <c r="GJN186" s="225"/>
      <c r="GJO186" s="225"/>
      <c r="GJP186" s="225"/>
      <c r="GJQ186" s="225"/>
      <c r="GJR186" s="225"/>
      <c r="GJS186" s="225"/>
      <c r="GJT186" s="225"/>
      <c r="GJU186" s="225"/>
      <c r="GJV186" s="225"/>
      <c r="GJW186" s="225"/>
      <c r="GJX186" s="225"/>
      <c r="GJY186" s="225"/>
      <c r="GJZ186" s="225"/>
      <c r="GKA186" s="225"/>
      <c r="GKB186" s="225"/>
      <c r="GKC186" s="225"/>
      <c r="GKD186" s="225"/>
      <c r="GKE186" s="225"/>
      <c r="GKF186" s="225"/>
      <c r="GKG186" s="225"/>
      <c r="GKH186" s="225"/>
      <c r="GKI186" s="225"/>
      <c r="GKJ186" s="225"/>
      <c r="GKK186" s="225"/>
      <c r="GKL186" s="225"/>
      <c r="GKM186" s="225"/>
      <c r="GKN186" s="225"/>
      <c r="GKO186" s="225"/>
      <c r="GKP186" s="225"/>
      <c r="GKQ186" s="225"/>
      <c r="GKR186" s="225"/>
      <c r="GKS186" s="225"/>
      <c r="GKT186" s="225"/>
      <c r="GKU186" s="225"/>
      <c r="GKV186" s="225"/>
      <c r="GKW186" s="225"/>
      <c r="GKX186" s="225"/>
      <c r="GKY186" s="225"/>
      <c r="GKZ186" s="225"/>
      <c r="GLA186" s="225"/>
      <c r="GLB186" s="225"/>
      <c r="GLC186" s="225"/>
      <c r="GLD186" s="225"/>
      <c r="GLE186" s="225"/>
      <c r="GLF186" s="225"/>
      <c r="GLG186" s="225"/>
      <c r="GLH186" s="225"/>
      <c r="GLI186" s="225"/>
      <c r="GLJ186" s="225"/>
      <c r="GLK186" s="225"/>
      <c r="GLL186" s="225"/>
      <c r="GLM186" s="225"/>
      <c r="GLN186" s="225"/>
      <c r="GLO186" s="225"/>
      <c r="GLP186" s="225"/>
      <c r="GLQ186" s="225"/>
      <c r="GLR186" s="225"/>
      <c r="GLS186" s="225"/>
      <c r="GLT186" s="225"/>
      <c r="GLU186" s="225"/>
      <c r="GLV186" s="225"/>
      <c r="GLW186" s="225"/>
      <c r="GLX186" s="225"/>
      <c r="GLY186" s="225"/>
      <c r="GLZ186" s="225"/>
      <c r="GMA186" s="225"/>
      <c r="GMB186" s="225"/>
      <c r="GMC186" s="225"/>
      <c r="GMD186" s="225"/>
      <c r="GME186" s="225"/>
      <c r="GMF186" s="225"/>
      <c r="GMG186" s="225"/>
      <c r="GMH186" s="225"/>
      <c r="GMI186" s="225"/>
      <c r="GMJ186" s="225"/>
      <c r="GMK186" s="225"/>
      <c r="GML186" s="225"/>
      <c r="GMM186" s="225"/>
      <c r="GMN186" s="225"/>
      <c r="GMO186" s="225"/>
      <c r="GMP186" s="225"/>
      <c r="GMQ186" s="225"/>
      <c r="GMR186" s="225"/>
      <c r="GMS186" s="225"/>
      <c r="GMT186" s="225"/>
      <c r="GMU186" s="225"/>
      <c r="GMV186" s="225"/>
      <c r="GMW186" s="225"/>
      <c r="GMX186" s="225"/>
      <c r="GMY186" s="225"/>
      <c r="GMZ186" s="225"/>
      <c r="GNA186" s="225"/>
      <c r="GNB186" s="225"/>
      <c r="GNC186" s="225"/>
      <c r="GND186" s="225"/>
      <c r="GNE186" s="225"/>
      <c r="GNF186" s="225"/>
      <c r="GNG186" s="225"/>
      <c r="GNH186" s="225"/>
      <c r="GNI186" s="225"/>
      <c r="GNJ186" s="225"/>
      <c r="GNK186" s="225"/>
      <c r="GNL186" s="225"/>
      <c r="GNM186" s="225"/>
      <c r="GNN186" s="225"/>
      <c r="GNO186" s="225"/>
      <c r="GNP186" s="225"/>
      <c r="GNQ186" s="225"/>
      <c r="GNR186" s="225"/>
      <c r="GNS186" s="225"/>
      <c r="GNT186" s="225"/>
      <c r="GNU186" s="225"/>
      <c r="GNV186" s="225"/>
      <c r="GNW186" s="225"/>
      <c r="GNX186" s="225"/>
      <c r="GNY186" s="225"/>
      <c r="GNZ186" s="225"/>
      <c r="GOA186" s="225"/>
      <c r="GOB186" s="225"/>
      <c r="GOC186" s="225"/>
      <c r="GOD186" s="225"/>
      <c r="GOE186" s="225"/>
      <c r="GOF186" s="225"/>
      <c r="GOG186" s="225"/>
      <c r="GOH186" s="225"/>
      <c r="GOI186" s="225"/>
      <c r="GOJ186" s="225"/>
      <c r="GOK186" s="225"/>
      <c r="GOL186" s="225"/>
      <c r="GOM186" s="225"/>
      <c r="GON186" s="225"/>
      <c r="GOO186" s="225"/>
      <c r="GOP186" s="225"/>
      <c r="GOQ186" s="225"/>
      <c r="GOR186" s="225"/>
      <c r="GOS186" s="225"/>
      <c r="GOT186" s="225"/>
      <c r="GOU186" s="225"/>
      <c r="GOV186" s="225"/>
      <c r="GOW186" s="225"/>
      <c r="GOX186" s="225"/>
      <c r="GOY186" s="225"/>
      <c r="GOZ186" s="225"/>
      <c r="GPA186" s="225"/>
      <c r="GPB186" s="225"/>
      <c r="GPC186" s="225"/>
      <c r="GPD186" s="225"/>
      <c r="GPE186" s="225"/>
      <c r="GPF186" s="225"/>
      <c r="GPG186" s="225"/>
      <c r="GPH186" s="225"/>
      <c r="GPI186" s="225"/>
      <c r="GPJ186" s="225"/>
      <c r="GPK186" s="225"/>
      <c r="GPL186" s="225"/>
      <c r="GPM186" s="225"/>
      <c r="GPN186" s="225"/>
      <c r="GPO186" s="225"/>
      <c r="GPP186" s="225"/>
      <c r="GPQ186" s="225"/>
      <c r="GPR186" s="225"/>
      <c r="GPS186" s="225"/>
      <c r="GPT186" s="225"/>
      <c r="GPU186" s="225"/>
      <c r="GPV186" s="225"/>
      <c r="GPW186" s="225"/>
      <c r="GPX186" s="225"/>
      <c r="GPY186" s="225"/>
      <c r="GPZ186" s="225"/>
      <c r="GQA186" s="225"/>
      <c r="GQB186" s="225"/>
      <c r="GQC186" s="225"/>
      <c r="GQD186" s="225"/>
      <c r="GQE186" s="225"/>
      <c r="GQF186" s="225"/>
      <c r="GQG186" s="225"/>
      <c r="GQH186" s="225"/>
      <c r="GQI186" s="225"/>
      <c r="GQJ186" s="225"/>
      <c r="GQK186" s="225"/>
      <c r="GQL186" s="225"/>
      <c r="GQM186" s="225"/>
      <c r="GQN186" s="225"/>
      <c r="GQO186" s="225"/>
      <c r="GQP186" s="225"/>
      <c r="GQQ186" s="225"/>
      <c r="GQR186" s="225"/>
      <c r="GQS186" s="225"/>
      <c r="GQT186" s="225"/>
      <c r="GQU186" s="225"/>
      <c r="GQV186" s="225"/>
      <c r="GQW186" s="225"/>
      <c r="GQX186" s="225"/>
      <c r="GQY186" s="225"/>
      <c r="GQZ186" s="225"/>
      <c r="GRA186" s="225"/>
      <c r="GRB186" s="225"/>
      <c r="GRC186" s="225"/>
      <c r="GRD186" s="225"/>
      <c r="GRE186" s="225"/>
      <c r="GRF186" s="225"/>
      <c r="GRG186" s="225"/>
      <c r="GRH186" s="225"/>
      <c r="GRI186" s="225"/>
      <c r="GRJ186" s="225"/>
      <c r="GRK186" s="225"/>
      <c r="GRL186" s="225"/>
      <c r="GRM186" s="225"/>
      <c r="GRN186" s="225"/>
      <c r="GRO186" s="225"/>
      <c r="GRP186" s="225"/>
      <c r="GRQ186" s="225"/>
      <c r="GRR186" s="225"/>
      <c r="GRS186" s="225"/>
      <c r="GRT186" s="225"/>
      <c r="GRU186" s="225"/>
      <c r="GRV186" s="225"/>
      <c r="GRW186" s="225"/>
      <c r="GRX186" s="225"/>
      <c r="GRY186" s="225"/>
      <c r="GRZ186" s="225"/>
      <c r="GSA186" s="225"/>
      <c r="GSB186" s="225"/>
      <c r="GSC186" s="225"/>
      <c r="GSD186" s="225"/>
      <c r="GSE186" s="225"/>
      <c r="GSF186" s="225"/>
      <c r="GSG186" s="225"/>
      <c r="GSH186" s="225"/>
      <c r="GSI186" s="225"/>
      <c r="GSJ186" s="225"/>
      <c r="GSK186" s="225"/>
      <c r="GSL186" s="225"/>
      <c r="GSM186" s="225"/>
      <c r="GSN186" s="225"/>
      <c r="GSO186" s="225"/>
      <c r="GSP186" s="225"/>
      <c r="GSQ186" s="225"/>
      <c r="GSR186" s="225"/>
      <c r="GSS186" s="225"/>
      <c r="GST186" s="225"/>
      <c r="GSU186" s="225"/>
      <c r="GSV186" s="225"/>
      <c r="GSW186" s="225"/>
      <c r="GSX186" s="225"/>
      <c r="GSY186" s="225"/>
      <c r="GSZ186" s="225"/>
      <c r="GTA186" s="225"/>
      <c r="GTB186" s="225"/>
      <c r="GTC186" s="225"/>
      <c r="GTD186" s="225"/>
      <c r="GTE186" s="225"/>
      <c r="GTF186" s="225"/>
      <c r="GTG186" s="225"/>
      <c r="GTH186" s="225"/>
      <c r="GTI186" s="225"/>
      <c r="GTJ186" s="225"/>
      <c r="GTK186" s="225"/>
      <c r="GTL186" s="225"/>
      <c r="GTM186" s="225"/>
      <c r="GTN186" s="225"/>
      <c r="GTO186" s="225"/>
      <c r="GTP186" s="225"/>
      <c r="GTQ186" s="225"/>
      <c r="GTR186" s="225"/>
      <c r="GTS186" s="225"/>
      <c r="GTT186" s="225"/>
      <c r="GTU186" s="225"/>
      <c r="GTV186" s="225"/>
      <c r="GTW186" s="225"/>
      <c r="GTX186" s="225"/>
      <c r="GTY186" s="225"/>
      <c r="GTZ186" s="225"/>
      <c r="GUA186" s="225"/>
      <c r="GUB186" s="225"/>
      <c r="GUC186" s="225"/>
      <c r="GUD186" s="225"/>
      <c r="GUE186" s="225"/>
      <c r="GUF186" s="225"/>
      <c r="GUG186" s="225"/>
      <c r="GUH186" s="225"/>
      <c r="GUI186" s="225"/>
      <c r="GUJ186" s="225"/>
      <c r="GUK186" s="225"/>
      <c r="GUL186" s="225"/>
      <c r="GUM186" s="225"/>
      <c r="GUN186" s="225"/>
      <c r="GUO186" s="225"/>
      <c r="GUP186" s="225"/>
      <c r="GUQ186" s="225"/>
      <c r="GUR186" s="225"/>
      <c r="GUS186" s="225"/>
      <c r="GUT186" s="225"/>
      <c r="GUU186" s="225"/>
      <c r="GUV186" s="225"/>
      <c r="GUW186" s="225"/>
      <c r="GUX186" s="225"/>
      <c r="GUY186" s="225"/>
      <c r="GUZ186" s="225"/>
      <c r="GVA186" s="225"/>
      <c r="GVB186" s="225"/>
      <c r="GVC186" s="225"/>
      <c r="GVD186" s="225"/>
      <c r="GVE186" s="225"/>
      <c r="GVF186" s="225"/>
      <c r="GVG186" s="225"/>
      <c r="GVH186" s="225"/>
      <c r="GVI186" s="225"/>
      <c r="GVJ186" s="225"/>
      <c r="GVK186" s="225"/>
      <c r="GVL186" s="225"/>
      <c r="GVM186" s="225"/>
      <c r="GVN186" s="225"/>
      <c r="GVO186" s="225"/>
      <c r="GVP186" s="225"/>
      <c r="GVQ186" s="225"/>
      <c r="GVR186" s="225"/>
      <c r="GVS186" s="225"/>
      <c r="GVT186" s="225"/>
      <c r="GVU186" s="225"/>
      <c r="GVV186" s="225"/>
      <c r="GVW186" s="225"/>
      <c r="GVX186" s="225"/>
      <c r="GVY186" s="225"/>
      <c r="GVZ186" s="225"/>
      <c r="GWA186" s="225"/>
      <c r="GWB186" s="225"/>
      <c r="GWC186" s="225"/>
      <c r="GWD186" s="225"/>
      <c r="GWE186" s="225"/>
      <c r="GWF186" s="225"/>
      <c r="GWG186" s="225"/>
      <c r="GWH186" s="225"/>
      <c r="GWI186" s="225"/>
      <c r="GWJ186" s="225"/>
      <c r="GWK186" s="225"/>
      <c r="GWL186" s="225"/>
      <c r="GWM186" s="225"/>
      <c r="GWN186" s="225"/>
      <c r="GWO186" s="225"/>
      <c r="GWP186" s="225"/>
      <c r="GWQ186" s="225"/>
      <c r="GWR186" s="225"/>
      <c r="GWS186" s="225"/>
      <c r="GWT186" s="225"/>
      <c r="GWU186" s="225"/>
      <c r="GWV186" s="225"/>
      <c r="GWW186" s="225"/>
      <c r="GWX186" s="225"/>
      <c r="GWY186" s="225"/>
      <c r="GWZ186" s="225"/>
      <c r="GXA186" s="225"/>
      <c r="GXB186" s="225"/>
      <c r="GXC186" s="225"/>
      <c r="GXD186" s="225"/>
      <c r="GXE186" s="225"/>
      <c r="GXF186" s="225"/>
      <c r="GXG186" s="225"/>
      <c r="GXH186" s="225"/>
      <c r="GXI186" s="225"/>
      <c r="GXJ186" s="225"/>
      <c r="GXK186" s="225"/>
      <c r="GXL186" s="225"/>
      <c r="GXM186" s="225"/>
      <c r="GXN186" s="225"/>
      <c r="GXO186" s="225"/>
      <c r="GXP186" s="225"/>
      <c r="GXQ186" s="225"/>
      <c r="GXR186" s="225"/>
      <c r="GXS186" s="225"/>
      <c r="GXT186" s="225"/>
      <c r="GXU186" s="225"/>
      <c r="GXV186" s="225"/>
      <c r="GXW186" s="225"/>
      <c r="GXX186" s="225"/>
      <c r="GXY186" s="225"/>
      <c r="GXZ186" s="225"/>
      <c r="GYA186" s="225"/>
      <c r="GYB186" s="225"/>
      <c r="GYC186" s="225"/>
      <c r="GYD186" s="225"/>
      <c r="GYE186" s="225"/>
      <c r="GYF186" s="225"/>
      <c r="GYG186" s="225"/>
      <c r="GYH186" s="225"/>
      <c r="GYI186" s="225"/>
      <c r="GYJ186" s="225"/>
      <c r="GYK186" s="225"/>
      <c r="GYL186" s="225"/>
      <c r="GYM186" s="225"/>
      <c r="GYN186" s="225"/>
      <c r="GYO186" s="225"/>
      <c r="GYP186" s="225"/>
      <c r="GYQ186" s="225"/>
      <c r="GYR186" s="225"/>
      <c r="GYS186" s="225"/>
      <c r="GYT186" s="225"/>
      <c r="GYU186" s="225"/>
      <c r="GYV186" s="225"/>
      <c r="GYW186" s="225"/>
      <c r="GYX186" s="225"/>
      <c r="GYY186" s="225"/>
      <c r="GYZ186" s="225"/>
      <c r="GZA186" s="225"/>
      <c r="GZB186" s="225"/>
      <c r="GZC186" s="225"/>
      <c r="GZD186" s="225"/>
      <c r="GZE186" s="225"/>
      <c r="GZF186" s="225"/>
      <c r="GZG186" s="225"/>
      <c r="GZH186" s="225"/>
      <c r="GZI186" s="225"/>
      <c r="GZJ186" s="225"/>
      <c r="GZK186" s="225"/>
      <c r="GZL186" s="225"/>
      <c r="GZM186" s="225"/>
      <c r="GZN186" s="225"/>
      <c r="GZO186" s="225"/>
      <c r="GZP186" s="225"/>
      <c r="GZQ186" s="225"/>
      <c r="GZR186" s="225"/>
      <c r="GZS186" s="225"/>
      <c r="GZT186" s="225"/>
      <c r="GZU186" s="225"/>
      <c r="GZV186" s="225"/>
      <c r="GZW186" s="225"/>
      <c r="GZX186" s="225"/>
      <c r="GZY186" s="225"/>
      <c r="GZZ186" s="225"/>
      <c r="HAA186" s="225"/>
      <c r="HAB186" s="225"/>
      <c r="HAC186" s="225"/>
      <c r="HAD186" s="225"/>
      <c r="HAE186" s="225"/>
      <c r="HAF186" s="225"/>
      <c r="HAG186" s="225"/>
      <c r="HAH186" s="225"/>
      <c r="HAI186" s="225"/>
      <c r="HAJ186" s="225"/>
      <c r="HAK186" s="225"/>
      <c r="HAL186" s="225"/>
      <c r="HAM186" s="225"/>
      <c r="HAN186" s="225"/>
      <c r="HAO186" s="225"/>
      <c r="HAP186" s="225"/>
      <c r="HAQ186" s="225"/>
      <c r="HAR186" s="225"/>
      <c r="HAS186" s="225"/>
      <c r="HAT186" s="225"/>
      <c r="HAU186" s="225"/>
      <c r="HAV186" s="225"/>
      <c r="HAW186" s="225"/>
      <c r="HAX186" s="225"/>
      <c r="HAY186" s="225"/>
      <c r="HAZ186" s="225"/>
      <c r="HBA186" s="225"/>
      <c r="HBB186" s="225"/>
      <c r="HBC186" s="225"/>
      <c r="HBD186" s="225"/>
      <c r="HBE186" s="225"/>
      <c r="HBF186" s="225"/>
      <c r="HBG186" s="225"/>
      <c r="HBH186" s="225"/>
      <c r="HBI186" s="225"/>
      <c r="HBJ186" s="225"/>
      <c r="HBK186" s="225"/>
      <c r="HBL186" s="225"/>
      <c r="HBM186" s="225"/>
      <c r="HBN186" s="225"/>
      <c r="HBO186" s="225"/>
      <c r="HBP186" s="225"/>
      <c r="HBQ186" s="225"/>
      <c r="HBR186" s="225"/>
      <c r="HBS186" s="225"/>
      <c r="HBT186" s="225"/>
      <c r="HBU186" s="225"/>
      <c r="HBV186" s="225"/>
      <c r="HBW186" s="225"/>
      <c r="HBX186" s="225"/>
      <c r="HBY186" s="225"/>
      <c r="HBZ186" s="225"/>
      <c r="HCA186" s="225"/>
      <c r="HCB186" s="225"/>
      <c r="HCC186" s="225"/>
      <c r="HCD186" s="225"/>
      <c r="HCE186" s="225"/>
      <c r="HCF186" s="225"/>
      <c r="HCG186" s="225"/>
      <c r="HCH186" s="225"/>
      <c r="HCI186" s="225"/>
      <c r="HCJ186" s="225"/>
      <c r="HCK186" s="225"/>
      <c r="HCL186" s="225"/>
      <c r="HCM186" s="225"/>
      <c r="HCN186" s="225"/>
      <c r="HCO186" s="225"/>
      <c r="HCP186" s="225"/>
      <c r="HCQ186" s="225"/>
      <c r="HCR186" s="225"/>
      <c r="HCS186" s="225"/>
      <c r="HCT186" s="225"/>
      <c r="HCU186" s="225"/>
      <c r="HCV186" s="225"/>
      <c r="HCW186" s="225"/>
      <c r="HCX186" s="225"/>
      <c r="HCY186" s="225"/>
      <c r="HCZ186" s="225"/>
      <c r="HDA186" s="225"/>
      <c r="HDB186" s="225"/>
      <c r="HDC186" s="225"/>
      <c r="HDD186" s="225"/>
      <c r="HDE186" s="225"/>
      <c r="HDF186" s="225"/>
      <c r="HDG186" s="225"/>
      <c r="HDH186" s="225"/>
      <c r="HDI186" s="225"/>
      <c r="HDJ186" s="225"/>
      <c r="HDK186" s="225"/>
      <c r="HDL186" s="225"/>
      <c r="HDM186" s="225"/>
      <c r="HDN186" s="225"/>
      <c r="HDO186" s="225"/>
      <c r="HDP186" s="225"/>
      <c r="HDQ186" s="225"/>
      <c r="HDR186" s="225"/>
      <c r="HDS186" s="225"/>
      <c r="HDT186" s="225"/>
      <c r="HDU186" s="225"/>
      <c r="HDV186" s="225"/>
      <c r="HDW186" s="225"/>
      <c r="HDX186" s="225"/>
      <c r="HDY186" s="225"/>
      <c r="HDZ186" s="225"/>
      <c r="HEA186" s="225"/>
      <c r="HEB186" s="225"/>
      <c r="HEC186" s="225"/>
      <c r="HED186" s="225"/>
      <c r="HEE186" s="225"/>
      <c r="HEF186" s="225"/>
      <c r="HEG186" s="225"/>
      <c r="HEH186" s="225"/>
      <c r="HEI186" s="225"/>
      <c r="HEJ186" s="225"/>
      <c r="HEK186" s="225"/>
      <c r="HEL186" s="225"/>
      <c r="HEM186" s="225"/>
      <c r="HEN186" s="225"/>
      <c r="HEO186" s="225"/>
      <c r="HEP186" s="225"/>
      <c r="HEQ186" s="225"/>
      <c r="HER186" s="225"/>
      <c r="HES186" s="225"/>
      <c r="HET186" s="225"/>
      <c r="HEU186" s="225"/>
      <c r="HEV186" s="225"/>
      <c r="HEW186" s="225"/>
      <c r="HEX186" s="225"/>
      <c r="HEY186" s="225"/>
      <c r="HEZ186" s="225"/>
      <c r="HFA186" s="225"/>
      <c r="HFB186" s="225"/>
      <c r="HFC186" s="225"/>
      <c r="HFD186" s="225"/>
      <c r="HFE186" s="225"/>
      <c r="HFF186" s="225"/>
      <c r="HFG186" s="225"/>
      <c r="HFH186" s="225"/>
      <c r="HFI186" s="225"/>
      <c r="HFJ186" s="225"/>
      <c r="HFK186" s="225"/>
      <c r="HFL186" s="225"/>
      <c r="HFM186" s="225"/>
      <c r="HFN186" s="225"/>
      <c r="HFO186" s="225"/>
      <c r="HFP186" s="225"/>
      <c r="HFQ186" s="225"/>
      <c r="HFR186" s="225"/>
      <c r="HFS186" s="225"/>
      <c r="HFT186" s="225"/>
      <c r="HFU186" s="225"/>
      <c r="HFV186" s="225"/>
      <c r="HFW186" s="225"/>
      <c r="HFX186" s="225"/>
      <c r="HFY186" s="225"/>
      <c r="HFZ186" s="225"/>
      <c r="HGA186" s="225"/>
      <c r="HGB186" s="225"/>
      <c r="HGC186" s="225"/>
      <c r="HGD186" s="225"/>
      <c r="HGE186" s="225"/>
      <c r="HGF186" s="225"/>
      <c r="HGG186" s="225"/>
      <c r="HGH186" s="225"/>
      <c r="HGI186" s="225"/>
      <c r="HGJ186" s="225"/>
      <c r="HGK186" s="225"/>
      <c r="HGL186" s="225"/>
      <c r="HGM186" s="225"/>
      <c r="HGN186" s="225"/>
      <c r="HGO186" s="225"/>
      <c r="HGP186" s="225"/>
      <c r="HGQ186" s="225"/>
      <c r="HGR186" s="225"/>
      <c r="HGS186" s="225"/>
      <c r="HGT186" s="225"/>
      <c r="HGU186" s="225"/>
      <c r="HGV186" s="225"/>
      <c r="HGW186" s="225"/>
      <c r="HGX186" s="225"/>
      <c r="HGY186" s="225"/>
      <c r="HGZ186" s="225"/>
      <c r="HHA186" s="225"/>
      <c r="HHB186" s="225"/>
      <c r="HHC186" s="225"/>
      <c r="HHD186" s="225"/>
      <c r="HHE186" s="225"/>
      <c r="HHF186" s="225"/>
      <c r="HHG186" s="225"/>
      <c r="HHH186" s="225"/>
      <c r="HHI186" s="225"/>
      <c r="HHJ186" s="225"/>
      <c r="HHK186" s="225"/>
      <c r="HHL186" s="225"/>
      <c r="HHM186" s="225"/>
      <c r="HHN186" s="225"/>
      <c r="HHO186" s="225"/>
      <c r="HHP186" s="225"/>
      <c r="HHQ186" s="225"/>
      <c r="HHR186" s="225"/>
      <c r="HHS186" s="225"/>
      <c r="HHT186" s="225"/>
      <c r="HHU186" s="225"/>
      <c r="HHV186" s="225"/>
      <c r="HHW186" s="225"/>
      <c r="HHX186" s="225"/>
      <c r="HHY186" s="225"/>
      <c r="HHZ186" s="225"/>
      <c r="HIA186" s="225"/>
      <c r="HIB186" s="225"/>
      <c r="HIC186" s="225"/>
      <c r="HID186" s="225"/>
      <c r="HIE186" s="225"/>
      <c r="HIF186" s="225"/>
      <c r="HIG186" s="225"/>
      <c r="HIH186" s="225"/>
      <c r="HII186" s="225"/>
      <c r="HIJ186" s="225"/>
      <c r="HIK186" s="225"/>
      <c r="HIL186" s="225"/>
      <c r="HIM186" s="225"/>
      <c r="HIN186" s="225"/>
      <c r="HIO186" s="225"/>
      <c r="HIP186" s="225"/>
      <c r="HIQ186" s="225"/>
      <c r="HIR186" s="225"/>
      <c r="HIS186" s="225"/>
      <c r="HIT186" s="225"/>
      <c r="HIU186" s="225"/>
      <c r="HIV186" s="225"/>
      <c r="HIW186" s="225"/>
      <c r="HIX186" s="225"/>
      <c r="HIY186" s="225"/>
      <c r="HIZ186" s="225"/>
      <c r="HJA186" s="225"/>
      <c r="HJB186" s="225"/>
      <c r="HJC186" s="225"/>
      <c r="HJD186" s="225"/>
      <c r="HJE186" s="225"/>
      <c r="HJF186" s="225"/>
      <c r="HJG186" s="225"/>
      <c r="HJH186" s="225"/>
      <c r="HJI186" s="225"/>
      <c r="HJJ186" s="225"/>
      <c r="HJK186" s="225"/>
      <c r="HJL186" s="225"/>
      <c r="HJM186" s="225"/>
      <c r="HJN186" s="225"/>
      <c r="HJO186" s="225"/>
      <c r="HJP186" s="225"/>
      <c r="HJQ186" s="225"/>
      <c r="HJR186" s="225"/>
      <c r="HJS186" s="225"/>
      <c r="HJT186" s="225"/>
      <c r="HJU186" s="225"/>
      <c r="HJV186" s="225"/>
      <c r="HJW186" s="225"/>
      <c r="HJX186" s="225"/>
      <c r="HJY186" s="225"/>
      <c r="HJZ186" s="225"/>
      <c r="HKA186" s="225"/>
      <c r="HKB186" s="225"/>
      <c r="HKC186" s="225"/>
      <c r="HKD186" s="225"/>
      <c r="HKE186" s="225"/>
      <c r="HKF186" s="225"/>
      <c r="HKG186" s="225"/>
      <c r="HKH186" s="225"/>
      <c r="HKI186" s="225"/>
      <c r="HKJ186" s="225"/>
      <c r="HKK186" s="225"/>
      <c r="HKL186" s="225"/>
      <c r="HKM186" s="225"/>
      <c r="HKN186" s="225"/>
      <c r="HKO186" s="225"/>
      <c r="HKP186" s="225"/>
      <c r="HKQ186" s="225"/>
      <c r="HKR186" s="225"/>
      <c r="HKS186" s="225"/>
      <c r="HKT186" s="225"/>
      <c r="HKU186" s="225"/>
      <c r="HKV186" s="225"/>
      <c r="HKW186" s="225"/>
      <c r="HKX186" s="225"/>
      <c r="HKY186" s="225"/>
      <c r="HKZ186" s="225"/>
      <c r="HLA186" s="225"/>
      <c r="HLB186" s="225"/>
      <c r="HLC186" s="225"/>
      <c r="HLD186" s="225"/>
      <c r="HLE186" s="225"/>
      <c r="HLF186" s="225"/>
      <c r="HLG186" s="225"/>
      <c r="HLH186" s="225"/>
      <c r="HLI186" s="225"/>
      <c r="HLJ186" s="225"/>
      <c r="HLK186" s="225"/>
      <c r="HLL186" s="225"/>
      <c r="HLM186" s="225"/>
      <c r="HLN186" s="225"/>
      <c r="HLO186" s="225"/>
      <c r="HLP186" s="225"/>
      <c r="HLQ186" s="225"/>
      <c r="HLR186" s="225"/>
      <c r="HLS186" s="225"/>
      <c r="HLT186" s="225"/>
      <c r="HLU186" s="225"/>
      <c r="HLV186" s="225"/>
      <c r="HLW186" s="225"/>
      <c r="HLX186" s="225"/>
      <c r="HLY186" s="225"/>
      <c r="HLZ186" s="225"/>
      <c r="HMA186" s="225"/>
      <c r="HMB186" s="225"/>
      <c r="HMC186" s="225"/>
      <c r="HMD186" s="225"/>
      <c r="HME186" s="225"/>
      <c r="HMF186" s="225"/>
      <c r="HMG186" s="225"/>
      <c r="HMH186" s="225"/>
      <c r="HMI186" s="225"/>
      <c r="HMJ186" s="225"/>
      <c r="HMK186" s="225"/>
      <c r="HML186" s="225"/>
      <c r="HMM186" s="225"/>
      <c r="HMN186" s="225"/>
      <c r="HMO186" s="225"/>
      <c r="HMP186" s="225"/>
      <c r="HMQ186" s="225"/>
      <c r="HMR186" s="225"/>
      <c r="HMS186" s="225"/>
      <c r="HMT186" s="225"/>
      <c r="HMU186" s="225"/>
      <c r="HMV186" s="225"/>
      <c r="HMW186" s="225"/>
      <c r="HMX186" s="225"/>
      <c r="HMY186" s="225"/>
      <c r="HMZ186" s="225"/>
      <c r="HNA186" s="225"/>
      <c r="HNB186" s="225"/>
      <c r="HNC186" s="225"/>
      <c r="HND186" s="225"/>
      <c r="HNE186" s="225"/>
      <c r="HNF186" s="225"/>
      <c r="HNG186" s="225"/>
      <c r="HNH186" s="225"/>
      <c r="HNI186" s="225"/>
      <c r="HNJ186" s="225"/>
      <c r="HNK186" s="225"/>
      <c r="HNL186" s="225"/>
      <c r="HNM186" s="225"/>
      <c r="HNN186" s="225"/>
      <c r="HNO186" s="225"/>
      <c r="HNP186" s="225"/>
      <c r="HNQ186" s="225"/>
      <c r="HNR186" s="225"/>
      <c r="HNS186" s="225"/>
      <c r="HNT186" s="225"/>
      <c r="HNU186" s="225"/>
      <c r="HNV186" s="225"/>
      <c r="HNW186" s="225"/>
      <c r="HNX186" s="225"/>
      <c r="HNY186" s="225"/>
      <c r="HNZ186" s="225"/>
      <c r="HOA186" s="225"/>
      <c r="HOB186" s="225"/>
      <c r="HOC186" s="225"/>
      <c r="HOD186" s="225"/>
      <c r="HOE186" s="225"/>
      <c r="HOF186" s="225"/>
      <c r="HOG186" s="225"/>
      <c r="HOH186" s="225"/>
      <c r="HOI186" s="225"/>
      <c r="HOJ186" s="225"/>
      <c r="HOK186" s="225"/>
      <c r="HOL186" s="225"/>
      <c r="HOM186" s="225"/>
      <c r="HON186" s="225"/>
      <c r="HOO186" s="225"/>
      <c r="HOP186" s="225"/>
      <c r="HOQ186" s="225"/>
      <c r="HOR186" s="225"/>
      <c r="HOS186" s="225"/>
      <c r="HOT186" s="225"/>
      <c r="HOU186" s="225"/>
      <c r="HOV186" s="225"/>
      <c r="HOW186" s="225"/>
      <c r="HOX186" s="225"/>
      <c r="HOY186" s="225"/>
      <c r="HOZ186" s="225"/>
      <c r="HPA186" s="225"/>
      <c r="HPB186" s="225"/>
      <c r="HPC186" s="225"/>
      <c r="HPD186" s="225"/>
      <c r="HPE186" s="225"/>
      <c r="HPF186" s="225"/>
      <c r="HPG186" s="225"/>
      <c r="HPH186" s="225"/>
      <c r="HPI186" s="225"/>
      <c r="HPJ186" s="225"/>
      <c r="HPK186" s="225"/>
      <c r="HPL186" s="225"/>
      <c r="HPM186" s="225"/>
      <c r="HPN186" s="225"/>
      <c r="HPO186" s="225"/>
      <c r="HPP186" s="225"/>
      <c r="HPQ186" s="225"/>
      <c r="HPR186" s="225"/>
      <c r="HPS186" s="225"/>
      <c r="HPT186" s="225"/>
      <c r="HPU186" s="225"/>
      <c r="HPV186" s="225"/>
      <c r="HPW186" s="225"/>
      <c r="HPX186" s="225"/>
      <c r="HPY186" s="225"/>
      <c r="HPZ186" s="225"/>
      <c r="HQA186" s="225"/>
      <c r="HQB186" s="225"/>
      <c r="HQC186" s="225"/>
      <c r="HQD186" s="225"/>
      <c r="HQE186" s="225"/>
      <c r="HQF186" s="225"/>
      <c r="HQG186" s="225"/>
      <c r="HQH186" s="225"/>
      <c r="HQI186" s="225"/>
      <c r="HQJ186" s="225"/>
      <c r="HQK186" s="225"/>
      <c r="HQL186" s="225"/>
      <c r="HQM186" s="225"/>
      <c r="HQN186" s="225"/>
      <c r="HQO186" s="225"/>
      <c r="HQP186" s="225"/>
      <c r="HQQ186" s="225"/>
      <c r="HQR186" s="225"/>
      <c r="HQS186" s="225"/>
      <c r="HQT186" s="225"/>
      <c r="HQU186" s="225"/>
      <c r="HQV186" s="225"/>
      <c r="HQW186" s="225"/>
      <c r="HQX186" s="225"/>
      <c r="HQY186" s="225"/>
      <c r="HQZ186" s="225"/>
      <c r="HRA186" s="225"/>
      <c r="HRB186" s="225"/>
      <c r="HRC186" s="225"/>
      <c r="HRD186" s="225"/>
      <c r="HRE186" s="225"/>
      <c r="HRF186" s="225"/>
      <c r="HRG186" s="225"/>
      <c r="HRH186" s="225"/>
      <c r="HRI186" s="225"/>
      <c r="HRJ186" s="225"/>
      <c r="HRK186" s="225"/>
      <c r="HRL186" s="225"/>
      <c r="HRM186" s="225"/>
      <c r="HRN186" s="225"/>
      <c r="HRO186" s="225"/>
      <c r="HRP186" s="225"/>
      <c r="HRQ186" s="225"/>
      <c r="HRR186" s="225"/>
      <c r="HRS186" s="225"/>
      <c r="HRT186" s="225"/>
      <c r="HRU186" s="225"/>
      <c r="HRV186" s="225"/>
      <c r="HRW186" s="225"/>
      <c r="HRX186" s="225"/>
      <c r="HRY186" s="225"/>
      <c r="HRZ186" s="225"/>
      <c r="HSA186" s="225"/>
      <c r="HSB186" s="225"/>
      <c r="HSC186" s="225"/>
      <c r="HSD186" s="225"/>
      <c r="HSE186" s="225"/>
      <c r="HSF186" s="225"/>
      <c r="HSG186" s="225"/>
      <c r="HSH186" s="225"/>
      <c r="HSI186" s="225"/>
      <c r="HSJ186" s="225"/>
      <c r="HSK186" s="225"/>
      <c r="HSL186" s="225"/>
      <c r="HSM186" s="225"/>
      <c r="HSN186" s="225"/>
      <c r="HSO186" s="225"/>
      <c r="HSP186" s="225"/>
      <c r="HSQ186" s="225"/>
      <c r="HSR186" s="225"/>
      <c r="HSS186" s="225"/>
      <c r="HST186" s="225"/>
      <c r="HSU186" s="225"/>
      <c r="HSV186" s="225"/>
      <c r="HSW186" s="225"/>
      <c r="HSX186" s="225"/>
      <c r="HSY186" s="225"/>
      <c r="HSZ186" s="225"/>
      <c r="HTA186" s="225"/>
      <c r="HTB186" s="225"/>
      <c r="HTC186" s="225"/>
      <c r="HTD186" s="225"/>
      <c r="HTE186" s="225"/>
      <c r="HTF186" s="225"/>
      <c r="HTG186" s="225"/>
      <c r="HTH186" s="225"/>
      <c r="HTI186" s="225"/>
      <c r="HTJ186" s="225"/>
      <c r="HTK186" s="225"/>
      <c r="HTL186" s="225"/>
      <c r="HTM186" s="225"/>
      <c r="HTN186" s="225"/>
      <c r="HTO186" s="225"/>
      <c r="HTP186" s="225"/>
      <c r="HTQ186" s="225"/>
      <c r="HTR186" s="225"/>
      <c r="HTS186" s="225"/>
      <c r="HTT186" s="225"/>
      <c r="HTU186" s="225"/>
      <c r="HTV186" s="225"/>
      <c r="HTW186" s="225"/>
      <c r="HTX186" s="225"/>
      <c r="HTY186" s="225"/>
      <c r="HTZ186" s="225"/>
      <c r="HUA186" s="225"/>
      <c r="HUB186" s="225"/>
      <c r="HUC186" s="225"/>
      <c r="HUD186" s="225"/>
      <c r="HUE186" s="225"/>
      <c r="HUF186" s="225"/>
      <c r="HUG186" s="225"/>
      <c r="HUH186" s="225"/>
      <c r="HUI186" s="225"/>
      <c r="HUJ186" s="225"/>
      <c r="HUK186" s="225"/>
      <c r="HUL186" s="225"/>
      <c r="HUM186" s="225"/>
      <c r="HUN186" s="225"/>
      <c r="HUO186" s="225"/>
      <c r="HUP186" s="225"/>
      <c r="HUQ186" s="225"/>
      <c r="HUR186" s="225"/>
      <c r="HUS186" s="225"/>
      <c r="HUT186" s="225"/>
      <c r="HUU186" s="225"/>
      <c r="HUV186" s="225"/>
      <c r="HUW186" s="225"/>
      <c r="HUX186" s="225"/>
      <c r="HUY186" s="225"/>
      <c r="HUZ186" s="225"/>
      <c r="HVA186" s="225"/>
      <c r="HVB186" s="225"/>
      <c r="HVC186" s="225"/>
      <c r="HVD186" s="225"/>
      <c r="HVE186" s="225"/>
      <c r="HVF186" s="225"/>
      <c r="HVG186" s="225"/>
      <c r="HVH186" s="225"/>
      <c r="HVI186" s="225"/>
      <c r="HVJ186" s="225"/>
      <c r="HVK186" s="225"/>
      <c r="HVL186" s="225"/>
      <c r="HVM186" s="225"/>
      <c r="HVN186" s="225"/>
      <c r="HVO186" s="225"/>
      <c r="HVP186" s="225"/>
      <c r="HVQ186" s="225"/>
      <c r="HVR186" s="225"/>
      <c r="HVS186" s="225"/>
      <c r="HVT186" s="225"/>
      <c r="HVU186" s="225"/>
      <c r="HVV186" s="225"/>
      <c r="HVW186" s="225"/>
      <c r="HVX186" s="225"/>
      <c r="HVY186" s="225"/>
      <c r="HVZ186" s="225"/>
      <c r="HWA186" s="225"/>
      <c r="HWB186" s="225"/>
      <c r="HWC186" s="225"/>
      <c r="HWD186" s="225"/>
      <c r="HWE186" s="225"/>
      <c r="HWF186" s="225"/>
      <c r="HWG186" s="225"/>
      <c r="HWH186" s="225"/>
      <c r="HWI186" s="225"/>
      <c r="HWJ186" s="225"/>
      <c r="HWK186" s="225"/>
      <c r="HWL186" s="225"/>
      <c r="HWM186" s="225"/>
      <c r="HWN186" s="225"/>
      <c r="HWO186" s="225"/>
      <c r="HWP186" s="225"/>
      <c r="HWQ186" s="225"/>
      <c r="HWR186" s="225"/>
      <c r="HWS186" s="225"/>
      <c r="HWT186" s="225"/>
      <c r="HWU186" s="225"/>
      <c r="HWV186" s="225"/>
      <c r="HWW186" s="225"/>
      <c r="HWX186" s="225"/>
      <c r="HWY186" s="225"/>
      <c r="HWZ186" s="225"/>
      <c r="HXA186" s="225"/>
      <c r="HXB186" s="225"/>
      <c r="HXC186" s="225"/>
      <c r="HXD186" s="225"/>
      <c r="HXE186" s="225"/>
      <c r="HXF186" s="225"/>
      <c r="HXG186" s="225"/>
      <c r="HXH186" s="225"/>
      <c r="HXI186" s="225"/>
      <c r="HXJ186" s="225"/>
      <c r="HXK186" s="225"/>
      <c r="HXL186" s="225"/>
      <c r="HXM186" s="225"/>
      <c r="HXN186" s="225"/>
      <c r="HXO186" s="225"/>
      <c r="HXP186" s="225"/>
      <c r="HXQ186" s="225"/>
      <c r="HXR186" s="225"/>
      <c r="HXS186" s="225"/>
      <c r="HXT186" s="225"/>
      <c r="HXU186" s="225"/>
      <c r="HXV186" s="225"/>
      <c r="HXW186" s="225"/>
      <c r="HXX186" s="225"/>
      <c r="HXY186" s="225"/>
      <c r="HXZ186" s="225"/>
      <c r="HYA186" s="225"/>
      <c r="HYB186" s="225"/>
      <c r="HYC186" s="225"/>
      <c r="HYD186" s="225"/>
      <c r="HYE186" s="225"/>
      <c r="HYF186" s="225"/>
      <c r="HYG186" s="225"/>
      <c r="HYH186" s="225"/>
      <c r="HYI186" s="225"/>
      <c r="HYJ186" s="225"/>
      <c r="HYK186" s="225"/>
      <c r="HYL186" s="225"/>
      <c r="HYM186" s="225"/>
      <c r="HYN186" s="225"/>
      <c r="HYO186" s="225"/>
      <c r="HYP186" s="225"/>
      <c r="HYQ186" s="225"/>
      <c r="HYR186" s="225"/>
      <c r="HYS186" s="225"/>
      <c r="HYT186" s="225"/>
      <c r="HYU186" s="225"/>
      <c r="HYV186" s="225"/>
      <c r="HYW186" s="225"/>
      <c r="HYX186" s="225"/>
      <c r="HYY186" s="225"/>
      <c r="HYZ186" s="225"/>
      <c r="HZA186" s="225"/>
      <c r="HZB186" s="225"/>
      <c r="HZC186" s="225"/>
      <c r="HZD186" s="225"/>
      <c r="HZE186" s="225"/>
      <c r="HZF186" s="225"/>
      <c r="HZG186" s="225"/>
      <c r="HZH186" s="225"/>
      <c r="HZI186" s="225"/>
      <c r="HZJ186" s="225"/>
      <c r="HZK186" s="225"/>
      <c r="HZL186" s="225"/>
      <c r="HZM186" s="225"/>
      <c r="HZN186" s="225"/>
      <c r="HZO186" s="225"/>
      <c r="HZP186" s="225"/>
      <c r="HZQ186" s="225"/>
      <c r="HZR186" s="225"/>
      <c r="HZS186" s="225"/>
      <c r="HZT186" s="225"/>
      <c r="HZU186" s="225"/>
      <c r="HZV186" s="225"/>
      <c r="HZW186" s="225"/>
      <c r="HZX186" s="225"/>
      <c r="HZY186" s="225"/>
      <c r="HZZ186" s="225"/>
      <c r="IAA186" s="225"/>
      <c r="IAB186" s="225"/>
      <c r="IAC186" s="225"/>
      <c r="IAD186" s="225"/>
      <c r="IAE186" s="225"/>
      <c r="IAF186" s="225"/>
      <c r="IAG186" s="225"/>
      <c r="IAH186" s="225"/>
      <c r="IAI186" s="225"/>
      <c r="IAJ186" s="225"/>
      <c r="IAK186" s="225"/>
      <c r="IAL186" s="225"/>
      <c r="IAM186" s="225"/>
      <c r="IAN186" s="225"/>
      <c r="IAO186" s="225"/>
      <c r="IAP186" s="225"/>
      <c r="IAQ186" s="225"/>
      <c r="IAR186" s="225"/>
      <c r="IAS186" s="225"/>
      <c r="IAT186" s="225"/>
      <c r="IAU186" s="225"/>
      <c r="IAV186" s="225"/>
      <c r="IAW186" s="225"/>
      <c r="IAX186" s="225"/>
      <c r="IAY186" s="225"/>
      <c r="IAZ186" s="225"/>
      <c r="IBA186" s="225"/>
      <c r="IBB186" s="225"/>
      <c r="IBC186" s="225"/>
      <c r="IBD186" s="225"/>
      <c r="IBE186" s="225"/>
      <c r="IBF186" s="225"/>
      <c r="IBG186" s="225"/>
      <c r="IBH186" s="225"/>
      <c r="IBI186" s="225"/>
      <c r="IBJ186" s="225"/>
      <c r="IBK186" s="225"/>
      <c r="IBL186" s="225"/>
      <c r="IBM186" s="225"/>
      <c r="IBN186" s="225"/>
      <c r="IBO186" s="225"/>
      <c r="IBP186" s="225"/>
      <c r="IBQ186" s="225"/>
      <c r="IBR186" s="225"/>
      <c r="IBS186" s="225"/>
      <c r="IBT186" s="225"/>
      <c r="IBU186" s="225"/>
      <c r="IBV186" s="225"/>
      <c r="IBW186" s="225"/>
      <c r="IBX186" s="225"/>
      <c r="IBY186" s="225"/>
      <c r="IBZ186" s="225"/>
      <c r="ICA186" s="225"/>
      <c r="ICB186" s="225"/>
      <c r="ICC186" s="225"/>
      <c r="ICD186" s="225"/>
      <c r="ICE186" s="225"/>
      <c r="ICF186" s="225"/>
      <c r="ICG186" s="225"/>
      <c r="ICH186" s="225"/>
      <c r="ICI186" s="225"/>
      <c r="ICJ186" s="225"/>
      <c r="ICK186" s="225"/>
      <c r="ICL186" s="225"/>
      <c r="ICM186" s="225"/>
      <c r="ICN186" s="225"/>
      <c r="ICO186" s="225"/>
      <c r="ICP186" s="225"/>
      <c r="ICQ186" s="225"/>
      <c r="ICR186" s="225"/>
      <c r="ICS186" s="225"/>
      <c r="ICT186" s="225"/>
      <c r="ICU186" s="225"/>
      <c r="ICV186" s="225"/>
      <c r="ICW186" s="225"/>
      <c r="ICX186" s="225"/>
      <c r="ICY186" s="225"/>
      <c r="ICZ186" s="225"/>
      <c r="IDA186" s="225"/>
      <c r="IDB186" s="225"/>
      <c r="IDC186" s="225"/>
      <c r="IDD186" s="225"/>
      <c r="IDE186" s="225"/>
      <c r="IDF186" s="225"/>
      <c r="IDG186" s="225"/>
      <c r="IDH186" s="225"/>
      <c r="IDI186" s="225"/>
      <c r="IDJ186" s="225"/>
      <c r="IDK186" s="225"/>
      <c r="IDL186" s="225"/>
      <c r="IDM186" s="225"/>
      <c r="IDN186" s="225"/>
      <c r="IDO186" s="225"/>
      <c r="IDP186" s="225"/>
      <c r="IDQ186" s="225"/>
      <c r="IDR186" s="225"/>
      <c r="IDS186" s="225"/>
      <c r="IDT186" s="225"/>
      <c r="IDU186" s="225"/>
      <c r="IDV186" s="225"/>
      <c r="IDW186" s="225"/>
      <c r="IDX186" s="225"/>
      <c r="IDY186" s="225"/>
      <c r="IDZ186" s="225"/>
      <c r="IEA186" s="225"/>
      <c r="IEB186" s="225"/>
      <c r="IEC186" s="225"/>
      <c r="IED186" s="225"/>
      <c r="IEE186" s="225"/>
      <c r="IEF186" s="225"/>
      <c r="IEG186" s="225"/>
      <c r="IEH186" s="225"/>
      <c r="IEI186" s="225"/>
      <c r="IEJ186" s="225"/>
      <c r="IEK186" s="225"/>
      <c r="IEL186" s="225"/>
      <c r="IEM186" s="225"/>
      <c r="IEN186" s="225"/>
      <c r="IEO186" s="225"/>
      <c r="IEP186" s="225"/>
      <c r="IEQ186" s="225"/>
      <c r="IER186" s="225"/>
      <c r="IES186" s="225"/>
      <c r="IET186" s="225"/>
      <c r="IEU186" s="225"/>
      <c r="IEV186" s="225"/>
      <c r="IEW186" s="225"/>
      <c r="IEX186" s="225"/>
      <c r="IEY186" s="225"/>
      <c r="IEZ186" s="225"/>
      <c r="IFA186" s="225"/>
      <c r="IFB186" s="225"/>
      <c r="IFC186" s="225"/>
      <c r="IFD186" s="225"/>
      <c r="IFE186" s="225"/>
      <c r="IFF186" s="225"/>
      <c r="IFG186" s="225"/>
      <c r="IFH186" s="225"/>
      <c r="IFI186" s="225"/>
      <c r="IFJ186" s="225"/>
      <c r="IFK186" s="225"/>
      <c r="IFL186" s="225"/>
      <c r="IFM186" s="225"/>
      <c r="IFN186" s="225"/>
      <c r="IFO186" s="225"/>
      <c r="IFP186" s="225"/>
      <c r="IFQ186" s="225"/>
      <c r="IFR186" s="225"/>
      <c r="IFS186" s="225"/>
      <c r="IFT186" s="225"/>
      <c r="IFU186" s="225"/>
      <c r="IFV186" s="225"/>
      <c r="IFW186" s="225"/>
      <c r="IFX186" s="225"/>
      <c r="IFY186" s="225"/>
      <c r="IFZ186" s="225"/>
      <c r="IGA186" s="225"/>
      <c r="IGB186" s="225"/>
      <c r="IGC186" s="225"/>
      <c r="IGD186" s="225"/>
      <c r="IGE186" s="225"/>
      <c r="IGF186" s="225"/>
      <c r="IGG186" s="225"/>
      <c r="IGH186" s="225"/>
      <c r="IGI186" s="225"/>
      <c r="IGJ186" s="225"/>
      <c r="IGK186" s="225"/>
      <c r="IGL186" s="225"/>
      <c r="IGM186" s="225"/>
      <c r="IGN186" s="225"/>
      <c r="IGO186" s="225"/>
      <c r="IGP186" s="225"/>
      <c r="IGQ186" s="225"/>
      <c r="IGR186" s="225"/>
      <c r="IGS186" s="225"/>
      <c r="IGT186" s="225"/>
      <c r="IGU186" s="225"/>
      <c r="IGV186" s="225"/>
      <c r="IGW186" s="225"/>
      <c r="IGX186" s="225"/>
      <c r="IGY186" s="225"/>
      <c r="IGZ186" s="225"/>
      <c r="IHA186" s="225"/>
      <c r="IHB186" s="225"/>
      <c r="IHC186" s="225"/>
      <c r="IHD186" s="225"/>
      <c r="IHE186" s="225"/>
      <c r="IHF186" s="225"/>
      <c r="IHG186" s="225"/>
      <c r="IHH186" s="225"/>
      <c r="IHI186" s="225"/>
      <c r="IHJ186" s="225"/>
      <c r="IHK186" s="225"/>
      <c r="IHL186" s="225"/>
      <c r="IHM186" s="225"/>
      <c r="IHN186" s="225"/>
      <c r="IHO186" s="225"/>
      <c r="IHP186" s="225"/>
      <c r="IHQ186" s="225"/>
      <c r="IHR186" s="225"/>
      <c r="IHS186" s="225"/>
      <c r="IHT186" s="225"/>
      <c r="IHU186" s="225"/>
      <c r="IHV186" s="225"/>
      <c r="IHW186" s="225"/>
      <c r="IHX186" s="225"/>
      <c r="IHY186" s="225"/>
      <c r="IHZ186" s="225"/>
      <c r="IIA186" s="225"/>
      <c r="IIB186" s="225"/>
      <c r="IIC186" s="225"/>
      <c r="IID186" s="225"/>
      <c r="IIE186" s="225"/>
      <c r="IIF186" s="225"/>
      <c r="IIG186" s="225"/>
      <c r="IIH186" s="225"/>
      <c r="III186" s="225"/>
      <c r="IIJ186" s="225"/>
      <c r="IIK186" s="225"/>
      <c r="IIL186" s="225"/>
      <c r="IIM186" s="225"/>
      <c r="IIN186" s="225"/>
      <c r="IIO186" s="225"/>
      <c r="IIP186" s="225"/>
      <c r="IIQ186" s="225"/>
      <c r="IIR186" s="225"/>
      <c r="IIS186" s="225"/>
      <c r="IIT186" s="225"/>
      <c r="IIU186" s="225"/>
      <c r="IIV186" s="225"/>
      <c r="IIW186" s="225"/>
      <c r="IIX186" s="225"/>
      <c r="IIY186" s="225"/>
      <c r="IIZ186" s="225"/>
      <c r="IJA186" s="225"/>
      <c r="IJB186" s="225"/>
      <c r="IJC186" s="225"/>
      <c r="IJD186" s="225"/>
      <c r="IJE186" s="225"/>
      <c r="IJF186" s="225"/>
      <c r="IJG186" s="225"/>
      <c r="IJH186" s="225"/>
      <c r="IJI186" s="225"/>
      <c r="IJJ186" s="225"/>
      <c r="IJK186" s="225"/>
      <c r="IJL186" s="225"/>
      <c r="IJM186" s="225"/>
      <c r="IJN186" s="225"/>
      <c r="IJO186" s="225"/>
      <c r="IJP186" s="225"/>
      <c r="IJQ186" s="225"/>
      <c r="IJR186" s="225"/>
      <c r="IJS186" s="225"/>
      <c r="IJT186" s="225"/>
      <c r="IJU186" s="225"/>
      <c r="IJV186" s="225"/>
      <c r="IJW186" s="225"/>
      <c r="IJX186" s="225"/>
      <c r="IJY186" s="225"/>
      <c r="IJZ186" s="225"/>
      <c r="IKA186" s="225"/>
      <c r="IKB186" s="225"/>
      <c r="IKC186" s="225"/>
      <c r="IKD186" s="225"/>
      <c r="IKE186" s="225"/>
      <c r="IKF186" s="225"/>
      <c r="IKG186" s="225"/>
      <c r="IKH186" s="225"/>
      <c r="IKI186" s="225"/>
      <c r="IKJ186" s="225"/>
      <c r="IKK186" s="225"/>
      <c r="IKL186" s="225"/>
      <c r="IKM186" s="225"/>
      <c r="IKN186" s="225"/>
      <c r="IKO186" s="225"/>
      <c r="IKP186" s="225"/>
      <c r="IKQ186" s="225"/>
      <c r="IKR186" s="225"/>
      <c r="IKS186" s="225"/>
      <c r="IKT186" s="225"/>
      <c r="IKU186" s="225"/>
      <c r="IKV186" s="225"/>
      <c r="IKW186" s="225"/>
      <c r="IKX186" s="225"/>
      <c r="IKY186" s="225"/>
      <c r="IKZ186" s="225"/>
      <c r="ILA186" s="225"/>
      <c r="ILB186" s="225"/>
      <c r="ILC186" s="225"/>
      <c r="ILD186" s="225"/>
      <c r="ILE186" s="225"/>
      <c r="ILF186" s="225"/>
      <c r="ILG186" s="225"/>
      <c r="ILH186" s="225"/>
      <c r="ILI186" s="225"/>
      <c r="ILJ186" s="225"/>
      <c r="ILK186" s="225"/>
      <c r="ILL186" s="225"/>
      <c r="ILM186" s="225"/>
      <c r="ILN186" s="225"/>
      <c r="ILO186" s="225"/>
      <c r="ILP186" s="225"/>
      <c r="ILQ186" s="225"/>
      <c r="ILR186" s="225"/>
      <c r="ILS186" s="225"/>
      <c r="ILT186" s="225"/>
      <c r="ILU186" s="225"/>
      <c r="ILV186" s="225"/>
      <c r="ILW186" s="225"/>
      <c r="ILX186" s="225"/>
      <c r="ILY186" s="225"/>
      <c r="ILZ186" s="225"/>
      <c r="IMA186" s="225"/>
      <c r="IMB186" s="225"/>
      <c r="IMC186" s="225"/>
      <c r="IMD186" s="225"/>
      <c r="IME186" s="225"/>
      <c r="IMF186" s="225"/>
      <c r="IMG186" s="225"/>
      <c r="IMH186" s="225"/>
      <c r="IMI186" s="225"/>
      <c r="IMJ186" s="225"/>
      <c r="IMK186" s="225"/>
      <c r="IML186" s="225"/>
      <c r="IMM186" s="225"/>
      <c r="IMN186" s="225"/>
      <c r="IMO186" s="225"/>
      <c r="IMP186" s="225"/>
      <c r="IMQ186" s="225"/>
      <c r="IMR186" s="225"/>
      <c r="IMS186" s="225"/>
      <c r="IMT186" s="225"/>
      <c r="IMU186" s="225"/>
      <c r="IMV186" s="225"/>
      <c r="IMW186" s="225"/>
      <c r="IMX186" s="225"/>
      <c r="IMY186" s="225"/>
      <c r="IMZ186" s="225"/>
      <c r="INA186" s="225"/>
      <c r="INB186" s="225"/>
      <c r="INC186" s="225"/>
      <c r="IND186" s="225"/>
      <c r="INE186" s="225"/>
      <c r="INF186" s="225"/>
      <c r="ING186" s="225"/>
      <c r="INH186" s="225"/>
      <c r="INI186" s="225"/>
      <c r="INJ186" s="225"/>
      <c r="INK186" s="225"/>
      <c r="INL186" s="225"/>
      <c r="INM186" s="225"/>
      <c r="INN186" s="225"/>
      <c r="INO186" s="225"/>
      <c r="INP186" s="225"/>
      <c r="INQ186" s="225"/>
      <c r="INR186" s="225"/>
      <c r="INS186" s="225"/>
      <c r="INT186" s="225"/>
      <c r="INU186" s="225"/>
      <c r="INV186" s="225"/>
      <c r="INW186" s="225"/>
      <c r="INX186" s="225"/>
      <c r="INY186" s="225"/>
      <c r="INZ186" s="225"/>
      <c r="IOA186" s="225"/>
      <c r="IOB186" s="225"/>
      <c r="IOC186" s="225"/>
      <c r="IOD186" s="225"/>
      <c r="IOE186" s="225"/>
      <c r="IOF186" s="225"/>
      <c r="IOG186" s="225"/>
      <c r="IOH186" s="225"/>
      <c r="IOI186" s="225"/>
      <c r="IOJ186" s="225"/>
      <c r="IOK186" s="225"/>
      <c r="IOL186" s="225"/>
      <c r="IOM186" s="225"/>
      <c r="ION186" s="225"/>
      <c r="IOO186" s="225"/>
      <c r="IOP186" s="225"/>
      <c r="IOQ186" s="225"/>
      <c r="IOR186" s="225"/>
      <c r="IOS186" s="225"/>
      <c r="IOT186" s="225"/>
      <c r="IOU186" s="225"/>
      <c r="IOV186" s="225"/>
      <c r="IOW186" s="225"/>
      <c r="IOX186" s="225"/>
      <c r="IOY186" s="225"/>
      <c r="IOZ186" s="225"/>
      <c r="IPA186" s="225"/>
      <c r="IPB186" s="225"/>
      <c r="IPC186" s="225"/>
      <c r="IPD186" s="225"/>
      <c r="IPE186" s="225"/>
      <c r="IPF186" s="225"/>
      <c r="IPG186" s="225"/>
      <c r="IPH186" s="225"/>
      <c r="IPI186" s="225"/>
      <c r="IPJ186" s="225"/>
      <c r="IPK186" s="225"/>
      <c r="IPL186" s="225"/>
      <c r="IPM186" s="225"/>
      <c r="IPN186" s="225"/>
      <c r="IPO186" s="225"/>
      <c r="IPP186" s="225"/>
      <c r="IPQ186" s="225"/>
      <c r="IPR186" s="225"/>
      <c r="IPS186" s="225"/>
      <c r="IPT186" s="225"/>
      <c r="IPU186" s="225"/>
      <c r="IPV186" s="225"/>
      <c r="IPW186" s="225"/>
      <c r="IPX186" s="225"/>
      <c r="IPY186" s="225"/>
      <c r="IPZ186" s="225"/>
      <c r="IQA186" s="225"/>
      <c r="IQB186" s="225"/>
      <c r="IQC186" s="225"/>
      <c r="IQD186" s="225"/>
      <c r="IQE186" s="225"/>
      <c r="IQF186" s="225"/>
      <c r="IQG186" s="225"/>
      <c r="IQH186" s="225"/>
      <c r="IQI186" s="225"/>
      <c r="IQJ186" s="225"/>
      <c r="IQK186" s="225"/>
      <c r="IQL186" s="225"/>
      <c r="IQM186" s="225"/>
      <c r="IQN186" s="225"/>
      <c r="IQO186" s="225"/>
      <c r="IQP186" s="225"/>
      <c r="IQQ186" s="225"/>
      <c r="IQR186" s="225"/>
      <c r="IQS186" s="225"/>
      <c r="IQT186" s="225"/>
      <c r="IQU186" s="225"/>
      <c r="IQV186" s="225"/>
      <c r="IQW186" s="225"/>
      <c r="IQX186" s="225"/>
      <c r="IQY186" s="225"/>
      <c r="IQZ186" s="225"/>
      <c r="IRA186" s="225"/>
      <c r="IRB186" s="225"/>
      <c r="IRC186" s="225"/>
      <c r="IRD186" s="225"/>
      <c r="IRE186" s="225"/>
      <c r="IRF186" s="225"/>
      <c r="IRG186" s="225"/>
      <c r="IRH186" s="225"/>
      <c r="IRI186" s="225"/>
      <c r="IRJ186" s="225"/>
      <c r="IRK186" s="225"/>
      <c r="IRL186" s="225"/>
      <c r="IRM186" s="225"/>
      <c r="IRN186" s="225"/>
      <c r="IRO186" s="225"/>
      <c r="IRP186" s="225"/>
      <c r="IRQ186" s="225"/>
      <c r="IRR186" s="225"/>
      <c r="IRS186" s="225"/>
      <c r="IRT186" s="225"/>
      <c r="IRU186" s="225"/>
      <c r="IRV186" s="225"/>
      <c r="IRW186" s="225"/>
      <c r="IRX186" s="225"/>
      <c r="IRY186" s="225"/>
      <c r="IRZ186" s="225"/>
      <c r="ISA186" s="225"/>
      <c r="ISB186" s="225"/>
      <c r="ISC186" s="225"/>
      <c r="ISD186" s="225"/>
      <c r="ISE186" s="225"/>
      <c r="ISF186" s="225"/>
      <c r="ISG186" s="225"/>
      <c r="ISH186" s="225"/>
      <c r="ISI186" s="225"/>
      <c r="ISJ186" s="225"/>
      <c r="ISK186" s="225"/>
      <c r="ISL186" s="225"/>
      <c r="ISM186" s="225"/>
      <c r="ISN186" s="225"/>
      <c r="ISO186" s="225"/>
      <c r="ISP186" s="225"/>
      <c r="ISQ186" s="225"/>
      <c r="ISR186" s="225"/>
      <c r="ISS186" s="225"/>
      <c r="IST186" s="225"/>
      <c r="ISU186" s="225"/>
      <c r="ISV186" s="225"/>
      <c r="ISW186" s="225"/>
      <c r="ISX186" s="225"/>
      <c r="ISY186" s="225"/>
      <c r="ISZ186" s="225"/>
      <c r="ITA186" s="225"/>
      <c r="ITB186" s="225"/>
      <c r="ITC186" s="225"/>
      <c r="ITD186" s="225"/>
      <c r="ITE186" s="225"/>
      <c r="ITF186" s="225"/>
      <c r="ITG186" s="225"/>
      <c r="ITH186" s="225"/>
      <c r="ITI186" s="225"/>
      <c r="ITJ186" s="225"/>
      <c r="ITK186" s="225"/>
      <c r="ITL186" s="225"/>
      <c r="ITM186" s="225"/>
      <c r="ITN186" s="225"/>
      <c r="ITO186" s="225"/>
      <c r="ITP186" s="225"/>
      <c r="ITQ186" s="225"/>
      <c r="ITR186" s="225"/>
      <c r="ITS186" s="225"/>
      <c r="ITT186" s="225"/>
      <c r="ITU186" s="225"/>
      <c r="ITV186" s="225"/>
      <c r="ITW186" s="225"/>
      <c r="ITX186" s="225"/>
      <c r="ITY186" s="225"/>
      <c r="ITZ186" s="225"/>
      <c r="IUA186" s="225"/>
      <c r="IUB186" s="225"/>
      <c r="IUC186" s="225"/>
      <c r="IUD186" s="225"/>
      <c r="IUE186" s="225"/>
      <c r="IUF186" s="225"/>
      <c r="IUG186" s="225"/>
      <c r="IUH186" s="225"/>
      <c r="IUI186" s="225"/>
      <c r="IUJ186" s="225"/>
      <c r="IUK186" s="225"/>
      <c r="IUL186" s="225"/>
      <c r="IUM186" s="225"/>
      <c r="IUN186" s="225"/>
      <c r="IUO186" s="225"/>
      <c r="IUP186" s="225"/>
      <c r="IUQ186" s="225"/>
      <c r="IUR186" s="225"/>
      <c r="IUS186" s="225"/>
      <c r="IUT186" s="225"/>
      <c r="IUU186" s="225"/>
      <c r="IUV186" s="225"/>
      <c r="IUW186" s="225"/>
      <c r="IUX186" s="225"/>
      <c r="IUY186" s="225"/>
      <c r="IUZ186" s="225"/>
      <c r="IVA186" s="225"/>
      <c r="IVB186" s="225"/>
      <c r="IVC186" s="225"/>
      <c r="IVD186" s="225"/>
      <c r="IVE186" s="225"/>
      <c r="IVF186" s="225"/>
      <c r="IVG186" s="225"/>
      <c r="IVH186" s="225"/>
      <c r="IVI186" s="225"/>
      <c r="IVJ186" s="225"/>
      <c r="IVK186" s="225"/>
      <c r="IVL186" s="225"/>
      <c r="IVM186" s="225"/>
      <c r="IVN186" s="225"/>
      <c r="IVO186" s="225"/>
      <c r="IVP186" s="225"/>
      <c r="IVQ186" s="225"/>
      <c r="IVR186" s="225"/>
      <c r="IVS186" s="225"/>
      <c r="IVT186" s="225"/>
      <c r="IVU186" s="225"/>
      <c r="IVV186" s="225"/>
      <c r="IVW186" s="225"/>
      <c r="IVX186" s="225"/>
      <c r="IVY186" s="225"/>
      <c r="IVZ186" s="225"/>
      <c r="IWA186" s="225"/>
      <c r="IWB186" s="225"/>
      <c r="IWC186" s="225"/>
      <c r="IWD186" s="225"/>
      <c r="IWE186" s="225"/>
      <c r="IWF186" s="225"/>
      <c r="IWG186" s="225"/>
      <c r="IWH186" s="225"/>
      <c r="IWI186" s="225"/>
      <c r="IWJ186" s="225"/>
      <c r="IWK186" s="225"/>
      <c r="IWL186" s="225"/>
      <c r="IWM186" s="225"/>
      <c r="IWN186" s="225"/>
      <c r="IWO186" s="225"/>
      <c r="IWP186" s="225"/>
      <c r="IWQ186" s="225"/>
      <c r="IWR186" s="225"/>
      <c r="IWS186" s="225"/>
      <c r="IWT186" s="225"/>
      <c r="IWU186" s="225"/>
      <c r="IWV186" s="225"/>
      <c r="IWW186" s="225"/>
      <c r="IWX186" s="225"/>
      <c r="IWY186" s="225"/>
      <c r="IWZ186" s="225"/>
      <c r="IXA186" s="225"/>
      <c r="IXB186" s="225"/>
      <c r="IXC186" s="225"/>
      <c r="IXD186" s="225"/>
      <c r="IXE186" s="225"/>
      <c r="IXF186" s="225"/>
      <c r="IXG186" s="225"/>
      <c r="IXH186" s="225"/>
      <c r="IXI186" s="225"/>
      <c r="IXJ186" s="225"/>
      <c r="IXK186" s="225"/>
      <c r="IXL186" s="225"/>
      <c r="IXM186" s="225"/>
      <c r="IXN186" s="225"/>
      <c r="IXO186" s="225"/>
      <c r="IXP186" s="225"/>
      <c r="IXQ186" s="225"/>
      <c r="IXR186" s="225"/>
      <c r="IXS186" s="225"/>
      <c r="IXT186" s="225"/>
      <c r="IXU186" s="225"/>
      <c r="IXV186" s="225"/>
      <c r="IXW186" s="225"/>
      <c r="IXX186" s="225"/>
      <c r="IXY186" s="225"/>
      <c r="IXZ186" s="225"/>
      <c r="IYA186" s="225"/>
      <c r="IYB186" s="225"/>
      <c r="IYC186" s="225"/>
      <c r="IYD186" s="225"/>
      <c r="IYE186" s="225"/>
      <c r="IYF186" s="225"/>
      <c r="IYG186" s="225"/>
      <c r="IYH186" s="225"/>
      <c r="IYI186" s="225"/>
      <c r="IYJ186" s="225"/>
      <c r="IYK186" s="225"/>
      <c r="IYL186" s="225"/>
      <c r="IYM186" s="225"/>
      <c r="IYN186" s="225"/>
      <c r="IYO186" s="225"/>
      <c r="IYP186" s="225"/>
      <c r="IYQ186" s="225"/>
      <c r="IYR186" s="225"/>
      <c r="IYS186" s="225"/>
      <c r="IYT186" s="225"/>
      <c r="IYU186" s="225"/>
      <c r="IYV186" s="225"/>
      <c r="IYW186" s="225"/>
      <c r="IYX186" s="225"/>
      <c r="IYY186" s="225"/>
      <c r="IYZ186" s="225"/>
      <c r="IZA186" s="225"/>
      <c r="IZB186" s="225"/>
      <c r="IZC186" s="225"/>
      <c r="IZD186" s="225"/>
      <c r="IZE186" s="225"/>
      <c r="IZF186" s="225"/>
      <c r="IZG186" s="225"/>
      <c r="IZH186" s="225"/>
      <c r="IZI186" s="225"/>
      <c r="IZJ186" s="225"/>
      <c r="IZK186" s="225"/>
      <c r="IZL186" s="225"/>
      <c r="IZM186" s="225"/>
      <c r="IZN186" s="225"/>
      <c r="IZO186" s="225"/>
      <c r="IZP186" s="225"/>
      <c r="IZQ186" s="225"/>
      <c r="IZR186" s="225"/>
      <c r="IZS186" s="225"/>
      <c r="IZT186" s="225"/>
      <c r="IZU186" s="225"/>
      <c r="IZV186" s="225"/>
      <c r="IZW186" s="225"/>
      <c r="IZX186" s="225"/>
      <c r="IZY186" s="225"/>
      <c r="IZZ186" s="225"/>
      <c r="JAA186" s="225"/>
      <c r="JAB186" s="225"/>
      <c r="JAC186" s="225"/>
      <c r="JAD186" s="225"/>
      <c r="JAE186" s="225"/>
      <c r="JAF186" s="225"/>
      <c r="JAG186" s="225"/>
      <c r="JAH186" s="225"/>
      <c r="JAI186" s="225"/>
      <c r="JAJ186" s="225"/>
      <c r="JAK186" s="225"/>
      <c r="JAL186" s="225"/>
      <c r="JAM186" s="225"/>
      <c r="JAN186" s="225"/>
      <c r="JAO186" s="225"/>
      <c r="JAP186" s="225"/>
      <c r="JAQ186" s="225"/>
      <c r="JAR186" s="225"/>
      <c r="JAS186" s="225"/>
      <c r="JAT186" s="225"/>
      <c r="JAU186" s="225"/>
      <c r="JAV186" s="225"/>
      <c r="JAW186" s="225"/>
      <c r="JAX186" s="225"/>
      <c r="JAY186" s="225"/>
      <c r="JAZ186" s="225"/>
      <c r="JBA186" s="225"/>
      <c r="JBB186" s="225"/>
      <c r="JBC186" s="225"/>
      <c r="JBD186" s="225"/>
      <c r="JBE186" s="225"/>
      <c r="JBF186" s="225"/>
      <c r="JBG186" s="225"/>
      <c r="JBH186" s="225"/>
      <c r="JBI186" s="225"/>
      <c r="JBJ186" s="225"/>
      <c r="JBK186" s="225"/>
      <c r="JBL186" s="225"/>
      <c r="JBM186" s="225"/>
      <c r="JBN186" s="225"/>
      <c r="JBO186" s="225"/>
      <c r="JBP186" s="225"/>
      <c r="JBQ186" s="225"/>
      <c r="JBR186" s="225"/>
      <c r="JBS186" s="225"/>
      <c r="JBT186" s="225"/>
      <c r="JBU186" s="225"/>
      <c r="JBV186" s="225"/>
      <c r="JBW186" s="225"/>
      <c r="JBX186" s="225"/>
      <c r="JBY186" s="225"/>
      <c r="JBZ186" s="225"/>
      <c r="JCA186" s="225"/>
      <c r="JCB186" s="225"/>
      <c r="JCC186" s="225"/>
      <c r="JCD186" s="225"/>
      <c r="JCE186" s="225"/>
      <c r="JCF186" s="225"/>
      <c r="JCG186" s="225"/>
      <c r="JCH186" s="225"/>
      <c r="JCI186" s="225"/>
      <c r="JCJ186" s="225"/>
      <c r="JCK186" s="225"/>
      <c r="JCL186" s="225"/>
      <c r="JCM186" s="225"/>
      <c r="JCN186" s="225"/>
      <c r="JCO186" s="225"/>
      <c r="JCP186" s="225"/>
      <c r="JCQ186" s="225"/>
      <c r="JCR186" s="225"/>
      <c r="JCS186" s="225"/>
      <c r="JCT186" s="225"/>
      <c r="JCU186" s="225"/>
      <c r="JCV186" s="225"/>
      <c r="JCW186" s="225"/>
      <c r="JCX186" s="225"/>
      <c r="JCY186" s="225"/>
      <c r="JCZ186" s="225"/>
      <c r="JDA186" s="225"/>
      <c r="JDB186" s="225"/>
      <c r="JDC186" s="225"/>
      <c r="JDD186" s="225"/>
      <c r="JDE186" s="225"/>
      <c r="JDF186" s="225"/>
      <c r="JDG186" s="225"/>
      <c r="JDH186" s="225"/>
      <c r="JDI186" s="225"/>
      <c r="JDJ186" s="225"/>
      <c r="JDK186" s="225"/>
      <c r="JDL186" s="225"/>
      <c r="JDM186" s="225"/>
      <c r="JDN186" s="225"/>
      <c r="JDO186" s="225"/>
      <c r="JDP186" s="225"/>
      <c r="JDQ186" s="225"/>
      <c r="JDR186" s="225"/>
      <c r="JDS186" s="225"/>
      <c r="JDT186" s="225"/>
      <c r="JDU186" s="225"/>
      <c r="JDV186" s="225"/>
      <c r="JDW186" s="225"/>
      <c r="JDX186" s="225"/>
      <c r="JDY186" s="225"/>
      <c r="JDZ186" s="225"/>
      <c r="JEA186" s="225"/>
      <c r="JEB186" s="225"/>
      <c r="JEC186" s="225"/>
      <c r="JED186" s="225"/>
      <c r="JEE186" s="225"/>
      <c r="JEF186" s="225"/>
      <c r="JEG186" s="225"/>
      <c r="JEH186" s="225"/>
      <c r="JEI186" s="225"/>
      <c r="JEJ186" s="225"/>
      <c r="JEK186" s="225"/>
      <c r="JEL186" s="225"/>
      <c r="JEM186" s="225"/>
      <c r="JEN186" s="225"/>
      <c r="JEO186" s="225"/>
      <c r="JEP186" s="225"/>
      <c r="JEQ186" s="225"/>
      <c r="JER186" s="225"/>
      <c r="JES186" s="225"/>
      <c r="JET186" s="225"/>
      <c r="JEU186" s="225"/>
      <c r="JEV186" s="225"/>
      <c r="JEW186" s="225"/>
      <c r="JEX186" s="225"/>
      <c r="JEY186" s="225"/>
      <c r="JEZ186" s="225"/>
      <c r="JFA186" s="225"/>
      <c r="JFB186" s="225"/>
      <c r="JFC186" s="225"/>
      <c r="JFD186" s="225"/>
      <c r="JFE186" s="225"/>
      <c r="JFF186" s="225"/>
      <c r="JFG186" s="225"/>
      <c r="JFH186" s="225"/>
      <c r="JFI186" s="225"/>
      <c r="JFJ186" s="225"/>
      <c r="JFK186" s="225"/>
      <c r="JFL186" s="225"/>
      <c r="JFM186" s="225"/>
      <c r="JFN186" s="225"/>
      <c r="JFO186" s="225"/>
      <c r="JFP186" s="225"/>
      <c r="JFQ186" s="225"/>
      <c r="JFR186" s="225"/>
      <c r="JFS186" s="225"/>
      <c r="JFT186" s="225"/>
      <c r="JFU186" s="225"/>
      <c r="JFV186" s="225"/>
      <c r="JFW186" s="225"/>
      <c r="JFX186" s="225"/>
      <c r="JFY186" s="225"/>
      <c r="JFZ186" s="225"/>
      <c r="JGA186" s="225"/>
      <c r="JGB186" s="225"/>
      <c r="JGC186" s="225"/>
      <c r="JGD186" s="225"/>
      <c r="JGE186" s="225"/>
      <c r="JGF186" s="225"/>
      <c r="JGG186" s="225"/>
      <c r="JGH186" s="225"/>
      <c r="JGI186" s="225"/>
      <c r="JGJ186" s="225"/>
      <c r="JGK186" s="225"/>
      <c r="JGL186" s="225"/>
      <c r="JGM186" s="225"/>
      <c r="JGN186" s="225"/>
      <c r="JGO186" s="225"/>
      <c r="JGP186" s="225"/>
      <c r="JGQ186" s="225"/>
      <c r="JGR186" s="225"/>
      <c r="JGS186" s="225"/>
      <c r="JGT186" s="225"/>
      <c r="JGU186" s="225"/>
      <c r="JGV186" s="225"/>
      <c r="JGW186" s="225"/>
      <c r="JGX186" s="225"/>
      <c r="JGY186" s="225"/>
      <c r="JGZ186" s="225"/>
      <c r="JHA186" s="225"/>
      <c r="JHB186" s="225"/>
      <c r="JHC186" s="225"/>
      <c r="JHD186" s="225"/>
      <c r="JHE186" s="225"/>
      <c r="JHF186" s="225"/>
      <c r="JHG186" s="225"/>
      <c r="JHH186" s="225"/>
      <c r="JHI186" s="225"/>
      <c r="JHJ186" s="225"/>
      <c r="JHK186" s="225"/>
      <c r="JHL186" s="225"/>
      <c r="JHM186" s="225"/>
      <c r="JHN186" s="225"/>
      <c r="JHO186" s="225"/>
      <c r="JHP186" s="225"/>
      <c r="JHQ186" s="225"/>
      <c r="JHR186" s="225"/>
      <c r="JHS186" s="225"/>
      <c r="JHT186" s="225"/>
      <c r="JHU186" s="225"/>
      <c r="JHV186" s="225"/>
      <c r="JHW186" s="225"/>
      <c r="JHX186" s="225"/>
      <c r="JHY186" s="225"/>
      <c r="JHZ186" s="225"/>
      <c r="JIA186" s="225"/>
      <c r="JIB186" s="225"/>
      <c r="JIC186" s="225"/>
      <c r="JID186" s="225"/>
      <c r="JIE186" s="225"/>
      <c r="JIF186" s="225"/>
      <c r="JIG186" s="225"/>
      <c r="JIH186" s="225"/>
      <c r="JII186" s="225"/>
      <c r="JIJ186" s="225"/>
      <c r="JIK186" s="225"/>
      <c r="JIL186" s="225"/>
      <c r="JIM186" s="225"/>
      <c r="JIN186" s="225"/>
      <c r="JIO186" s="225"/>
      <c r="JIP186" s="225"/>
      <c r="JIQ186" s="225"/>
      <c r="JIR186" s="225"/>
      <c r="JIS186" s="225"/>
      <c r="JIT186" s="225"/>
      <c r="JIU186" s="225"/>
      <c r="JIV186" s="225"/>
      <c r="JIW186" s="225"/>
      <c r="JIX186" s="225"/>
      <c r="JIY186" s="225"/>
      <c r="JIZ186" s="225"/>
      <c r="JJA186" s="225"/>
      <c r="JJB186" s="225"/>
      <c r="JJC186" s="225"/>
      <c r="JJD186" s="225"/>
      <c r="JJE186" s="225"/>
      <c r="JJF186" s="225"/>
      <c r="JJG186" s="225"/>
      <c r="JJH186" s="225"/>
      <c r="JJI186" s="225"/>
      <c r="JJJ186" s="225"/>
      <c r="JJK186" s="225"/>
      <c r="JJL186" s="225"/>
      <c r="JJM186" s="225"/>
      <c r="JJN186" s="225"/>
      <c r="JJO186" s="225"/>
      <c r="JJP186" s="225"/>
      <c r="JJQ186" s="225"/>
      <c r="JJR186" s="225"/>
      <c r="JJS186" s="225"/>
      <c r="JJT186" s="225"/>
      <c r="JJU186" s="225"/>
      <c r="JJV186" s="225"/>
      <c r="JJW186" s="225"/>
      <c r="JJX186" s="225"/>
      <c r="JJY186" s="225"/>
      <c r="JJZ186" s="225"/>
      <c r="JKA186" s="225"/>
      <c r="JKB186" s="225"/>
      <c r="JKC186" s="225"/>
      <c r="JKD186" s="225"/>
      <c r="JKE186" s="225"/>
      <c r="JKF186" s="225"/>
      <c r="JKG186" s="225"/>
      <c r="JKH186" s="225"/>
      <c r="JKI186" s="225"/>
      <c r="JKJ186" s="225"/>
      <c r="JKK186" s="225"/>
      <c r="JKL186" s="225"/>
      <c r="JKM186" s="225"/>
      <c r="JKN186" s="225"/>
      <c r="JKO186" s="225"/>
      <c r="JKP186" s="225"/>
      <c r="JKQ186" s="225"/>
      <c r="JKR186" s="225"/>
      <c r="JKS186" s="225"/>
      <c r="JKT186" s="225"/>
      <c r="JKU186" s="225"/>
      <c r="JKV186" s="225"/>
      <c r="JKW186" s="225"/>
      <c r="JKX186" s="225"/>
      <c r="JKY186" s="225"/>
      <c r="JKZ186" s="225"/>
      <c r="JLA186" s="225"/>
      <c r="JLB186" s="225"/>
      <c r="JLC186" s="225"/>
      <c r="JLD186" s="225"/>
      <c r="JLE186" s="225"/>
      <c r="JLF186" s="225"/>
      <c r="JLG186" s="225"/>
      <c r="JLH186" s="225"/>
      <c r="JLI186" s="225"/>
      <c r="JLJ186" s="225"/>
      <c r="JLK186" s="225"/>
      <c r="JLL186" s="225"/>
      <c r="JLM186" s="225"/>
      <c r="JLN186" s="225"/>
      <c r="JLO186" s="225"/>
      <c r="JLP186" s="225"/>
      <c r="JLQ186" s="225"/>
      <c r="JLR186" s="225"/>
      <c r="JLS186" s="225"/>
      <c r="JLT186" s="225"/>
      <c r="JLU186" s="225"/>
      <c r="JLV186" s="225"/>
      <c r="JLW186" s="225"/>
      <c r="JLX186" s="225"/>
      <c r="JLY186" s="225"/>
      <c r="JLZ186" s="225"/>
      <c r="JMA186" s="225"/>
      <c r="JMB186" s="225"/>
      <c r="JMC186" s="225"/>
      <c r="JMD186" s="225"/>
      <c r="JME186" s="225"/>
      <c r="JMF186" s="225"/>
      <c r="JMG186" s="225"/>
      <c r="JMH186" s="225"/>
      <c r="JMI186" s="225"/>
      <c r="JMJ186" s="225"/>
      <c r="JMK186" s="225"/>
      <c r="JML186" s="225"/>
      <c r="JMM186" s="225"/>
      <c r="JMN186" s="225"/>
      <c r="JMO186" s="225"/>
      <c r="JMP186" s="225"/>
      <c r="JMQ186" s="225"/>
      <c r="JMR186" s="225"/>
      <c r="JMS186" s="225"/>
      <c r="JMT186" s="225"/>
      <c r="JMU186" s="225"/>
      <c r="JMV186" s="225"/>
      <c r="JMW186" s="225"/>
      <c r="JMX186" s="225"/>
      <c r="JMY186" s="225"/>
      <c r="JMZ186" s="225"/>
      <c r="JNA186" s="225"/>
      <c r="JNB186" s="225"/>
      <c r="JNC186" s="225"/>
      <c r="JND186" s="225"/>
      <c r="JNE186" s="225"/>
      <c r="JNF186" s="225"/>
      <c r="JNG186" s="225"/>
      <c r="JNH186" s="225"/>
      <c r="JNI186" s="225"/>
      <c r="JNJ186" s="225"/>
      <c r="JNK186" s="225"/>
      <c r="JNL186" s="225"/>
      <c r="JNM186" s="225"/>
      <c r="JNN186" s="225"/>
      <c r="JNO186" s="225"/>
      <c r="JNP186" s="225"/>
      <c r="JNQ186" s="225"/>
      <c r="JNR186" s="225"/>
      <c r="JNS186" s="225"/>
      <c r="JNT186" s="225"/>
      <c r="JNU186" s="225"/>
      <c r="JNV186" s="225"/>
      <c r="JNW186" s="225"/>
      <c r="JNX186" s="225"/>
      <c r="JNY186" s="225"/>
      <c r="JNZ186" s="225"/>
      <c r="JOA186" s="225"/>
      <c r="JOB186" s="225"/>
      <c r="JOC186" s="225"/>
      <c r="JOD186" s="225"/>
      <c r="JOE186" s="225"/>
      <c r="JOF186" s="225"/>
      <c r="JOG186" s="225"/>
      <c r="JOH186" s="225"/>
      <c r="JOI186" s="225"/>
      <c r="JOJ186" s="225"/>
      <c r="JOK186" s="225"/>
      <c r="JOL186" s="225"/>
      <c r="JOM186" s="225"/>
      <c r="JON186" s="225"/>
      <c r="JOO186" s="225"/>
      <c r="JOP186" s="225"/>
      <c r="JOQ186" s="225"/>
      <c r="JOR186" s="225"/>
      <c r="JOS186" s="225"/>
      <c r="JOT186" s="225"/>
      <c r="JOU186" s="225"/>
      <c r="JOV186" s="225"/>
      <c r="JOW186" s="225"/>
      <c r="JOX186" s="225"/>
      <c r="JOY186" s="225"/>
      <c r="JOZ186" s="225"/>
      <c r="JPA186" s="225"/>
      <c r="JPB186" s="225"/>
      <c r="JPC186" s="225"/>
      <c r="JPD186" s="225"/>
      <c r="JPE186" s="225"/>
      <c r="JPF186" s="225"/>
      <c r="JPG186" s="225"/>
      <c r="JPH186" s="225"/>
      <c r="JPI186" s="225"/>
      <c r="JPJ186" s="225"/>
      <c r="JPK186" s="225"/>
      <c r="JPL186" s="225"/>
      <c r="JPM186" s="225"/>
      <c r="JPN186" s="225"/>
      <c r="JPO186" s="225"/>
      <c r="JPP186" s="225"/>
      <c r="JPQ186" s="225"/>
      <c r="JPR186" s="225"/>
      <c r="JPS186" s="225"/>
      <c r="JPT186" s="225"/>
      <c r="JPU186" s="225"/>
      <c r="JPV186" s="225"/>
      <c r="JPW186" s="225"/>
      <c r="JPX186" s="225"/>
      <c r="JPY186" s="225"/>
      <c r="JPZ186" s="225"/>
      <c r="JQA186" s="225"/>
      <c r="JQB186" s="225"/>
      <c r="JQC186" s="225"/>
      <c r="JQD186" s="225"/>
      <c r="JQE186" s="225"/>
      <c r="JQF186" s="225"/>
      <c r="JQG186" s="225"/>
      <c r="JQH186" s="225"/>
      <c r="JQI186" s="225"/>
      <c r="JQJ186" s="225"/>
      <c r="JQK186" s="225"/>
      <c r="JQL186" s="225"/>
      <c r="JQM186" s="225"/>
      <c r="JQN186" s="225"/>
      <c r="JQO186" s="225"/>
      <c r="JQP186" s="225"/>
      <c r="JQQ186" s="225"/>
      <c r="JQR186" s="225"/>
      <c r="JQS186" s="225"/>
      <c r="JQT186" s="225"/>
      <c r="JQU186" s="225"/>
      <c r="JQV186" s="225"/>
      <c r="JQW186" s="225"/>
      <c r="JQX186" s="225"/>
      <c r="JQY186" s="225"/>
      <c r="JQZ186" s="225"/>
      <c r="JRA186" s="225"/>
      <c r="JRB186" s="225"/>
      <c r="JRC186" s="225"/>
      <c r="JRD186" s="225"/>
      <c r="JRE186" s="225"/>
      <c r="JRF186" s="225"/>
      <c r="JRG186" s="225"/>
      <c r="JRH186" s="225"/>
      <c r="JRI186" s="225"/>
      <c r="JRJ186" s="225"/>
      <c r="JRK186" s="225"/>
      <c r="JRL186" s="225"/>
      <c r="JRM186" s="225"/>
      <c r="JRN186" s="225"/>
      <c r="JRO186" s="225"/>
      <c r="JRP186" s="225"/>
      <c r="JRQ186" s="225"/>
      <c r="JRR186" s="225"/>
      <c r="JRS186" s="225"/>
      <c r="JRT186" s="225"/>
      <c r="JRU186" s="225"/>
      <c r="JRV186" s="225"/>
      <c r="JRW186" s="225"/>
      <c r="JRX186" s="225"/>
      <c r="JRY186" s="225"/>
      <c r="JRZ186" s="225"/>
      <c r="JSA186" s="225"/>
      <c r="JSB186" s="225"/>
      <c r="JSC186" s="225"/>
      <c r="JSD186" s="225"/>
      <c r="JSE186" s="225"/>
      <c r="JSF186" s="225"/>
      <c r="JSG186" s="225"/>
      <c r="JSH186" s="225"/>
      <c r="JSI186" s="225"/>
      <c r="JSJ186" s="225"/>
      <c r="JSK186" s="225"/>
      <c r="JSL186" s="225"/>
      <c r="JSM186" s="225"/>
      <c r="JSN186" s="225"/>
      <c r="JSO186" s="225"/>
      <c r="JSP186" s="225"/>
      <c r="JSQ186" s="225"/>
      <c r="JSR186" s="225"/>
      <c r="JSS186" s="225"/>
      <c r="JST186" s="225"/>
      <c r="JSU186" s="225"/>
      <c r="JSV186" s="225"/>
      <c r="JSW186" s="225"/>
      <c r="JSX186" s="225"/>
      <c r="JSY186" s="225"/>
      <c r="JSZ186" s="225"/>
      <c r="JTA186" s="225"/>
      <c r="JTB186" s="225"/>
      <c r="JTC186" s="225"/>
      <c r="JTD186" s="225"/>
      <c r="JTE186" s="225"/>
      <c r="JTF186" s="225"/>
      <c r="JTG186" s="225"/>
      <c r="JTH186" s="225"/>
      <c r="JTI186" s="225"/>
      <c r="JTJ186" s="225"/>
      <c r="JTK186" s="225"/>
      <c r="JTL186" s="225"/>
      <c r="JTM186" s="225"/>
      <c r="JTN186" s="225"/>
      <c r="JTO186" s="225"/>
      <c r="JTP186" s="225"/>
      <c r="JTQ186" s="225"/>
      <c r="JTR186" s="225"/>
      <c r="JTS186" s="225"/>
      <c r="JTT186" s="225"/>
      <c r="JTU186" s="225"/>
      <c r="JTV186" s="225"/>
      <c r="JTW186" s="225"/>
      <c r="JTX186" s="225"/>
      <c r="JTY186" s="225"/>
      <c r="JTZ186" s="225"/>
      <c r="JUA186" s="225"/>
      <c r="JUB186" s="225"/>
      <c r="JUC186" s="225"/>
      <c r="JUD186" s="225"/>
      <c r="JUE186" s="225"/>
      <c r="JUF186" s="225"/>
      <c r="JUG186" s="225"/>
      <c r="JUH186" s="225"/>
      <c r="JUI186" s="225"/>
      <c r="JUJ186" s="225"/>
      <c r="JUK186" s="225"/>
      <c r="JUL186" s="225"/>
      <c r="JUM186" s="225"/>
      <c r="JUN186" s="225"/>
      <c r="JUO186" s="225"/>
      <c r="JUP186" s="225"/>
      <c r="JUQ186" s="225"/>
      <c r="JUR186" s="225"/>
      <c r="JUS186" s="225"/>
      <c r="JUT186" s="225"/>
      <c r="JUU186" s="225"/>
      <c r="JUV186" s="225"/>
      <c r="JUW186" s="225"/>
      <c r="JUX186" s="225"/>
      <c r="JUY186" s="225"/>
      <c r="JUZ186" s="225"/>
      <c r="JVA186" s="225"/>
      <c r="JVB186" s="225"/>
      <c r="JVC186" s="225"/>
      <c r="JVD186" s="225"/>
      <c r="JVE186" s="225"/>
      <c r="JVF186" s="225"/>
      <c r="JVG186" s="225"/>
      <c r="JVH186" s="225"/>
      <c r="JVI186" s="225"/>
      <c r="JVJ186" s="225"/>
      <c r="JVK186" s="225"/>
      <c r="JVL186" s="225"/>
      <c r="JVM186" s="225"/>
      <c r="JVN186" s="225"/>
      <c r="JVO186" s="225"/>
      <c r="JVP186" s="225"/>
      <c r="JVQ186" s="225"/>
      <c r="JVR186" s="225"/>
      <c r="JVS186" s="225"/>
      <c r="JVT186" s="225"/>
      <c r="JVU186" s="225"/>
      <c r="JVV186" s="225"/>
      <c r="JVW186" s="225"/>
      <c r="JVX186" s="225"/>
      <c r="JVY186" s="225"/>
      <c r="JVZ186" s="225"/>
      <c r="JWA186" s="225"/>
      <c r="JWB186" s="225"/>
      <c r="JWC186" s="225"/>
      <c r="JWD186" s="225"/>
      <c r="JWE186" s="225"/>
      <c r="JWF186" s="225"/>
      <c r="JWG186" s="225"/>
      <c r="JWH186" s="225"/>
      <c r="JWI186" s="225"/>
      <c r="JWJ186" s="225"/>
      <c r="JWK186" s="225"/>
      <c r="JWL186" s="225"/>
      <c r="JWM186" s="225"/>
      <c r="JWN186" s="225"/>
      <c r="JWO186" s="225"/>
      <c r="JWP186" s="225"/>
      <c r="JWQ186" s="225"/>
      <c r="JWR186" s="225"/>
      <c r="JWS186" s="225"/>
      <c r="JWT186" s="225"/>
      <c r="JWU186" s="225"/>
      <c r="JWV186" s="225"/>
      <c r="JWW186" s="225"/>
      <c r="JWX186" s="225"/>
      <c r="JWY186" s="225"/>
      <c r="JWZ186" s="225"/>
      <c r="JXA186" s="225"/>
      <c r="JXB186" s="225"/>
      <c r="JXC186" s="225"/>
      <c r="JXD186" s="225"/>
      <c r="JXE186" s="225"/>
      <c r="JXF186" s="225"/>
      <c r="JXG186" s="225"/>
      <c r="JXH186" s="225"/>
      <c r="JXI186" s="225"/>
      <c r="JXJ186" s="225"/>
      <c r="JXK186" s="225"/>
      <c r="JXL186" s="225"/>
      <c r="JXM186" s="225"/>
      <c r="JXN186" s="225"/>
      <c r="JXO186" s="225"/>
      <c r="JXP186" s="225"/>
      <c r="JXQ186" s="225"/>
      <c r="JXR186" s="225"/>
      <c r="JXS186" s="225"/>
      <c r="JXT186" s="225"/>
      <c r="JXU186" s="225"/>
      <c r="JXV186" s="225"/>
      <c r="JXW186" s="225"/>
      <c r="JXX186" s="225"/>
      <c r="JXY186" s="225"/>
      <c r="JXZ186" s="225"/>
      <c r="JYA186" s="225"/>
      <c r="JYB186" s="225"/>
      <c r="JYC186" s="225"/>
      <c r="JYD186" s="225"/>
      <c r="JYE186" s="225"/>
      <c r="JYF186" s="225"/>
      <c r="JYG186" s="225"/>
      <c r="JYH186" s="225"/>
      <c r="JYI186" s="225"/>
      <c r="JYJ186" s="225"/>
      <c r="JYK186" s="225"/>
      <c r="JYL186" s="225"/>
      <c r="JYM186" s="225"/>
      <c r="JYN186" s="225"/>
      <c r="JYO186" s="225"/>
      <c r="JYP186" s="225"/>
      <c r="JYQ186" s="225"/>
      <c r="JYR186" s="225"/>
      <c r="JYS186" s="225"/>
      <c r="JYT186" s="225"/>
      <c r="JYU186" s="225"/>
      <c r="JYV186" s="225"/>
      <c r="JYW186" s="225"/>
      <c r="JYX186" s="225"/>
      <c r="JYY186" s="225"/>
      <c r="JYZ186" s="225"/>
      <c r="JZA186" s="225"/>
      <c r="JZB186" s="225"/>
      <c r="JZC186" s="225"/>
      <c r="JZD186" s="225"/>
      <c r="JZE186" s="225"/>
      <c r="JZF186" s="225"/>
      <c r="JZG186" s="225"/>
      <c r="JZH186" s="225"/>
      <c r="JZI186" s="225"/>
      <c r="JZJ186" s="225"/>
      <c r="JZK186" s="225"/>
      <c r="JZL186" s="225"/>
      <c r="JZM186" s="225"/>
      <c r="JZN186" s="225"/>
      <c r="JZO186" s="225"/>
      <c r="JZP186" s="225"/>
      <c r="JZQ186" s="225"/>
      <c r="JZR186" s="225"/>
      <c r="JZS186" s="225"/>
      <c r="JZT186" s="225"/>
      <c r="JZU186" s="225"/>
      <c r="JZV186" s="225"/>
      <c r="JZW186" s="225"/>
      <c r="JZX186" s="225"/>
      <c r="JZY186" s="225"/>
      <c r="JZZ186" s="225"/>
      <c r="KAA186" s="225"/>
      <c r="KAB186" s="225"/>
      <c r="KAC186" s="225"/>
      <c r="KAD186" s="225"/>
      <c r="KAE186" s="225"/>
      <c r="KAF186" s="225"/>
      <c r="KAG186" s="225"/>
      <c r="KAH186" s="225"/>
      <c r="KAI186" s="225"/>
      <c r="KAJ186" s="225"/>
      <c r="KAK186" s="225"/>
      <c r="KAL186" s="225"/>
      <c r="KAM186" s="225"/>
      <c r="KAN186" s="225"/>
      <c r="KAO186" s="225"/>
      <c r="KAP186" s="225"/>
      <c r="KAQ186" s="225"/>
      <c r="KAR186" s="225"/>
      <c r="KAS186" s="225"/>
      <c r="KAT186" s="225"/>
      <c r="KAU186" s="225"/>
      <c r="KAV186" s="225"/>
      <c r="KAW186" s="225"/>
      <c r="KAX186" s="225"/>
      <c r="KAY186" s="225"/>
      <c r="KAZ186" s="225"/>
      <c r="KBA186" s="225"/>
      <c r="KBB186" s="225"/>
      <c r="KBC186" s="225"/>
      <c r="KBD186" s="225"/>
      <c r="KBE186" s="225"/>
      <c r="KBF186" s="225"/>
      <c r="KBG186" s="225"/>
      <c r="KBH186" s="225"/>
      <c r="KBI186" s="225"/>
      <c r="KBJ186" s="225"/>
      <c r="KBK186" s="225"/>
      <c r="KBL186" s="225"/>
      <c r="KBM186" s="225"/>
      <c r="KBN186" s="225"/>
      <c r="KBO186" s="225"/>
      <c r="KBP186" s="225"/>
      <c r="KBQ186" s="225"/>
      <c r="KBR186" s="225"/>
      <c r="KBS186" s="225"/>
      <c r="KBT186" s="225"/>
      <c r="KBU186" s="225"/>
      <c r="KBV186" s="225"/>
      <c r="KBW186" s="225"/>
      <c r="KBX186" s="225"/>
      <c r="KBY186" s="225"/>
      <c r="KBZ186" s="225"/>
      <c r="KCA186" s="225"/>
      <c r="KCB186" s="225"/>
      <c r="KCC186" s="225"/>
      <c r="KCD186" s="225"/>
      <c r="KCE186" s="225"/>
      <c r="KCF186" s="225"/>
      <c r="KCG186" s="225"/>
      <c r="KCH186" s="225"/>
      <c r="KCI186" s="225"/>
      <c r="KCJ186" s="225"/>
      <c r="KCK186" s="225"/>
      <c r="KCL186" s="225"/>
      <c r="KCM186" s="225"/>
      <c r="KCN186" s="225"/>
      <c r="KCO186" s="225"/>
      <c r="KCP186" s="225"/>
      <c r="KCQ186" s="225"/>
      <c r="KCR186" s="225"/>
      <c r="KCS186" s="225"/>
      <c r="KCT186" s="225"/>
      <c r="KCU186" s="225"/>
      <c r="KCV186" s="225"/>
      <c r="KCW186" s="225"/>
      <c r="KCX186" s="225"/>
      <c r="KCY186" s="225"/>
      <c r="KCZ186" s="225"/>
      <c r="KDA186" s="225"/>
      <c r="KDB186" s="225"/>
      <c r="KDC186" s="225"/>
      <c r="KDD186" s="225"/>
      <c r="KDE186" s="225"/>
      <c r="KDF186" s="225"/>
      <c r="KDG186" s="225"/>
      <c r="KDH186" s="225"/>
      <c r="KDI186" s="225"/>
      <c r="KDJ186" s="225"/>
      <c r="KDK186" s="225"/>
      <c r="KDL186" s="225"/>
      <c r="KDM186" s="225"/>
      <c r="KDN186" s="225"/>
      <c r="KDO186" s="225"/>
      <c r="KDP186" s="225"/>
      <c r="KDQ186" s="225"/>
      <c r="KDR186" s="225"/>
      <c r="KDS186" s="225"/>
      <c r="KDT186" s="225"/>
      <c r="KDU186" s="225"/>
      <c r="KDV186" s="225"/>
      <c r="KDW186" s="225"/>
      <c r="KDX186" s="225"/>
      <c r="KDY186" s="225"/>
      <c r="KDZ186" s="225"/>
      <c r="KEA186" s="225"/>
      <c r="KEB186" s="225"/>
      <c r="KEC186" s="225"/>
      <c r="KED186" s="225"/>
      <c r="KEE186" s="225"/>
      <c r="KEF186" s="225"/>
      <c r="KEG186" s="225"/>
      <c r="KEH186" s="225"/>
      <c r="KEI186" s="225"/>
      <c r="KEJ186" s="225"/>
      <c r="KEK186" s="225"/>
      <c r="KEL186" s="225"/>
      <c r="KEM186" s="225"/>
      <c r="KEN186" s="225"/>
      <c r="KEO186" s="225"/>
      <c r="KEP186" s="225"/>
      <c r="KEQ186" s="225"/>
      <c r="KER186" s="225"/>
      <c r="KES186" s="225"/>
      <c r="KET186" s="225"/>
      <c r="KEU186" s="225"/>
      <c r="KEV186" s="225"/>
      <c r="KEW186" s="225"/>
      <c r="KEX186" s="225"/>
      <c r="KEY186" s="225"/>
      <c r="KEZ186" s="225"/>
      <c r="KFA186" s="225"/>
      <c r="KFB186" s="225"/>
      <c r="KFC186" s="225"/>
      <c r="KFD186" s="225"/>
      <c r="KFE186" s="225"/>
      <c r="KFF186" s="225"/>
      <c r="KFG186" s="225"/>
      <c r="KFH186" s="225"/>
      <c r="KFI186" s="225"/>
      <c r="KFJ186" s="225"/>
      <c r="KFK186" s="225"/>
      <c r="KFL186" s="225"/>
      <c r="KFM186" s="225"/>
      <c r="KFN186" s="225"/>
      <c r="KFO186" s="225"/>
      <c r="KFP186" s="225"/>
      <c r="KFQ186" s="225"/>
      <c r="KFR186" s="225"/>
      <c r="KFS186" s="225"/>
      <c r="KFT186" s="225"/>
      <c r="KFU186" s="225"/>
      <c r="KFV186" s="225"/>
      <c r="KFW186" s="225"/>
      <c r="KFX186" s="225"/>
      <c r="KFY186" s="225"/>
      <c r="KFZ186" s="225"/>
      <c r="KGA186" s="225"/>
      <c r="KGB186" s="225"/>
      <c r="KGC186" s="225"/>
      <c r="KGD186" s="225"/>
      <c r="KGE186" s="225"/>
      <c r="KGF186" s="225"/>
      <c r="KGG186" s="225"/>
      <c r="KGH186" s="225"/>
      <c r="KGI186" s="225"/>
      <c r="KGJ186" s="225"/>
      <c r="KGK186" s="225"/>
      <c r="KGL186" s="225"/>
      <c r="KGM186" s="225"/>
      <c r="KGN186" s="225"/>
      <c r="KGO186" s="225"/>
      <c r="KGP186" s="225"/>
      <c r="KGQ186" s="225"/>
      <c r="KGR186" s="225"/>
      <c r="KGS186" s="225"/>
      <c r="KGT186" s="225"/>
      <c r="KGU186" s="225"/>
      <c r="KGV186" s="225"/>
      <c r="KGW186" s="225"/>
      <c r="KGX186" s="225"/>
      <c r="KGY186" s="225"/>
      <c r="KGZ186" s="225"/>
      <c r="KHA186" s="225"/>
      <c r="KHB186" s="225"/>
      <c r="KHC186" s="225"/>
      <c r="KHD186" s="225"/>
      <c r="KHE186" s="225"/>
      <c r="KHF186" s="225"/>
      <c r="KHG186" s="225"/>
      <c r="KHH186" s="225"/>
      <c r="KHI186" s="225"/>
      <c r="KHJ186" s="225"/>
      <c r="KHK186" s="225"/>
      <c r="KHL186" s="225"/>
      <c r="KHM186" s="225"/>
      <c r="KHN186" s="225"/>
      <c r="KHO186" s="225"/>
      <c r="KHP186" s="225"/>
      <c r="KHQ186" s="225"/>
      <c r="KHR186" s="225"/>
      <c r="KHS186" s="225"/>
      <c r="KHT186" s="225"/>
      <c r="KHU186" s="225"/>
      <c r="KHV186" s="225"/>
      <c r="KHW186" s="225"/>
      <c r="KHX186" s="225"/>
      <c r="KHY186" s="225"/>
      <c r="KHZ186" s="225"/>
      <c r="KIA186" s="225"/>
      <c r="KIB186" s="225"/>
      <c r="KIC186" s="225"/>
      <c r="KID186" s="225"/>
      <c r="KIE186" s="225"/>
      <c r="KIF186" s="225"/>
      <c r="KIG186" s="225"/>
      <c r="KIH186" s="225"/>
      <c r="KII186" s="225"/>
      <c r="KIJ186" s="225"/>
      <c r="KIK186" s="225"/>
      <c r="KIL186" s="225"/>
      <c r="KIM186" s="225"/>
      <c r="KIN186" s="225"/>
      <c r="KIO186" s="225"/>
      <c r="KIP186" s="225"/>
      <c r="KIQ186" s="225"/>
      <c r="KIR186" s="225"/>
      <c r="KIS186" s="225"/>
      <c r="KIT186" s="225"/>
      <c r="KIU186" s="225"/>
      <c r="KIV186" s="225"/>
      <c r="KIW186" s="225"/>
      <c r="KIX186" s="225"/>
      <c r="KIY186" s="225"/>
      <c r="KIZ186" s="225"/>
      <c r="KJA186" s="225"/>
      <c r="KJB186" s="225"/>
      <c r="KJC186" s="225"/>
      <c r="KJD186" s="225"/>
      <c r="KJE186" s="225"/>
      <c r="KJF186" s="225"/>
      <c r="KJG186" s="225"/>
      <c r="KJH186" s="225"/>
      <c r="KJI186" s="225"/>
      <c r="KJJ186" s="225"/>
      <c r="KJK186" s="225"/>
      <c r="KJL186" s="225"/>
      <c r="KJM186" s="225"/>
      <c r="KJN186" s="225"/>
      <c r="KJO186" s="225"/>
      <c r="KJP186" s="225"/>
      <c r="KJQ186" s="225"/>
      <c r="KJR186" s="225"/>
      <c r="KJS186" s="225"/>
      <c r="KJT186" s="225"/>
      <c r="KJU186" s="225"/>
      <c r="KJV186" s="225"/>
      <c r="KJW186" s="225"/>
      <c r="KJX186" s="225"/>
      <c r="KJY186" s="225"/>
      <c r="KJZ186" s="225"/>
      <c r="KKA186" s="225"/>
      <c r="KKB186" s="225"/>
      <c r="KKC186" s="225"/>
      <c r="KKD186" s="225"/>
      <c r="KKE186" s="225"/>
      <c r="KKF186" s="225"/>
      <c r="KKG186" s="225"/>
      <c r="KKH186" s="225"/>
      <c r="KKI186" s="225"/>
      <c r="KKJ186" s="225"/>
      <c r="KKK186" s="225"/>
      <c r="KKL186" s="225"/>
      <c r="KKM186" s="225"/>
      <c r="KKN186" s="225"/>
      <c r="KKO186" s="225"/>
      <c r="KKP186" s="225"/>
      <c r="KKQ186" s="225"/>
      <c r="KKR186" s="225"/>
      <c r="KKS186" s="225"/>
      <c r="KKT186" s="225"/>
      <c r="KKU186" s="225"/>
      <c r="KKV186" s="225"/>
      <c r="KKW186" s="225"/>
      <c r="KKX186" s="225"/>
      <c r="KKY186" s="225"/>
      <c r="KKZ186" s="225"/>
      <c r="KLA186" s="225"/>
      <c r="KLB186" s="225"/>
      <c r="KLC186" s="225"/>
      <c r="KLD186" s="225"/>
      <c r="KLE186" s="225"/>
      <c r="KLF186" s="225"/>
      <c r="KLG186" s="225"/>
      <c r="KLH186" s="225"/>
      <c r="KLI186" s="225"/>
      <c r="KLJ186" s="225"/>
      <c r="KLK186" s="225"/>
      <c r="KLL186" s="225"/>
      <c r="KLM186" s="225"/>
      <c r="KLN186" s="225"/>
      <c r="KLO186" s="225"/>
      <c r="KLP186" s="225"/>
      <c r="KLQ186" s="225"/>
      <c r="KLR186" s="225"/>
      <c r="KLS186" s="225"/>
      <c r="KLT186" s="225"/>
      <c r="KLU186" s="225"/>
      <c r="KLV186" s="225"/>
      <c r="KLW186" s="225"/>
      <c r="KLX186" s="225"/>
      <c r="KLY186" s="225"/>
      <c r="KLZ186" s="225"/>
      <c r="KMA186" s="225"/>
      <c r="KMB186" s="225"/>
      <c r="KMC186" s="225"/>
      <c r="KMD186" s="225"/>
      <c r="KME186" s="225"/>
      <c r="KMF186" s="225"/>
      <c r="KMG186" s="225"/>
      <c r="KMH186" s="225"/>
      <c r="KMI186" s="225"/>
      <c r="KMJ186" s="225"/>
      <c r="KMK186" s="225"/>
      <c r="KML186" s="225"/>
      <c r="KMM186" s="225"/>
      <c r="KMN186" s="225"/>
      <c r="KMO186" s="225"/>
      <c r="KMP186" s="225"/>
      <c r="KMQ186" s="225"/>
      <c r="KMR186" s="225"/>
      <c r="KMS186" s="225"/>
      <c r="KMT186" s="225"/>
      <c r="KMU186" s="225"/>
      <c r="KMV186" s="225"/>
      <c r="KMW186" s="225"/>
      <c r="KMX186" s="225"/>
      <c r="KMY186" s="225"/>
      <c r="KMZ186" s="225"/>
      <c r="KNA186" s="225"/>
      <c r="KNB186" s="225"/>
      <c r="KNC186" s="225"/>
      <c r="KND186" s="225"/>
      <c r="KNE186" s="225"/>
      <c r="KNF186" s="225"/>
      <c r="KNG186" s="225"/>
      <c r="KNH186" s="225"/>
      <c r="KNI186" s="225"/>
      <c r="KNJ186" s="225"/>
      <c r="KNK186" s="225"/>
      <c r="KNL186" s="225"/>
      <c r="KNM186" s="225"/>
      <c r="KNN186" s="225"/>
      <c r="KNO186" s="225"/>
      <c r="KNP186" s="225"/>
      <c r="KNQ186" s="225"/>
      <c r="KNR186" s="225"/>
      <c r="KNS186" s="225"/>
      <c r="KNT186" s="225"/>
      <c r="KNU186" s="225"/>
      <c r="KNV186" s="225"/>
      <c r="KNW186" s="225"/>
      <c r="KNX186" s="225"/>
      <c r="KNY186" s="225"/>
      <c r="KNZ186" s="225"/>
      <c r="KOA186" s="225"/>
      <c r="KOB186" s="225"/>
      <c r="KOC186" s="225"/>
      <c r="KOD186" s="225"/>
      <c r="KOE186" s="225"/>
      <c r="KOF186" s="225"/>
      <c r="KOG186" s="225"/>
      <c r="KOH186" s="225"/>
      <c r="KOI186" s="225"/>
      <c r="KOJ186" s="225"/>
      <c r="KOK186" s="225"/>
      <c r="KOL186" s="225"/>
      <c r="KOM186" s="225"/>
      <c r="KON186" s="225"/>
      <c r="KOO186" s="225"/>
      <c r="KOP186" s="225"/>
      <c r="KOQ186" s="225"/>
      <c r="KOR186" s="225"/>
      <c r="KOS186" s="225"/>
      <c r="KOT186" s="225"/>
      <c r="KOU186" s="225"/>
      <c r="KOV186" s="225"/>
      <c r="KOW186" s="225"/>
      <c r="KOX186" s="225"/>
      <c r="KOY186" s="225"/>
      <c r="KOZ186" s="225"/>
      <c r="KPA186" s="225"/>
      <c r="KPB186" s="225"/>
      <c r="KPC186" s="225"/>
      <c r="KPD186" s="225"/>
      <c r="KPE186" s="225"/>
      <c r="KPF186" s="225"/>
      <c r="KPG186" s="225"/>
      <c r="KPH186" s="225"/>
      <c r="KPI186" s="225"/>
      <c r="KPJ186" s="225"/>
      <c r="KPK186" s="225"/>
      <c r="KPL186" s="225"/>
      <c r="KPM186" s="225"/>
      <c r="KPN186" s="225"/>
      <c r="KPO186" s="225"/>
      <c r="KPP186" s="225"/>
      <c r="KPQ186" s="225"/>
      <c r="KPR186" s="225"/>
      <c r="KPS186" s="225"/>
      <c r="KPT186" s="225"/>
      <c r="KPU186" s="225"/>
      <c r="KPV186" s="225"/>
      <c r="KPW186" s="225"/>
      <c r="KPX186" s="225"/>
      <c r="KPY186" s="225"/>
      <c r="KPZ186" s="225"/>
      <c r="KQA186" s="225"/>
      <c r="KQB186" s="225"/>
      <c r="KQC186" s="225"/>
      <c r="KQD186" s="225"/>
      <c r="KQE186" s="225"/>
      <c r="KQF186" s="225"/>
      <c r="KQG186" s="225"/>
      <c r="KQH186" s="225"/>
      <c r="KQI186" s="225"/>
      <c r="KQJ186" s="225"/>
      <c r="KQK186" s="225"/>
      <c r="KQL186" s="225"/>
      <c r="KQM186" s="225"/>
      <c r="KQN186" s="225"/>
      <c r="KQO186" s="225"/>
      <c r="KQP186" s="225"/>
      <c r="KQQ186" s="225"/>
      <c r="KQR186" s="225"/>
      <c r="KQS186" s="225"/>
      <c r="KQT186" s="225"/>
      <c r="KQU186" s="225"/>
      <c r="KQV186" s="225"/>
      <c r="KQW186" s="225"/>
      <c r="KQX186" s="225"/>
      <c r="KQY186" s="225"/>
      <c r="KQZ186" s="225"/>
      <c r="KRA186" s="225"/>
      <c r="KRB186" s="225"/>
      <c r="KRC186" s="225"/>
      <c r="KRD186" s="225"/>
      <c r="KRE186" s="225"/>
      <c r="KRF186" s="225"/>
      <c r="KRG186" s="225"/>
      <c r="KRH186" s="225"/>
      <c r="KRI186" s="225"/>
      <c r="KRJ186" s="225"/>
      <c r="KRK186" s="225"/>
      <c r="KRL186" s="225"/>
      <c r="KRM186" s="225"/>
      <c r="KRN186" s="225"/>
      <c r="KRO186" s="225"/>
      <c r="KRP186" s="225"/>
      <c r="KRQ186" s="225"/>
      <c r="KRR186" s="225"/>
      <c r="KRS186" s="225"/>
      <c r="KRT186" s="225"/>
      <c r="KRU186" s="225"/>
      <c r="KRV186" s="225"/>
      <c r="KRW186" s="225"/>
      <c r="KRX186" s="225"/>
      <c r="KRY186" s="225"/>
      <c r="KRZ186" s="225"/>
      <c r="KSA186" s="225"/>
      <c r="KSB186" s="225"/>
      <c r="KSC186" s="225"/>
      <c r="KSD186" s="225"/>
      <c r="KSE186" s="225"/>
      <c r="KSF186" s="225"/>
      <c r="KSG186" s="225"/>
      <c r="KSH186" s="225"/>
      <c r="KSI186" s="225"/>
      <c r="KSJ186" s="225"/>
      <c r="KSK186" s="225"/>
      <c r="KSL186" s="225"/>
      <c r="KSM186" s="225"/>
      <c r="KSN186" s="225"/>
      <c r="KSO186" s="225"/>
      <c r="KSP186" s="225"/>
      <c r="KSQ186" s="225"/>
      <c r="KSR186" s="225"/>
      <c r="KSS186" s="225"/>
      <c r="KST186" s="225"/>
      <c r="KSU186" s="225"/>
      <c r="KSV186" s="225"/>
      <c r="KSW186" s="225"/>
      <c r="KSX186" s="225"/>
      <c r="KSY186" s="225"/>
      <c r="KSZ186" s="225"/>
      <c r="KTA186" s="225"/>
      <c r="KTB186" s="225"/>
      <c r="KTC186" s="225"/>
      <c r="KTD186" s="225"/>
      <c r="KTE186" s="225"/>
      <c r="KTF186" s="225"/>
      <c r="KTG186" s="225"/>
      <c r="KTH186" s="225"/>
      <c r="KTI186" s="225"/>
      <c r="KTJ186" s="225"/>
      <c r="KTK186" s="225"/>
      <c r="KTL186" s="225"/>
      <c r="KTM186" s="225"/>
      <c r="KTN186" s="225"/>
      <c r="KTO186" s="225"/>
      <c r="KTP186" s="225"/>
      <c r="KTQ186" s="225"/>
      <c r="KTR186" s="225"/>
      <c r="KTS186" s="225"/>
      <c r="KTT186" s="225"/>
      <c r="KTU186" s="225"/>
      <c r="KTV186" s="225"/>
      <c r="KTW186" s="225"/>
      <c r="KTX186" s="225"/>
      <c r="KTY186" s="225"/>
      <c r="KTZ186" s="225"/>
      <c r="KUA186" s="225"/>
      <c r="KUB186" s="225"/>
      <c r="KUC186" s="225"/>
      <c r="KUD186" s="225"/>
      <c r="KUE186" s="225"/>
      <c r="KUF186" s="225"/>
      <c r="KUG186" s="225"/>
      <c r="KUH186" s="225"/>
      <c r="KUI186" s="225"/>
      <c r="KUJ186" s="225"/>
      <c r="KUK186" s="225"/>
      <c r="KUL186" s="225"/>
      <c r="KUM186" s="225"/>
      <c r="KUN186" s="225"/>
      <c r="KUO186" s="225"/>
      <c r="KUP186" s="225"/>
      <c r="KUQ186" s="225"/>
      <c r="KUR186" s="225"/>
      <c r="KUS186" s="225"/>
      <c r="KUT186" s="225"/>
      <c r="KUU186" s="225"/>
      <c r="KUV186" s="225"/>
      <c r="KUW186" s="225"/>
      <c r="KUX186" s="225"/>
      <c r="KUY186" s="225"/>
      <c r="KUZ186" s="225"/>
      <c r="KVA186" s="225"/>
      <c r="KVB186" s="225"/>
      <c r="KVC186" s="225"/>
      <c r="KVD186" s="225"/>
      <c r="KVE186" s="225"/>
      <c r="KVF186" s="225"/>
      <c r="KVG186" s="225"/>
      <c r="KVH186" s="225"/>
      <c r="KVI186" s="225"/>
      <c r="KVJ186" s="225"/>
      <c r="KVK186" s="225"/>
      <c r="KVL186" s="225"/>
      <c r="KVM186" s="225"/>
      <c r="KVN186" s="225"/>
      <c r="KVO186" s="225"/>
      <c r="KVP186" s="225"/>
      <c r="KVQ186" s="225"/>
      <c r="KVR186" s="225"/>
      <c r="KVS186" s="225"/>
      <c r="KVT186" s="225"/>
      <c r="KVU186" s="225"/>
      <c r="KVV186" s="225"/>
      <c r="KVW186" s="225"/>
      <c r="KVX186" s="225"/>
      <c r="KVY186" s="225"/>
      <c r="KVZ186" s="225"/>
      <c r="KWA186" s="225"/>
      <c r="KWB186" s="225"/>
      <c r="KWC186" s="225"/>
      <c r="KWD186" s="225"/>
      <c r="KWE186" s="225"/>
      <c r="KWF186" s="225"/>
      <c r="KWG186" s="225"/>
      <c r="KWH186" s="225"/>
      <c r="KWI186" s="225"/>
      <c r="KWJ186" s="225"/>
      <c r="KWK186" s="225"/>
      <c r="KWL186" s="225"/>
      <c r="KWM186" s="225"/>
      <c r="KWN186" s="225"/>
      <c r="KWO186" s="225"/>
      <c r="KWP186" s="225"/>
      <c r="KWQ186" s="225"/>
      <c r="KWR186" s="225"/>
      <c r="KWS186" s="225"/>
      <c r="KWT186" s="225"/>
      <c r="KWU186" s="225"/>
      <c r="KWV186" s="225"/>
      <c r="KWW186" s="225"/>
      <c r="KWX186" s="225"/>
      <c r="KWY186" s="225"/>
      <c r="KWZ186" s="225"/>
      <c r="KXA186" s="225"/>
      <c r="KXB186" s="225"/>
      <c r="KXC186" s="225"/>
      <c r="KXD186" s="225"/>
      <c r="KXE186" s="225"/>
      <c r="KXF186" s="225"/>
      <c r="KXG186" s="225"/>
      <c r="KXH186" s="225"/>
      <c r="KXI186" s="225"/>
      <c r="KXJ186" s="225"/>
      <c r="KXK186" s="225"/>
      <c r="KXL186" s="225"/>
      <c r="KXM186" s="225"/>
      <c r="KXN186" s="225"/>
      <c r="KXO186" s="225"/>
      <c r="KXP186" s="225"/>
      <c r="KXQ186" s="225"/>
      <c r="KXR186" s="225"/>
      <c r="KXS186" s="225"/>
      <c r="KXT186" s="225"/>
      <c r="KXU186" s="225"/>
      <c r="KXV186" s="225"/>
      <c r="KXW186" s="225"/>
      <c r="KXX186" s="225"/>
      <c r="KXY186" s="225"/>
      <c r="KXZ186" s="225"/>
      <c r="KYA186" s="225"/>
      <c r="KYB186" s="225"/>
      <c r="KYC186" s="225"/>
      <c r="KYD186" s="225"/>
      <c r="KYE186" s="225"/>
      <c r="KYF186" s="225"/>
      <c r="KYG186" s="225"/>
      <c r="KYH186" s="225"/>
      <c r="KYI186" s="225"/>
      <c r="KYJ186" s="225"/>
      <c r="KYK186" s="225"/>
      <c r="KYL186" s="225"/>
      <c r="KYM186" s="225"/>
      <c r="KYN186" s="225"/>
      <c r="KYO186" s="225"/>
      <c r="KYP186" s="225"/>
      <c r="KYQ186" s="225"/>
      <c r="KYR186" s="225"/>
      <c r="KYS186" s="225"/>
      <c r="KYT186" s="225"/>
      <c r="KYU186" s="225"/>
      <c r="KYV186" s="225"/>
      <c r="KYW186" s="225"/>
      <c r="KYX186" s="225"/>
      <c r="KYY186" s="225"/>
      <c r="KYZ186" s="225"/>
      <c r="KZA186" s="225"/>
      <c r="KZB186" s="225"/>
      <c r="KZC186" s="225"/>
      <c r="KZD186" s="225"/>
      <c r="KZE186" s="225"/>
      <c r="KZF186" s="225"/>
      <c r="KZG186" s="225"/>
      <c r="KZH186" s="225"/>
      <c r="KZI186" s="225"/>
      <c r="KZJ186" s="225"/>
      <c r="KZK186" s="225"/>
      <c r="KZL186" s="225"/>
      <c r="KZM186" s="225"/>
      <c r="KZN186" s="225"/>
      <c r="KZO186" s="225"/>
      <c r="KZP186" s="225"/>
      <c r="KZQ186" s="225"/>
      <c r="KZR186" s="225"/>
      <c r="KZS186" s="225"/>
      <c r="KZT186" s="225"/>
      <c r="KZU186" s="225"/>
      <c r="KZV186" s="225"/>
      <c r="KZW186" s="225"/>
      <c r="KZX186" s="225"/>
      <c r="KZY186" s="225"/>
      <c r="KZZ186" s="225"/>
      <c r="LAA186" s="225"/>
      <c r="LAB186" s="225"/>
      <c r="LAC186" s="225"/>
      <c r="LAD186" s="225"/>
      <c r="LAE186" s="225"/>
      <c r="LAF186" s="225"/>
      <c r="LAG186" s="225"/>
      <c r="LAH186" s="225"/>
      <c r="LAI186" s="225"/>
      <c r="LAJ186" s="225"/>
      <c r="LAK186" s="225"/>
      <c r="LAL186" s="225"/>
      <c r="LAM186" s="225"/>
      <c r="LAN186" s="225"/>
      <c r="LAO186" s="225"/>
      <c r="LAP186" s="225"/>
      <c r="LAQ186" s="225"/>
      <c r="LAR186" s="225"/>
      <c r="LAS186" s="225"/>
      <c r="LAT186" s="225"/>
      <c r="LAU186" s="225"/>
      <c r="LAV186" s="225"/>
      <c r="LAW186" s="225"/>
      <c r="LAX186" s="225"/>
      <c r="LAY186" s="225"/>
      <c r="LAZ186" s="225"/>
      <c r="LBA186" s="225"/>
      <c r="LBB186" s="225"/>
      <c r="LBC186" s="225"/>
      <c r="LBD186" s="225"/>
      <c r="LBE186" s="225"/>
      <c r="LBF186" s="225"/>
      <c r="LBG186" s="225"/>
      <c r="LBH186" s="225"/>
      <c r="LBI186" s="225"/>
      <c r="LBJ186" s="225"/>
      <c r="LBK186" s="225"/>
      <c r="LBL186" s="225"/>
      <c r="LBM186" s="225"/>
      <c r="LBN186" s="225"/>
      <c r="LBO186" s="225"/>
      <c r="LBP186" s="225"/>
      <c r="LBQ186" s="225"/>
      <c r="LBR186" s="225"/>
      <c r="LBS186" s="225"/>
      <c r="LBT186" s="225"/>
      <c r="LBU186" s="225"/>
      <c r="LBV186" s="225"/>
      <c r="LBW186" s="225"/>
      <c r="LBX186" s="225"/>
      <c r="LBY186" s="225"/>
      <c r="LBZ186" s="225"/>
      <c r="LCA186" s="225"/>
      <c r="LCB186" s="225"/>
      <c r="LCC186" s="225"/>
      <c r="LCD186" s="225"/>
      <c r="LCE186" s="225"/>
      <c r="LCF186" s="225"/>
      <c r="LCG186" s="225"/>
      <c r="LCH186" s="225"/>
      <c r="LCI186" s="225"/>
      <c r="LCJ186" s="225"/>
      <c r="LCK186" s="225"/>
      <c r="LCL186" s="225"/>
      <c r="LCM186" s="225"/>
      <c r="LCN186" s="225"/>
      <c r="LCO186" s="225"/>
      <c r="LCP186" s="225"/>
      <c r="LCQ186" s="225"/>
      <c r="LCR186" s="225"/>
      <c r="LCS186" s="225"/>
      <c r="LCT186" s="225"/>
      <c r="LCU186" s="225"/>
      <c r="LCV186" s="225"/>
      <c r="LCW186" s="225"/>
      <c r="LCX186" s="225"/>
      <c r="LCY186" s="225"/>
      <c r="LCZ186" s="225"/>
      <c r="LDA186" s="225"/>
      <c r="LDB186" s="225"/>
      <c r="LDC186" s="225"/>
      <c r="LDD186" s="225"/>
      <c r="LDE186" s="225"/>
      <c r="LDF186" s="225"/>
      <c r="LDG186" s="225"/>
      <c r="LDH186" s="225"/>
      <c r="LDI186" s="225"/>
      <c r="LDJ186" s="225"/>
      <c r="LDK186" s="225"/>
      <c r="LDL186" s="225"/>
      <c r="LDM186" s="225"/>
      <c r="LDN186" s="225"/>
      <c r="LDO186" s="225"/>
      <c r="LDP186" s="225"/>
      <c r="LDQ186" s="225"/>
      <c r="LDR186" s="225"/>
      <c r="LDS186" s="225"/>
      <c r="LDT186" s="225"/>
      <c r="LDU186" s="225"/>
      <c r="LDV186" s="225"/>
      <c r="LDW186" s="225"/>
      <c r="LDX186" s="225"/>
      <c r="LDY186" s="225"/>
      <c r="LDZ186" s="225"/>
      <c r="LEA186" s="225"/>
      <c r="LEB186" s="225"/>
      <c r="LEC186" s="225"/>
      <c r="LED186" s="225"/>
      <c r="LEE186" s="225"/>
      <c r="LEF186" s="225"/>
      <c r="LEG186" s="225"/>
      <c r="LEH186" s="225"/>
      <c r="LEI186" s="225"/>
      <c r="LEJ186" s="225"/>
      <c r="LEK186" s="225"/>
      <c r="LEL186" s="225"/>
      <c r="LEM186" s="225"/>
      <c r="LEN186" s="225"/>
      <c r="LEO186" s="225"/>
      <c r="LEP186" s="225"/>
      <c r="LEQ186" s="225"/>
      <c r="LER186" s="225"/>
      <c r="LES186" s="225"/>
      <c r="LET186" s="225"/>
      <c r="LEU186" s="225"/>
      <c r="LEV186" s="225"/>
      <c r="LEW186" s="225"/>
      <c r="LEX186" s="225"/>
      <c r="LEY186" s="225"/>
      <c r="LEZ186" s="225"/>
      <c r="LFA186" s="225"/>
      <c r="LFB186" s="225"/>
      <c r="LFC186" s="225"/>
      <c r="LFD186" s="225"/>
      <c r="LFE186" s="225"/>
      <c r="LFF186" s="225"/>
      <c r="LFG186" s="225"/>
      <c r="LFH186" s="225"/>
      <c r="LFI186" s="225"/>
      <c r="LFJ186" s="225"/>
      <c r="LFK186" s="225"/>
      <c r="LFL186" s="225"/>
      <c r="LFM186" s="225"/>
      <c r="LFN186" s="225"/>
      <c r="LFO186" s="225"/>
      <c r="LFP186" s="225"/>
      <c r="LFQ186" s="225"/>
      <c r="LFR186" s="225"/>
      <c r="LFS186" s="225"/>
      <c r="LFT186" s="225"/>
      <c r="LFU186" s="225"/>
      <c r="LFV186" s="225"/>
      <c r="LFW186" s="225"/>
      <c r="LFX186" s="225"/>
      <c r="LFY186" s="225"/>
      <c r="LFZ186" s="225"/>
      <c r="LGA186" s="225"/>
      <c r="LGB186" s="225"/>
      <c r="LGC186" s="225"/>
      <c r="LGD186" s="225"/>
      <c r="LGE186" s="225"/>
      <c r="LGF186" s="225"/>
      <c r="LGG186" s="225"/>
      <c r="LGH186" s="225"/>
      <c r="LGI186" s="225"/>
      <c r="LGJ186" s="225"/>
      <c r="LGK186" s="225"/>
      <c r="LGL186" s="225"/>
      <c r="LGM186" s="225"/>
      <c r="LGN186" s="225"/>
      <c r="LGO186" s="225"/>
      <c r="LGP186" s="225"/>
      <c r="LGQ186" s="225"/>
      <c r="LGR186" s="225"/>
      <c r="LGS186" s="225"/>
      <c r="LGT186" s="225"/>
      <c r="LGU186" s="225"/>
      <c r="LGV186" s="225"/>
      <c r="LGW186" s="225"/>
      <c r="LGX186" s="225"/>
      <c r="LGY186" s="225"/>
      <c r="LGZ186" s="225"/>
      <c r="LHA186" s="225"/>
      <c r="LHB186" s="225"/>
      <c r="LHC186" s="225"/>
      <c r="LHD186" s="225"/>
      <c r="LHE186" s="225"/>
      <c r="LHF186" s="225"/>
      <c r="LHG186" s="225"/>
      <c r="LHH186" s="225"/>
      <c r="LHI186" s="225"/>
      <c r="LHJ186" s="225"/>
      <c r="LHK186" s="225"/>
      <c r="LHL186" s="225"/>
      <c r="LHM186" s="225"/>
      <c r="LHN186" s="225"/>
      <c r="LHO186" s="225"/>
      <c r="LHP186" s="225"/>
      <c r="LHQ186" s="225"/>
      <c r="LHR186" s="225"/>
      <c r="LHS186" s="225"/>
      <c r="LHT186" s="225"/>
      <c r="LHU186" s="225"/>
      <c r="LHV186" s="225"/>
      <c r="LHW186" s="225"/>
      <c r="LHX186" s="225"/>
      <c r="LHY186" s="225"/>
      <c r="LHZ186" s="225"/>
      <c r="LIA186" s="225"/>
      <c r="LIB186" s="225"/>
      <c r="LIC186" s="225"/>
      <c r="LID186" s="225"/>
      <c r="LIE186" s="225"/>
      <c r="LIF186" s="225"/>
      <c r="LIG186" s="225"/>
      <c r="LIH186" s="225"/>
      <c r="LII186" s="225"/>
      <c r="LIJ186" s="225"/>
      <c r="LIK186" s="225"/>
      <c r="LIL186" s="225"/>
      <c r="LIM186" s="225"/>
      <c r="LIN186" s="225"/>
      <c r="LIO186" s="225"/>
      <c r="LIP186" s="225"/>
      <c r="LIQ186" s="225"/>
      <c r="LIR186" s="225"/>
      <c r="LIS186" s="225"/>
      <c r="LIT186" s="225"/>
      <c r="LIU186" s="225"/>
      <c r="LIV186" s="225"/>
      <c r="LIW186" s="225"/>
      <c r="LIX186" s="225"/>
      <c r="LIY186" s="225"/>
      <c r="LIZ186" s="225"/>
      <c r="LJA186" s="225"/>
      <c r="LJB186" s="225"/>
      <c r="LJC186" s="225"/>
      <c r="LJD186" s="225"/>
      <c r="LJE186" s="225"/>
      <c r="LJF186" s="225"/>
      <c r="LJG186" s="225"/>
      <c r="LJH186" s="225"/>
      <c r="LJI186" s="225"/>
      <c r="LJJ186" s="225"/>
      <c r="LJK186" s="225"/>
      <c r="LJL186" s="225"/>
      <c r="LJM186" s="225"/>
      <c r="LJN186" s="225"/>
      <c r="LJO186" s="225"/>
      <c r="LJP186" s="225"/>
      <c r="LJQ186" s="225"/>
      <c r="LJR186" s="225"/>
      <c r="LJS186" s="225"/>
      <c r="LJT186" s="225"/>
      <c r="LJU186" s="225"/>
      <c r="LJV186" s="225"/>
      <c r="LJW186" s="225"/>
      <c r="LJX186" s="225"/>
      <c r="LJY186" s="225"/>
      <c r="LJZ186" s="225"/>
      <c r="LKA186" s="225"/>
      <c r="LKB186" s="225"/>
      <c r="LKC186" s="225"/>
      <c r="LKD186" s="225"/>
      <c r="LKE186" s="225"/>
      <c r="LKF186" s="225"/>
      <c r="LKG186" s="225"/>
      <c r="LKH186" s="225"/>
      <c r="LKI186" s="225"/>
      <c r="LKJ186" s="225"/>
      <c r="LKK186" s="225"/>
      <c r="LKL186" s="225"/>
      <c r="LKM186" s="225"/>
      <c r="LKN186" s="225"/>
      <c r="LKO186" s="225"/>
      <c r="LKP186" s="225"/>
      <c r="LKQ186" s="225"/>
      <c r="LKR186" s="225"/>
      <c r="LKS186" s="225"/>
      <c r="LKT186" s="225"/>
      <c r="LKU186" s="225"/>
      <c r="LKV186" s="225"/>
      <c r="LKW186" s="225"/>
      <c r="LKX186" s="225"/>
      <c r="LKY186" s="225"/>
      <c r="LKZ186" s="225"/>
      <c r="LLA186" s="225"/>
      <c r="LLB186" s="225"/>
      <c r="LLC186" s="225"/>
      <c r="LLD186" s="225"/>
      <c r="LLE186" s="225"/>
      <c r="LLF186" s="225"/>
      <c r="LLG186" s="225"/>
      <c r="LLH186" s="225"/>
      <c r="LLI186" s="225"/>
      <c r="LLJ186" s="225"/>
      <c r="LLK186" s="225"/>
      <c r="LLL186" s="225"/>
      <c r="LLM186" s="225"/>
      <c r="LLN186" s="225"/>
      <c r="LLO186" s="225"/>
      <c r="LLP186" s="225"/>
      <c r="LLQ186" s="225"/>
      <c r="LLR186" s="225"/>
      <c r="LLS186" s="225"/>
      <c r="LLT186" s="225"/>
      <c r="LLU186" s="225"/>
      <c r="LLV186" s="225"/>
      <c r="LLW186" s="225"/>
      <c r="LLX186" s="225"/>
      <c r="LLY186" s="225"/>
      <c r="LLZ186" s="225"/>
      <c r="LMA186" s="225"/>
      <c r="LMB186" s="225"/>
      <c r="LMC186" s="225"/>
      <c r="LMD186" s="225"/>
      <c r="LME186" s="225"/>
      <c r="LMF186" s="225"/>
      <c r="LMG186" s="225"/>
      <c r="LMH186" s="225"/>
      <c r="LMI186" s="225"/>
      <c r="LMJ186" s="225"/>
      <c r="LMK186" s="225"/>
      <c r="LML186" s="225"/>
      <c r="LMM186" s="225"/>
      <c r="LMN186" s="225"/>
      <c r="LMO186" s="225"/>
      <c r="LMP186" s="225"/>
      <c r="LMQ186" s="225"/>
      <c r="LMR186" s="225"/>
      <c r="LMS186" s="225"/>
      <c r="LMT186" s="225"/>
      <c r="LMU186" s="225"/>
      <c r="LMV186" s="225"/>
      <c r="LMW186" s="225"/>
      <c r="LMX186" s="225"/>
      <c r="LMY186" s="225"/>
      <c r="LMZ186" s="225"/>
      <c r="LNA186" s="225"/>
      <c r="LNB186" s="225"/>
      <c r="LNC186" s="225"/>
      <c r="LND186" s="225"/>
      <c r="LNE186" s="225"/>
      <c r="LNF186" s="225"/>
      <c r="LNG186" s="225"/>
      <c r="LNH186" s="225"/>
      <c r="LNI186" s="225"/>
      <c r="LNJ186" s="225"/>
      <c r="LNK186" s="225"/>
      <c r="LNL186" s="225"/>
      <c r="LNM186" s="225"/>
      <c r="LNN186" s="225"/>
      <c r="LNO186" s="225"/>
      <c r="LNP186" s="225"/>
      <c r="LNQ186" s="225"/>
      <c r="LNR186" s="225"/>
      <c r="LNS186" s="225"/>
      <c r="LNT186" s="225"/>
      <c r="LNU186" s="225"/>
      <c r="LNV186" s="225"/>
      <c r="LNW186" s="225"/>
      <c r="LNX186" s="225"/>
      <c r="LNY186" s="225"/>
      <c r="LNZ186" s="225"/>
      <c r="LOA186" s="225"/>
      <c r="LOB186" s="225"/>
      <c r="LOC186" s="225"/>
      <c r="LOD186" s="225"/>
      <c r="LOE186" s="225"/>
      <c r="LOF186" s="225"/>
      <c r="LOG186" s="225"/>
      <c r="LOH186" s="225"/>
      <c r="LOI186" s="225"/>
      <c r="LOJ186" s="225"/>
      <c r="LOK186" s="225"/>
      <c r="LOL186" s="225"/>
      <c r="LOM186" s="225"/>
      <c r="LON186" s="225"/>
      <c r="LOO186" s="225"/>
      <c r="LOP186" s="225"/>
      <c r="LOQ186" s="225"/>
      <c r="LOR186" s="225"/>
      <c r="LOS186" s="225"/>
      <c r="LOT186" s="225"/>
      <c r="LOU186" s="225"/>
      <c r="LOV186" s="225"/>
      <c r="LOW186" s="225"/>
      <c r="LOX186" s="225"/>
      <c r="LOY186" s="225"/>
      <c r="LOZ186" s="225"/>
      <c r="LPA186" s="225"/>
      <c r="LPB186" s="225"/>
      <c r="LPC186" s="225"/>
      <c r="LPD186" s="225"/>
      <c r="LPE186" s="225"/>
      <c r="LPF186" s="225"/>
      <c r="LPG186" s="225"/>
      <c r="LPH186" s="225"/>
      <c r="LPI186" s="225"/>
      <c r="LPJ186" s="225"/>
      <c r="LPK186" s="225"/>
      <c r="LPL186" s="225"/>
      <c r="LPM186" s="225"/>
      <c r="LPN186" s="225"/>
      <c r="LPO186" s="225"/>
      <c r="LPP186" s="225"/>
      <c r="LPQ186" s="225"/>
      <c r="LPR186" s="225"/>
      <c r="LPS186" s="225"/>
      <c r="LPT186" s="225"/>
      <c r="LPU186" s="225"/>
      <c r="LPV186" s="225"/>
      <c r="LPW186" s="225"/>
      <c r="LPX186" s="225"/>
      <c r="LPY186" s="225"/>
      <c r="LPZ186" s="225"/>
      <c r="LQA186" s="225"/>
      <c r="LQB186" s="225"/>
      <c r="LQC186" s="225"/>
      <c r="LQD186" s="225"/>
      <c r="LQE186" s="225"/>
      <c r="LQF186" s="225"/>
      <c r="LQG186" s="225"/>
      <c r="LQH186" s="225"/>
      <c r="LQI186" s="225"/>
      <c r="LQJ186" s="225"/>
      <c r="LQK186" s="225"/>
      <c r="LQL186" s="225"/>
      <c r="LQM186" s="225"/>
      <c r="LQN186" s="225"/>
      <c r="LQO186" s="225"/>
      <c r="LQP186" s="225"/>
      <c r="LQQ186" s="225"/>
      <c r="LQR186" s="225"/>
      <c r="LQS186" s="225"/>
      <c r="LQT186" s="225"/>
      <c r="LQU186" s="225"/>
      <c r="LQV186" s="225"/>
      <c r="LQW186" s="225"/>
      <c r="LQX186" s="225"/>
      <c r="LQY186" s="225"/>
      <c r="LQZ186" s="225"/>
      <c r="LRA186" s="225"/>
      <c r="LRB186" s="225"/>
      <c r="LRC186" s="225"/>
      <c r="LRD186" s="225"/>
      <c r="LRE186" s="225"/>
      <c r="LRF186" s="225"/>
      <c r="LRG186" s="225"/>
      <c r="LRH186" s="225"/>
      <c r="LRI186" s="225"/>
      <c r="LRJ186" s="225"/>
      <c r="LRK186" s="225"/>
      <c r="LRL186" s="225"/>
      <c r="LRM186" s="225"/>
      <c r="LRN186" s="225"/>
      <c r="LRO186" s="225"/>
      <c r="LRP186" s="225"/>
      <c r="LRQ186" s="225"/>
      <c r="LRR186" s="225"/>
      <c r="LRS186" s="225"/>
      <c r="LRT186" s="225"/>
      <c r="LRU186" s="225"/>
      <c r="LRV186" s="225"/>
      <c r="LRW186" s="225"/>
      <c r="LRX186" s="225"/>
      <c r="LRY186" s="225"/>
      <c r="LRZ186" s="225"/>
      <c r="LSA186" s="225"/>
      <c r="LSB186" s="225"/>
      <c r="LSC186" s="225"/>
      <c r="LSD186" s="225"/>
      <c r="LSE186" s="225"/>
      <c r="LSF186" s="225"/>
      <c r="LSG186" s="225"/>
      <c r="LSH186" s="225"/>
      <c r="LSI186" s="225"/>
      <c r="LSJ186" s="225"/>
      <c r="LSK186" s="225"/>
      <c r="LSL186" s="225"/>
      <c r="LSM186" s="225"/>
      <c r="LSN186" s="225"/>
      <c r="LSO186" s="225"/>
      <c r="LSP186" s="225"/>
      <c r="LSQ186" s="225"/>
      <c r="LSR186" s="225"/>
      <c r="LSS186" s="225"/>
      <c r="LST186" s="225"/>
      <c r="LSU186" s="225"/>
      <c r="LSV186" s="225"/>
      <c r="LSW186" s="225"/>
      <c r="LSX186" s="225"/>
      <c r="LSY186" s="225"/>
      <c r="LSZ186" s="225"/>
      <c r="LTA186" s="225"/>
      <c r="LTB186" s="225"/>
      <c r="LTC186" s="225"/>
      <c r="LTD186" s="225"/>
      <c r="LTE186" s="225"/>
      <c r="LTF186" s="225"/>
      <c r="LTG186" s="225"/>
      <c r="LTH186" s="225"/>
      <c r="LTI186" s="225"/>
      <c r="LTJ186" s="225"/>
      <c r="LTK186" s="225"/>
      <c r="LTL186" s="225"/>
      <c r="LTM186" s="225"/>
      <c r="LTN186" s="225"/>
      <c r="LTO186" s="225"/>
      <c r="LTP186" s="225"/>
      <c r="LTQ186" s="225"/>
      <c r="LTR186" s="225"/>
      <c r="LTS186" s="225"/>
      <c r="LTT186" s="225"/>
      <c r="LTU186" s="225"/>
      <c r="LTV186" s="225"/>
      <c r="LTW186" s="225"/>
      <c r="LTX186" s="225"/>
      <c r="LTY186" s="225"/>
      <c r="LTZ186" s="225"/>
      <c r="LUA186" s="225"/>
      <c r="LUB186" s="225"/>
      <c r="LUC186" s="225"/>
      <c r="LUD186" s="225"/>
      <c r="LUE186" s="225"/>
      <c r="LUF186" s="225"/>
      <c r="LUG186" s="225"/>
      <c r="LUH186" s="225"/>
      <c r="LUI186" s="225"/>
      <c r="LUJ186" s="225"/>
      <c r="LUK186" s="225"/>
      <c r="LUL186" s="225"/>
      <c r="LUM186" s="225"/>
      <c r="LUN186" s="225"/>
      <c r="LUO186" s="225"/>
      <c r="LUP186" s="225"/>
      <c r="LUQ186" s="225"/>
      <c r="LUR186" s="225"/>
      <c r="LUS186" s="225"/>
      <c r="LUT186" s="225"/>
      <c r="LUU186" s="225"/>
      <c r="LUV186" s="225"/>
      <c r="LUW186" s="225"/>
      <c r="LUX186" s="225"/>
      <c r="LUY186" s="225"/>
      <c r="LUZ186" s="225"/>
      <c r="LVA186" s="225"/>
      <c r="LVB186" s="225"/>
      <c r="LVC186" s="225"/>
      <c r="LVD186" s="225"/>
      <c r="LVE186" s="225"/>
      <c r="LVF186" s="225"/>
      <c r="LVG186" s="225"/>
      <c r="LVH186" s="225"/>
      <c r="LVI186" s="225"/>
      <c r="LVJ186" s="225"/>
      <c r="LVK186" s="225"/>
      <c r="LVL186" s="225"/>
      <c r="LVM186" s="225"/>
      <c r="LVN186" s="225"/>
      <c r="LVO186" s="225"/>
      <c r="LVP186" s="225"/>
      <c r="LVQ186" s="225"/>
      <c r="LVR186" s="225"/>
      <c r="LVS186" s="225"/>
      <c r="LVT186" s="225"/>
      <c r="LVU186" s="225"/>
      <c r="LVV186" s="225"/>
      <c r="LVW186" s="225"/>
      <c r="LVX186" s="225"/>
      <c r="LVY186" s="225"/>
      <c r="LVZ186" s="225"/>
      <c r="LWA186" s="225"/>
      <c r="LWB186" s="225"/>
      <c r="LWC186" s="225"/>
      <c r="LWD186" s="225"/>
      <c r="LWE186" s="225"/>
      <c r="LWF186" s="225"/>
      <c r="LWG186" s="225"/>
      <c r="LWH186" s="225"/>
      <c r="LWI186" s="225"/>
      <c r="LWJ186" s="225"/>
      <c r="LWK186" s="225"/>
      <c r="LWL186" s="225"/>
      <c r="LWM186" s="225"/>
      <c r="LWN186" s="225"/>
      <c r="LWO186" s="225"/>
      <c r="LWP186" s="225"/>
      <c r="LWQ186" s="225"/>
      <c r="LWR186" s="225"/>
      <c r="LWS186" s="225"/>
      <c r="LWT186" s="225"/>
      <c r="LWU186" s="225"/>
      <c r="LWV186" s="225"/>
      <c r="LWW186" s="225"/>
      <c r="LWX186" s="225"/>
      <c r="LWY186" s="225"/>
      <c r="LWZ186" s="225"/>
      <c r="LXA186" s="225"/>
      <c r="LXB186" s="225"/>
      <c r="LXC186" s="225"/>
      <c r="LXD186" s="225"/>
      <c r="LXE186" s="225"/>
      <c r="LXF186" s="225"/>
      <c r="LXG186" s="225"/>
      <c r="LXH186" s="225"/>
      <c r="LXI186" s="225"/>
      <c r="LXJ186" s="225"/>
      <c r="LXK186" s="225"/>
      <c r="LXL186" s="225"/>
      <c r="LXM186" s="225"/>
      <c r="LXN186" s="225"/>
      <c r="LXO186" s="225"/>
      <c r="LXP186" s="225"/>
      <c r="LXQ186" s="225"/>
      <c r="LXR186" s="225"/>
      <c r="LXS186" s="225"/>
      <c r="LXT186" s="225"/>
      <c r="LXU186" s="225"/>
      <c r="LXV186" s="225"/>
      <c r="LXW186" s="225"/>
      <c r="LXX186" s="225"/>
      <c r="LXY186" s="225"/>
      <c r="LXZ186" s="225"/>
      <c r="LYA186" s="225"/>
      <c r="LYB186" s="225"/>
      <c r="LYC186" s="225"/>
      <c r="LYD186" s="225"/>
      <c r="LYE186" s="225"/>
      <c r="LYF186" s="225"/>
      <c r="LYG186" s="225"/>
      <c r="LYH186" s="225"/>
      <c r="LYI186" s="225"/>
      <c r="LYJ186" s="225"/>
      <c r="LYK186" s="225"/>
      <c r="LYL186" s="225"/>
      <c r="LYM186" s="225"/>
      <c r="LYN186" s="225"/>
      <c r="LYO186" s="225"/>
      <c r="LYP186" s="225"/>
      <c r="LYQ186" s="225"/>
      <c r="LYR186" s="225"/>
      <c r="LYS186" s="225"/>
      <c r="LYT186" s="225"/>
      <c r="LYU186" s="225"/>
      <c r="LYV186" s="225"/>
      <c r="LYW186" s="225"/>
      <c r="LYX186" s="225"/>
      <c r="LYY186" s="225"/>
      <c r="LYZ186" s="225"/>
      <c r="LZA186" s="225"/>
      <c r="LZB186" s="225"/>
      <c r="LZC186" s="225"/>
      <c r="LZD186" s="225"/>
      <c r="LZE186" s="225"/>
      <c r="LZF186" s="225"/>
      <c r="LZG186" s="225"/>
      <c r="LZH186" s="225"/>
      <c r="LZI186" s="225"/>
      <c r="LZJ186" s="225"/>
      <c r="LZK186" s="225"/>
      <c r="LZL186" s="225"/>
      <c r="LZM186" s="225"/>
      <c r="LZN186" s="225"/>
      <c r="LZO186" s="225"/>
      <c r="LZP186" s="225"/>
      <c r="LZQ186" s="225"/>
      <c r="LZR186" s="225"/>
      <c r="LZS186" s="225"/>
      <c r="LZT186" s="225"/>
      <c r="LZU186" s="225"/>
      <c r="LZV186" s="225"/>
      <c r="LZW186" s="225"/>
      <c r="LZX186" s="225"/>
      <c r="LZY186" s="225"/>
      <c r="LZZ186" s="225"/>
      <c r="MAA186" s="225"/>
      <c r="MAB186" s="225"/>
      <c r="MAC186" s="225"/>
      <c r="MAD186" s="225"/>
      <c r="MAE186" s="225"/>
      <c r="MAF186" s="225"/>
      <c r="MAG186" s="225"/>
      <c r="MAH186" s="225"/>
      <c r="MAI186" s="225"/>
      <c r="MAJ186" s="225"/>
      <c r="MAK186" s="225"/>
      <c r="MAL186" s="225"/>
      <c r="MAM186" s="225"/>
      <c r="MAN186" s="225"/>
      <c r="MAO186" s="225"/>
      <c r="MAP186" s="225"/>
      <c r="MAQ186" s="225"/>
      <c r="MAR186" s="225"/>
      <c r="MAS186" s="225"/>
      <c r="MAT186" s="225"/>
      <c r="MAU186" s="225"/>
      <c r="MAV186" s="225"/>
      <c r="MAW186" s="225"/>
      <c r="MAX186" s="225"/>
      <c r="MAY186" s="225"/>
      <c r="MAZ186" s="225"/>
      <c r="MBA186" s="225"/>
      <c r="MBB186" s="225"/>
      <c r="MBC186" s="225"/>
      <c r="MBD186" s="225"/>
      <c r="MBE186" s="225"/>
      <c r="MBF186" s="225"/>
      <c r="MBG186" s="225"/>
      <c r="MBH186" s="225"/>
      <c r="MBI186" s="225"/>
      <c r="MBJ186" s="225"/>
      <c r="MBK186" s="225"/>
      <c r="MBL186" s="225"/>
      <c r="MBM186" s="225"/>
      <c r="MBN186" s="225"/>
      <c r="MBO186" s="225"/>
      <c r="MBP186" s="225"/>
      <c r="MBQ186" s="225"/>
      <c r="MBR186" s="225"/>
      <c r="MBS186" s="225"/>
      <c r="MBT186" s="225"/>
      <c r="MBU186" s="225"/>
      <c r="MBV186" s="225"/>
      <c r="MBW186" s="225"/>
      <c r="MBX186" s="225"/>
      <c r="MBY186" s="225"/>
      <c r="MBZ186" s="225"/>
      <c r="MCA186" s="225"/>
      <c r="MCB186" s="225"/>
      <c r="MCC186" s="225"/>
      <c r="MCD186" s="225"/>
      <c r="MCE186" s="225"/>
      <c r="MCF186" s="225"/>
      <c r="MCG186" s="225"/>
      <c r="MCH186" s="225"/>
      <c r="MCI186" s="225"/>
      <c r="MCJ186" s="225"/>
      <c r="MCK186" s="225"/>
      <c r="MCL186" s="225"/>
      <c r="MCM186" s="225"/>
      <c r="MCN186" s="225"/>
      <c r="MCO186" s="225"/>
      <c r="MCP186" s="225"/>
      <c r="MCQ186" s="225"/>
      <c r="MCR186" s="225"/>
      <c r="MCS186" s="225"/>
      <c r="MCT186" s="225"/>
      <c r="MCU186" s="225"/>
      <c r="MCV186" s="225"/>
      <c r="MCW186" s="225"/>
      <c r="MCX186" s="225"/>
      <c r="MCY186" s="225"/>
      <c r="MCZ186" s="225"/>
      <c r="MDA186" s="225"/>
      <c r="MDB186" s="225"/>
      <c r="MDC186" s="225"/>
      <c r="MDD186" s="225"/>
      <c r="MDE186" s="225"/>
      <c r="MDF186" s="225"/>
      <c r="MDG186" s="225"/>
      <c r="MDH186" s="225"/>
      <c r="MDI186" s="225"/>
      <c r="MDJ186" s="225"/>
      <c r="MDK186" s="225"/>
      <c r="MDL186" s="225"/>
      <c r="MDM186" s="225"/>
      <c r="MDN186" s="225"/>
      <c r="MDO186" s="225"/>
      <c r="MDP186" s="225"/>
      <c r="MDQ186" s="225"/>
      <c r="MDR186" s="225"/>
      <c r="MDS186" s="225"/>
      <c r="MDT186" s="225"/>
      <c r="MDU186" s="225"/>
      <c r="MDV186" s="225"/>
      <c r="MDW186" s="225"/>
      <c r="MDX186" s="225"/>
      <c r="MDY186" s="225"/>
      <c r="MDZ186" s="225"/>
      <c r="MEA186" s="225"/>
      <c r="MEB186" s="225"/>
      <c r="MEC186" s="225"/>
      <c r="MED186" s="225"/>
      <c r="MEE186" s="225"/>
      <c r="MEF186" s="225"/>
      <c r="MEG186" s="225"/>
      <c r="MEH186" s="225"/>
      <c r="MEI186" s="225"/>
      <c r="MEJ186" s="225"/>
      <c r="MEK186" s="225"/>
      <c r="MEL186" s="225"/>
      <c r="MEM186" s="225"/>
      <c r="MEN186" s="225"/>
      <c r="MEO186" s="225"/>
      <c r="MEP186" s="225"/>
      <c r="MEQ186" s="225"/>
      <c r="MER186" s="225"/>
      <c r="MES186" s="225"/>
      <c r="MET186" s="225"/>
      <c r="MEU186" s="225"/>
      <c r="MEV186" s="225"/>
      <c r="MEW186" s="225"/>
      <c r="MEX186" s="225"/>
      <c r="MEY186" s="225"/>
      <c r="MEZ186" s="225"/>
      <c r="MFA186" s="225"/>
      <c r="MFB186" s="225"/>
      <c r="MFC186" s="225"/>
      <c r="MFD186" s="225"/>
      <c r="MFE186" s="225"/>
      <c r="MFF186" s="225"/>
      <c r="MFG186" s="225"/>
      <c r="MFH186" s="225"/>
      <c r="MFI186" s="225"/>
      <c r="MFJ186" s="225"/>
      <c r="MFK186" s="225"/>
      <c r="MFL186" s="225"/>
      <c r="MFM186" s="225"/>
      <c r="MFN186" s="225"/>
      <c r="MFO186" s="225"/>
      <c r="MFP186" s="225"/>
      <c r="MFQ186" s="225"/>
      <c r="MFR186" s="225"/>
      <c r="MFS186" s="225"/>
      <c r="MFT186" s="225"/>
      <c r="MFU186" s="225"/>
      <c r="MFV186" s="225"/>
      <c r="MFW186" s="225"/>
      <c r="MFX186" s="225"/>
      <c r="MFY186" s="225"/>
      <c r="MFZ186" s="225"/>
      <c r="MGA186" s="225"/>
      <c r="MGB186" s="225"/>
      <c r="MGC186" s="225"/>
      <c r="MGD186" s="225"/>
      <c r="MGE186" s="225"/>
      <c r="MGF186" s="225"/>
      <c r="MGG186" s="225"/>
      <c r="MGH186" s="225"/>
      <c r="MGI186" s="225"/>
      <c r="MGJ186" s="225"/>
      <c r="MGK186" s="225"/>
      <c r="MGL186" s="225"/>
      <c r="MGM186" s="225"/>
      <c r="MGN186" s="225"/>
      <c r="MGO186" s="225"/>
      <c r="MGP186" s="225"/>
      <c r="MGQ186" s="225"/>
      <c r="MGR186" s="225"/>
      <c r="MGS186" s="225"/>
      <c r="MGT186" s="225"/>
      <c r="MGU186" s="225"/>
      <c r="MGV186" s="225"/>
      <c r="MGW186" s="225"/>
      <c r="MGX186" s="225"/>
      <c r="MGY186" s="225"/>
      <c r="MGZ186" s="225"/>
      <c r="MHA186" s="225"/>
      <c r="MHB186" s="225"/>
      <c r="MHC186" s="225"/>
      <c r="MHD186" s="225"/>
      <c r="MHE186" s="225"/>
      <c r="MHF186" s="225"/>
      <c r="MHG186" s="225"/>
      <c r="MHH186" s="225"/>
      <c r="MHI186" s="225"/>
      <c r="MHJ186" s="225"/>
      <c r="MHK186" s="225"/>
      <c r="MHL186" s="225"/>
      <c r="MHM186" s="225"/>
      <c r="MHN186" s="225"/>
      <c r="MHO186" s="225"/>
      <c r="MHP186" s="225"/>
      <c r="MHQ186" s="225"/>
      <c r="MHR186" s="225"/>
      <c r="MHS186" s="225"/>
      <c r="MHT186" s="225"/>
      <c r="MHU186" s="225"/>
      <c r="MHV186" s="225"/>
      <c r="MHW186" s="225"/>
      <c r="MHX186" s="225"/>
      <c r="MHY186" s="225"/>
      <c r="MHZ186" s="225"/>
      <c r="MIA186" s="225"/>
      <c r="MIB186" s="225"/>
      <c r="MIC186" s="225"/>
      <c r="MID186" s="225"/>
      <c r="MIE186" s="225"/>
      <c r="MIF186" s="225"/>
      <c r="MIG186" s="225"/>
      <c r="MIH186" s="225"/>
      <c r="MII186" s="225"/>
      <c r="MIJ186" s="225"/>
      <c r="MIK186" s="225"/>
      <c r="MIL186" s="225"/>
      <c r="MIM186" s="225"/>
      <c r="MIN186" s="225"/>
      <c r="MIO186" s="225"/>
      <c r="MIP186" s="225"/>
      <c r="MIQ186" s="225"/>
      <c r="MIR186" s="225"/>
      <c r="MIS186" s="225"/>
      <c r="MIT186" s="225"/>
      <c r="MIU186" s="225"/>
      <c r="MIV186" s="225"/>
      <c r="MIW186" s="225"/>
      <c r="MIX186" s="225"/>
      <c r="MIY186" s="225"/>
      <c r="MIZ186" s="225"/>
      <c r="MJA186" s="225"/>
      <c r="MJB186" s="225"/>
      <c r="MJC186" s="225"/>
      <c r="MJD186" s="225"/>
      <c r="MJE186" s="225"/>
      <c r="MJF186" s="225"/>
      <c r="MJG186" s="225"/>
      <c r="MJH186" s="225"/>
      <c r="MJI186" s="225"/>
      <c r="MJJ186" s="225"/>
      <c r="MJK186" s="225"/>
      <c r="MJL186" s="225"/>
      <c r="MJM186" s="225"/>
      <c r="MJN186" s="225"/>
      <c r="MJO186" s="225"/>
      <c r="MJP186" s="225"/>
      <c r="MJQ186" s="225"/>
      <c r="MJR186" s="225"/>
      <c r="MJS186" s="225"/>
      <c r="MJT186" s="225"/>
      <c r="MJU186" s="225"/>
      <c r="MJV186" s="225"/>
      <c r="MJW186" s="225"/>
      <c r="MJX186" s="225"/>
      <c r="MJY186" s="225"/>
      <c r="MJZ186" s="225"/>
      <c r="MKA186" s="225"/>
      <c r="MKB186" s="225"/>
      <c r="MKC186" s="225"/>
      <c r="MKD186" s="225"/>
      <c r="MKE186" s="225"/>
      <c r="MKF186" s="225"/>
      <c r="MKG186" s="225"/>
      <c r="MKH186" s="225"/>
      <c r="MKI186" s="225"/>
      <c r="MKJ186" s="225"/>
      <c r="MKK186" s="225"/>
      <c r="MKL186" s="225"/>
      <c r="MKM186" s="225"/>
      <c r="MKN186" s="225"/>
      <c r="MKO186" s="225"/>
      <c r="MKP186" s="225"/>
      <c r="MKQ186" s="225"/>
      <c r="MKR186" s="225"/>
      <c r="MKS186" s="225"/>
      <c r="MKT186" s="225"/>
      <c r="MKU186" s="225"/>
      <c r="MKV186" s="225"/>
      <c r="MKW186" s="225"/>
      <c r="MKX186" s="225"/>
      <c r="MKY186" s="225"/>
      <c r="MKZ186" s="225"/>
      <c r="MLA186" s="225"/>
      <c r="MLB186" s="225"/>
      <c r="MLC186" s="225"/>
      <c r="MLD186" s="225"/>
      <c r="MLE186" s="225"/>
      <c r="MLF186" s="225"/>
      <c r="MLG186" s="225"/>
      <c r="MLH186" s="225"/>
      <c r="MLI186" s="225"/>
      <c r="MLJ186" s="225"/>
      <c r="MLK186" s="225"/>
      <c r="MLL186" s="225"/>
      <c r="MLM186" s="225"/>
      <c r="MLN186" s="225"/>
      <c r="MLO186" s="225"/>
      <c r="MLP186" s="225"/>
      <c r="MLQ186" s="225"/>
      <c r="MLR186" s="225"/>
      <c r="MLS186" s="225"/>
      <c r="MLT186" s="225"/>
      <c r="MLU186" s="225"/>
      <c r="MLV186" s="225"/>
      <c r="MLW186" s="225"/>
      <c r="MLX186" s="225"/>
      <c r="MLY186" s="225"/>
      <c r="MLZ186" s="225"/>
      <c r="MMA186" s="225"/>
      <c r="MMB186" s="225"/>
      <c r="MMC186" s="225"/>
      <c r="MMD186" s="225"/>
      <c r="MME186" s="225"/>
      <c r="MMF186" s="225"/>
      <c r="MMG186" s="225"/>
      <c r="MMH186" s="225"/>
      <c r="MMI186" s="225"/>
      <c r="MMJ186" s="225"/>
      <c r="MMK186" s="225"/>
      <c r="MML186" s="225"/>
      <c r="MMM186" s="225"/>
      <c r="MMN186" s="225"/>
      <c r="MMO186" s="225"/>
      <c r="MMP186" s="225"/>
      <c r="MMQ186" s="225"/>
      <c r="MMR186" s="225"/>
      <c r="MMS186" s="225"/>
      <c r="MMT186" s="225"/>
      <c r="MMU186" s="225"/>
      <c r="MMV186" s="225"/>
      <c r="MMW186" s="225"/>
      <c r="MMX186" s="225"/>
      <c r="MMY186" s="225"/>
      <c r="MMZ186" s="225"/>
      <c r="MNA186" s="225"/>
      <c r="MNB186" s="225"/>
      <c r="MNC186" s="225"/>
      <c r="MND186" s="225"/>
      <c r="MNE186" s="225"/>
      <c r="MNF186" s="225"/>
      <c r="MNG186" s="225"/>
      <c r="MNH186" s="225"/>
      <c r="MNI186" s="225"/>
      <c r="MNJ186" s="225"/>
      <c r="MNK186" s="225"/>
      <c r="MNL186" s="225"/>
      <c r="MNM186" s="225"/>
      <c r="MNN186" s="225"/>
      <c r="MNO186" s="225"/>
      <c r="MNP186" s="225"/>
      <c r="MNQ186" s="225"/>
      <c r="MNR186" s="225"/>
      <c r="MNS186" s="225"/>
      <c r="MNT186" s="225"/>
      <c r="MNU186" s="225"/>
      <c r="MNV186" s="225"/>
      <c r="MNW186" s="225"/>
      <c r="MNX186" s="225"/>
      <c r="MNY186" s="225"/>
      <c r="MNZ186" s="225"/>
      <c r="MOA186" s="225"/>
      <c r="MOB186" s="225"/>
      <c r="MOC186" s="225"/>
      <c r="MOD186" s="225"/>
      <c r="MOE186" s="225"/>
      <c r="MOF186" s="225"/>
      <c r="MOG186" s="225"/>
      <c r="MOH186" s="225"/>
      <c r="MOI186" s="225"/>
      <c r="MOJ186" s="225"/>
      <c r="MOK186" s="225"/>
      <c r="MOL186" s="225"/>
      <c r="MOM186" s="225"/>
      <c r="MON186" s="225"/>
      <c r="MOO186" s="225"/>
      <c r="MOP186" s="225"/>
      <c r="MOQ186" s="225"/>
      <c r="MOR186" s="225"/>
      <c r="MOS186" s="225"/>
      <c r="MOT186" s="225"/>
      <c r="MOU186" s="225"/>
      <c r="MOV186" s="225"/>
      <c r="MOW186" s="225"/>
      <c r="MOX186" s="225"/>
      <c r="MOY186" s="225"/>
      <c r="MOZ186" s="225"/>
      <c r="MPA186" s="225"/>
      <c r="MPB186" s="225"/>
      <c r="MPC186" s="225"/>
      <c r="MPD186" s="225"/>
      <c r="MPE186" s="225"/>
      <c r="MPF186" s="225"/>
      <c r="MPG186" s="225"/>
      <c r="MPH186" s="225"/>
      <c r="MPI186" s="225"/>
      <c r="MPJ186" s="225"/>
      <c r="MPK186" s="225"/>
      <c r="MPL186" s="225"/>
      <c r="MPM186" s="225"/>
      <c r="MPN186" s="225"/>
      <c r="MPO186" s="225"/>
      <c r="MPP186" s="225"/>
      <c r="MPQ186" s="225"/>
      <c r="MPR186" s="225"/>
      <c r="MPS186" s="225"/>
      <c r="MPT186" s="225"/>
      <c r="MPU186" s="225"/>
      <c r="MPV186" s="225"/>
      <c r="MPW186" s="225"/>
      <c r="MPX186" s="225"/>
      <c r="MPY186" s="225"/>
      <c r="MPZ186" s="225"/>
      <c r="MQA186" s="225"/>
      <c r="MQB186" s="225"/>
      <c r="MQC186" s="225"/>
      <c r="MQD186" s="225"/>
      <c r="MQE186" s="225"/>
      <c r="MQF186" s="225"/>
      <c r="MQG186" s="225"/>
      <c r="MQH186" s="225"/>
      <c r="MQI186" s="225"/>
      <c r="MQJ186" s="225"/>
      <c r="MQK186" s="225"/>
      <c r="MQL186" s="225"/>
      <c r="MQM186" s="225"/>
      <c r="MQN186" s="225"/>
      <c r="MQO186" s="225"/>
      <c r="MQP186" s="225"/>
      <c r="MQQ186" s="225"/>
      <c r="MQR186" s="225"/>
      <c r="MQS186" s="225"/>
      <c r="MQT186" s="225"/>
      <c r="MQU186" s="225"/>
      <c r="MQV186" s="225"/>
      <c r="MQW186" s="225"/>
      <c r="MQX186" s="225"/>
      <c r="MQY186" s="225"/>
      <c r="MQZ186" s="225"/>
      <c r="MRA186" s="225"/>
      <c r="MRB186" s="225"/>
      <c r="MRC186" s="225"/>
      <c r="MRD186" s="225"/>
      <c r="MRE186" s="225"/>
      <c r="MRF186" s="225"/>
      <c r="MRG186" s="225"/>
      <c r="MRH186" s="225"/>
      <c r="MRI186" s="225"/>
      <c r="MRJ186" s="225"/>
      <c r="MRK186" s="225"/>
      <c r="MRL186" s="225"/>
      <c r="MRM186" s="225"/>
      <c r="MRN186" s="225"/>
      <c r="MRO186" s="225"/>
      <c r="MRP186" s="225"/>
      <c r="MRQ186" s="225"/>
      <c r="MRR186" s="225"/>
      <c r="MRS186" s="225"/>
      <c r="MRT186" s="225"/>
      <c r="MRU186" s="225"/>
      <c r="MRV186" s="225"/>
      <c r="MRW186" s="225"/>
      <c r="MRX186" s="225"/>
      <c r="MRY186" s="225"/>
      <c r="MRZ186" s="225"/>
      <c r="MSA186" s="225"/>
      <c r="MSB186" s="225"/>
      <c r="MSC186" s="225"/>
      <c r="MSD186" s="225"/>
      <c r="MSE186" s="225"/>
      <c r="MSF186" s="225"/>
      <c r="MSG186" s="225"/>
      <c r="MSH186" s="225"/>
      <c r="MSI186" s="225"/>
      <c r="MSJ186" s="225"/>
      <c r="MSK186" s="225"/>
      <c r="MSL186" s="225"/>
      <c r="MSM186" s="225"/>
      <c r="MSN186" s="225"/>
      <c r="MSO186" s="225"/>
      <c r="MSP186" s="225"/>
      <c r="MSQ186" s="225"/>
      <c r="MSR186" s="225"/>
      <c r="MSS186" s="225"/>
      <c r="MST186" s="225"/>
      <c r="MSU186" s="225"/>
      <c r="MSV186" s="225"/>
      <c r="MSW186" s="225"/>
      <c r="MSX186" s="225"/>
      <c r="MSY186" s="225"/>
      <c r="MSZ186" s="225"/>
      <c r="MTA186" s="225"/>
      <c r="MTB186" s="225"/>
      <c r="MTC186" s="225"/>
      <c r="MTD186" s="225"/>
      <c r="MTE186" s="225"/>
      <c r="MTF186" s="225"/>
      <c r="MTG186" s="225"/>
      <c r="MTH186" s="225"/>
      <c r="MTI186" s="225"/>
      <c r="MTJ186" s="225"/>
      <c r="MTK186" s="225"/>
      <c r="MTL186" s="225"/>
      <c r="MTM186" s="225"/>
      <c r="MTN186" s="225"/>
      <c r="MTO186" s="225"/>
      <c r="MTP186" s="225"/>
      <c r="MTQ186" s="225"/>
      <c r="MTR186" s="225"/>
      <c r="MTS186" s="225"/>
      <c r="MTT186" s="225"/>
      <c r="MTU186" s="225"/>
      <c r="MTV186" s="225"/>
      <c r="MTW186" s="225"/>
      <c r="MTX186" s="225"/>
      <c r="MTY186" s="225"/>
      <c r="MTZ186" s="225"/>
      <c r="MUA186" s="225"/>
      <c r="MUB186" s="225"/>
      <c r="MUC186" s="225"/>
      <c r="MUD186" s="225"/>
      <c r="MUE186" s="225"/>
      <c r="MUF186" s="225"/>
      <c r="MUG186" s="225"/>
      <c r="MUH186" s="225"/>
      <c r="MUI186" s="225"/>
      <c r="MUJ186" s="225"/>
      <c r="MUK186" s="225"/>
      <c r="MUL186" s="225"/>
      <c r="MUM186" s="225"/>
      <c r="MUN186" s="225"/>
      <c r="MUO186" s="225"/>
      <c r="MUP186" s="225"/>
      <c r="MUQ186" s="225"/>
      <c r="MUR186" s="225"/>
      <c r="MUS186" s="225"/>
      <c r="MUT186" s="225"/>
      <c r="MUU186" s="225"/>
      <c r="MUV186" s="225"/>
      <c r="MUW186" s="225"/>
      <c r="MUX186" s="225"/>
      <c r="MUY186" s="225"/>
      <c r="MUZ186" s="225"/>
      <c r="MVA186" s="225"/>
      <c r="MVB186" s="225"/>
      <c r="MVC186" s="225"/>
      <c r="MVD186" s="225"/>
      <c r="MVE186" s="225"/>
      <c r="MVF186" s="225"/>
      <c r="MVG186" s="225"/>
      <c r="MVH186" s="225"/>
      <c r="MVI186" s="225"/>
      <c r="MVJ186" s="225"/>
      <c r="MVK186" s="225"/>
      <c r="MVL186" s="225"/>
      <c r="MVM186" s="225"/>
      <c r="MVN186" s="225"/>
      <c r="MVO186" s="225"/>
      <c r="MVP186" s="225"/>
      <c r="MVQ186" s="225"/>
      <c r="MVR186" s="225"/>
      <c r="MVS186" s="225"/>
      <c r="MVT186" s="225"/>
      <c r="MVU186" s="225"/>
      <c r="MVV186" s="225"/>
      <c r="MVW186" s="225"/>
      <c r="MVX186" s="225"/>
      <c r="MVY186" s="225"/>
      <c r="MVZ186" s="225"/>
      <c r="MWA186" s="225"/>
      <c r="MWB186" s="225"/>
      <c r="MWC186" s="225"/>
      <c r="MWD186" s="225"/>
      <c r="MWE186" s="225"/>
      <c r="MWF186" s="225"/>
      <c r="MWG186" s="225"/>
      <c r="MWH186" s="225"/>
      <c r="MWI186" s="225"/>
      <c r="MWJ186" s="225"/>
      <c r="MWK186" s="225"/>
      <c r="MWL186" s="225"/>
      <c r="MWM186" s="225"/>
      <c r="MWN186" s="225"/>
      <c r="MWO186" s="225"/>
      <c r="MWP186" s="225"/>
      <c r="MWQ186" s="225"/>
      <c r="MWR186" s="225"/>
      <c r="MWS186" s="225"/>
      <c r="MWT186" s="225"/>
      <c r="MWU186" s="225"/>
      <c r="MWV186" s="225"/>
      <c r="MWW186" s="225"/>
      <c r="MWX186" s="225"/>
      <c r="MWY186" s="225"/>
      <c r="MWZ186" s="225"/>
      <c r="MXA186" s="225"/>
      <c r="MXB186" s="225"/>
      <c r="MXC186" s="225"/>
      <c r="MXD186" s="225"/>
      <c r="MXE186" s="225"/>
      <c r="MXF186" s="225"/>
      <c r="MXG186" s="225"/>
      <c r="MXH186" s="225"/>
      <c r="MXI186" s="225"/>
      <c r="MXJ186" s="225"/>
      <c r="MXK186" s="225"/>
      <c r="MXL186" s="225"/>
      <c r="MXM186" s="225"/>
      <c r="MXN186" s="225"/>
      <c r="MXO186" s="225"/>
      <c r="MXP186" s="225"/>
      <c r="MXQ186" s="225"/>
      <c r="MXR186" s="225"/>
      <c r="MXS186" s="225"/>
      <c r="MXT186" s="225"/>
      <c r="MXU186" s="225"/>
      <c r="MXV186" s="225"/>
      <c r="MXW186" s="225"/>
      <c r="MXX186" s="225"/>
      <c r="MXY186" s="225"/>
      <c r="MXZ186" s="225"/>
      <c r="MYA186" s="225"/>
      <c r="MYB186" s="225"/>
      <c r="MYC186" s="225"/>
      <c r="MYD186" s="225"/>
      <c r="MYE186" s="225"/>
      <c r="MYF186" s="225"/>
      <c r="MYG186" s="225"/>
      <c r="MYH186" s="225"/>
      <c r="MYI186" s="225"/>
      <c r="MYJ186" s="225"/>
      <c r="MYK186" s="225"/>
      <c r="MYL186" s="225"/>
      <c r="MYM186" s="225"/>
      <c r="MYN186" s="225"/>
      <c r="MYO186" s="225"/>
      <c r="MYP186" s="225"/>
      <c r="MYQ186" s="225"/>
      <c r="MYR186" s="225"/>
      <c r="MYS186" s="225"/>
      <c r="MYT186" s="225"/>
      <c r="MYU186" s="225"/>
      <c r="MYV186" s="225"/>
      <c r="MYW186" s="225"/>
      <c r="MYX186" s="225"/>
      <c r="MYY186" s="225"/>
      <c r="MYZ186" s="225"/>
      <c r="MZA186" s="225"/>
      <c r="MZB186" s="225"/>
      <c r="MZC186" s="225"/>
      <c r="MZD186" s="225"/>
      <c r="MZE186" s="225"/>
      <c r="MZF186" s="225"/>
      <c r="MZG186" s="225"/>
      <c r="MZH186" s="225"/>
      <c r="MZI186" s="225"/>
      <c r="MZJ186" s="225"/>
      <c r="MZK186" s="225"/>
      <c r="MZL186" s="225"/>
      <c r="MZM186" s="225"/>
      <c r="MZN186" s="225"/>
      <c r="MZO186" s="225"/>
      <c r="MZP186" s="225"/>
      <c r="MZQ186" s="225"/>
      <c r="MZR186" s="225"/>
      <c r="MZS186" s="225"/>
      <c r="MZT186" s="225"/>
      <c r="MZU186" s="225"/>
      <c r="MZV186" s="225"/>
      <c r="MZW186" s="225"/>
      <c r="MZX186" s="225"/>
      <c r="MZY186" s="225"/>
      <c r="MZZ186" s="225"/>
      <c r="NAA186" s="225"/>
      <c r="NAB186" s="225"/>
      <c r="NAC186" s="225"/>
      <c r="NAD186" s="225"/>
      <c r="NAE186" s="225"/>
      <c r="NAF186" s="225"/>
      <c r="NAG186" s="225"/>
      <c r="NAH186" s="225"/>
      <c r="NAI186" s="225"/>
      <c r="NAJ186" s="225"/>
      <c r="NAK186" s="225"/>
      <c r="NAL186" s="225"/>
      <c r="NAM186" s="225"/>
      <c r="NAN186" s="225"/>
      <c r="NAO186" s="225"/>
      <c r="NAP186" s="225"/>
      <c r="NAQ186" s="225"/>
      <c r="NAR186" s="225"/>
      <c r="NAS186" s="225"/>
      <c r="NAT186" s="225"/>
      <c r="NAU186" s="225"/>
      <c r="NAV186" s="225"/>
      <c r="NAW186" s="225"/>
      <c r="NAX186" s="225"/>
      <c r="NAY186" s="225"/>
      <c r="NAZ186" s="225"/>
      <c r="NBA186" s="225"/>
      <c r="NBB186" s="225"/>
      <c r="NBC186" s="225"/>
      <c r="NBD186" s="225"/>
      <c r="NBE186" s="225"/>
      <c r="NBF186" s="225"/>
      <c r="NBG186" s="225"/>
      <c r="NBH186" s="225"/>
      <c r="NBI186" s="225"/>
      <c r="NBJ186" s="225"/>
      <c r="NBK186" s="225"/>
      <c r="NBL186" s="225"/>
      <c r="NBM186" s="225"/>
      <c r="NBN186" s="225"/>
      <c r="NBO186" s="225"/>
      <c r="NBP186" s="225"/>
      <c r="NBQ186" s="225"/>
      <c r="NBR186" s="225"/>
      <c r="NBS186" s="225"/>
      <c r="NBT186" s="225"/>
      <c r="NBU186" s="225"/>
      <c r="NBV186" s="225"/>
      <c r="NBW186" s="225"/>
      <c r="NBX186" s="225"/>
      <c r="NBY186" s="225"/>
      <c r="NBZ186" s="225"/>
      <c r="NCA186" s="225"/>
      <c r="NCB186" s="225"/>
      <c r="NCC186" s="225"/>
      <c r="NCD186" s="225"/>
      <c r="NCE186" s="225"/>
      <c r="NCF186" s="225"/>
      <c r="NCG186" s="225"/>
      <c r="NCH186" s="225"/>
      <c r="NCI186" s="225"/>
      <c r="NCJ186" s="225"/>
      <c r="NCK186" s="225"/>
      <c r="NCL186" s="225"/>
      <c r="NCM186" s="225"/>
      <c r="NCN186" s="225"/>
      <c r="NCO186" s="225"/>
      <c r="NCP186" s="225"/>
      <c r="NCQ186" s="225"/>
      <c r="NCR186" s="225"/>
      <c r="NCS186" s="225"/>
      <c r="NCT186" s="225"/>
      <c r="NCU186" s="225"/>
      <c r="NCV186" s="225"/>
      <c r="NCW186" s="225"/>
      <c r="NCX186" s="225"/>
      <c r="NCY186" s="225"/>
      <c r="NCZ186" s="225"/>
      <c r="NDA186" s="225"/>
      <c r="NDB186" s="225"/>
      <c r="NDC186" s="225"/>
      <c r="NDD186" s="225"/>
      <c r="NDE186" s="225"/>
      <c r="NDF186" s="225"/>
      <c r="NDG186" s="225"/>
      <c r="NDH186" s="225"/>
      <c r="NDI186" s="225"/>
      <c r="NDJ186" s="225"/>
      <c r="NDK186" s="225"/>
      <c r="NDL186" s="225"/>
      <c r="NDM186" s="225"/>
      <c r="NDN186" s="225"/>
      <c r="NDO186" s="225"/>
      <c r="NDP186" s="225"/>
      <c r="NDQ186" s="225"/>
      <c r="NDR186" s="225"/>
      <c r="NDS186" s="225"/>
      <c r="NDT186" s="225"/>
      <c r="NDU186" s="225"/>
      <c r="NDV186" s="225"/>
      <c r="NDW186" s="225"/>
      <c r="NDX186" s="225"/>
      <c r="NDY186" s="225"/>
      <c r="NDZ186" s="225"/>
      <c r="NEA186" s="225"/>
      <c r="NEB186" s="225"/>
      <c r="NEC186" s="225"/>
      <c r="NED186" s="225"/>
      <c r="NEE186" s="225"/>
      <c r="NEF186" s="225"/>
      <c r="NEG186" s="225"/>
      <c r="NEH186" s="225"/>
      <c r="NEI186" s="225"/>
      <c r="NEJ186" s="225"/>
      <c r="NEK186" s="225"/>
      <c r="NEL186" s="225"/>
      <c r="NEM186" s="225"/>
      <c r="NEN186" s="225"/>
      <c r="NEO186" s="225"/>
      <c r="NEP186" s="225"/>
      <c r="NEQ186" s="225"/>
      <c r="NER186" s="225"/>
      <c r="NES186" s="225"/>
      <c r="NET186" s="225"/>
      <c r="NEU186" s="225"/>
      <c r="NEV186" s="225"/>
      <c r="NEW186" s="225"/>
      <c r="NEX186" s="225"/>
      <c r="NEY186" s="225"/>
      <c r="NEZ186" s="225"/>
      <c r="NFA186" s="225"/>
      <c r="NFB186" s="225"/>
      <c r="NFC186" s="225"/>
      <c r="NFD186" s="225"/>
      <c r="NFE186" s="225"/>
      <c r="NFF186" s="225"/>
      <c r="NFG186" s="225"/>
      <c r="NFH186" s="225"/>
      <c r="NFI186" s="225"/>
      <c r="NFJ186" s="225"/>
      <c r="NFK186" s="225"/>
      <c r="NFL186" s="225"/>
      <c r="NFM186" s="225"/>
      <c r="NFN186" s="225"/>
      <c r="NFO186" s="225"/>
      <c r="NFP186" s="225"/>
      <c r="NFQ186" s="225"/>
      <c r="NFR186" s="225"/>
      <c r="NFS186" s="225"/>
      <c r="NFT186" s="225"/>
      <c r="NFU186" s="225"/>
      <c r="NFV186" s="225"/>
      <c r="NFW186" s="225"/>
      <c r="NFX186" s="225"/>
      <c r="NFY186" s="225"/>
      <c r="NFZ186" s="225"/>
      <c r="NGA186" s="225"/>
      <c r="NGB186" s="225"/>
      <c r="NGC186" s="225"/>
      <c r="NGD186" s="225"/>
      <c r="NGE186" s="225"/>
      <c r="NGF186" s="225"/>
      <c r="NGG186" s="225"/>
      <c r="NGH186" s="225"/>
      <c r="NGI186" s="225"/>
      <c r="NGJ186" s="225"/>
      <c r="NGK186" s="225"/>
      <c r="NGL186" s="225"/>
      <c r="NGM186" s="225"/>
      <c r="NGN186" s="225"/>
      <c r="NGO186" s="225"/>
      <c r="NGP186" s="225"/>
      <c r="NGQ186" s="225"/>
      <c r="NGR186" s="225"/>
      <c r="NGS186" s="225"/>
      <c r="NGT186" s="225"/>
      <c r="NGU186" s="225"/>
      <c r="NGV186" s="225"/>
      <c r="NGW186" s="225"/>
      <c r="NGX186" s="225"/>
      <c r="NGY186" s="225"/>
      <c r="NGZ186" s="225"/>
      <c r="NHA186" s="225"/>
      <c r="NHB186" s="225"/>
      <c r="NHC186" s="225"/>
      <c r="NHD186" s="225"/>
      <c r="NHE186" s="225"/>
      <c r="NHF186" s="225"/>
      <c r="NHG186" s="225"/>
      <c r="NHH186" s="225"/>
      <c r="NHI186" s="225"/>
      <c r="NHJ186" s="225"/>
      <c r="NHK186" s="225"/>
      <c r="NHL186" s="225"/>
      <c r="NHM186" s="225"/>
      <c r="NHN186" s="225"/>
      <c r="NHO186" s="225"/>
      <c r="NHP186" s="225"/>
      <c r="NHQ186" s="225"/>
      <c r="NHR186" s="225"/>
      <c r="NHS186" s="225"/>
      <c r="NHT186" s="225"/>
      <c r="NHU186" s="225"/>
      <c r="NHV186" s="225"/>
      <c r="NHW186" s="225"/>
      <c r="NHX186" s="225"/>
      <c r="NHY186" s="225"/>
      <c r="NHZ186" s="225"/>
      <c r="NIA186" s="225"/>
      <c r="NIB186" s="225"/>
      <c r="NIC186" s="225"/>
      <c r="NID186" s="225"/>
      <c r="NIE186" s="225"/>
      <c r="NIF186" s="225"/>
      <c r="NIG186" s="225"/>
      <c r="NIH186" s="225"/>
      <c r="NII186" s="225"/>
      <c r="NIJ186" s="225"/>
      <c r="NIK186" s="225"/>
      <c r="NIL186" s="225"/>
      <c r="NIM186" s="225"/>
      <c r="NIN186" s="225"/>
      <c r="NIO186" s="225"/>
      <c r="NIP186" s="225"/>
      <c r="NIQ186" s="225"/>
      <c r="NIR186" s="225"/>
      <c r="NIS186" s="225"/>
      <c r="NIT186" s="225"/>
      <c r="NIU186" s="225"/>
      <c r="NIV186" s="225"/>
      <c r="NIW186" s="225"/>
      <c r="NIX186" s="225"/>
      <c r="NIY186" s="225"/>
      <c r="NIZ186" s="225"/>
      <c r="NJA186" s="225"/>
      <c r="NJB186" s="225"/>
      <c r="NJC186" s="225"/>
      <c r="NJD186" s="225"/>
      <c r="NJE186" s="225"/>
      <c r="NJF186" s="225"/>
      <c r="NJG186" s="225"/>
      <c r="NJH186" s="225"/>
      <c r="NJI186" s="225"/>
      <c r="NJJ186" s="225"/>
      <c r="NJK186" s="225"/>
      <c r="NJL186" s="225"/>
      <c r="NJM186" s="225"/>
      <c r="NJN186" s="225"/>
      <c r="NJO186" s="225"/>
      <c r="NJP186" s="225"/>
      <c r="NJQ186" s="225"/>
      <c r="NJR186" s="225"/>
      <c r="NJS186" s="225"/>
      <c r="NJT186" s="225"/>
      <c r="NJU186" s="225"/>
      <c r="NJV186" s="225"/>
      <c r="NJW186" s="225"/>
      <c r="NJX186" s="225"/>
      <c r="NJY186" s="225"/>
      <c r="NJZ186" s="225"/>
      <c r="NKA186" s="225"/>
      <c r="NKB186" s="225"/>
      <c r="NKC186" s="225"/>
      <c r="NKD186" s="225"/>
      <c r="NKE186" s="225"/>
      <c r="NKF186" s="225"/>
      <c r="NKG186" s="225"/>
      <c r="NKH186" s="225"/>
      <c r="NKI186" s="225"/>
      <c r="NKJ186" s="225"/>
      <c r="NKK186" s="225"/>
      <c r="NKL186" s="225"/>
      <c r="NKM186" s="225"/>
      <c r="NKN186" s="225"/>
      <c r="NKO186" s="225"/>
      <c r="NKP186" s="225"/>
      <c r="NKQ186" s="225"/>
      <c r="NKR186" s="225"/>
      <c r="NKS186" s="225"/>
      <c r="NKT186" s="225"/>
      <c r="NKU186" s="225"/>
      <c r="NKV186" s="225"/>
      <c r="NKW186" s="225"/>
      <c r="NKX186" s="225"/>
      <c r="NKY186" s="225"/>
      <c r="NKZ186" s="225"/>
      <c r="NLA186" s="225"/>
      <c r="NLB186" s="225"/>
      <c r="NLC186" s="225"/>
      <c r="NLD186" s="225"/>
      <c r="NLE186" s="225"/>
      <c r="NLF186" s="225"/>
      <c r="NLG186" s="225"/>
      <c r="NLH186" s="225"/>
      <c r="NLI186" s="225"/>
      <c r="NLJ186" s="225"/>
      <c r="NLK186" s="225"/>
      <c r="NLL186" s="225"/>
      <c r="NLM186" s="225"/>
      <c r="NLN186" s="225"/>
      <c r="NLO186" s="225"/>
      <c r="NLP186" s="225"/>
      <c r="NLQ186" s="225"/>
      <c r="NLR186" s="225"/>
      <c r="NLS186" s="225"/>
      <c r="NLT186" s="225"/>
      <c r="NLU186" s="225"/>
      <c r="NLV186" s="225"/>
      <c r="NLW186" s="225"/>
      <c r="NLX186" s="225"/>
      <c r="NLY186" s="225"/>
      <c r="NLZ186" s="225"/>
      <c r="NMA186" s="225"/>
      <c r="NMB186" s="225"/>
      <c r="NMC186" s="225"/>
      <c r="NMD186" s="225"/>
      <c r="NME186" s="225"/>
      <c r="NMF186" s="225"/>
      <c r="NMG186" s="225"/>
      <c r="NMH186" s="225"/>
      <c r="NMI186" s="225"/>
      <c r="NMJ186" s="225"/>
      <c r="NMK186" s="225"/>
      <c r="NML186" s="225"/>
      <c r="NMM186" s="225"/>
      <c r="NMN186" s="225"/>
      <c r="NMO186" s="225"/>
      <c r="NMP186" s="225"/>
      <c r="NMQ186" s="225"/>
      <c r="NMR186" s="225"/>
      <c r="NMS186" s="225"/>
      <c r="NMT186" s="225"/>
      <c r="NMU186" s="225"/>
      <c r="NMV186" s="225"/>
      <c r="NMW186" s="225"/>
      <c r="NMX186" s="225"/>
      <c r="NMY186" s="225"/>
      <c r="NMZ186" s="225"/>
      <c r="NNA186" s="225"/>
      <c r="NNB186" s="225"/>
      <c r="NNC186" s="225"/>
      <c r="NND186" s="225"/>
      <c r="NNE186" s="225"/>
      <c r="NNF186" s="225"/>
      <c r="NNG186" s="225"/>
      <c r="NNH186" s="225"/>
      <c r="NNI186" s="225"/>
      <c r="NNJ186" s="225"/>
      <c r="NNK186" s="225"/>
      <c r="NNL186" s="225"/>
      <c r="NNM186" s="225"/>
      <c r="NNN186" s="225"/>
      <c r="NNO186" s="225"/>
      <c r="NNP186" s="225"/>
      <c r="NNQ186" s="225"/>
      <c r="NNR186" s="225"/>
      <c r="NNS186" s="225"/>
      <c r="NNT186" s="225"/>
      <c r="NNU186" s="225"/>
      <c r="NNV186" s="225"/>
      <c r="NNW186" s="225"/>
      <c r="NNX186" s="225"/>
      <c r="NNY186" s="225"/>
      <c r="NNZ186" s="225"/>
      <c r="NOA186" s="225"/>
      <c r="NOB186" s="225"/>
      <c r="NOC186" s="225"/>
      <c r="NOD186" s="225"/>
      <c r="NOE186" s="225"/>
      <c r="NOF186" s="225"/>
      <c r="NOG186" s="225"/>
      <c r="NOH186" s="225"/>
      <c r="NOI186" s="225"/>
      <c r="NOJ186" s="225"/>
      <c r="NOK186" s="225"/>
      <c r="NOL186" s="225"/>
      <c r="NOM186" s="225"/>
      <c r="NON186" s="225"/>
      <c r="NOO186" s="225"/>
      <c r="NOP186" s="225"/>
      <c r="NOQ186" s="225"/>
      <c r="NOR186" s="225"/>
      <c r="NOS186" s="225"/>
      <c r="NOT186" s="225"/>
      <c r="NOU186" s="225"/>
      <c r="NOV186" s="225"/>
      <c r="NOW186" s="225"/>
      <c r="NOX186" s="225"/>
      <c r="NOY186" s="225"/>
      <c r="NOZ186" s="225"/>
      <c r="NPA186" s="225"/>
      <c r="NPB186" s="225"/>
      <c r="NPC186" s="225"/>
      <c r="NPD186" s="225"/>
      <c r="NPE186" s="225"/>
      <c r="NPF186" s="225"/>
      <c r="NPG186" s="225"/>
      <c r="NPH186" s="225"/>
      <c r="NPI186" s="225"/>
      <c r="NPJ186" s="225"/>
      <c r="NPK186" s="225"/>
      <c r="NPL186" s="225"/>
      <c r="NPM186" s="225"/>
      <c r="NPN186" s="225"/>
      <c r="NPO186" s="225"/>
      <c r="NPP186" s="225"/>
      <c r="NPQ186" s="225"/>
      <c r="NPR186" s="225"/>
      <c r="NPS186" s="225"/>
      <c r="NPT186" s="225"/>
      <c r="NPU186" s="225"/>
      <c r="NPV186" s="225"/>
      <c r="NPW186" s="225"/>
      <c r="NPX186" s="225"/>
      <c r="NPY186" s="225"/>
      <c r="NPZ186" s="225"/>
      <c r="NQA186" s="225"/>
      <c r="NQB186" s="225"/>
      <c r="NQC186" s="225"/>
      <c r="NQD186" s="225"/>
      <c r="NQE186" s="225"/>
      <c r="NQF186" s="225"/>
      <c r="NQG186" s="225"/>
      <c r="NQH186" s="225"/>
      <c r="NQI186" s="225"/>
      <c r="NQJ186" s="225"/>
      <c r="NQK186" s="225"/>
      <c r="NQL186" s="225"/>
      <c r="NQM186" s="225"/>
      <c r="NQN186" s="225"/>
      <c r="NQO186" s="225"/>
      <c r="NQP186" s="225"/>
      <c r="NQQ186" s="225"/>
      <c r="NQR186" s="225"/>
      <c r="NQS186" s="225"/>
      <c r="NQT186" s="225"/>
      <c r="NQU186" s="225"/>
      <c r="NQV186" s="225"/>
      <c r="NQW186" s="225"/>
      <c r="NQX186" s="225"/>
      <c r="NQY186" s="225"/>
      <c r="NQZ186" s="225"/>
      <c r="NRA186" s="225"/>
      <c r="NRB186" s="225"/>
      <c r="NRC186" s="225"/>
      <c r="NRD186" s="225"/>
      <c r="NRE186" s="225"/>
      <c r="NRF186" s="225"/>
      <c r="NRG186" s="225"/>
      <c r="NRH186" s="225"/>
      <c r="NRI186" s="225"/>
      <c r="NRJ186" s="225"/>
      <c r="NRK186" s="225"/>
      <c r="NRL186" s="225"/>
      <c r="NRM186" s="225"/>
      <c r="NRN186" s="225"/>
      <c r="NRO186" s="225"/>
      <c r="NRP186" s="225"/>
      <c r="NRQ186" s="225"/>
      <c r="NRR186" s="225"/>
      <c r="NRS186" s="225"/>
      <c r="NRT186" s="225"/>
      <c r="NRU186" s="225"/>
      <c r="NRV186" s="225"/>
      <c r="NRW186" s="225"/>
      <c r="NRX186" s="225"/>
      <c r="NRY186" s="225"/>
      <c r="NRZ186" s="225"/>
      <c r="NSA186" s="225"/>
      <c r="NSB186" s="225"/>
      <c r="NSC186" s="225"/>
      <c r="NSD186" s="225"/>
      <c r="NSE186" s="225"/>
      <c r="NSF186" s="225"/>
      <c r="NSG186" s="225"/>
      <c r="NSH186" s="225"/>
      <c r="NSI186" s="225"/>
      <c r="NSJ186" s="225"/>
      <c r="NSK186" s="225"/>
      <c r="NSL186" s="225"/>
      <c r="NSM186" s="225"/>
      <c r="NSN186" s="225"/>
      <c r="NSO186" s="225"/>
      <c r="NSP186" s="225"/>
      <c r="NSQ186" s="225"/>
      <c r="NSR186" s="225"/>
      <c r="NSS186" s="225"/>
      <c r="NST186" s="225"/>
      <c r="NSU186" s="225"/>
      <c r="NSV186" s="225"/>
      <c r="NSW186" s="225"/>
      <c r="NSX186" s="225"/>
      <c r="NSY186" s="225"/>
      <c r="NSZ186" s="225"/>
      <c r="NTA186" s="225"/>
      <c r="NTB186" s="225"/>
      <c r="NTC186" s="225"/>
      <c r="NTD186" s="225"/>
      <c r="NTE186" s="225"/>
      <c r="NTF186" s="225"/>
      <c r="NTG186" s="225"/>
      <c r="NTH186" s="225"/>
      <c r="NTI186" s="225"/>
      <c r="NTJ186" s="225"/>
      <c r="NTK186" s="225"/>
      <c r="NTL186" s="225"/>
      <c r="NTM186" s="225"/>
      <c r="NTN186" s="225"/>
      <c r="NTO186" s="225"/>
      <c r="NTP186" s="225"/>
      <c r="NTQ186" s="225"/>
      <c r="NTR186" s="225"/>
      <c r="NTS186" s="225"/>
      <c r="NTT186" s="225"/>
      <c r="NTU186" s="225"/>
      <c r="NTV186" s="225"/>
      <c r="NTW186" s="225"/>
      <c r="NTX186" s="225"/>
      <c r="NTY186" s="225"/>
      <c r="NTZ186" s="225"/>
      <c r="NUA186" s="225"/>
      <c r="NUB186" s="225"/>
      <c r="NUC186" s="225"/>
      <c r="NUD186" s="225"/>
      <c r="NUE186" s="225"/>
      <c r="NUF186" s="225"/>
      <c r="NUG186" s="225"/>
      <c r="NUH186" s="225"/>
      <c r="NUI186" s="225"/>
      <c r="NUJ186" s="225"/>
      <c r="NUK186" s="225"/>
      <c r="NUL186" s="225"/>
      <c r="NUM186" s="225"/>
      <c r="NUN186" s="225"/>
      <c r="NUO186" s="225"/>
      <c r="NUP186" s="225"/>
      <c r="NUQ186" s="225"/>
      <c r="NUR186" s="225"/>
      <c r="NUS186" s="225"/>
      <c r="NUT186" s="225"/>
      <c r="NUU186" s="225"/>
      <c r="NUV186" s="225"/>
      <c r="NUW186" s="225"/>
      <c r="NUX186" s="225"/>
      <c r="NUY186" s="225"/>
      <c r="NUZ186" s="225"/>
      <c r="NVA186" s="225"/>
      <c r="NVB186" s="225"/>
      <c r="NVC186" s="225"/>
      <c r="NVD186" s="225"/>
      <c r="NVE186" s="225"/>
      <c r="NVF186" s="225"/>
      <c r="NVG186" s="225"/>
      <c r="NVH186" s="225"/>
      <c r="NVI186" s="225"/>
      <c r="NVJ186" s="225"/>
      <c r="NVK186" s="225"/>
      <c r="NVL186" s="225"/>
      <c r="NVM186" s="225"/>
      <c r="NVN186" s="225"/>
      <c r="NVO186" s="225"/>
      <c r="NVP186" s="225"/>
      <c r="NVQ186" s="225"/>
      <c r="NVR186" s="225"/>
      <c r="NVS186" s="225"/>
      <c r="NVT186" s="225"/>
      <c r="NVU186" s="225"/>
      <c r="NVV186" s="225"/>
      <c r="NVW186" s="225"/>
      <c r="NVX186" s="225"/>
      <c r="NVY186" s="225"/>
      <c r="NVZ186" s="225"/>
      <c r="NWA186" s="225"/>
      <c r="NWB186" s="225"/>
      <c r="NWC186" s="225"/>
      <c r="NWD186" s="225"/>
      <c r="NWE186" s="225"/>
      <c r="NWF186" s="225"/>
      <c r="NWG186" s="225"/>
      <c r="NWH186" s="225"/>
      <c r="NWI186" s="225"/>
      <c r="NWJ186" s="225"/>
      <c r="NWK186" s="225"/>
      <c r="NWL186" s="225"/>
      <c r="NWM186" s="225"/>
      <c r="NWN186" s="225"/>
      <c r="NWO186" s="225"/>
      <c r="NWP186" s="225"/>
      <c r="NWQ186" s="225"/>
      <c r="NWR186" s="225"/>
      <c r="NWS186" s="225"/>
      <c r="NWT186" s="225"/>
      <c r="NWU186" s="225"/>
      <c r="NWV186" s="225"/>
      <c r="NWW186" s="225"/>
      <c r="NWX186" s="225"/>
      <c r="NWY186" s="225"/>
      <c r="NWZ186" s="225"/>
      <c r="NXA186" s="225"/>
      <c r="NXB186" s="225"/>
      <c r="NXC186" s="225"/>
      <c r="NXD186" s="225"/>
      <c r="NXE186" s="225"/>
      <c r="NXF186" s="225"/>
      <c r="NXG186" s="225"/>
      <c r="NXH186" s="225"/>
      <c r="NXI186" s="225"/>
      <c r="NXJ186" s="225"/>
      <c r="NXK186" s="225"/>
      <c r="NXL186" s="225"/>
      <c r="NXM186" s="225"/>
      <c r="NXN186" s="225"/>
      <c r="NXO186" s="225"/>
      <c r="NXP186" s="225"/>
      <c r="NXQ186" s="225"/>
      <c r="NXR186" s="225"/>
      <c r="NXS186" s="225"/>
      <c r="NXT186" s="225"/>
      <c r="NXU186" s="225"/>
      <c r="NXV186" s="225"/>
      <c r="NXW186" s="225"/>
      <c r="NXX186" s="225"/>
      <c r="NXY186" s="225"/>
      <c r="NXZ186" s="225"/>
      <c r="NYA186" s="225"/>
      <c r="NYB186" s="225"/>
      <c r="NYC186" s="225"/>
      <c r="NYD186" s="225"/>
      <c r="NYE186" s="225"/>
      <c r="NYF186" s="225"/>
      <c r="NYG186" s="225"/>
      <c r="NYH186" s="225"/>
      <c r="NYI186" s="225"/>
      <c r="NYJ186" s="225"/>
      <c r="NYK186" s="225"/>
      <c r="NYL186" s="225"/>
      <c r="NYM186" s="225"/>
      <c r="NYN186" s="225"/>
      <c r="NYO186" s="225"/>
      <c r="NYP186" s="225"/>
      <c r="NYQ186" s="225"/>
      <c r="NYR186" s="225"/>
      <c r="NYS186" s="225"/>
      <c r="NYT186" s="225"/>
      <c r="NYU186" s="225"/>
      <c r="NYV186" s="225"/>
      <c r="NYW186" s="225"/>
      <c r="NYX186" s="225"/>
      <c r="NYY186" s="225"/>
      <c r="NYZ186" s="225"/>
      <c r="NZA186" s="225"/>
      <c r="NZB186" s="225"/>
      <c r="NZC186" s="225"/>
      <c r="NZD186" s="225"/>
      <c r="NZE186" s="225"/>
      <c r="NZF186" s="225"/>
      <c r="NZG186" s="225"/>
      <c r="NZH186" s="225"/>
      <c r="NZI186" s="225"/>
      <c r="NZJ186" s="225"/>
      <c r="NZK186" s="225"/>
      <c r="NZL186" s="225"/>
      <c r="NZM186" s="225"/>
      <c r="NZN186" s="225"/>
      <c r="NZO186" s="225"/>
      <c r="NZP186" s="225"/>
      <c r="NZQ186" s="225"/>
      <c r="NZR186" s="225"/>
      <c r="NZS186" s="225"/>
      <c r="NZT186" s="225"/>
      <c r="NZU186" s="225"/>
      <c r="NZV186" s="225"/>
      <c r="NZW186" s="225"/>
      <c r="NZX186" s="225"/>
      <c r="NZY186" s="225"/>
      <c r="NZZ186" s="225"/>
      <c r="OAA186" s="225"/>
      <c r="OAB186" s="225"/>
      <c r="OAC186" s="225"/>
      <c r="OAD186" s="225"/>
      <c r="OAE186" s="225"/>
      <c r="OAF186" s="225"/>
      <c r="OAG186" s="225"/>
      <c r="OAH186" s="225"/>
      <c r="OAI186" s="225"/>
      <c r="OAJ186" s="225"/>
      <c r="OAK186" s="225"/>
      <c r="OAL186" s="225"/>
      <c r="OAM186" s="225"/>
      <c r="OAN186" s="225"/>
      <c r="OAO186" s="225"/>
      <c r="OAP186" s="225"/>
      <c r="OAQ186" s="225"/>
      <c r="OAR186" s="225"/>
      <c r="OAS186" s="225"/>
      <c r="OAT186" s="225"/>
      <c r="OAU186" s="225"/>
      <c r="OAV186" s="225"/>
      <c r="OAW186" s="225"/>
      <c r="OAX186" s="225"/>
      <c r="OAY186" s="225"/>
      <c r="OAZ186" s="225"/>
      <c r="OBA186" s="225"/>
      <c r="OBB186" s="225"/>
      <c r="OBC186" s="225"/>
      <c r="OBD186" s="225"/>
      <c r="OBE186" s="225"/>
      <c r="OBF186" s="225"/>
      <c r="OBG186" s="225"/>
      <c r="OBH186" s="225"/>
      <c r="OBI186" s="225"/>
      <c r="OBJ186" s="225"/>
      <c r="OBK186" s="225"/>
      <c r="OBL186" s="225"/>
      <c r="OBM186" s="225"/>
      <c r="OBN186" s="225"/>
      <c r="OBO186" s="225"/>
      <c r="OBP186" s="225"/>
      <c r="OBQ186" s="225"/>
      <c r="OBR186" s="225"/>
      <c r="OBS186" s="225"/>
      <c r="OBT186" s="225"/>
      <c r="OBU186" s="225"/>
      <c r="OBV186" s="225"/>
      <c r="OBW186" s="225"/>
      <c r="OBX186" s="225"/>
      <c r="OBY186" s="225"/>
      <c r="OBZ186" s="225"/>
      <c r="OCA186" s="225"/>
      <c r="OCB186" s="225"/>
      <c r="OCC186" s="225"/>
      <c r="OCD186" s="225"/>
      <c r="OCE186" s="225"/>
      <c r="OCF186" s="225"/>
      <c r="OCG186" s="225"/>
      <c r="OCH186" s="225"/>
      <c r="OCI186" s="225"/>
      <c r="OCJ186" s="225"/>
      <c r="OCK186" s="225"/>
      <c r="OCL186" s="225"/>
      <c r="OCM186" s="225"/>
      <c r="OCN186" s="225"/>
      <c r="OCO186" s="225"/>
      <c r="OCP186" s="225"/>
      <c r="OCQ186" s="225"/>
      <c r="OCR186" s="225"/>
      <c r="OCS186" s="225"/>
      <c r="OCT186" s="225"/>
      <c r="OCU186" s="225"/>
      <c r="OCV186" s="225"/>
      <c r="OCW186" s="225"/>
      <c r="OCX186" s="225"/>
      <c r="OCY186" s="225"/>
      <c r="OCZ186" s="225"/>
      <c r="ODA186" s="225"/>
      <c r="ODB186" s="225"/>
      <c r="ODC186" s="225"/>
      <c r="ODD186" s="225"/>
      <c r="ODE186" s="225"/>
      <c r="ODF186" s="225"/>
      <c r="ODG186" s="225"/>
      <c r="ODH186" s="225"/>
      <c r="ODI186" s="225"/>
      <c r="ODJ186" s="225"/>
      <c r="ODK186" s="225"/>
      <c r="ODL186" s="225"/>
      <c r="ODM186" s="225"/>
      <c r="ODN186" s="225"/>
      <c r="ODO186" s="225"/>
      <c r="ODP186" s="225"/>
      <c r="ODQ186" s="225"/>
      <c r="ODR186" s="225"/>
      <c r="ODS186" s="225"/>
      <c r="ODT186" s="225"/>
      <c r="ODU186" s="225"/>
      <c r="ODV186" s="225"/>
      <c r="ODW186" s="225"/>
      <c r="ODX186" s="225"/>
      <c r="ODY186" s="225"/>
      <c r="ODZ186" s="225"/>
      <c r="OEA186" s="225"/>
      <c r="OEB186" s="225"/>
      <c r="OEC186" s="225"/>
      <c r="OED186" s="225"/>
      <c r="OEE186" s="225"/>
      <c r="OEF186" s="225"/>
      <c r="OEG186" s="225"/>
      <c r="OEH186" s="225"/>
      <c r="OEI186" s="225"/>
      <c r="OEJ186" s="225"/>
      <c r="OEK186" s="225"/>
      <c r="OEL186" s="225"/>
      <c r="OEM186" s="225"/>
      <c r="OEN186" s="225"/>
      <c r="OEO186" s="225"/>
      <c r="OEP186" s="225"/>
      <c r="OEQ186" s="225"/>
      <c r="OER186" s="225"/>
      <c r="OES186" s="225"/>
      <c r="OET186" s="225"/>
      <c r="OEU186" s="225"/>
      <c r="OEV186" s="225"/>
      <c r="OEW186" s="225"/>
      <c r="OEX186" s="225"/>
      <c r="OEY186" s="225"/>
      <c r="OEZ186" s="225"/>
      <c r="OFA186" s="225"/>
      <c r="OFB186" s="225"/>
      <c r="OFC186" s="225"/>
      <c r="OFD186" s="225"/>
      <c r="OFE186" s="225"/>
      <c r="OFF186" s="225"/>
      <c r="OFG186" s="225"/>
      <c r="OFH186" s="225"/>
      <c r="OFI186" s="225"/>
      <c r="OFJ186" s="225"/>
      <c r="OFK186" s="225"/>
      <c r="OFL186" s="225"/>
      <c r="OFM186" s="225"/>
      <c r="OFN186" s="225"/>
      <c r="OFO186" s="225"/>
      <c r="OFP186" s="225"/>
      <c r="OFQ186" s="225"/>
      <c r="OFR186" s="225"/>
      <c r="OFS186" s="225"/>
      <c r="OFT186" s="225"/>
      <c r="OFU186" s="225"/>
      <c r="OFV186" s="225"/>
      <c r="OFW186" s="225"/>
      <c r="OFX186" s="225"/>
      <c r="OFY186" s="225"/>
      <c r="OFZ186" s="225"/>
      <c r="OGA186" s="225"/>
      <c r="OGB186" s="225"/>
      <c r="OGC186" s="225"/>
      <c r="OGD186" s="225"/>
      <c r="OGE186" s="225"/>
      <c r="OGF186" s="225"/>
      <c r="OGG186" s="225"/>
      <c r="OGH186" s="225"/>
      <c r="OGI186" s="225"/>
      <c r="OGJ186" s="225"/>
      <c r="OGK186" s="225"/>
      <c r="OGL186" s="225"/>
      <c r="OGM186" s="225"/>
      <c r="OGN186" s="225"/>
      <c r="OGO186" s="225"/>
      <c r="OGP186" s="225"/>
      <c r="OGQ186" s="225"/>
      <c r="OGR186" s="225"/>
      <c r="OGS186" s="225"/>
      <c r="OGT186" s="225"/>
      <c r="OGU186" s="225"/>
      <c r="OGV186" s="225"/>
      <c r="OGW186" s="225"/>
      <c r="OGX186" s="225"/>
      <c r="OGY186" s="225"/>
      <c r="OGZ186" s="225"/>
      <c r="OHA186" s="225"/>
      <c r="OHB186" s="225"/>
      <c r="OHC186" s="225"/>
      <c r="OHD186" s="225"/>
      <c r="OHE186" s="225"/>
      <c r="OHF186" s="225"/>
      <c r="OHG186" s="225"/>
      <c r="OHH186" s="225"/>
      <c r="OHI186" s="225"/>
      <c r="OHJ186" s="225"/>
      <c r="OHK186" s="225"/>
      <c r="OHL186" s="225"/>
      <c r="OHM186" s="225"/>
      <c r="OHN186" s="225"/>
      <c r="OHO186" s="225"/>
      <c r="OHP186" s="225"/>
      <c r="OHQ186" s="225"/>
      <c r="OHR186" s="225"/>
      <c r="OHS186" s="225"/>
      <c r="OHT186" s="225"/>
      <c r="OHU186" s="225"/>
      <c r="OHV186" s="225"/>
      <c r="OHW186" s="225"/>
      <c r="OHX186" s="225"/>
      <c r="OHY186" s="225"/>
      <c r="OHZ186" s="225"/>
      <c r="OIA186" s="225"/>
      <c r="OIB186" s="225"/>
      <c r="OIC186" s="225"/>
      <c r="OID186" s="225"/>
      <c r="OIE186" s="225"/>
      <c r="OIF186" s="225"/>
      <c r="OIG186" s="225"/>
      <c r="OIH186" s="225"/>
      <c r="OII186" s="225"/>
      <c r="OIJ186" s="225"/>
      <c r="OIK186" s="225"/>
      <c r="OIL186" s="225"/>
      <c r="OIM186" s="225"/>
      <c r="OIN186" s="225"/>
      <c r="OIO186" s="225"/>
      <c r="OIP186" s="225"/>
      <c r="OIQ186" s="225"/>
      <c r="OIR186" s="225"/>
      <c r="OIS186" s="225"/>
      <c r="OIT186" s="225"/>
      <c r="OIU186" s="225"/>
      <c r="OIV186" s="225"/>
      <c r="OIW186" s="225"/>
      <c r="OIX186" s="225"/>
      <c r="OIY186" s="225"/>
      <c r="OIZ186" s="225"/>
      <c r="OJA186" s="225"/>
      <c r="OJB186" s="225"/>
      <c r="OJC186" s="225"/>
      <c r="OJD186" s="225"/>
      <c r="OJE186" s="225"/>
      <c r="OJF186" s="225"/>
      <c r="OJG186" s="225"/>
      <c r="OJH186" s="225"/>
      <c r="OJI186" s="225"/>
      <c r="OJJ186" s="225"/>
      <c r="OJK186" s="225"/>
      <c r="OJL186" s="225"/>
      <c r="OJM186" s="225"/>
      <c r="OJN186" s="225"/>
      <c r="OJO186" s="225"/>
      <c r="OJP186" s="225"/>
      <c r="OJQ186" s="225"/>
      <c r="OJR186" s="225"/>
      <c r="OJS186" s="225"/>
      <c r="OJT186" s="225"/>
      <c r="OJU186" s="225"/>
      <c r="OJV186" s="225"/>
      <c r="OJW186" s="225"/>
      <c r="OJX186" s="225"/>
      <c r="OJY186" s="225"/>
      <c r="OJZ186" s="225"/>
      <c r="OKA186" s="225"/>
      <c r="OKB186" s="225"/>
      <c r="OKC186" s="225"/>
      <c r="OKD186" s="225"/>
      <c r="OKE186" s="225"/>
      <c r="OKF186" s="225"/>
      <c r="OKG186" s="225"/>
      <c r="OKH186" s="225"/>
      <c r="OKI186" s="225"/>
      <c r="OKJ186" s="225"/>
      <c r="OKK186" s="225"/>
      <c r="OKL186" s="225"/>
      <c r="OKM186" s="225"/>
      <c r="OKN186" s="225"/>
      <c r="OKO186" s="225"/>
      <c r="OKP186" s="225"/>
      <c r="OKQ186" s="225"/>
      <c r="OKR186" s="225"/>
      <c r="OKS186" s="225"/>
      <c r="OKT186" s="225"/>
      <c r="OKU186" s="225"/>
      <c r="OKV186" s="225"/>
      <c r="OKW186" s="225"/>
      <c r="OKX186" s="225"/>
      <c r="OKY186" s="225"/>
      <c r="OKZ186" s="225"/>
      <c r="OLA186" s="225"/>
      <c r="OLB186" s="225"/>
      <c r="OLC186" s="225"/>
      <c r="OLD186" s="225"/>
      <c r="OLE186" s="225"/>
      <c r="OLF186" s="225"/>
      <c r="OLG186" s="225"/>
      <c r="OLH186" s="225"/>
      <c r="OLI186" s="225"/>
      <c r="OLJ186" s="225"/>
      <c r="OLK186" s="225"/>
      <c r="OLL186" s="225"/>
      <c r="OLM186" s="225"/>
      <c r="OLN186" s="225"/>
      <c r="OLO186" s="225"/>
      <c r="OLP186" s="225"/>
      <c r="OLQ186" s="225"/>
      <c r="OLR186" s="225"/>
      <c r="OLS186" s="225"/>
      <c r="OLT186" s="225"/>
      <c r="OLU186" s="225"/>
      <c r="OLV186" s="225"/>
      <c r="OLW186" s="225"/>
      <c r="OLX186" s="225"/>
      <c r="OLY186" s="225"/>
      <c r="OLZ186" s="225"/>
      <c r="OMA186" s="225"/>
      <c r="OMB186" s="225"/>
      <c r="OMC186" s="225"/>
      <c r="OMD186" s="225"/>
      <c r="OME186" s="225"/>
      <c r="OMF186" s="225"/>
      <c r="OMG186" s="225"/>
      <c r="OMH186" s="225"/>
      <c r="OMI186" s="225"/>
      <c r="OMJ186" s="225"/>
      <c r="OMK186" s="225"/>
      <c r="OML186" s="225"/>
      <c r="OMM186" s="225"/>
      <c r="OMN186" s="225"/>
      <c r="OMO186" s="225"/>
      <c r="OMP186" s="225"/>
      <c r="OMQ186" s="225"/>
      <c r="OMR186" s="225"/>
      <c r="OMS186" s="225"/>
      <c r="OMT186" s="225"/>
      <c r="OMU186" s="225"/>
      <c r="OMV186" s="225"/>
      <c r="OMW186" s="225"/>
      <c r="OMX186" s="225"/>
      <c r="OMY186" s="225"/>
      <c r="OMZ186" s="225"/>
      <c r="ONA186" s="225"/>
      <c r="ONB186" s="225"/>
      <c r="ONC186" s="225"/>
      <c r="OND186" s="225"/>
      <c r="ONE186" s="225"/>
      <c r="ONF186" s="225"/>
      <c r="ONG186" s="225"/>
      <c r="ONH186" s="225"/>
      <c r="ONI186" s="225"/>
      <c r="ONJ186" s="225"/>
      <c r="ONK186" s="225"/>
      <c r="ONL186" s="225"/>
      <c r="ONM186" s="225"/>
      <c r="ONN186" s="225"/>
      <c r="ONO186" s="225"/>
      <c r="ONP186" s="225"/>
      <c r="ONQ186" s="225"/>
      <c r="ONR186" s="225"/>
      <c r="ONS186" s="225"/>
      <c r="ONT186" s="225"/>
      <c r="ONU186" s="225"/>
      <c r="ONV186" s="225"/>
      <c r="ONW186" s="225"/>
      <c r="ONX186" s="225"/>
      <c r="ONY186" s="225"/>
      <c r="ONZ186" s="225"/>
      <c r="OOA186" s="225"/>
      <c r="OOB186" s="225"/>
      <c r="OOC186" s="225"/>
      <c r="OOD186" s="225"/>
      <c r="OOE186" s="225"/>
      <c r="OOF186" s="225"/>
      <c r="OOG186" s="225"/>
      <c r="OOH186" s="225"/>
      <c r="OOI186" s="225"/>
      <c r="OOJ186" s="225"/>
      <c r="OOK186" s="225"/>
      <c r="OOL186" s="225"/>
      <c r="OOM186" s="225"/>
      <c r="OON186" s="225"/>
      <c r="OOO186" s="225"/>
      <c r="OOP186" s="225"/>
      <c r="OOQ186" s="225"/>
      <c r="OOR186" s="225"/>
      <c r="OOS186" s="225"/>
      <c r="OOT186" s="225"/>
      <c r="OOU186" s="225"/>
      <c r="OOV186" s="225"/>
      <c r="OOW186" s="225"/>
      <c r="OOX186" s="225"/>
      <c r="OOY186" s="225"/>
      <c r="OOZ186" s="225"/>
      <c r="OPA186" s="225"/>
      <c r="OPB186" s="225"/>
      <c r="OPC186" s="225"/>
      <c r="OPD186" s="225"/>
      <c r="OPE186" s="225"/>
      <c r="OPF186" s="225"/>
      <c r="OPG186" s="225"/>
      <c r="OPH186" s="225"/>
      <c r="OPI186" s="225"/>
      <c r="OPJ186" s="225"/>
      <c r="OPK186" s="225"/>
      <c r="OPL186" s="225"/>
      <c r="OPM186" s="225"/>
      <c r="OPN186" s="225"/>
      <c r="OPO186" s="225"/>
      <c r="OPP186" s="225"/>
      <c r="OPQ186" s="225"/>
      <c r="OPR186" s="225"/>
      <c r="OPS186" s="225"/>
      <c r="OPT186" s="225"/>
      <c r="OPU186" s="225"/>
      <c r="OPV186" s="225"/>
      <c r="OPW186" s="225"/>
      <c r="OPX186" s="225"/>
      <c r="OPY186" s="225"/>
      <c r="OPZ186" s="225"/>
      <c r="OQA186" s="225"/>
      <c r="OQB186" s="225"/>
      <c r="OQC186" s="225"/>
      <c r="OQD186" s="225"/>
      <c r="OQE186" s="225"/>
      <c r="OQF186" s="225"/>
      <c r="OQG186" s="225"/>
      <c r="OQH186" s="225"/>
      <c r="OQI186" s="225"/>
      <c r="OQJ186" s="225"/>
      <c r="OQK186" s="225"/>
      <c r="OQL186" s="225"/>
      <c r="OQM186" s="225"/>
      <c r="OQN186" s="225"/>
      <c r="OQO186" s="225"/>
      <c r="OQP186" s="225"/>
      <c r="OQQ186" s="225"/>
      <c r="OQR186" s="225"/>
      <c r="OQS186" s="225"/>
      <c r="OQT186" s="225"/>
      <c r="OQU186" s="225"/>
      <c r="OQV186" s="225"/>
      <c r="OQW186" s="225"/>
      <c r="OQX186" s="225"/>
      <c r="OQY186" s="225"/>
      <c r="OQZ186" s="225"/>
      <c r="ORA186" s="225"/>
      <c r="ORB186" s="225"/>
      <c r="ORC186" s="225"/>
      <c r="ORD186" s="225"/>
      <c r="ORE186" s="225"/>
      <c r="ORF186" s="225"/>
      <c r="ORG186" s="225"/>
      <c r="ORH186" s="225"/>
      <c r="ORI186" s="225"/>
      <c r="ORJ186" s="225"/>
      <c r="ORK186" s="225"/>
      <c r="ORL186" s="225"/>
      <c r="ORM186" s="225"/>
      <c r="ORN186" s="225"/>
      <c r="ORO186" s="225"/>
      <c r="ORP186" s="225"/>
      <c r="ORQ186" s="225"/>
      <c r="ORR186" s="225"/>
      <c r="ORS186" s="225"/>
      <c r="ORT186" s="225"/>
      <c r="ORU186" s="225"/>
      <c r="ORV186" s="225"/>
      <c r="ORW186" s="225"/>
      <c r="ORX186" s="225"/>
      <c r="ORY186" s="225"/>
      <c r="ORZ186" s="225"/>
      <c r="OSA186" s="225"/>
      <c r="OSB186" s="225"/>
      <c r="OSC186" s="225"/>
      <c r="OSD186" s="225"/>
      <c r="OSE186" s="225"/>
      <c r="OSF186" s="225"/>
      <c r="OSG186" s="225"/>
      <c r="OSH186" s="225"/>
      <c r="OSI186" s="225"/>
      <c r="OSJ186" s="225"/>
      <c r="OSK186" s="225"/>
      <c r="OSL186" s="225"/>
      <c r="OSM186" s="225"/>
      <c r="OSN186" s="225"/>
      <c r="OSO186" s="225"/>
      <c r="OSP186" s="225"/>
      <c r="OSQ186" s="225"/>
      <c r="OSR186" s="225"/>
      <c r="OSS186" s="225"/>
      <c r="OST186" s="225"/>
      <c r="OSU186" s="225"/>
      <c r="OSV186" s="225"/>
      <c r="OSW186" s="225"/>
      <c r="OSX186" s="225"/>
      <c r="OSY186" s="225"/>
      <c r="OSZ186" s="225"/>
      <c r="OTA186" s="225"/>
      <c r="OTB186" s="225"/>
      <c r="OTC186" s="225"/>
      <c r="OTD186" s="225"/>
      <c r="OTE186" s="225"/>
      <c r="OTF186" s="225"/>
      <c r="OTG186" s="225"/>
      <c r="OTH186" s="225"/>
      <c r="OTI186" s="225"/>
      <c r="OTJ186" s="225"/>
      <c r="OTK186" s="225"/>
      <c r="OTL186" s="225"/>
      <c r="OTM186" s="225"/>
      <c r="OTN186" s="225"/>
      <c r="OTO186" s="225"/>
      <c r="OTP186" s="225"/>
      <c r="OTQ186" s="225"/>
      <c r="OTR186" s="225"/>
      <c r="OTS186" s="225"/>
      <c r="OTT186" s="225"/>
      <c r="OTU186" s="225"/>
      <c r="OTV186" s="225"/>
      <c r="OTW186" s="225"/>
      <c r="OTX186" s="225"/>
      <c r="OTY186" s="225"/>
      <c r="OTZ186" s="225"/>
      <c r="OUA186" s="225"/>
      <c r="OUB186" s="225"/>
      <c r="OUC186" s="225"/>
      <c r="OUD186" s="225"/>
      <c r="OUE186" s="225"/>
      <c r="OUF186" s="225"/>
      <c r="OUG186" s="225"/>
      <c r="OUH186" s="225"/>
      <c r="OUI186" s="225"/>
      <c r="OUJ186" s="225"/>
      <c r="OUK186" s="225"/>
      <c r="OUL186" s="225"/>
      <c r="OUM186" s="225"/>
      <c r="OUN186" s="225"/>
      <c r="OUO186" s="225"/>
      <c r="OUP186" s="225"/>
      <c r="OUQ186" s="225"/>
      <c r="OUR186" s="225"/>
      <c r="OUS186" s="225"/>
      <c r="OUT186" s="225"/>
      <c r="OUU186" s="225"/>
      <c r="OUV186" s="225"/>
      <c r="OUW186" s="225"/>
      <c r="OUX186" s="225"/>
      <c r="OUY186" s="225"/>
      <c r="OUZ186" s="225"/>
      <c r="OVA186" s="225"/>
      <c r="OVB186" s="225"/>
      <c r="OVC186" s="225"/>
      <c r="OVD186" s="225"/>
      <c r="OVE186" s="225"/>
      <c r="OVF186" s="225"/>
      <c r="OVG186" s="225"/>
      <c r="OVH186" s="225"/>
      <c r="OVI186" s="225"/>
      <c r="OVJ186" s="225"/>
      <c r="OVK186" s="225"/>
      <c r="OVL186" s="225"/>
      <c r="OVM186" s="225"/>
      <c r="OVN186" s="225"/>
      <c r="OVO186" s="225"/>
      <c r="OVP186" s="225"/>
      <c r="OVQ186" s="225"/>
      <c r="OVR186" s="225"/>
      <c r="OVS186" s="225"/>
      <c r="OVT186" s="225"/>
      <c r="OVU186" s="225"/>
      <c r="OVV186" s="225"/>
      <c r="OVW186" s="225"/>
      <c r="OVX186" s="225"/>
      <c r="OVY186" s="225"/>
      <c r="OVZ186" s="225"/>
      <c r="OWA186" s="225"/>
      <c r="OWB186" s="225"/>
      <c r="OWC186" s="225"/>
      <c r="OWD186" s="225"/>
      <c r="OWE186" s="225"/>
      <c r="OWF186" s="225"/>
      <c r="OWG186" s="225"/>
      <c r="OWH186" s="225"/>
      <c r="OWI186" s="225"/>
      <c r="OWJ186" s="225"/>
      <c r="OWK186" s="225"/>
      <c r="OWL186" s="225"/>
      <c r="OWM186" s="225"/>
      <c r="OWN186" s="225"/>
      <c r="OWO186" s="225"/>
      <c r="OWP186" s="225"/>
      <c r="OWQ186" s="225"/>
      <c r="OWR186" s="225"/>
      <c r="OWS186" s="225"/>
      <c r="OWT186" s="225"/>
      <c r="OWU186" s="225"/>
      <c r="OWV186" s="225"/>
      <c r="OWW186" s="225"/>
      <c r="OWX186" s="225"/>
      <c r="OWY186" s="225"/>
      <c r="OWZ186" s="225"/>
      <c r="OXA186" s="225"/>
      <c r="OXB186" s="225"/>
      <c r="OXC186" s="225"/>
      <c r="OXD186" s="225"/>
      <c r="OXE186" s="225"/>
      <c r="OXF186" s="225"/>
      <c r="OXG186" s="225"/>
      <c r="OXH186" s="225"/>
      <c r="OXI186" s="225"/>
      <c r="OXJ186" s="225"/>
      <c r="OXK186" s="225"/>
      <c r="OXL186" s="225"/>
      <c r="OXM186" s="225"/>
      <c r="OXN186" s="225"/>
      <c r="OXO186" s="225"/>
      <c r="OXP186" s="225"/>
      <c r="OXQ186" s="225"/>
      <c r="OXR186" s="225"/>
      <c r="OXS186" s="225"/>
      <c r="OXT186" s="225"/>
      <c r="OXU186" s="225"/>
      <c r="OXV186" s="225"/>
      <c r="OXW186" s="225"/>
      <c r="OXX186" s="225"/>
      <c r="OXY186" s="225"/>
      <c r="OXZ186" s="225"/>
      <c r="OYA186" s="225"/>
      <c r="OYB186" s="225"/>
      <c r="OYC186" s="225"/>
      <c r="OYD186" s="225"/>
      <c r="OYE186" s="225"/>
      <c r="OYF186" s="225"/>
      <c r="OYG186" s="225"/>
      <c r="OYH186" s="225"/>
      <c r="OYI186" s="225"/>
      <c r="OYJ186" s="225"/>
      <c r="OYK186" s="225"/>
      <c r="OYL186" s="225"/>
      <c r="OYM186" s="225"/>
      <c r="OYN186" s="225"/>
      <c r="OYO186" s="225"/>
      <c r="OYP186" s="225"/>
      <c r="OYQ186" s="225"/>
      <c r="OYR186" s="225"/>
      <c r="OYS186" s="225"/>
      <c r="OYT186" s="225"/>
      <c r="OYU186" s="225"/>
      <c r="OYV186" s="225"/>
      <c r="OYW186" s="225"/>
      <c r="OYX186" s="225"/>
      <c r="OYY186" s="225"/>
      <c r="OYZ186" s="225"/>
      <c r="OZA186" s="225"/>
      <c r="OZB186" s="225"/>
      <c r="OZC186" s="225"/>
      <c r="OZD186" s="225"/>
      <c r="OZE186" s="225"/>
      <c r="OZF186" s="225"/>
      <c r="OZG186" s="225"/>
      <c r="OZH186" s="225"/>
      <c r="OZI186" s="225"/>
      <c r="OZJ186" s="225"/>
      <c r="OZK186" s="225"/>
      <c r="OZL186" s="225"/>
      <c r="OZM186" s="225"/>
      <c r="OZN186" s="225"/>
      <c r="OZO186" s="225"/>
      <c r="OZP186" s="225"/>
      <c r="OZQ186" s="225"/>
      <c r="OZR186" s="225"/>
      <c r="OZS186" s="225"/>
      <c r="OZT186" s="225"/>
      <c r="OZU186" s="225"/>
      <c r="OZV186" s="225"/>
      <c r="OZW186" s="225"/>
      <c r="OZX186" s="225"/>
      <c r="OZY186" s="225"/>
      <c r="OZZ186" s="225"/>
      <c r="PAA186" s="225"/>
      <c r="PAB186" s="225"/>
      <c r="PAC186" s="225"/>
      <c r="PAD186" s="225"/>
      <c r="PAE186" s="225"/>
      <c r="PAF186" s="225"/>
      <c r="PAG186" s="225"/>
      <c r="PAH186" s="225"/>
      <c r="PAI186" s="225"/>
      <c r="PAJ186" s="225"/>
      <c r="PAK186" s="225"/>
      <c r="PAL186" s="225"/>
      <c r="PAM186" s="225"/>
      <c r="PAN186" s="225"/>
      <c r="PAO186" s="225"/>
      <c r="PAP186" s="225"/>
      <c r="PAQ186" s="225"/>
      <c r="PAR186" s="225"/>
      <c r="PAS186" s="225"/>
      <c r="PAT186" s="225"/>
      <c r="PAU186" s="225"/>
      <c r="PAV186" s="225"/>
      <c r="PAW186" s="225"/>
      <c r="PAX186" s="225"/>
      <c r="PAY186" s="225"/>
      <c r="PAZ186" s="225"/>
      <c r="PBA186" s="225"/>
      <c r="PBB186" s="225"/>
      <c r="PBC186" s="225"/>
      <c r="PBD186" s="225"/>
      <c r="PBE186" s="225"/>
      <c r="PBF186" s="225"/>
      <c r="PBG186" s="225"/>
      <c r="PBH186" s="225"/>
      <c r="PBI186" s="225"/>
      <c r="PBJ186" s="225"/>
      <c r="PBK186" s="225"/>
      <c r="PBL186" s="225"/>
      <c r="PBM186" s="225"/>
      <c r="PBN186" s="225"/>
      <c r="PBO186" s="225"/>
      <c r="PBP186" s="225"/>
      <c r="PBQ186" s="225"/>
      <c r="PBR186" s="225"/>
      <c r="PBS186" s="225"/>
      <c r="PBT186" s="225"/>
      <c r="PBU186" s="225"/>
      <c r="PBV186" s="225"/>
      <c r="PBW186" s="225"/>
      <c r="PBX186" s="225"/>
      <c r="PBY186" s="225"/>
      <c r="PBZ186" s="225"/>
      <c r="PCA186" s="225"/>
      <c r="PCB186" s="225"/>
      <c r="PCC186" s="225"/>
      <c r="PCD186" s="225"/>
      <c r="PCE186" s="225"/>
      <c r="PCF186" s="225"/>
      <c r="PCG186" s="225"/>
      <c r="PCH186" s="225"/>
      <c r="PCI186" s="225"/>
      <c r="PCJ186" s="225"/>
      <c r="PCK186" s="225"/>
      <c r="PCL186" s="225"/>
      <c r="PCM186" s="225"/>
      <c r="PCN186" s="225"/>
      <c r="PCO186" s="225"/>
      <c r="PCP186" s="225"/>
      <c r="PCQ186" s="225"/>
      <c r="PCR186" s="225"/>
      <c r="PCS186" s="225"/>
      <c r="PCT186" s="225"/>
      <c r="PCU186" s="225"/>
      <c r="PCV186" s="225"/>
      <c r="PCW186" s="225"/>
      <c r="PCX186" s="225"/>
      <c r="PCY186" s="225"/>
      <c r="PCZ186" s="225"/>
      <c r="PDA186" s="225"/>
      <c r="PDB186" s="225"/>
      <c r="PDC186" s="225"/>
      <c r="PDD186" s="225"/>
      <c r="PDE186" s="225"/>
      <c r="PDF186" s="225"/>
      <c r="PDG186" s="225"/>
      <c r="PDH186" s="225"/>
      <c r="PDI186" s="225"/>
      <c r="PDJ186" s="225"/>
      <c r="PDK186" s="225"/>
      <c r="PDL186" s="225"/>
      <c r="PDM186" s="225"/>
      <c r="PDN186" s="225"/>
      <c r="PDO186" s="225"/>
      <c r="PDP186" s="225"/>
      <c r="PDQ186" s="225"/>
      <c r="PDR186" s="225"/>
      <c r="PDS186" s="225"/>
      <c r="PDT186" s="225"/>
      <c r="PDU186" s="225"/>
      <c r="PDV186" s="225"/>
      <c r="PDW186" s="225"/>
      <c r="PDX186" s="225"/>
      <c r="PDY186" s="225"/>
      <c r="PDZ186" s="225"/>
      <c r="PEA186" s="225"/>
      <c r="PEB186" s="225"/>
      <c r="PEC186" s="225"/>
      <c r="PED186" s="225"/>
      <c r="PEE186" s="225"/>
      <c r="PEF186" s="225"/>
      <c r="PEG186" s="225"/>
      <c r="PEH186" s="225"/>
      <c r="PEI186" s="225"/>
      <c r="PEJ186" s="225"/>
      <c r="PEK186" s="225"/>
      <c r="PEL186" s="225"/>
      <c r="PEM186" s="225"/>
      <c r="PEN186" s="225"/>
      <c r="PEO186" s="225"/>
      <c r="PEP186" s="225"/>
      <c r="PEQ186" s="225"/>
      <c r="PER186" s="225"/>
      <c r="PES186" s="225"/>
      <c r="PET186" s="225"/>
      <c r="PEU186" s="225"/>
      <c r="PEV186" s="225"/>
      <c r="PEW186" s="225"/>
      <c r="PEX186" s="225"/>
      <c r="PEY186" s="225"/>
      <c r="PEZ186" s="225"/>
      <c r="PFA186" s="225"/>
      <c r="PFB186" s="225"/>
      <c r="PFC186" s="225"/>
      <c r="PFD186" s="225"/>
      <c r="PFE186" s="225"/>
      <c r="PFF186" s="225"/>
      <c r="PFG186" s="225"/>
      <c r="PFH186" s="225"/>
      <c r="PFI186" s="225"/>
      <c r="PFJ186" s="225"/>
      <c r="PFK186" s="225"/>
      <c r="PFL186" s="225"/>
      <c r="PFM186" s="225"/>
      <c r="PFN186" s="225"/>
      <c r="PFO186" s="225"/>
      <c r="PFP186" s="225"/>
      <c r="PFQ186" s="225"/>
      <c r="PFR186" s="225"/>
      <c r="PFS186" s="225"/>
      <c r="PFT186" s="225"/>
      <c r="PFU186" s="225"/>
      <c r="PFV186" s="225"/>
      <c r="PFW186" s="225"/>
      <c r="PFX186" s="225"/>
      <c r="PFY186" s="225"/>
      <c r="PFZ186" s="225"/>
      <c r="PGA186" s="225"/>
      <c r="PGB186" s="225"/>
      <c r="PGC186" s="225"/>
      <c r="PGD186" s="225"/>
      <c r="PGE186" s="225"/>
      <c r="PGF186" s="225"/>
      <c r="PGG186" s="225"/>
      <c r="PGH186" s="225"/>
      <c r="PGI186" s="225"/>
      <c r="PGJ186" s="225"/>
      <c r="PGK186" s="225"/>
      <c r="PGL186" s="225"/>
      <c r="PGM186" s="225"/>
      <c r="PGN186" s="225"/>
      <c r="PGO186" s="225"/>
      <c r="PGP186" s="225"/>
      <c r="PGQ186" s="225"/>
      <c r="PGR186" s="225"/>
      <c r="PGS186" s="225"/>
      <c r="PGT186" s="225"/>
      <c r="PGU186" s="225"/>
      <c r="PGV186" s="225"/>
      <c r="PGW186" s="225"/>
      <c r="PGX186" s="225"/>
      <c r="PGY186" s="225"/>
      <c r="PGZ186" s="225"/>
      <c r="PHA186" s="225"/>
      <c r="PHB186" s="225"/>
      <c r="PHC186" s="225"/>
      <c r="PHD186" s="225"/>
      <c r="PHE186" s="225"/>
      <c r="PHF186" s="225"/>
      <c r="PHG186" s="225"/>
      <c r="PHH186" s="225"/>
      <c r="PHI186" s="225"/>
      <c r="PHJ186" s="225"/>
      <c r="PHK186" s="225"/>
      <c r="PHL186" s="225"/>
      <c r="PHM186" s="225"/>
      <c r="PHN186" s="225"/>
      <c r="PHO186" s="225"/>
      <c r="PHP186" s="225"/>
      <c r="PHQ186" s="225"/>
      <c r="PHR186" s="225"/>
      <c r="PHS186" s="225"/>
      <c r="PHT186" s="225"/>
      <c r="PHU186" s="225"/>
      <c r="PHV186" s="225"/>
      <c r="PHW186" s="225"/>
      <c r="PHX186" s="225"/>
      <c r="PHY186" s="225"/>
      <c r="PHZ186" s="225"/>
      <c r="PIA186" s="225"/>
      <c r="PIB186" s="225"/>
      <c r="PIC186" s="225"/>
      <c r="PID186" s="225"/>
      <c r="PIE186" s="225"/>
      <c r="PIF186" s="225"/>
      <c r="PIG186" s="225"/>
      <c r="PIH186" s="225"/>
      <c r="PII186" s="225"/>
      <c r="PIJ186" s="225"/>
      <c r="PIK186" s="225"/>
      <c r="PIL186" s="225"/>
      <c r="PIM186" s="225"/>
      <c r="PIN186" s="225"/>
      <c r="PIO186" s="225"/>
      <c r="PIP186" s="225"/>
      <c r="PIQ186" s="225"/>
      <c r="PIR186" s="225"/>
      <c r="PIS186" s="225"/>
      <c r="PIT186" s="225"/>
      <c r="PIU186" s="225"/>
      <c r="PIV186" s="225"/>
      <c r="PIW186" s="225"/>
      <c r="PIX186" s="225"/>
      <c r="PIY186" s="225"/>
      <c r="PIZ186" s="225"/>
      <c r="PJA186" s="225"/>
      <c r="PJB186" s="225"/>
      <c r="PJC186" s="225"/>
      <c r="PJD186" s="225"/>
      <c r="PJE186" s="225"/>
      <c r="PJF186" s="225"/>
      <c r="PJG186" s="225"/>
      <c r="PJH186" s="225"/>
      <c r="PJI186" s="225"/>
      <c r="PJJ186" s="225"/>
      <c r="PJK186" s="225"/>
      <c r="PJL186" s="225"/>
      <c r="PJM186" s="225"/>
      <c r="PJN186" s="225"/>
      <c r="PJO186" s="225"/>
      <c r="PJP186" s="225"/>
      <c r="PJQ186" s="225"/>
      <c r="PJR186" s="225"/>
      <c r="PJS186" s="225"/>
      <c r="PJT186" s="225"/>
      <c r="PJU186" s="225"/>
      <c r="PJV186" s="225"/>
      <c r="PJW186" s="225"/>
      <c r="PJX186" s="225"/>
      <c r="PJY186" s="225"/>
      <c r="PJZ186" s="225"/>
      <c r="PKA186" s="225"/>
      <c r="PKB186" s="225"/>
      <c r="PKC186" s="225"/>
      <c r="PKD186" s="225"/>
      <c r="PKE186" s="225"/>
      <c r="PKF186" s="225"/>
      <c r="PKG186" s="225"/>
      <c r="PKH186" s="225"/>
      <c r="PKI186" s="225"/>
      <c r="PKJ186" s="225"/>
      <c r="PKK186" s="225"/>
      <c r="PKL186" s="225"/>
      <c r="PKM186" s="225"/>
      <c r="PKN186" s="225"/>
      <c r="PKO186" s="225"/>
      <c r="PKP186" s="225"/>
      <c r="PKQ186" s="225"/>
      <c r="PKR186" s="225"/>
      <c r="PKS186" s="225"/>
      <c r="PKT186" s="225"/>
      <c r="PKU186" s="225"/>
      <c r="PKV186" s="225"/>
      <c r="PKW186" s="225"/>
      <c r="PKX186" s="225"/>
      <c r="PKY186" s="225"/>
      <c r="PKZ186" s="225"/>
      <c r="PLA186" s="225"/>
      <c r="PLB186" s="225"/>
      <c r="PLC186" s="225"/>
      <c r="PLD186" s="225"/>
      <c r="PLE186" s="225"/>
      <c r="PLF186" s="225"/>
      <c r="PLG186" s="225"/>
      <c r="PLH186" s="225"/>
      <c r="PLI186" s="225"/>
      <c r="PLJ186" s="225"/>
      <c r="PLK186" s="225"/>
      <c r="PLL186" s="225"/>
      <c r="PLM186" s="225"/>
      <c r="PLN186" s="225"/>
      <c r="PLO186" s="225"/>
      <c r="PLP186" s="225"/>
      <c r="PLQ186" s="225"/>
      <c r="PLR186" s="225"/>
      <c r="PLS186" s="225"/>
      <c r="PLT186" s="225"/>
      <c r="PLU186" s="225"/>
      <c r="PLV186" s="225"/>
      <c r="PLW186" s="225"/>
      <c r="PLX186" s="225"/>
      <c r="PLY186" s="225"/>
      <c r="PLZ186" s="225"/>
      <c r="PMA186" s="225"/>
      <c r="PMB186" s="225"/>
      <c r="PMC186" s="225"/>
      <c r="PMD186" s="225"/>
      <c r="PME186" s="225"/>
      <c r="PMF186" s="225"/>
      <c r="PMG186" s="225"/>
      <c r="PMH186" s="225"/>
      <c r="PMI186" s="225"/>
      <c r="PMJ186" s="225"/>
      <c r="PMK186" s="225"/>
      <c r="PML186" s="225"/>
      <c r="PMM186" s="225"/>
      <c r="PMN186" s="225"/>
      <c r="PMO186" s="225"/>
      <c r="PMP186" s="225"/>
      <c r="PMQ186" s="225"/>
      <c r="PMR186" s="225"/>
      <c r="PMS186" s="225"/>
      <c r="PMT186" s="225"/>
      <c r="PMU186" s="225"/>
      <c r="PMV186" s="225"/>
      <c r="PMW186" s="225"/>
      <c r="PMX186" s="225"/>
      <c r="PMY186" s="225"/>
      <c r="PMZ186" s="225"/>
      <c r="PNA186" s="225"/>
      <c r="PNB186" s="225"/>
      <c r="PNC186" s="225"/>
      <c r="PND186" s="225"/>
      <c r="PNE186" s="225"/>
      <c r="PNF186" s="225"/>
      <c r="PNG186" s="225"/>
      <c r="PNH186" s="225"/>
      <c r="PNI186" s="225"/>
      <c r="PNJ186" s="225"/>
      <c r="PNK186" s="225"/>
      <c r="PNL186" s="225"/>
      <c r="PNM186" s="225"/>
      <c r="PNN186" s="225"/>
      <c r="PNO186" s="225"/>
      <c r="PNP186" s="225"/>
      <c r="PNQ186" s="225"/>
      <c r="PNR186" s="225"/>
      <c r="PNS186" s="225"/>
      <c r="PNT186" s="225"/>
      <c r="PNU186" s="225"/>
      <c r="PNV186" s="225"/>
      <c r="PNW186" s="225"/>
      <c r="PNX186" s="225"/>
      <c r="PNY186" s="225"/>
      <c r="PNZ186" s="225"/>
      <c r="POA186" s="225"/>
      <c r="POB186" s="225"/>
      <c r="POC186" s="225"/>
      <c r="POD186" s="225"/>
      <c r="POE186" s="225"/>
      <c r="POF186" s="225"/>
      <c r="POG186" s="225"/>
      <c r="POH186" s="225"/>
      <c r="POI186" s="225"/>
      <c r="POJ186" s="225"/>
      <c r="POK186" s="225"/>
      <c r="POL186" s="225"/>
      <c r="POM186" s="225"/>
      <c r="PON186" s="225"/>
      <c r="POO186" s="225"/>
      <c r="POP186" s="225"/>
      <c r="POQ186" s="225"/>
      <c r="POR186" s="225"/>
      <c r="POS186" s="225"/>
      <c r="POT186" s="225"/>
      <c r="POU186" s="225"/>
      <c r="POV186" s="225"/>
      <c r="POW186" s="225"/>
      <c r="POX186" s="225"/>
      <c r="POY186" s="225"/>
      <c r="POZ186" s="225"/>
      <c r="PPA186" s="225"/>
      <c r="PPB186" s="225"/>
      <c r="PPC186" s="225"/>
      <c r="PPD186" s="225"/>
      <c r="PPE186" s="225"/>
      <c r="PPF186" s="225"/>
      <c r="PPG186" s="225"/>
      <c r="PPH186" s="225"/>
      <c r="PPI186" s="225"/>
      <c r="PPJ186" s="225"/>
      <c r="PPK186" s="225"/>
      <c r="PPL186" s="225"/>
      <c r="PPM186" s="225"/>
      <c r="PPN186" s="225"/>
      <c r="PPO186" s="225"/>
      <c r="PPP186" s="225"/>
      <c r="PPQ186" s="225"/>
      <c r="PPR186" s="225"/>
      <c r="PPS186" s="225"/>
      <c r="PPT186" s="225"/>
      <c r="PPU186" s="225"/>
      <c r="PPV186" s="225"/>
      <c r="PPW186" s="225"/>
      <c r="PPX186" s="225"/>
      <c r="PPY186" s="225"/>
      <c r="PPZ186" s="225"/>
      <c r="PQA186" s="225"/>
      <c r="PQB186" s="225"/>
      <c r="PQC186" s="225"/>
      <c r="PQD186" s="225"/>
      <c r="PQE186" s="225"/>
      <c r="PQF186" s="225"/>
      <c r="PQG186" s="225"/>
      <c r="PQH186" s="225"/>
      <c r="PQI186" s="225"/>
      <c r="PQJ186" s="225"/>
      <c r="PQK186" s="225"/>
      <c r="PQL186" s="225"/>
      <c r="PQM186" s="225"/>
      <c r="PQN186" s="225"/>
      <c r="PQO186" s="225"/>
      <c r="PQP186" s="225"/>
      <c r="PQQ186" s="225"/>
      <c r="PQR186" s="225"/>
      <c r="PQS186" s="225"/>
      <c r="PQT186" s="225"/>
      <c r="PQU186" s="225"/>
      <c r="PQV186" s="225"/>
      <c r="PQW186" s="225"/>
      <c r="PQX186" s="225"/>
      <c r="PQY186" s="225"/>
      <c r="PQZ186" s="225"/>
      <c r="PRA186" s="225"/>
      <c r="PRB186" s="225"/>
      <c r="PRC186" s="225"/>
      <c r="PRD186" s="225"/>
      <c r="PRE186" s="225"/>
      <c r="PRF186" s="225"/>
      <c r="PRG186" s="225"/>
      <c r="PRH186" s="225"/>
      <c r="PRI186" s="225"/>
      <c r="PRJ186" s="225"/>
      <c r="PRK186" s="225"/>
      <c r="PRL186" s="225"/>
      <c r="PRM186" s="225"/>
      <c r="PRN186" s="225"/>
      <c r="PRO186" s="225"/>
      <c r="PRP186" s="225"/>
      <c r="PRQ186" s="225"/>
      <c r="PRR186" s="225"/>
      <c r="PRS186" s="225"/>
      <c r="PRT186" s="225"/>
      <c r="PRU186" s="225"/>
      <c r="PRV186" s="225"/>
      <c r="PRW186" s="225"/>
      <c r="PRX186" s="225"/>
      <c r="PRY186" s="225"/>
      <c r="PRZ186" s="225"/>
      <c r="PSA186" s="225"/>
      <c r="PSB186" s="225"/>
      <c r="PSC186" s="225"/>
      <c r="PSD186" s="225"/>
      <c r="PSE186" s="225"/>
      <c r="PSF186" s="225"/>
      <c r="PSG186" s="225"/>
      <c r="PSH186" s="225"/>
      <c r="PSI186" s="225"/>
      <c r="PSJ186" s="225"/>
      <c r="PSK186" s="225"/>
      <c r="PSL186" s="225"/>
      <c r="PSM186" s="225"/>
      <c r="PSN186" s="225"/>
      <c r="PSO186" s="225"/>
      <c r="PSP186" s="225"/>
      <c r="PSQ186" s="225"/>
      <c r="PSR186" s="225"/>
      <c r="PSS186" s="225"/>
      <c r="PST186" s="225"/>
      <c r="PSU186" s="225"/>
      <c r="PSV186" s="225"/>
      <c r="PSW186" s="225"/>
      <c r="PSX186" s="225"/>
      <c r="PSY186" s="225"/>
      <c r="PSZ186" s="225"/>
      <c r="PTA186" s="225"/>
      <c r="PTB186" s="225"/>
      <c r="PTC186" s="225"/>
      <c r="PTD186" s="225"/>
      <c r="PTE186" s="225"/>
      <c r="PTF186" s="225"/>
      <c r="PTG186" s="225"/>
      <c r="PTH186" s="225"/>
      <c r="PTI186" s="225"/>
      <c r="PTJ186" s="225"/>
      <c r="PTK186" s="225"/>
      <c r="PTL186" s="225"/>
      <c r="PTM186" s="225"/>
      <c r="PTN186" s="225"/>
      <c r="PTO186" s="225"/>
      <c r="PTP186" s="225"/>
      <c r="PTQ186" s="225"/>
      <c r="PTR186" s="225"/>
      <c r="PTS186" s="225"/>
      <c r="PTT186" s="225"/>
      <c r="PTU186" s="225"/>
      <c r="PTV186" s="225"/>
      <c r="PTW186" s="225"/>
      <c r="PTX186" s="225"/>
      <c r="PTY186" s="225"/>
      <c r="PTZ186" s="225"/>
      <c r="PUA186" s="225"/>
      <c r="PUB186" s="225"/>
      <c r="PUC186" s="225"/>
      <c r="PUD186" s="225"/>
      <c r="PUE186" s="225"/>
      <c r="PUF186" s="225"/>
      <c r="PUG186" s="225"/>
      <c r="PUH186" s="225"/>
      <c r="PUI186" s="225"/>
      <c r="PUJ186" s="225"/>
      <c r="PUK186" s="225"/>
      <c r="PUL186" s="225"/>
      <c r="PUM186" s="225"/>
      <c r="PUN186" s="225"/>
      <c r="PUO186" s="225"/>
      <c r="PUP186" s="225"/>
      <c r="PUQ186" s="225"/>
      <c r="PUR186" s="225"/>
      <c r="PUS186" s="225"/>
      <c r="PUT186" s="225"/>
      <c r="PUU186" s="225"/>
      <c r="PUV186" s="225"/>
      <c r="PUW186" s="225"/>
      <c r="PUX186" s="225"/>
      <c r="PUY186" s="225"/>
      <c r="PUZ186" s="225"/>
      <c r="PVA186" s="225"/>
      <c r="PVB186" s="225"/>
      <c r="PVC186" s="225"/>
      <c r="PVD186" s="225"/>
      <c r="PVE186" s="225"/>
      <c r="PVF186" s="225"/>
      <c r="PVG186" s="225"/>
      <c r="PVH186" s="225"/>
      <c r="PVI186" s="225"/>
      <c r="PVJ186" s="225"/>
      <c r="PVK186" s="225"/>
      <c r="PVL186" s="225"/>
      <c r="PVM186" s="225"/>
      <c r="PVN186" s="225"/>
      <c r="PVO186" s="225"/>
      <c r="PVP186" s="225"/>
      <c r="PVQ186" s="225"/>
      <c r="PVR186" s="225"/>
      <c r="PVS186" s="225"/>
      <c r="PVT186" s="225"/>
      <c r="PVU186" s="225"/>
      <c r="PVV186" s="225"/>
      <c r="PVW186" s="225"/>
      <c r="PVX186" s="225"/>
      <c r="PVY186" s="225"/>
      <c r="PVZ186" s="225"/>
      <c r="PWA186" s="225"/>
      <c r="PWB186" s="225"/>
      <c r="PWC186" s="225"/>
      <c r="PWD186" s="225"/>
      <c r="PWE186" s="225"/>
      <c r="PWF186" s="225"/>
      <c r="PWG186" s="225"/>
      <c r="PWH186" s="225"/>
      <c r="PWI186" s="225"/>
      <c r="PWJ186" s="225"/>
      <c r="PWK186" s="225"/>
      <c r="PWL186" s="225"/>
      <c r="PWM186" s="225"/>
      <c r="PWN186" s="225"/>
      <c r="PWO186" s="225"/>
      <c r="PWP186" s="225"/>
      <c r="PWQ186" s="225"/>
      <c r="PWR186" s="225"/>
      <c r="PWS186" s="225"/>
      <c r="PWT186" s="225"/>
      <c r="PWU186" s="225"/>
      <c r="PWV186" s="225"/>
      <c r="PWW186" s="225"/>
      <c r="PWX186" s="225"/>
      <c r="PWY186" s="225"/>
      <c r="PWZ186" s="225"/>
      <c r="PXA186" s="225"/>
      <c r="PXB186" s="225"/>
      <c r="PXC186" s="225"/>
      <c r="PXD186" s="225"/>
      <c r="PXE186" s="225"/>
      <c r="PXF186" s="225"/>
      <c r="PXG186" s="225"/>
      <c r="PXH186" s="225"/>
      <c r="PXI186" s="225"/>
      <c r="PXJ186" s="225"/>
      <c r="PXK186" s="225"/>
      <c r="PXL186" s="225"/>
      <c r="PXM186" s="225"/>
      <c r="PXN186" s="225"/>
      <c r="PXO186" s="225"/>
      <c r="PXP186" s="225"/>
      <c r="PXQ186" s="225"/>
      <c r="PXR186" s="225"/>
      <c r="PXS186" s="225"/>
      <c r="PXT186" s="225"/>
      <c r="PXU186" s="225"/>
      <c r="PXV186" s="225"/>
      <c r="PXW186" s="225"/>
      <c r="PXX186" s="225"/>
      <c r="PXY186" s="225"/>
      <c r="PXZ186" s="225"/>
      <c r="PYA186" s="225"/>
      <c r="PYB186" s="225"/>
      <c r="PYC186" s="225"/>
      <c r="PYD186" s="225"/>
      <c r="PYE186" s="225"/>
      <c r="PYF186" s="225"/>
      <c r="PYG186" s="225"/>
      <c r="PYH186" s="225"/>
      <c r="PYI186" s="225"/>
      <c r="PYJ186" s="225"/>
      <c r="PYK186" s="225"/>
      <c r="PYL186" s="225"/>
      <c r="PYM186" s="225"/>
      <c r="PYN186" s="225"/>
      <c r="PYO186" s="225"/>
      <c r="PYP186" s="225"/>
      <c r="PYQ186" s="225"/>
      <c r="PYR186" s="225"/>
      <c r="PYS186" s="225"/>
      <c r="PYT186" s="225"/>
      <c r="PYU186" s="225"/>
      <c r="PYV186" s="225"/>
      <c r="PYW186" s="225"/>
      <c r="PYX186" s="225"/>
      <c r="PYY186" s="225"/>
      <c r="PYZ186" s="225"/>
      <c r="PZA186" s="225"/>
      <c r="PZB186" s="225"/>
      <c r="PZC186" s="225"/>
      <c r="PZD186" s="225"/>
      <c r="PZE186" s="225"/>
      <c r="PZF186" s="225"/>
      <c r="PZG186" s="225"/>
      <c r="PZH186" s="225"/>
      <c r="PZI186" s="225"/>
      <c r="PZJ186" s="225"/>
      <c r="PZK186" s="225"/>
      <c r="PZL186" s="225"/>
      <c r="PZM186" s="225"/>
      <c r="PZN186" s="225"/>
      <c r="PZO186" s="225"/>
      <c r="PZP186" s="225"/>
      <c r="PZQ186" s="225"/>
      <c r="PZR186" s="225"/>
      <c r="PZS186" s="225"/>
      <c r="PZT186" s="225"/>
      <c r="PZU186" s="225"/>
      <c r="PZV186" s="225"/>
      <c r="PZW186" s="225"/>
      <c r="PZX186" s="225"/>
      <c r="PZY186" s="225"/>
      <c r="PZZ186" s="225"/>
      <c r="QAA186" s="225"/>
      <c r="QAB186" s="225"/>
      <c r="QAC186" s="225"/>
      <c r="QAD186" s="225"/>
      <c r="QAE186" s="225"/>
      <c r="QAF186" s="225"/>
      <c r="QAG186" s="225"/>
      <c r="QAH186" s="225"/>
      <c r="QAI186" s="225"/>
      <c r="QAJ186" s="225"/>
      <c r="QAK186" s="225"/>
      <c r="QAL186" s="225"/>
      <c r="QAM186" s="225"/>
      <c r="QAN186" s="225"/>
      <c r="QAO186" s="225"/>
      <c r="QAP186" s="225"/>
      <c r="QAQ186" s="225"/>
      <c r="QAR186" s="225"/>
      <c r="QAS186" s="225"/>
      <c r="QAT186" s="225"/>
      <c r="QAU186" s="225"/>
      <c r="QAV186" s="225"/>
      <c r="QAW186" s="225"/>
      <c r="QAX186" s="225"/>
      <c r="QAY186" s="225"/>
      <c r="QAZ186" s="225"/>
      <c r="QBA186" s="225"/>
      <c r="QBB186" s="225"/>
      <c r="QBC186" s="225"/>
      <c r="QBD186" s="225"/>
      <c r="QBE186" s="225"/>
      <c r="QBF186" s="225"/>
      <c r="QBG186" s="225"/>
      <c r="QBH186" s="225"/>
      <c r="QBI186" s="225"/>
      <c r="QBJ186" s="225"/>
      <c r="QBK186" s="225"/>
      <c r="QBL186" s="225"/>
      <c r="QBM186" s="225"/>
      <c r="QBN186" s="225"/>
      <c r="QBO186" s="225"/>
      <c r="QBP186" s="225"/>
      <c r="QBQ186" s="225"/>
      <c r="QBR186" s="225"/>
      <c r="QBS186" s="225"/>
      <c r="QBT186" s="225"/>
      <c r="QBU186" s="225"/>
      <c r="QBV186" s="225"/>
      <c r="QBW186" s="225"/>
      <c r="QBX186" s="225"/>
      <c r="QBY186" s="225"/>
      <c r="QBZ186" s="225"/>
      <c r="QCA186" s="225"/>
      <c r="QCB186" s="225"/>
      <c r="QCC186" s="225"/>
      <c r="QCD186" s="225"/>
      <c r="QCE186" s="225"/>
      <c r="QCF186" s="225"/>
      <c r="QCG186" s="225"/>
      <c r="QCH186" s="225"/>
      <c r="QCI186" s="225"/>
      <c r="QCJ186" s="225"/>
      <c r="QCK186" s="225"/>
      <c r="QCL186" s="225"/>
      <c r="QCM186" s="225"/>
      <c r="QCN186" s="225"/>
      <c r="QCO186" s="225"/>
      <c r="QCP186" s="225"/>
      <c r="QCQ186" s="225"/>
      <c r="QCR186" s="225"/>
      <c r="QCS186" s="225"/>
      <c r="QCT186" s="225"/>
      <c r="QCU186" s="225"/>
      <c r="QCV186" s="225"/>
      <c r="QCW186" s="225"/>
      <c r="QCX186" s="225"/>
      <c r="QCY186" s="225"/>
      <c r="QCZ186" s="225"/>
      <c r="QDA186" s="225"/>
      <c r="QDB186" s="225"/>
      <c r="QDC186" s="225"/>
      <c r="QDD186" s="225"/>
      <c r="QDE186" s="225"/>
      <c r="QDF186" s="225"/>
      <c r="QDG186" s="225"/>
      <c r="QDH186" s="225"/>
      <c r="QDI186" s="225"/>
      <c r="QDJ186" s="225"/>
      <c r="QDK186" s="225"/>
      <c r="QDL186" s="225"/>
      <c r="QDM186" s="225"/>
      <c r="QDN186" s="225"/>
      <c r="QDO186" s="225"/>
      <c r="QDP186" s="225"/>
      <c r="QDQ186" s="225"/>
      <c r="QDR186" s="225"/>
      <c r="QDS186" s="225"/>
      <c r="QDT186" s="225"/>
      <c r="QDU186" s="225"/>
      <c r="QDV186" s="225"/>
      <c r="QDW186" s="225"/>
      <c r="QDX186" s="225"/>
      <c r="QDY186" s="225"/>
      <c r="QDZ186" s="225"/>
      <c r="QEA186" s="225"/>
      <c r="QEB186" s="225"/>
      <c r="QEC186" s="225"/>
      <c r="QED186" s="225"/>
      <c r="QEE186" s="225"/>
      <c r="QEF186" s="225"/>
      <c r="QEG186" s="225"/>
      <c r="QEH186" s="225"/>
      <c r="QEI186" s="225"/>
      <c r="QEJ186" s="225"/>
      <c r="QEK186" s="225"/>
      <c r="QEL186" s="225"/>
      <c r="QEM186" s="225"/>
      <c r="QEN186" s="225"/>
      <c r="QEO186" s="225"/>
      <c r="QEP186" s="225"/>
      <c r="QEQ186" s="225"/>
      <c r="QER186" s="225"/>
      <c r="QES186" s="225"/>
      <c r="QET186" s="225"/>
      <c r="QEU186" s="225"/>
      <c r="QEV186" s="225"/>
      <c r="QEW186" s="225"/>
      <c r="QEX186" s="225"/>
      <c r="QEY186" s="225"/>
      <c r="QEZ186" s="225"/>
      <c r="QFA186" s="225"/>
      <c r="QFB186" s="225"/>
      <c r="QFC186" s="225"/>
      <c r="QFD186" s="225"/>
      <c r="QFE186" s="225"/>
      <c r="QFF186" s="225"/>
      <c r="QFG186" s="225"/>
      <c r="QFH186" s="225"/>
      <c r="QFI186" s="225"/>
      <c r="QFJ186" s="225"/>
      <c r="QFK186" s="225"/>
      <c r="QFL186" s="225"/>
      <c r="QFM186" s="225"/>
      <c r="QFN186" s="225"/>
      <c r="QFO186" s="225"/>
      <c r="QFP186" s="225"/>
      <c r="QFQ186" s="225"/>
      <c r="QFR186" s="225"/>
      <c r="QFS186" s="225"/>
      <c r="QFT186" s="225"/>
      <c r="QFU186" s="225"/>
      <c r="QFV186" s="225"/>
      <c r="QFW186" s="225"/>
      <c r="QFX186" s="225"/>
      <c r="QFY186" s="225"/>
      <c r="QFZ186" s="225"/>
      <c r="QGA186" s="225"/>
      <c r="QGB186" s="225"/>
      <c r="QGC186" s="225"/>
      <c r="QGD186" s="225"/>
      <c r="QGE186" s="225"/>
      <c r="QGF186" s="225"/>
      <c r="QGG186" s="225"/>
      <c r="QGH186" s="225"/>
      <c r="QGI186" s="225"/>
      <c r="QGJ186" s="225"/>
      <c r="QGK186" s="225"/>
      <c r="QGL186" s="225"/>
      <c r="QGM186" s="225"/>
      <c r="QGN186" s="225"/>
      <c r="QGO186" s="225"/>
      <c r="QGP186" s="225"/>
      <c r="QGQ186" s="225"/>
      <c r="QGR186" s="225"/>
      <c r="QGS186" s="225"/>
      <c r="QGT186" s="225"/>
      <c r="QGU186" s="225"/>
      <c r="QGV186" s="225"/>
      <c r="QGW186" s="225"/>
      <c r="QGX186" s="225"/>
      <c r="QGY186" s="225"/>
      <c r="QGZ186" s="225"/>
      <c r="QHA186" s="225"/>
      <c r="QHB186" s="225"/>
      <c r="QHC186" s="225"/>
      <c r="QHD186" s="225"/>
      <c r="QHE186" s="225"/>
      <c r="QHF186" s="225"/>
      <c r="QHG186" s="225"/>
      <c r="QHH186" s="225"/>
      <c r="QHI186" s="225"/>
      <c r="QHJ186" s="225"/>
      <c r="QHK186" s="225"/>
      <c r="QHL186" s="225"/>
      <c r="QHM186" s="225"/>
      <c r="QHN186" s="225"/>
      <c r="QHO186" s="225"/>
      <c r="QHP186" s="225"/>
      <c r="QHQ186" s="225"/>
      <c r="QHR186" s="225"/>
      <c r="QHS186" s="225"/>
      <c r="QHT186" s="225"/>
      <c r="QHU186" s="225"/>
      <c r="QHV186" s="225"/>
      <c r="QHW186" s="225"/>
      <c r="QHX186" s="225"/>
      <c r="QHY186" s="225"/>
      <c r="QHZ186" s="225"/>
      <c r="QIA186" s="225"/>
      <c r="QIB186" s="225"/>
      <c r="QIC186" s="225"/>
      <c r="QID186" s="225"/>
      <c r="QIE186" s="225"/>
      <c r="QIF186" s="225"/>
      <c r="QIG186" s="225"/>
      <c r="QIH186" s="225"/>
      <c r="QII186" s="225"/>
      <c r="QIJ186" s="225"/>
      <c r="QIK186" s="225"/>
      <c r="QIL186" s="225"/>
      <c r="QIM186" s="225"/>
      <c r="QIN186" s="225"/>
      <c r="QIO186" s="225"/>
      <c r="QIP186" s="225"/>
      <c r="QIQ186" s="225"/>
      <c r="QIR186" s="225"/>
      <c r="QIS186" s="225"/>
      <c r="QIT186" s="225"/>
      <c r="QIU186" s="225"/>
      <c r="QIV186" s="225"/>
      <c r="QIW186" s="225"/>
      <c r="QIX186" s="225"/>
      <c r="QIY186" s="225"/>
      <c r="QIZ186" s="225"/>
      <c r="QJA186" s="225"/>
      <c r="QJB186" s="225"/>
      <c r="QJC186" s="225"/>
      <c r="QJD186" s="225"/>
      <c r="QJE186" s="225"/>
      <c r="QJF186" s="225"/>
      <c r="QJG186" s="225"/>
      <c r="QJH186" s="225"/>
      <c r="QJI186" s="225"/>
      <c r="QJJ186" s="225"/>
      <c r="QJK186" s="225"/>
      <c r="QJL186" s="225"/>
      <c r="QJM186" s="225"/>
      <c r="QJN186" s="225"/>
      <c r="QJO186" s="225"/>
      <c r="QJP186" s="225"/>
      <c r="QJQ186" s="225"/>
      <c r="QJR186" s="225"/>
      <c r="QJS186" s="225"/>
      <c r="QJT186" s="225"/>
      <c r="QJU186" s="225"/>
      <c r="QJV186" s="225"/>
      <c r="QJW186" s="225"/>
      <c r="QJX186" s="225"/>
      <c r="QJY186" s="225"/>
      <c r="QJZ186" s="225"/>
      <c r="QKA186" s="225"/>
      <c r="QKB186" s="225"/>
      <c r="QKC186" s="225"/>
      <c r="QKD186" s="225"/>
      <c r="QKE186" s="225"/>
      <c r="QKF186" s="225"/>
      <c r="QKG186" s="225"/>
      <c r="QKH186" s="225"/>
      <c r="QKI186" s="225"/>
      <c r="QKJ186" s="225"/>
      <c r="QKK186" s="225"/>
      <c r="QKL186" s="225"/>
      <c r="QKM186" s="225"/>
      <c r="QKN186" s="225"/>
      <c r="QKO186" s="225"/>
      <c r="QKP186" s="225"/>
      <c r="QKQ186" s="225"/>
      <c r="QKR186" s="225"/>
      <c r="QKS186" s="225"/>
      <c r="QKT186" s="225"/>
      <c r="QKU186" s="225"/>
      <c r="QKV186" s="225"/>
      <c r="QKW186" s="225"/>
      <c r="QKX186" s="225"/>
      <c r="QKY186" s="225"/>
      <c r="QKZ186" s="225"/>
      <c r="QLA186" s="225"/>
      <c r="QLB186" s="225"/>
      <c r="QLC186" s="225"/>
      <c r="QLD186" s="225"/>
      <c r="QLE186" s="225"/>
      <c r="QLF186" s="225"/>
      <c r="QLG186" s="225"/>
      <c r="QLH186" s="225"/>
      <c r="QLI186" s="225"/>
      <c r="QLJ186" s="225"/>
      <c r="QLK186" s="225"/>
      <c r="QLL186" s="225"/>
      <c r="QLM186" s="225"/>
      <c r="QLN186" s="225"/>
      <c r="QLO186" s="225"/>
      <c r="QLP186" s="225"/>
      <c r="QLQ186" s="225"/>
      <c r="QLR186" s="225"/>
      <c r="QLS186" s="225"/>
      <c r="QLT186" s="225"/>
      <c r="QLU186" s="225"/>
      <c r="QLV186" s="225"/>
      <c r="QLW186" s="225"/>
      <c r="QLX186" s="225"/>
      <c r="QLY186" s="225"/>
      <c r="QLZ186" s="225"/>
      <c r="QMA186" s="225"/>
      <c r="QMB186" s="225"/>
      <c r="QMC186" s="225"/>
      <c r="QMD186" s="225"/>
      <c r="QME186" s="225"/>
      <c r="QMF186" s="225"/>
      <c r="QMG186" s="225"/>
      <c r="QMH186" s="225"/>
      <c r="QMI186" s="225"/>
      <c r="QMJ186" s="225"/>
      <c r="QMK186" s="225"/>
      <c r="QML186" s="225"/>
      <c r="QMM186" s="225"/>
      <c r="QMN186" s="225"/>
      <c r="QMO186" s="225"/>
      <c r="QMP186" s="225"/>
      <c r="QMQ186" s="225"/>
      <c r="QMR186" s="225"/>
      <c r="QMS186" s="225"/>
      <c r="QMT186" s="225"/>
      <c r="QMU186" s="225"/>
      <c r="QMV186" s="225"/>
      <c r="QMW186" s="225"/>
      <c r="QMX186" s="225"/>
      <c r="QMY186" s="225"/>
      <c r="QMZ186" s="225"/>
      <c r="QNA186" s="225"/>
      <c r="QNB186" s="225"/>
      <c r="QNC186" s="225"/>
      <c r="QND186" s="225"/>
      <c r="QNE186" s="225"/>
      <c r="QNF186" s="225"/>
      <c r="QNG186" s="225"/>
      <c r="QNH186" s="225"/>
      <c r="QNI186" s="225"/>
      <c r="QNJ186" s="225"/>
      <c r="QNK186" s="225"/>
      <c r="QNL186" s="225"/>
      <c r="QNM186" s="225"/>
      <c r="QNN186" s="225"/>
      <c r="QNO186" s="225"/>
      <c r="QNP186" s="225"/>
      <c r="QNQ186" s="225"/>
      <c r="QNR186" s="225"/>
      <c r="QNS186" s="225"/>
      <c r="QNT186" s="225"/>
      <c r="QNU186" s="225"/>
      <c r="QNV186" s="225"/>
      <c r="QNW186" s="225"/>
      <c r="QNX186" s="225"/>
      <c r="QNY186" s="225"/>
      <c r="QNZ186" s="225"/>
      <c r="QOA186" s="225"/>
      <c r="QOB186" s="225"/>
      <c r="QOC186" s="225"/>
      <c r="QOD186" s="225"/>
      <c r="QOE186" s="225"/>
      <c r="QOF186" s="225"/>
      <c r="QOG186" s="225"/>
      <c r="QOH186" s="225"/>
      <c r="QOI186" s="225"/>
      <c r="QOJ186" s="225"/>
      <c r="QOK186" s="225"/>
      <c r="QOL186" s="225"/>
      <c r="QOM186" s="225"/>
      <c r="QON186" s="225"/>
      <c r="QOO186" s="225"/>
      <c r="QOP186" s="225"/>
      <c r="QOQ186" s="225"/>
      <c r="QOR186" s="225"/>
      <c r="QOS186" s="225"/>
      <c r="QOT186" s="225"/>
      <c r="QOU186" s="225"/>
      <c r="QOV186" s="225"/>
      <c r="QOW186" s="225"/>
      <c r="QOX186" s="225"/>
      <c r="QOY186" s="225"/>
      <c r="QOZ186" s="225"/>
      <c r="QPA186" s="225"/>
      <c r="QPB186" s="225"/>
      <c r="QPC186" s="225"/>
      <c r="QPD186" s="225"/>
      <c r="QPE186" s="225"/>
      <c r="QPF186" s="225"/>
      <c r="QPG186" s="225"/>
      <c r="QPH186" s="225"/>
      <c r="QPI186" s="225"/>
      <c r="QPJ186" s="225"/>
      <c r="QPK186" s="225"/>
      <c r="QPL186" s="225"/>
      <c r="QPM186" s="225"/>
      <c r="QPN186" s="225"/>
      <c r="QPO186" s="225"/>
      <c r="QPP186" s="225"/>
      <c r="QPQ186" s="225"/>
      <c r="QPR186" s="225"/>
      <c r="QPS186" s="225"/>
      <c r="QPT186" s="225"/>
      <c r="QPU186" s="225"/>
      <c r="QPV186" s="225"/>
      <c r="QPW186" s="225"/>
      <c r="QPX186" s="225"/>
      <c r="QPY186" s="225"/>
      <c r="QPZ186" s="225"/>
      <c r="QQA186" s="225"/>
      <c r="QQB186" s="225"/>
      <c r="QQC186" s="225"/>
      <c r="QQD186" s="225"/>
      <c r="QQE186" s="225"/>
      <c r="QQF186" s="225"/>
      <c r="QQG186" s="225"/>
      <c r="QQH186" s="225"/>
      <c r="QQI186" s="225"/>
      <c r="QQJ186" s="225"/>
      <c r="QQK186" s="225"/>
      <c r="QQL186" s="225"/>
      <c r="QQM186" s="225"/>
      <c r="QQN186" s="225"/>
      <c r="QQO186" s="225"/>
      <c r="QQP186" s="225"/>
      <c r="QQQ186" s="225"/>
      <c r="QQR186" s="225"/>
      <c r="QQS186" s="225"/>
      <c r="QQT186" s="225"/>
      <c r="QQU186" s="225"/>
      <c r="QQV186" s="225"/>
      <c r="QQW186" s="225"/>
      <c r="QQX186" s="225"/>
      <c r="QQY186" s="225"/>
      <c r="QQZ186" s="225"/>
      <c r="QRA186" s="225"/>
      <c r="QRB186" s="225"/>
      <c r="QRC186" s="225"/>
      <c r="QRD186" s="225"/>
      <c r="QRE186" s="225"/>
      <c r="QRF186" s="225"/>
      <c r="QRG186" s="225"/>
      <c r="QRH186" s="225"/>
      <c r="QRI186" s="225"/>
      <c r="QRJ186" s="225"/>
      <c r="QRK186" s="225"/>
      <c r="QRL186" s="225"/>
      <c r="QRM186" s="225"/>
      <c r="QRN186" s="225"/>
      <c r="QRO186" s="225"/>
      <c r="QRP186" s="225"/>
      <c r="QRQ186" s="225"/>
      <c r="QRR186" s="225"/>
      <c r="QRS186" s="225"/>
      <c r="QRT186" s="225"/>
      <c r="QRU186" s="225"/>
      <c r="QRV186" s="225"/>
      <c r="QRW186" s="225"/>
      <c r="QRX186" s="225"/>
      <c r="QRY186" s="225"/>
      <c r="QRZ186" s="225"/>
      <c r="QSA186" s="225"/>
      <c r="QSB186" s="225"/>
      <c r="QSC186" s="225"/>
      <c r="QSD186" s="225"/>
      <c r="QSE186" s="225"/>
      <c r="QSF186" s="225"/>
      <c r="QSG186" s="225"/>
      <c r="QSH186" s="225"/>
      <c r="QSI186" s="225"/>
      <c r="QSJ186" s="225"/>
      <c r="QSK186" s="225"/>
      <c r="QSL186" s="225"/>
      <c r="QSM186" s="225"/>
      <c r="QSN186" s="225"/>
      <c r="QSO186" s="225"/>
      <c r="QSP186" s="225"/>
      <c r="QSQ186" s="225"/>
      <c r="QSR186" s="225"/>
      <c r="QSS186" s="225"/>
      <c r="QST186" s="225"/>
      <c r="QSU186" s="225"/>
      <c r="QSV186" s="225"/>
      <c r="QSW186" s="225"/>
      <c r="QSX186" s="225"/>
      <c r="QSY186" s="225"/>
      <c r="QSZ186" s="225"/>
      <c r="QTA186" s="225"/>
      <c r="QTB186" s="225"/>
      <c r="QTC186" s="225"/>
      <c r="QTD186" s="225"/>
      <c r="QTE186" s="225"/>
      <c r="QTF186" s="225"/>
      <c r="QTG186" s="225"/>
      <c r="QTH186" s="225"/>
      <c r="QTI186" s="225"/>
      <c r="QTJ186" s="225"/>
      <c r="QTK186" s="225"/>
      <c r="QTL186" s="225"/>
      <c r="QTM186" s="225"/>
      <c r="QTN186" s="225"/>
      <c r="QTO186" s="225"/>
      <c r="QTP186" s="225"/>
      <c r="QTQ186" s="225"/>
      <c r="QTR186" s="225"/>
      <c r="QTS186" s="225"/>
      <c r="QTT186" s="225"/>
      <c r="QTU186" s="225"/>
      <c r="QTV186" s="225"/>
      <c r="QTW186" s="225"/>
      <c r="QTX186" s="225"/>
      <c r="QTY186" s="225"/>
      <c r="QTZ186" s="225"/>
      <c r="QUA186" s="225"/>
      <c r="QUB186" s="225"/>
      <c r="QUC186" s="225"/>
      <c r="QUD186" s="225"/>
      <c r="QUE186" s="225"/>
      <c r="QUF186" s="225"/>
      <c r="QUG186" s="225"/>
      <c r="QUH186" s="225"/>
      <c r="QUI186" s="225"/>
      <c r="QUJ186" s="225"/>
      <c r="QUK186" s="225"/>
      <c r="QUL186" s="225"/>
      <c r="QUM186" s="225"/>
      <c r="QUN186" s="225"/>
      <c r="QUO186" s="225"/>
      <c r="QUP186" s="225"/>
      <c r="QUQ186" s="225"/>
      <c r="QUR186" s="225"/>
      <c r="QUS186" s="225"/>
      <c r="QUT186" s="225"/>
      <c r="QUU186" s="225"/>
      <c r="QUV186" s="225"/>
      <c r="QUW186" s="225"/>
      <c r="QUX186" s="225"/>
      <c r="QUY186" s="225"/>
      <c r="QUZ186" s="225"/>
      <c r="QVA186" s="225"/>
      <c r="QVB186" s="225"/>
      <c r="QVC186" s="225"/>
      <c r="QVD186" s="225"/>
      <c r="QVE186" s="225"/>
      <c r="QVF186" s="225"/>
      <c r="QVG186" s="225"/>
      <c r="QVH186" s="225"/>
      <c r="QVI186" s="225"/>
      <c r="QVJ186" s="225"/>
      <c r="QVK186" s="225"/>
      <c r="QVL186" s="225"/>
      <c r="QVM186" s="225"/>
      <c r="QVN186" s="225"/>
      <c r="QVO186" s="225"/>
      <c r="QVP186" s="225"/>
      <c r="QVQ186" s="225"/>
      <c r="QVR186" s="225"/>
      <c r="QVS186" s="225"/>
      <c r="QVT186" s="225"/>
      <c r="QVU186" s="225"/>
      <c r="QVV186" s="225"/>
      <c r="QVW186" s="225"/>
      <c r="QVX186" s="225"/>
      <c r="QVY186" s="225"/>
      <c r="QVZ186" s="225"/>
      <c r="QWA186" s="225"/>
      <c r="QWB186" s="225"/>
      <c r="QWC186" s="225"/>
      <c r="QWD186" s="225"/>
      <c r="QWE186" s="225"/>
      <c r="QWF186" s="225"/>
      <c r="QWG186" s="225"/>
      <c r="QWH186" s="225"/>
      <c r="QWI186" s="225"/>
      <c r="QWJ186" s="225"/>
      <c r="QWK186" s="225"/>
      <c r="QWL186" s="225"/>
      <c r="QWM186" s="225"/>
      <c r="QWN186" s="225"/>
      <c r="QWO186" s="225"/>
      <c r="QWP186" s="225"/>
      <c r="QWQ186" s="225"/>
      <c r="QWR186" s="225"/>
      <c r="QWS186" s="225"/>
      <c r="QWT186" s="225"/>
      <c r="QWU186" s="225"/>
      <c r="QWV186" s="225"/>
      <c r="QWW186" s="225"/>
      <c r="QWX186" s="225"/>
      <c r="QWY186" s="225"/>
      <c r="QWZ186" s="225"/>
      <c r="QXA186" s="225"/>
      <c r="QXB186" s="225"/>
      <c r="QXC186" s="225"/>
      <c r="QXD186" s="225"/>
      <c r="QXE186" s="225"/>
      <c r="QXF186" s="225"/>
      <c r="QXG186" s="225"/>
      <c r="QXH186" s="225"/>
      <c r="QXI186" s="225"/>
      <c r="QXJ186" s="225"/>
      <c r="QXK186" s="225"/>
      <c r="QXL186" s="225"/>
      <c r="QXM186" s="225"/>
      <c r="QXN186" s="225"/>
      <c r="QXO186" s="225"/>
      <c r="QXP186" s="225"/>
      <c r="QXQ186" s="225"/>
      <c r="QXR186" s="225"/>
      <c r="QXS186" s="225"/>
      <c r="QXT186" s="225"/>
      <c r="QXU186" s="225"/>
      <c r="QXV186" s="225"/>
      <c r="QXW186" s="225"/>
      <c r="QXX186" s="225"/>
      <c r="QXY186" s="225"/>
      <c r="QXZ186" s="225"/>
      <c r="QYA186" s="225"/>
      <c r="QYB186" s="225"/>
      <c r="QYC186" s="225"/>
      <c r="QYD186" s="225"/>
      <c r="QYE186" s="225"/>
      <c r="QYF186" s="225"/>
      <c r="QYG186" s="225"/>
      <c r="QYH186" s="225"/>
      <c r="QYI186" s="225"/>
      <c r="QYJ186" s="225"/>
      <c r="QYK186" s="225"/>
      <c r="QYL186" s="225"/>
      <c r="QYM186" s="225"/>
      <c r="QYN186" s="225"/>
      <c r="QYO186" s="225"/>
      <c r="QYP186" s="225"/>
      <c r="QYQ186" s="225"/>
      <c r="QYR186" s="225"/>
      <c r="QYS186" s="225"/>
      <c r="QYT186" s="225"/>
      <c r="QYU186" s="225"/>
      <c r="QYV186" s="225"/>
      <c r="QYW186" s="225"/>
      <c r="QYX186" s="225"/>
      <c r="QYY186" s="225"/>
      <c r="QYZ186" s="225"/>
      <c r="QZA186" s="225"/>
      <c r="QZB186" s="225"/>
      <c r="QZC186" s="225"/>
      <c r="QZD186" s="225"/>
      <c r="QZE186" s="225"/>
      <c r="QZF186" s="225"/>
      <c r="QZG186" s="225"/>
      <c r="QZH186" s="225"/>
      <c r="QZI186" s="225"/>
      <c r="QZJ186" s="225"/>
      <c r="QZK186" s="225"/>
      <c r="QZL186" s="225"/>
      <c r="QZM186" s="225"/>
      <c r="QZN186" s="225"/>
      <c r="QZO186" s="225"/>
      <c r="QZP186" s="225"/>
      <c r="QZQ186" s="225"/>
      <c r="QZR186" s="225"/>
      <c r="QZS186" s="225"/>
      <c r="QZT186" s="225"/>
      <c r="QZU186" s="225"/>
      <c r="QZV186" s="225"/>
      <c r="QZW186" s="225"/>
      <c r="QZX186" s="225"/>
      <c r="QZY186" s="225"/>
      <c r="QZZ186" s="225"/>
      <c r="RAA186" s="225"/>
      <c r="RAB186" s="225"/>
      <c r="RAC186" s="225"/>
      <c r="RAD186" s="225"/>
      <c r="RAE186" s="225"/>
      <c r="RAF186" s="225"/>
      <c r="RAG186" s="225"/>
      <c r="RAH186" s="225"/>
      <c r="RAI186" s="225"/>
      <c r="RAJ186" s="225"/>
      <c r="RAK186" s="225"/>
      <c r="RAL186" s="225"/>
      <c r="RAM186" s="225"/>
      <c r="RAN186" s="225"/>
      <c r="RAO186" s="225"/>
      <c r="RAP186" s="225"/>
      <c r="RAQ186" s="225"/>
      <c r="RAR186" s="225"/>
      <c r="RAS186" s="225"/>
      <c r="RAT186" s="225"/>
      <c r="RAU186" s="225"/>
      <c r="RAV186" s="225"/>
      <c r="RAW186" s="225"/>
      <c r="RAX186" s="225"/>
      <c r="RAY186" s="225"/>
      <c r="RAZ186" s="225"/>
      <c r="RBA186" s="225"/>
      <c r="RBB186" s="225"/>
      <c r="RBC186" s="225"/>
      <c r="RBD186" s="225"/>
      <c r="RBE186" s="225"/>
      <c r="RBF186" s="225"/>
      <c r="RBG186" s="225"/>
      <c r="RBH186" s="225"/>
      <c r="RBI186" s="225"/>
      <c r="RBJ186" s="225"/>
      <c r="RBK186" s="225"/>
      <c r="RBL186" s="225"/>
      <c r="RBM186" s="225"/>
      <c r="RBN186" s="225"/>
      <c r="RBO186" s="225"/>
      <c r="RBP186" s="225"/>
      <c r="RBQ186" s="225"/>
      <c r="RBR186" s="225"/>
      <c r="RBS186" s="225"/>
      <c r="RBT186" s="225"/>
      <c r="RBU186" s="225"/>
      <c r="RBV186" s="225"/>
      <c r="RBW186" s="225"/>
      <c r="RBX186" s="225"/>
      <c r="RBY186" s="225"/>
      <c r="RBZ186" s="225"/>
      <c r="RCA186" s="225"/>
      <c r="RCB186" s="225"/>
      <c r="RCC186" s="225"/>
      <c r="RCD186" s="225"/>
      <c r="RCE186" s="225"/>
      <c r="RCF186" s="225"/>
      <c r="RCG186" s="225"/>
      <c r="RCH186" s="225"/>
      <c r="RCI186" s="225"/>
      <c r="RCJ186" s="225"/>
      <c r="RCK186" s="225"/>
      <c r="RCL186" s="225"/>
      <c r="RCM186" s="225"/>
      <c r="RCN186" s="225"/>
      <c r="RCO186" s="225"/>
      <c r="RCP186" s="225"/>
      <c r="RCQ186" s="225"/>
      <c r="RCR186" s="225"/>
      <c r="RCS186" s="225"/>
      <c r="RCT186" s="225"/>
      <c r="RCU186" s="225"/>
      <c r="RCV186" s="225"/>
      <c r="RCW186" s="225"/>
      <c r="RCX186" s="225"/>
      <c r="RCY186" s="225"/>
      <c r="RCZ186" s="225"/>
      <c r="RDA186" s="225"/>
      <c r="RDB186" s="225"/>
      <c r="RDC186" s="225"/>
      <c r="RDD186" s="225"/>
      <c r="RDE186" s="225"/>
      <c r="RDF186" s="225"/>
      <c r="RDG186" s="225"/>
      <c r="RDH186" s="225"/>
      <c r="RDI186" s="225"/>
      <c r="RDJ186" s="225"/>
      <c r="RDK186" s="225"/>
      <c r="RDL186" s="225"/>
      <c r="RDM186" s="225"/>
      <c r="RDN186" s="225"/>
      <c r="RDO186" s="225"/>
      <c r="RDP186" s="225"/>
      <c r="RDQ186" s="225"/>
      <c r="RDR186" s="225"/>
      <c r="RDS186" s="225"/>
      <c r="RDT186" s="225"/>
      <c r="RDU186" s="225"/>
      <c r="RDV186" s="225"/>
      <c r="RDW186" s="225"/>
      <c r="RDX186" s="225"/>
      <c r="RDY186" s="225"/>
      <c r="RDZ186" s="225"/>
      <c r="REA186" s="225"/>
      <c r="REB186" s="225"/>
      <c r="REC186" s="225"/>
      <c r="RED186" s="225"/>
      <c r="REE186" s="225"/>
      <c r="REF186" s="225"/>
      <c r="REG186" s="225"/>
      <c r="REH186" s="225"/>
      <c r="REI186" s="225"/>
      <c r="REJ186" s="225"/>
      <c r="REK186" s="225"/>
      <c r="REL186" s="225"/>
      <c r="REM186" s="225"/>
      <c r="REN186" s="225"/>
      <c r="REO186" s="225"/>
      <c r="REP186" s="225"/>
      <c r="REQ186" s="225"/>
      <c r="RER186" s="225"/>
      <c r="RES186" s="225"/>
      <c r="RET186" s="225"/>
      <c r="REU186" s="225"/>
      <c r="REV186" s="225"/>
      <c r="REW186" s="225"/>
      <c r="REX186" s="225"/>
      <c r="REY186" s="225"/>
      <c r="REZ186" s="225"/>
      <c r="RFA186" s="225"/>
      <c r="RFB186" s="225"/>
      <c r="RFC186" s="225"/>
      <c r="RFD186" s="225"/>
      <c r="RFE186" s="225"/>
      <c r="RFF186" s="225"/>
      <c r="RFG186" s="225"/>
      <c r="RFH186" s="225"/>
      <c r="RFI186" s="225"/>
      <c r="RFJ186" s="225"/>
      <c r="RFK186" s="225"/>
      <c r="RFL186" s="225"/>
      <c r="RFM186" s="225"/>
      <c r="RFN186" s="225"/>
      <c r="RFO186" s="225"/>
      <c r="RFP186" s="225"/>
      <c r="RFQ186" s="225"/>
      <c r="RFR186" s="225"/>
      <c r="RFS186" s="225"/>
      <c r="RFT186" s="225"/>
      <c r="RFU186" s="225"/>
      <c r="RFV186" s="225"/>
      <c r="RFW186" s="225"/>
      <c r="RFX186" s="225"/>
      <c r="RFY186" s="225"/>
      <c r="RFZ186" s="225"/>
      <c r="RGA186" s="225"/>
      <c r="RGB186" s="225"/>
      <c r="RGC186" s="225"/>
      <c r="RGD186" s="225"/>
      <c r="RGE186" s="225"/>
      <c r="RGF186" s="225"/>
      <c r="RGG186" s="225"/>
      <c r="RGH186" s="225"/>
      <c r="RGI186" s="225"/>
      <c r="RGJ186" s="225"/>
      <c r="RGK186" s="225"/>
      <c r="RGL186" s="225"/>
      <c r="RGM186" s="225"/>
      <c r="RGN186" s="225"/>
      <c r="RGO186" s="225"/>
      <c r="RGP186" s="225"/>
      <c r="RGQ186" s="225"/>
      <c r="RGR186" s="225"/>
      <c r="RGS186" s="225"/>
      <c r="RGT186" s="225"/>
      <c r="RGU186" s="225"/>
      <c r="RGV186" s="225"/>
      <c r="RGW186" s="225"/>
      <c r="RGX186" s="225"/>
      <c r="RGY186" s="225"/>
      <c r="RGZ186" s="225"/>
      <c r="RHA186" s="225"/>
      <c r="RHB186" s="225"/>
      <c r="RHC186" s="225"/>
      <c r="RHD186" s="225"/>
      <c r="RHE186" s="225"/>
      <c r="RHF186" s="225"/>
      <c r="RHG186" s="225"/>
      <c r="RHH186" s="225"/>
      <c r="RHI186" s="225"/>
      <c r="RHJ186" s="225"/>
      <c r="RHK186" s="225"/>
      <c r="RHL186" s="225"/>
      <c r="RHM186" s="225"/>
      <c r="RHN186" s="225"/>
      <c r="RHO186" s="225"/>
      <c r="RHP186" s="225"/>
      <c r="RHQ186" s="225"/>
      <c r="RHR186" s="225"/>
      <c r="RHS186" s="225"/>
      <c r="RHT186" s="225"/>
      <c r="RHU186" s="225"/>
      <c r="RHV186" s="225"/>
      <c r="RHW186" s="225"/>
      <c r="RHX186" s="225"/>
      <c r="RHY186" s="225"/>
      <c r="RHZ186" s="225"/>
      <c r="RIA186" s="225"/>
      <c r="RIB186" s="225"/>
      <c r="RIC186" s="225"/>
      <c r="RID186" s="225"/>
      <c r="RIE186" s="225"/>
      <c r="RIF186" s="225"/>
      <c r="RIG186" s="225"/>
      <c r="RIH186" s="225"/>
      <c r="RII186" s="225"/>
      <c r="RIJ186" s="225"/>
      <c r="RIK186" s="225"/>
      <c r="RIL186" s="225"/>
      <c r="RIM186" s="225"/>
      <c r="RIN186" s="225"/>
      <c r="RIO186" s="225"/>
      <c r="RIP186" s="225"/>
      <c r="RIQ186" s="225"/>
      <c r="RIR186" s="225"/>
      <c r="RIS186" s="225"/>
      <c r="RIT186" s="225"/>
      <c r="RIU186" s="225"/>
      <c r="RIV186" s="225"/>
      <c r="RIW186" s="225"/>
      <c r="RIX186" s="225"/>
      <c r="RIY186" s="225"/>
      <c r="RIZ186" s="225"/>
      <c r="RJA186" s="225"/>
      <c r="RJB186" s="225"/>
      <c r="RJC186" s="225"/>
      <c r="RJD186" s="225"/>
      <c r="RJE186" s="225"/>
      <c r="RJF186" s="225"/>
      <c r="RJG186" s="225"/>
      <c r="RJH186" s="225"/>
      <c r="RJI186" s="225"/>
      <c r="RJJ186" s="225"/>
      <c r="RJK186" s="225"/>
      <c r="RJL186" s="225"/>
      <c r="RJM186" s="225"/>
      <c r="RJN186" s="225"/>
      <c r="RJO186" s="225"/>
      <c r="RJP186" s="225"/>
      <c r="RJQ186" s="225"/>
      <c r="RJR186" s="225"/>
      <c r="RJS186" s="225"/>
      <c r="RJT186" s="225"/>
      <c r="RJU186" s="225"/>
      <c r="RJV186" s="225"/>
      <c r="RJW186" s="225"/>
      <c r="RJX186" s="225"/>
      <c r="RJY186" s="225"/>
      <c r="RJZ186" s="225"/>
      <c r="RKA186" s="225"/>
      <c r="RKB186" s="225"/>
      <c r="RKC186" s="225"/>
      <c r="RKD186" s="225"/>
      <c r="RKE186" s="225"/>
      <c r="RKF186" s="225"/>
      <c r="RKG186" s="225"/>
      <c r="RKH186" s="225"/>
      <c r="RKI186" s="225"/>
      <c r="RKJ186" s="225"/>
      <c r="RKK186" s="225"/>
      <c r="RKL186" s="225"/>
      <c r="RKM186" s="225"/>
      <c r="RKN186" s="225"/>
      <c r="RKO186" s="225"/>
      <c r="RKP186" s="225"/>
      <c r="RKQ186" s="225"/>
      <c r="RKR186" s="225"/>
      <c r="RKS186" s="225"/>
      <c r="RKT186" s="225"/>
      <c r="RKU186" s="225"/>
      <c r="RKV186" s="225"/>
      <c r="RKW186" s="225"/>
      <c r="RKX186" s="225"/>
      <c r="RKY186" s="225"/>
      <c r="RKZ186" s="225"/>
      <c r="RLA186" s="225"/>
      <c r="RLB186" s="225"/>
      <c r="RLC186" s="225"/>
      <c r="RLD186" s="225"/>
      <c r="RLE186" s="225"/>
      <c r="RLF186" s="225"/>
      <c r="RLG186" s="225"/>
      <c r="RLH186" s="225"/>
      <c r="RLI186" s="225"/>
      <c r="RLJ186" s="225"/>
      <c r="RLK186" s="225"/>
      <c r="RLL186" s="225"/>
      <c r="RLM186" s="225"/>
      <c r="RLN186" s="225"/>
      <c r="RLO186" s="225"/>
      <c r="RLP186" s="225"/>
      <c r="RLQ186" s="225"/>
      <c r="RLR186" s="225"/>
      <c r="RLS186" s="225"/>
      <c r="RLT186" s="225"/>
      <c r="RLU186" s="225"/>
      <c r="RLV186" s="225"/>
      <c r="RLW186" s="225"/>
      <c r="RLX186" s="225"/>
      <c r="RLY186" s="225"/>
      <c r="RLZ186" s="225"/>
      <c r="RMA186" s="225"/>
      <c r="RMB186" s="225"/>
      <c r="RMC186" s="225"/>
      <c r="RMD186" s="225"/>
      <c r="RME186" s="225"/>
      <c r="RMF186" s="225"/>
      <c r="RMG186" s="225"/>
      <c r="RMH186" s="225"/>
      <c r="RMI186" s="225"/>
      <c r="RMJ186" s="225"/>
      <c r="RMK186" s="225"/>
      <c r="RML186" s="225"/>
      <c r="RMM186" s="225"/>
      <c r="RMN186" s="225"/>
      <c r="RMO186" s="225"/>
      <c r="RMP186" s="225"/>
      <c r="RMQ186" s="225"/>
      <c r="RMR186" s="225"/>
      <c r="RMS186" s="225"/>
      <c r="RMT186" s="225"/>
      <c r="RMU186" s="225"/>
      <c r="RMV186" s="225"/>
      <c r="RMW186" s="225"/>
      <c r="RMX186" s="225"/>
      <c r="RMY186" s="225"/>
      <c r="RMZ186" s="225"/>
      <c r="RNA186" s="225"/>
      <c r="RNB186" s="225"/>
      <c r="RNC186" s="225"/>
      <c r="RND186" s="225"/>
      <c r="RNE186" s="225"/>
      <c r="RNF186" s="225"/>
      <c r="RNG186" s="225"/>
      <c r="RNH186" s="225"/>
      <c r="RNI186" s="225"/>
      <c r="RNJ186" s="225"/>
      <c r="RNK186" s="225"/>
      <c r="RNL186" s="225"/>
      <c r="RNM186" s="225"/>
      <c r="RNN186" s="225"/>
      <c r="RNO186" s="225"/>
      <c r="RNP186" s="225"/>
      <c r="RNQ186" s="225"/>
      <c r="RNR186" s="225"/>
      <c r="RNS186" s="225"/>
      <c r="RNT186" s="225"/>
      <c r="RNU186" s="225"/>
      <c r="RNV186" s="225"/>
      <c r="RNW186" s="225"/>
      <c r="RNX186" s="225"/>
      <c r="RNY186" s="225"/>
      <c r="RNZ186" s="225"/>
      <c r="ROA186" s="225"/>
      <c r="ROB186" s="225"/>
      <c r="ROC186" s="225"/>
      <c r="ROD186" s="225"/>
      <c r="ROE186" s="225"/>
      <c r="ROF186" s="225"/>
      <c r="ROG186" s="225"/>
      <c r="ROH186" s="225"/>
      <c r="ROI186" s="225"/>
      <c r="ROJ186" s="225"/>
      <c r="ROK186" s="225"/>
      <c r="ROL186" s="225"/>
      <c r="ROM186" s="225"/>
      <c r="RON186" s="225"/>
      <c r="ROO186" s="225"/>
      <c r="ROP186" s="225"/>
      <c r="ROQ186" s="225"/>
      <c r="ROR186" s="225"/>
      <c r="ROS186" s="225"/>
      <c r="ROT186" s="225"/>
      <c r="ROU186" s="225"/>
      <c r="ROV186" s="225"/>
      <c r="ROW186" s="225"/>
      <c r="ROX186" s="225"/>
      <c r="ROY186" s="225"/>
      <c r="ROZ186" s="225"/>
      <c r="RPA186" s="225"/>
      <c r="RPB186" s="225"/>
      <c r="RPC186" s="225"/>
      <c r="RPD186" s="225"/>
      <c r="RPE186" s="225"/>
      <c r="RPF186" s="225"/>
      <c r="RPG186" s="225"/>
      <c r="RPH186" s="225"/>
      <c r="RPI186" s="225"/>
      <c r="RPJ186" s="225"/>
      <c r="RPK186" s="225"/>
      <c r="RPL186" s="225"/>
      <c r="RPM186" s="225"/>
      <c r="RPN186" s="225"/>
      <c r="RPO186" s="225"/>
      <c r="RPP186" s="225"/>
      <c r="RPQ186" s="225"/>
      <c r="RPR186" s="225"/>
      <c r="RPS186" s="225"/>
      <c r="RPT186" s="225"/>
      <c r="RPU186" s="225"/>
      <c r="RPV186" s="225"/>
      <c r="RPW186" s="225"/>
      <c r="RPX186" s="225"/>
      <c r="RPY186" s="225"/>
      <c r="RPZ186" s="225"/>
      <c r="RQA186" s="225"/>
      <c r="RQB186" s="225"/>
      <c r="RQC186" s="225"/>
      <c r="RQD186" s="225"/>
      <c r="RQE186" s="225"/>
      <c r="RQF186" s="225"/>
      <c r="RQG186" s="225"/>
      <c r="RQH186" s="225"/>
      <c r="RQI186" s="225"/>
      <c r="RQJ186" s="225"/>
      <c r="RQK186" s="225"/>
      <c r="RQL186" s="225"/>
      <c r="RQM186" s="225"/>
      <c r="RQN186" s="225"/>
      <c r="RQO186" s="225"/>
      <c r="RQP186" s="225"/>
      <c r="RQQ186" s="225"/>
      <c r="RQR186" s="225"/>
      <c r="RQS186" s="225"/>
      <c r="RQT186" s="225"/>
      <c r="RQU186" s="225"/>
      <c r="RQV186" s="225"/>
      <c r="RQW186" s="225"/>
      <c r="RQX186" s="225"/>
      <c r="RQY186" s="225"/>
      <c r="RQZ186" s="225"/>
      <c r="RRA186" s="225"/>
      <c r="RRB186" s="225"/>
      <c r="RRC186" s="225"/>
      <c r="RRD186" s="225"/>
      <c r="RRE186" s="225"/>
      <c r="RRF186" s="225"/>
      <c r="RRG186" s="225"/>
      <c r="RRH186" s="225"/>
      <c r="RRI186" s="225"/>
      <c r="RRJ186" s="225"/>
      <c r="RRK186" s="225"/>
      <c r="RRL186" s="225"/>
      <c r="RRM186" s="225"/>
      <c r="RRN186" s="225"/>
      <c r="RRO186" s="225"/>
      <c r="RRP186" s="225"/>
      <c r="RRQ186" s="225"/>
      <c r="RRR186" s="225"/>
      <c r="RRS186" s="225"/>
      <c r="RRT186" s="225"/>
      <c r="RRU186" s="225"/>
      <c r="RRV186" s="225"/>
      <c r="RRW186" s="225"/>
      <c r="RRX186" s="225"/>
      <c r="RRY186" s="225"/>
      <c r="RRZ186" s="225"/>
      <c r="RSA186" s="225"/>
      <c r="RSB186" s="225"/>
      <c r="RSC186" s="225"/>
      <c r="RSD186" s="225"/>
      <c r="RSE186" s="225"/>
      <c r="RSF186" s="225"/>
      <c r="RSG186" s="225"/>
      <c r="RSH186" s="225"/>
      <c r="RSI186" s="225"/>
      <c r="RSJ186" s="225"/>
      <c r="RSK186" s="225"/>
      <c r="RSL186" s="225"/>
      <c r="RSM186" s="225"/>
      <c r="RSN186" s="225"/>
      <c r="RSO186" s="225"/>
      <c r="RSP186" s="225"/>
      <c r="RSQ186" s="225"/>
      <c r="RSR186" s="225"/>
      <c r="RSS186" s="225"/>
      <c r="RST186" s="225"/>
      <c r="RSU186" s="225"/>
      <c r="RSV186" s="225"/>
      <c r="RSW186" s="225"/>
      <c r="RSX186" s="225"/>
      <c r="RSY186" s="225"/>
      <c r="RSZ186" s="225"/>
      <c r="RTA186" s="225"/>
      <c r="RTB186" s="225"/>
      <c r="RTC186" s="225"/>
      <c r="RTD186" s="225"/>
      <c r="RTE186" s="225"/>
      <c r="RTF186" s="225"/>
      <c r="RTG186" s="225"/>
      <c r="RTH186" s="225"/>
      <c r="RTI186" s="225"/>
      <c r="RTJ186" s="225"/>
      <c r="RTK186" s="225"/>
      <c r="RTL186" s="225"/>
      <c r="RTM186" s="225"/>
      <c r="RTN186" s="225"/>
      <c r="RTO186" s="225"/>
      <c r="RTP186" s="225"/>
      <c r="RTQ186" s="225"/>
      <c r="RTR186" s="225"/>
      <c r="RTS186" s="225"/>
      <c r="RTT186" s="225"/>
      <c r="RTU186" s="225"/>
      <c r="RTV186" s="225"/>
      <c r="RTW186" s="225"/>
      <c r="RTX186" s="225"/>
      <c r="RTY186" s="225"/>
      <c r="RTZ186" s="225"/>
      <c r="RUA186" s="225"/>
      <c r="RUB186" s="225"/>
      <c r="RUC186" s="225"/>
      <c r="RUD186" s="225"/>
      <c r="RUE186" s="225"/>
      <c r="RUF186" s="225"/>
      <c r="RUG186" s="225"/>
      <c r="RUH186" s="225"/>
      <c r="RUI186" s="225"/>
      <c r="RUJ186" s="225"/>
      <c r="RUK186" s="225"/>
      <c r="RUL186" s="225"/>
      <c r="RUM186" s="225"/>
      <c r="RUN186" s="225"/>
      <c r="RUO186" s="225"/>
      <c r="RUP186" s="225"/>
      <c r="RUQ186" s="225"/>
      <c r="RUR186" s="225"/>
      <c r="RUS186" s="225"/>
      <c r="RUT186" s="225"/>
      <c r="RUU186" s="225"/>
      <c r="RUV186" s="225"/>
      <c r="RUW186" s="225"/>
      <c r="RUX186" s="225"/>
      <c r="RUY186" s="225"/>
      <c r="RUZ186" s="225"/>
      <c r="RVA186" s="225"/>
      <c r="RVB186" s="225"/>
      <c r="RVC186" s="225"/>
      <c r="RVD186" s="225"/>
      <c r="RVE186" s="225"/>
      <c r="RVF186" s="225"/>
      <c r="RVG186" s="225"/>
      <c r="RVH186" s="225"/>
      <c r="RVI186" s="225"/>
      <c r="RVJ186" s="225"/>
      <c r="RVK186" s="225"/>
      <c r="RVL186" s="225"/>
      <c r="RVM186" s="225"/>
      <c r="RVN186" s="225"/>
      <c r="RVO186" s="225"/>
      <c r="RVP186" s="225"/>
      <c r="RVQ186" s="225"/>
      <c r="RVR186" s="225"/>
      <c r="RVS186" s="225"/>
      <c r="RVT186" s="225"/>
      <c r="RVU186" s="225"/>
      <c r="RVV186" s="225"/>
      <c r="RVW186" s="225"/>
      <c r="RVX186" s="225"/>
      <c r="RVY186" s="225"/>
      <c r="RVZ186" s="225"/>
      <c r="RWA186" s="225"/>
      <c r="RWB186" s="225"/>
      <c r="RWC186" s="225"/>
      <c r="RWD186" s="225"/>
      <c r="RWE186" s="225"/>
      <c r="RWF186" s="225"/>
      <c r="RWG186" s="225"/>
      <c r="RWH186" s="225"/>
      <c r="RWI186" s="225"/>
      <c r="RWJ186" s="225"/>
      <c r="RWK186" s="225"/>
      <c r="RWL186" s="225"/>
      <c r="RWM186" s="225"/>
      <c r="RWN186" s="225"/>
      <c r="RWO186" s="225"/>
      <c r="RWP186" s="225"/>
      <c r="RWQ186" s="225"/>
      <c r="RWR186" s="225"/>
      <c r="RWS186" s="225"/>
      <c r="RWT186" s="225"/>
      <c r="RWU186" s="225"/>
      <c r="RWV186" s="225"/>
      <c r="RWW186" s="225"/>
      <c r="RWX186" s="225"/>
      <c r="RWY186" s="225"/>
      <c r="RWZ186" s="225"/>
      <c r="RXA186" s="225"/>
      <c r="RXB186" s="225"/>
      <c r="RXC186" s="225"/>
      <c r="RXD186" s="225"/>
      <c r="RXE186" s="225"/>
      <c r="RXF186" s="225"/>
      <c r="RXG186" s="225"/>
      <c r="RXH186" s="225"/>
      <c r="RXI186" s="225"/>
      <c r="RXJ186" s="225"/>
      <c r="RXK186" s="225"/>
      <c r="RXL186" s="225"/>
      <c r="RXM186" s="225"/>
      <c r="RXN186" s="225"/>
      <c r="RXO186" s="225"/>
      <c r="RXP186" s="225"/>
      <c r="RXQ186" s="225"/>
      <c r="RXR186" s="225"/>
      <c r="RXS186" s="225"/>
      <c r="RXT186" s="225"/>
      <c r="RXU186" s="225"/>
      <c r="RXV186" s="225"/>
      <c r="RXW186" s="225"/>
      <c r="RXX186" s="225"/>
      <c r="RXY186" s="225"/>
      <c r="RXZ186" s="225"/>
      <c r="RYA186" s="225"/>
      <c r="RYB186" s="225"/>
      <c r="RYC186" s="225"/>
      <c r="RYD186" s="225"/>
      <c r="RYE186" s="225"/>
      <c r="RYF186" s="225"/>
      <c r="RYG186" s="225"/>
      <c r="RYH186" s="225"/>
      <c r="RYI186" s="225"/>
      <c r="RYJ186" s="225"/>
      <c r="RYK186" s="225"/>
      <c r="RYL186" s="225"/>
      <c r="RYM186" s="225"/>
      <c r="RYN186" s="225"/>
      <c r="RYO186" s="225"/>
      <c r="RYP186" s="225"/>
      <c r="RYQ186" s="225"/>
      <c r="RYR186" s="225"/>
      <c r="RYS186" s="225"/>
      <c r="RYT186" s="225"/>
      <c r="RYU186" s="225"/>
      <c r="RYV186" s="225"/>
      <c r="RYW186" s="225"/>
      <c r="RYX186" s="225"/>
      <c r="RYY186" s="225"/>
      <c r="RYZ186" s="225"/>
      <c r="RZA186" s="225"/>
      <c r="RZB186" s="225"/>
      <c r="RZC186" s="225"/>
      <c r="RZD186" s="225"/>
      <c r="RZE186" s="225"/>
      <c r="RZF186" s="225"/>
      <c r="RZG186" s="225"/>
      <c r="RZH186" s="225"/>
      <c r="RZI186" s="225"/>
      <c r="RZJ186" s="225"/>
      <c r="RZK186" s="225"/>
      <c r="RZL186" s="225"/>
      <c r="RZM186" s="225"/>
      <c r="RZN186" s="225"/>
      <c r="RZO186" s="225"/>
      <c r="RZP186" s="225"/>
      <c r="RZQ186" s="225"/>
      <c r="RZR186" s="225"/>
      <c r="RZS186" s="225"/>
      <c r="RZT186" s="225"/>
      <c r="RZU186" s="225"/>
      <c r="RZV186" s="225"/>
      <c r="RZW186" s="225"/>
      <c r="RZX186" s="225"/>
      <c r="RZY186" s="225"/>
      <c r="RZZ186" s="225"/>
      <c r="SAA186" s="225"/>
      <c r="SAB186" s="225"/>
      <c r="SAC186" s="225"/>
      <c r="SAD186" s="225"/>
      <c r="SAE186" s="225"/>
      <c r="SAF186" s="225"/>
      <c r="SAG186" s="225"/>
      <c r="SAH186" s="225"/>
      <c r="SAI186" s="225"/>
      <c r="SAJ186" s="225"/>
      <c r="SAK186" s="225"/>
      <c r="SAL186" s="225"/>
      <c r="SAM186" s="225"/>
      <c r="SAN186" s="225"/>
      <c r="SAO186" s="225"/>
      <c r="SAP186" s="225"/>
      <c r="SAQ186" s="225"/>
      <c r="SAR186" s="225"/>
      <c r="SAS186" s="225"/>
      <c r="SAT186" s="225"/>
      <c r="SAU186" s="225"/>
      <c r="SAV186" s="225"/>
      <c r="SAW186" s="225"/>
      <c r="SAX186" s="225"/>
      <c r="SAY186" s="225"/>
      <c r="SAZ186" s="225"/>
      <c r="SBA186" s="225"/>
      <c r="SBB186" s="225"/>
      <c r="SBC186" s="225"/>
      <c r="SBD186" s="225"/>
      <c r="SBE186" s="225"/>
      <c r="SBF186" s="225"/>
      <c r="SBG186" s="225"/>
      <c r="SBH186" s="225"/>
      <c r="SBI186" s="225"/>
      <c r="SBJ186" s="225"/>
      <c r="SBK186" s="225"/>
      <c r="SBL186" s="225"/>
      <c r="SBM186" s="225"/>
      <c r="SBN186" s="225"/>
      <c r="SBO186" s="225"/>
      <c r="SBP186" s="225"/>
      <c r="SBQ186" s="225"/>
      <c r="SBR186" s="225"/>
      <c r="SBS186" s="225"/>
      <c r="SBT186" s="225"/>
      <c r="SBU186" s="225"/>
      <c r="SBV186" s="225"/>
      <c r="SBW186" s="225"/>
      <c r="SBX186" s="225"/>
      <c r="SBY186" s="225"/>
      <c r="SBZ186" s="225"/>
      <c r="SCA186" s="225"/>
      <c r="SCB186" s="225"/>
      <c r="SCC186" s="225"/>
      <c r="SCD186" s="225"/>
      <c r="SCE186" s="225"/>
      <c r="SCF186" s="225"/>
      <c r="SCG186" s="225"/>
      <c r="SCH186" s="225"/>
      <c r="SCI186" s="225"/>
      <c r="SCJ186" s="225"/>
      <c r="SCK186" s="225"/>
      <c r="SCL186" s="225"/>
      <c r="SCM186" s="225"/>
      <c r="SCN186" s="225"/>
      <c r="SCO186" s="225"/>
      <c r="SCP186" s="225"/>
      <c r="SCQ186" s="225"/>
      <c r="SCR186" s="225"/>
      <c r="SCS186" s="225"/>
      <c r="SCT186" s="225"/>
      <c r="SCU186" s="225"/>
      <c r="SCV186" s="225"/>
      <c r="SCW186" s="225"/>
      <c r="SCX186" s="225"/>
      <c r="SCY186" s="225"/>
      <c r="SCZ186" s="225"/>
      <c r="SDA186" s="225"/>
      <c r="SDB186" s="225"/>
      <c r="SDC186" s="225"/>
      <c r="SDD186" s="225"/>
      <c r="SDE186" s="225"/>
      <c r="SDF186" s="225"/>
      <c r="SDG186" s="225"/>
      <c r="SDH186" s="225"/>
      <c r="SDI186" s="225"/>
      <c r="SDJ186" s="225"/>
      <c r="SDK186" s="225"/>
      <c r="SDL186" s="225"/>
      <c r="SDM186" s="225"/>
      <c r="SDN186" s="225"/>
      <c r="SDO186" s="225"/>
      <c r="SDP186" s="225"/>
      <c r="SDQ186" s="225"/>
      <c r="SDR186" s="225"/>
      <c r="SDS186" s="225"/>
      <c r="SDT186" s="225"/>
      <c r="SDU186" s="225"/>
      <c r="SDV186" s="225"/>
      <c r="SDW186" s="225"/>
      <c r="SDX186" s="225"/>
      <c r="SDY186" s="225"/>
      <c r="SDZ186" s="225"/>
      <c r="SEA186" s="225"/>
      <c r="SEB186" s="225"/>
      <c r="SEC186" s="225"/>
      <c r="SED186" s="225"/>
      <c r="SEE186" s="225"/>
      <c r="SEF186" s="225"/>
      <c r="SEG186" s="225"/>
      <c r="SEH186" s="225"/>
      <c r="SEI186" s="225"/>
      <c r="SEJ186" s="225"/>
      <c r="SEK186" s="225"/>
      <c r="SEL186" s="225"/>
      <c r="SEM186" s="225"/>
      <c r="SEN186" s="225"/>
      <c r="SEO186" s="225"/>
      <c r="SEP186" s="225"/>
      <c r="SEQ186" s="225"/>
      <c r="SER186" s="225"/>
      <c r="SES186" s="225"/>
      <c r="SET186" s="225"/>
      <c r="SEU186" s="225"/>
      <c r="SEV186" s="225"/>
      <c r="SEW186" s="225"/>
      <c r="SEX186" s="225"/>
      <c r="SEY186" s="225"/>
      <c r="SEZ186" s="225"/>
      <c r="SFA186" s="225"/>
      <c r="SFB186" s="225"/>
      <c r="SFC186" s="225"/>
      <c r="SFD186" s="225"/>
      <c r="SFE186" s="225"/>
      <c r="SFF186" s="225"/>
      <c r="SFG186" s="225"/>
      <c r="SFH186" s="225"/>
      <c r="SFI186" s="225"/>
      <c r="SFJ186" s="225"/>
      <c r="SFK186" s="225"/>
      <c r="SFL186" s="225"/>
      <c r="SFM186" s="225"/>
      <c r="SFN186" s="225"/>
      <c r="SFO186" s="225"/>
      <c r="SFP186" s="225"/>
      <c r="SFQ186" s="225"/>
      <c r="SFR186" s="225"/>
      <c r="SFS186" s="225"/>
      <c r="SFT186" s="225"/>
      <c r="SFU186" s="225"/>
      <c r="SFV186" s="225"/>
      <c r="SFW186" s="225"/>
      <c r="SFX186" s="225"/>
      <c r="SFY186" s="225"/>
      <c r="SFZ186" s="225"/>
      <c r="SGA186" s="225"/>
      <c r="SGB186" s="225"/>
      <c r="SGC186" s="225"/>
      <c r="SGD186" s="225"/>
      <c r="SGE186" s="225"/>
      <c r="SGF186" s="225"/>
      <c r="SGG186" s="225"/>
      <c r="SGH186" s="225"/>
      <c r="SGI186" s="225"/>
      <c r="SGJ186" s="225"/>
      <c r="SGK186" s="225"/>
      <c r="SGL186" s="225"/>
      <c r="SGM186" s="225"/>
      <c r="SGN186" s="225"/>
      <c r="SGO186" s="225"/>
      <c r="SGP186" s="225"/>
      <c r="SGQ186" s="225"/>
      <c r="SGR186" s="225"/>
      <c r="SGS186" s="225"/>
      <c r="SGT186" s="225"/>
      <c r="SGU186" s="225"/>
      <c r="SGV186" s="225"/>
      <c r="SGW186" s="225"/>
      <c r="SGX186" s="225"/>
      <c r="SGY186" s="225"/>
      <c r="SGZ186" s="225"/>
      <c r="SHA186" s="225"/>
      <c r="SHB186" s="225"/>
      <c r="SHC186" s="225"/>
      <c r="SHD186" s="225"/>
      <c r="SHE186" s="225"/>
      <c r="SHF186" s="225"/>
      <c r="SHG186" s="225"/>
      <c r="SHH186" s="225"/>
      <c r="SHI186" s="225"/>
      <c r="SHJ186" s="225"/>
      <c r="SHK186" s="225"/>
      <c r="SHL186" s="225"/>
      <c r="SHM186" s="225"/>
      <c r="SHN186" s="225"/>
      <c r="SHO186" s="225"/>
      <c r="SHP186" s="225"/>
      <c r="SHQ186" s="225"/>
      <c r="SHR186" s="225"/>
      <c r="SHS186" s="225"/>
      <c r="SHT186" s="225"/>
      <c r="SHU186" s="225"/>
      <c r="SHV186" s="225"/>
      <c r="SHW186" s="225"/>
      <c r="SHX186" s="225"/>
      <c r="SHY186" s="225"/>
      <c r="SHZ186" s="225"/>
      <c r="SIA186" s="225"/>
      <c r="SIB186" s="225"/>
      <c r="SIC186" s="225"/>
      <c r="SID186" s="225"/>
      <c r="SIE186" s="225"/>
      <c r="SIF186" s="225"/>
      <c r="SIG186" s="225"/>
      <c r="SIH186" s="225"/>
      <c r="SII186" s="225"/>
      <c r="SIJ186" s="225"/>
      <c r="SIK186" s="225"/>
      <c r="SIL186" s="225"/>
      <c r="SIM186" s="225"/>
      <c r="SIN186" s="225"/>
      <c r="SIO186" s="225"/>
      <c r="SIP186" s="225"/>
      <c r="SIQ186" s="225"/>
      <c r="SIR186" s="225"/>
      <c r="SIS186" s="225"/>
      <c r="SIT186" s="225"/>
      <c r="SIU186" s="225"/>
      <c r="SIV186" s="225"/>
      <c r="SIW186" s="225"/>
      <c r="SIX186" s="225"/>
      <c r="SIY186" s="225"/>
      <c r="SIZ186" s="225"/>
      <c r="SJA186" s="225"/>
      <c r="SJB186" s="225"/>
      <c r="SJC186" s="225"/>
      <c r="SJD186" s="225"/>
      <c r="SJE186" s="225"/>
      <c r="SJF186" s="225"/>
      <c r="SJG186" s="225"/>
      <c r="SJH186" s="225"/>
      <c r="SJI186" s="225"/>
      <c r="SJJ186" s="225"/>
      <c r="SJK186" s="225"/>
      <c r="SJL186" s="225"/>
      <c r="SJM186" s="225"/>
      <c r="SJN186" s="225"/>
      <c r="SJO186" s="225"/>
      <c r="SJP186" s="225"/>
      <c r="SJQ186" s="225"/>
      <c r="SJR186" s="225"/>
      <c r="SJS186" s="225"/>
      <c r="SJT186" s="225"/>
      <c r="SJU186" s="225"/>
      <c r="SJV186" s="225"/>
      <c r="SJW186" s="225"/>
      <c r="SJX186" s="225"/>
      <c r="SJY186" s="225"/>
      <c r="SJZ186" s="225"/>
      <c r="SKA186" s="225"/>
      <c r="SKB186" s="225"/>
      <c r="SKC186" s="225"/>
      <c r="SKD186" s="225"/>
      <c r="SKE186" s="225"/>
      <c r="SKF186" s="225"/>
      <c r="SKG186" s="225"/>
      <c r="SKH186" s="225"/>
      <c r="SKI186" s="225"/>
      <c r="SKJ186" s="225"/>
      <c r="SKK186" s="225"/>
      <c r="SKL186" s="225"/>
      <c r="SKM186" s="225"/>
      <c r="SKN186" s="225"/>
      <c r="SKO186" s="225"/>
      <c r="SKP186" s="225"/>
      <c r="SKQ186" s="225"/>
      <c r="SKR186" s="225"/>
      <c r="SKS186" s="225"/>
      <c r="SKT186" s="225"/>
      <c r="SKU186" s="225"/>
      <c r="SKV186" s="225"/>
      <c r="SKW186" s="225"/>
      <c r="SKX186" s="225"/>
      <c r="SKY186" s="225"/>
      <c r="SKZ186" s="225"/>
      <c r="SLA186" s="225"/>
      <c r="SLB186" s="225"/>
      <c r="SLC186" s="225"/>
      <c r="SLD186" s="225"/>
      <c r="SLE186" s="225"/>
      <c r="SLF186" s="225"/>
      <c r="SLG186" s="225"/>
      <c r="SLH186" s="225"/>
      <c r="SLI186" s="225"/>
      <c r="SLJ186" s="225"/>
      <c r="SLK186" s="225"/>
      <c r="SLL186" s="225"/>
      <c r="SLM186" s="225"/>
      <c r="SLN186" s="225"/>
      <c r="SLO186" s="225"/>
      <c r="SLP186" s="225"/>
      <c r="SLQ186" s="225"/>
      <c r="SLR186" s="225"/>
      <c r="SLS186" s="225"/>
      <c r="SLT186" s="225"/>
      <c r="SLU186" s="225"/>
      <c r="SLV186" s="225"/>
      <c r="SLW186" s="225"/>
      <c r="SLX186" s="225"/>
      <c r="SLY186" s="225"/>
      <c r="SLZ186" s="225"/>
      <c r="SMA186" s="225"/>
      <c r="SMB186" s="225"/>
      <c r="SMC186" s="225"/>
      <c r="SMD186" s="225"/>
      <c r="SME186" s="225"/>
      <c r="SMF186" s="225"/>
      <c r="SMG186" s="225"/>
      <c r="SMH186" s="225"/>
      <c r="SMI186" s="225"/>
      <c r="SMJ186" s="225"/>
      <c r="SMK186" s="225"/>
      <c r="SML186" s="225"/>
      <c r="SMM186" s="225"/>
      <c r="SMN186" s="225"/>
      <c r="SMO186" s="225"/>
      <c r="SMP186" s="225"/>
      <c r="SMQ186" s="225"/>
      <c r="SMR186" s="225"/>
      <c r="SMS186" s="225"/>
      <c r="SMT186" s="225"/>
      <c r="SMU186" s="225"/>
      <c r="SMV186" s="225"/>
      <c r="SMW186" s="225"/>
      <c r="SMX186" s="225"/>
      <c r="SMY186" s="225"/>
      <c r="SMZ186" s="225"/>
      <c r="SNA186" s="225"/>
      <c r="SNB186" s="225"/>
      <c r="SNC186" s="225"/>
      <c r="SND186" s="225"/>
      <c r="SNE186" s="225"/>
      <c r="SNF186" s="225"/>
      <c r="SNG186" s="225"/>
      <c r="SNH186" s="225"/>
      <c r="SNI186" s="225"/>
      <c r="SNJ186" s="225"/>
      <c r="SNK186" s="225"/>
      <c r="SNL186" s="225"/>
      <c r="SNM186" s="225"/>
      <c r="SNN186" s="225"/>
      <c r="SNO186" s="225"/>
      <c r="SNP186" s="225"/>
      <c r="SNQ186" s="225"/>
      <c r="SNR186" s="225"/>
      <c r="SNS186" s="225"/>
      <c r="SNT186" s="225"/>
      <c r="SNU186" s="225"/>
      <c r="SNV186" s="225"/>
      <c r="SNW186" s="225"/>
      <c r="SNX186" s="225"/>
      <c r="SNY186" s="225"/>
      <c r="SNZ186" s="225"/>
      <c r="SOA186" s="225"/>
      <c r="SOB186" s="225"/>
      <c r="SOC186" s="225"/>
      <c r="SOD186" s="225"/>
      <c r="SOE186" s="225"/>
      <c r="SOF186" s="225"/>
      <c r="SOG186" s="225"/>
      <c r="SOH186" s="225"/>
      <c r="SOI186" s="225"/>
      <c r="SOJ186" s="225"/>
      <c r="SOK186" s="225"/>
      <c r="SOL186" s="225"/>
      <c r="SOM186" s="225"/>
      <c r="SON186" s="225"/>
      <c r="SOO186" s="225"/>
      <c r="SOP186" s="225"/>
      <c r="SOQ186" s="225"/>
      <c r="SOR186" s="225"/>
      <c r="SOS186" s="225"/>
      <c r="SOT186" s="225"/>
      <c r="SOU186" s="225"/>
      <c r="SOV186" s="225"/>
      <c r="SOW186" s="225"/>
      <c r="SOX186" s="225"/>
      <c r="SOY186" s="225"/>
      <c r="SOZ186" s="225"/>
      <c r="SPA186" s="225"/>
      <c r="SPB186" s="225"/>
      <c r="SPC186" s="225"/>
      <c r="SPD186" s="225"/>
      <c r="SPE186" s="225"/>
      <c r="SPF186" s="225"/>
      <c r="SPG186" s="225"/>
      <c r="SPH186" s="225"/>
      <c r="SPI186" s="225"/>
      <c r="SPJ186" s="225"/>
      <c r="SPK186" s="225"/>
      <c r="SPL186" s="225"/>
      <c r="SPM186" s="225"/>
      <c r="SPN186" s="225"/>
      <c r="SPO186" s="225"/>
      <c r="SPP186" s="225"/>
      <c r="SPQ186" s="225"/>
      <c r="SPR186" s="225"/>
      <c r="SPS186" s="225"/>
      <c r="SPT186" s="225"/>
      <c r="SPU186" s="225"/>
      <c r="SPV186" s="225"/>
      <c r="SPW186" s="225"/>
      <c r="SPX186" s="225"/>
      <c r="SPY186" s="225"/>
      <c r="SPZ186" s="225"/>
      <c r="SQA186" s="225"/>
      <c r="SQB186" s="225"/>
      <c r="SQC186" s="225"/>
      <c r="SQD186" s="225"/>
      <c r="SQE186" s="225"/>
      <c r="SQF186" s="225"/>
      <c r="SQG186" s="225"/>
      <c r="SQH186" s="225"/>
      <c r="SQI186" s="225"/>
      <c r="SQJ186" s="225"/>
      <c r="SQK186" s="225"/>
      <c r="SQL186" s="225"/>
      <c r="SQM186" s="225"/>
      <c r="SQN186" s="225"/>
      <c r="SQO186" s="225"/>
      <c r="SQP186" s="225"/>
      <c r="SQQ186" s="225"/>
      <c r="SQR186" s="225"/>
      <c r="SQS186" s="225"/>
      <c r="SQT186" s="225"/>
      <c r="SQU186" s="225"/>
      <c r="SQV186" s="225"/>
      <c r="SQW186" s="225"/>
      <c r="SQX186" s="225"/>
      <c r="SQY186" s="225"/>
      <c r="SQZ186" s="225"/>
      <c r="SRA186" s="225"/>
      <c r="SRB186" s="225"/>
      <c r="SRC186" s="225"/>
      <c r="SRD186" s="225"/>
      <c r="SRE186" s="225"/>
      <c r="SRF186" s="225"/>
      <c r="SRG186" s="225"/>
      <c r="SRH186" s="225"/>
      <c r="SRI186" s="225"/>
      <c r="SRJ186" s="225"/>
      <c r="SRK186" s="225"/>
      <c r="SRL186" s="225"/>
      <c r="SRM186" s="225"/>
      <c r="SRN186" s="225"/>
      <c r="SRO186" s="225"/>
      <c r="SRP186" s="225"/>
      <c r="SRQ186" s="225"/>
      <c r="SRR186" s="225"/>
      <c r="SRS186" s="225"/>
      <c r="SRT186" s="225"/>
      <c r="SRU186" s="225"/>
      <c r="SRV186" s="225"/>
      <c r="SRW186" s="225"/>
      <c r="SRX186" s="225"/>
      <c r="SRY186" s="225"/>
      <c r="SRZ186" s="225"/>
      <c r="SSA186" s="225"/>
      <c r="SSB186" s="225"/>
      <c r="SSC186" s="225"/>
      <c r="SSD186" s="225"/>
      <c r="SSE186" s="225"/>
      <c r="SSF186" s="225"/>
      <c r="SSG186" s="225"/>
      <c r="SSH186" s="225"/>
      <c r="SSI186" s="225"/>
      <c r="SSJ186" s="225"/>
      <c r="SSK186" s="225"/>
      <c r="SSL186" s="225"/>
      <c r="SSM186" s="225"/>
      <c r="SSN186" s="225"/>
      <c r="SSO186" s="225"/>
      <c r="SSP186" s="225"/>
      <c r="SSQ186" s="225"/>
      <c r="SSR186" s="225"/>
      <c r="SSS186" s="225"/>
      <c r="SST186" s="225"/>
      <c r="SSU186" s="225"/>
      <c r="SSV186" s="225"/>
      <c r="SSW186" s="225"/>
      <c r="SSX186" s="225"/>
      <c r="SSY186" s="225"/>
      <c r="SSZ186" s="225"/>
      <c r="STA186" s="225"/>
      <c r="STB186" s="225"/>
      <c r="STC186" s="225"/>
      <c r="STD186" s="225"/>
      <c r="STE186" s="225"/>
      <c r="STF186" s="225"/>
      <c r="STG186" s="225"/>
      <c r="STH186" s="225"/>
      <c r="STI186" s="225"/>
      <c r="STJ186" s="225"/>
      <c r="STK186" s="225"/>
      <c r="STL186" s="225"/>
      <c r="STM186" s="225"/>
      <c r="STN186" s="225"/>
      <c r="STO186" s="225"/>
      <c r="STP186" s="225"/>
      <c r="STQ186" s="225"/>
      <c r="STR186" s="225"/>
      <c r="STS186" s="225"/>
      <c r="STT186" s="225"/>
      <c r="STU186" s="225"/>
      <c r="STV186" s="225"/>
      <c r="STW186" s="225"/>
      <c r="STX186" s="225"/>
      <c r="STY186" s="225"/>
      <c r="STZ186" s="225"/>
      <c r="SUA186" s="225"/>
      <c r="SUB186" s="225"/>
      <c r="SUC186" s="225"/>
      <c r="SUD186" s="225"/>
      <c r="SUE186" s="225"/>
      <c r="SUF186" s="225"/>
      <c r="SUG186" s="225"/>
      <c r="SUH186" s="225"/>
      <c r="SUI186" s="225"/>
      <c r="SUJ186" s="225"/>
      <c r="SUK186" s="225"/>
      <c r="SUL186" s="225"/>
      <c r="SUM186" s="225"/>
      <c r="SUN186" s="225"/>
      <c r="SUO186" s="225"/>
      <c r="SUP186" s="225"/>
      <c r="SUQ186" s="225"/>
      <c r="SUR186" s="225"/>
      <c r="SUS186" s="225"/>
      <c r="SUT186" s="225"/>
      <c r="SUU186" s="225"/>
      <c r="SUV186" s="225"/>
      <c r="SUW186" s="225"/>
      <c r="SUX186" s="225"/>
      <c r="SUY186" s="225"/>
      <c r="SUZ186" s="225"/>
      <c r="SVA186" s="225"/>
      <c r="SVB186" s="225"/>
      <c r="SVC186" s="225"/>
      <c r="SVD186" s="225"/>
      <c r="SVE186" s="225"/>
      <c r="SVF186" s="225"/>
      <c r="SVG186" s="225"/>
      <c r="SVH186" s="225"/>
      <c r="SVI186" s="225"/>
      <c r="SVJ186" s="225"/>
      <c r="SVK186" s="225"/>
      <c r="SVL186" s="225"/>
      <c r="SVM186" s="225"/>
      <c r="SVN186" s="225"/>
      <c r="SVO186" s="225"/>
      <c r="SVP186" s="225"/>
      <c r="SVQ186" s="225"/>
      <c r="SVR186" s="225"/>
      <c r="SVS186" s="225"/>
      <c r="SVT186" s="225"/>
      <c r="SVU186" s="225"/>
      <c r="SVV186" s="225"/>
      <c r="SVW186" s="225"/>
      <c r="SVX186" s="225"/>
      <c r="SVY186" s="225"/>
      <c r="SVZ186" s="225"/>
      <c r="SWA186" s="225"/>
      <c r="SWB186" s="225"/>
      <c r="SWC186" s="225"/>
      <c r="SWD186" s="225"/>
      <c r="SWE186" s="225"/>
      <c r="SWF186" s="225"/>
      <c r="SWG186" s="225"/>
      <c r="SWH186" s="225"/>
      <c r="SWI186" s="225"/>
      <c r="SWJ186" s="225"/>
      <c r="SWK186" s="225"/>
      <c r="SWL186" s="225"/>
      <c r="SWM186" s="225"/>
      <c r="SWN186" s="225"/>
      <c r="SWO186" s="225"/>
      <c r="SWP186" s="225"/>
      <c r="SWQ186" s="225"/>
      <c r="SWR186" s="225"/>
      <c r="SWS186" s="225"/>
      <c r="SWT186" s="225"/>
      <c r="SWU186" s="225"/>
      <c r="SWV186" s="225"/>
      <c r="SWW186" s="225"/>
      <c r="SWX186" s="225"/>
      <c r="SWY186" s="225"/>
      <c r="SWZ186" s="225"/>
      <c r="SXA186" s="225"/>
      <c r="SXB186" s="225"/>
      <c r="SXC186" s="225"/>
      <c r="SXD186" s="225"/>
      <c r="SXE186" s="225"/>
      <c r="SXF186" s="225"/>
      <c r="SXG186" s="225"/>
      <c r="SXH186" s="225"/>
      <c r="SXI186" s="225"/>
      <c r="SXJ186" s="225"/>
      <c r="SXK186" s="225"/>
      <c r="SXL186" s="225"/>
      <c r="SXM186" s="225"/>
      <c r="SXN186" s="225"/>
      <c r="SXO186" s="225"/>
      <c r="SXP186" s="225"/>
      <c r="SXQ186" s="225"/>
      <c r="SXR186" s="225"/>
      <c r="SXS186" s="225"/>
      <c r="SXT186" s="225"/>
      <c r="SXU186" s="225"/>
      <c r="SXV186" s="225"/>
      <c r="SXW186" s="225"/>
      <c r="SXX186" s="225"/>
      <c r="SXY186" s="225"/>
      <c r="SXZ186" s="225"/>
      <c r="SYA186" s="225"/>
      <c r="SYB186" s="225"/>
      <c r="SYC186" s="225"/>
      <c r="SYD186" s="225"/>
      <c r="SYE186" s="225"/>
      <c r="SYF186" s="225"/>
      <c r="SYG186" s="225"/>
      <c r="SYH186" s="225"/>
      <c r="SYI186" s="225"/>
      <c r="SYJ186" s="225"/>
      <c r="SYK186" s="225"/>
      <c r="SYL186" s="225"/>
      <c r="SYM186" s="225"/>
      <c r="SYN186" s="225"/>
      <c r="SYO186" s="225"/>
      <c r="SYP186" s="225"/>
      <c r="SYQ186" s="225"/>
      <c r="SYR186" s="225"/>
      <c r="SYS186" s="225"/>
      <c r="SYT186" s="225"/>
      <c r="SYU186" s="225"/>
      <c r="SYV186" s="225"/>
      <c r="SYW186" s="225"/>
      <c r="SYX186" s="225"/>
      <c r="SYY186" s="225"/>
      <c r="SYZ186" s="225"/>
      <c r="SZA186" s="225"/>
      <c r="SZB186" s="225"/>
      <c r="SZC186" s="225"/>
      <c r="SZD186" s="225"/>
      <c r="SZE186" s="225"/>
      <c r="SZF186" s="225"/>
      <c r="SZG186" s="225"/>
      <c r="SZH186" s="225"/>
      <c r="SZI186" s="225"/>
      <c r="SZJ186" s="225"/>
      <c r="SZK186" s="225"/>
      <c r="SZL186" s="225"/>
      <c r="SZM186" s="225"/>
      <c r="SZN186" s="225"/>
      <c r="SZO186" s="225"/>
      <c r="SZP186" s="225"/>
      <c r="SZQ186" s="225"/>
      <c r="SZR186" s="225"/>
      <c r="SZS186" s="225"/>
      <c r="SZT186" s="225"/>
      <c r="SZU186" s="225"/>
      <c r="SZV186" s="225"/>
      <c r="SZW186" s="225"/>
      <c r="SZX186" s="225"/>
      <c r="SZY186" s="225"/>
      <c r="SZZ186" s="225"/>
      <c r="TAA186" s="225"/>
      <c r="TAB186" s="225"/>
      <c r="TAC186" s="225"/>
      <c r="TAD186" s="225"/>
      <c r="TAE186" s="225"/>
      <c r="TAF186" s="225"/>
      <c r="TAG186" s="225"/>
      <c r="TAH186" s="225"/>
      <c r="TAI186" s="225"/>
      <c r="TAJ186" s="225"/>
      <c r="TAK186" s="225"/>
      <c r="TAL186" s="225"/>
      <c r="TAM186" s="225"/>
      <c r="TAN186" s="225"/>
      <c r="TAO186" s="225"/>
      <c r="TAP186" s="225"/>
      <c r="TAQ186" s="225"/>
      <c r="TAR186" s="225"/>
      <c r="TAS186" s="225"/>
      <c r="TAT186" s="225"/>
      <c r="TAU186" s="225"/>
      <c r="TAV186" s="225"/>
      <c r="TAW186" s="225"/>
      <c r="TAX186" s="225"/>
      <c r="TAY186" s="225"/>
      <c r="TAZ186" s="225"/>
      <c r="TBA186" s="225"/>
      <c r="TBB186" s="225"/>
      <c r="TBC186" s="225"/>
      <c r="TBD186" s="225"/>
      <c r="TBE186" s="225"/>
      <c r="TBF186" s="225"/>
      <c r="TBG186" s="225"/>
      <c r="TBH186" s="225"/>
      <c r="TBI186" s="225"/>
      <c r="TBJ186" s="225"/>
      <c r="TBK186" s="225"/>
      <c r="TBL186" s="225"/>
      <c r="TBM186" s="225"/>
      <c r="TBN186" s="225"/>
      <c r="TBO186" s="225"/>
      <c r="TBP186" s="225"/>
      <c r="TBQ186" s="225"/>
      <c r="TBR186" s="225"/>
      <c r="TBS186" s="225"/>
      <c r="TBT186" s="225"/>
      <c r="TBU186" s="225"/>
      <c r="TBV186" s="225"/>
      <c r="TBW186" s="225"/>
      <c r="TBX186" s="225"/>
      <c r="TBY186" s="225"/>
      <c r="TBZ186" s="225"/>
      <c r="TCA186" s="225"/>
      <c r="TCB186" s="225"/>
      <c r="TCC186" s="225"/>
      <c r="TCD186" s="225"/>
      <c r="TCE186" s="225"/>
      <c r="TCF186" s="225"/>
      <c r="TCG186" s="225"/>
      <c r="TCH186" s="225"/>
      <c r="TCI186" s="225"/>
      <c r="TCJ186" s="225"/>
      <c r="TCK186" s="225"/>
      <c r="TCL186" s="225"/>
      <c r="TCM186" s="225"/>
      <c r="TCN186" s="225"/>
      <c r="TCO186" s="225"/>
      <c r="TCP186" s="225"/>
      <c r="TCQ186" s="225"/>
      <c r="TCR186" s="225"/>
      <c r="TCS186" s="225"/>
      <c r="TCT186" s="225"/>
      <c r="TCU186" s="225"/>
      <c r="TCV186" s="225"/>
      <c r="TCW186" s="225"/>
      <c r="TCX186" s="225"/>
      <c r="TCY186" s="225"/>
      <c r="TCZ186" s="225"/>
      <c r="TDA186" s="225"/>
      <c r="TDB186" s="225"/>
      <c r="TDC186" s="225"/>
      <c r="TDD186" s="225"/>
      <c r="TDE186" s="225"/>
      <c r="TDF186" s="225"/>
      <c r="TDG186" s="225"/>
      <c r="TDH186" s="225"/>
      <c r="TDI186" s="225"/>
      <c r="TDJ186" s="225"/>
      <c r="TDK186" s="225"/>
      <c r="TDL186" s="225"/>
      <c r="TDM186" s="225"/>
      <c r="TDN186" s="225"/>
      <c r="TDO186" s="225"/>
      <c r="TDP186" s="225"/>
      <c r="TDQ186" s="225"/>
      <c r="TDR186" s="225"/>
      <c r="TDS186" s="225"/>
      <c r="TDT186" s="225"/>
      <c r="TDU186" s="225"/>
      <c r="TDV186" s="225"/>
      <c r="TDW186" s="225"/>
      <c r="TDX186" s="225"/>
      <c r="TDY186" s="225"/>
      <c r="TDZ186" s="225"/>
      <c r="TEA186" s="225"/>
      <c r="TEB186" s="225"/>
      <c r="TEC186" s="225"/>
      <c r="TED186" s="225"/>
      <c r="TEE186" s="225"/>
      <c r="TEF186" s="225"/>
      <c r="TEG186" s="225"/>
      <c r="TEH186" s="225"/>
      <c r="TEI186" s="225"/>
      <c r="TEJ186" s="225"/>
      <c r="TEK186" s="225"/>
      <c r="TEL186" s="225"/>
      <c r="TEM186" s="225"/>
      <c r="TEN186" s="225"/>
      <c r="TEO186" s="225"/>
      <c r="TEP186" s="225"/>
      <c r="TEQ186" s="225"/>
      <c r="TER186" s="225"/>
      <c r="TES186" s="225"/>
      <c r="TET186" s="225"/>
      <c r="TEU186" s="225"/>
      <c r="TEV186" s="225"/>
      <c r="TEW186" s="225"/>
      <c r="TEX186" s="225"/>
      <c r="TEY186" s="225"/>
      <c r="TEZ186" s="225"/>
      <c r="TFA186" s="225"/>
      <c r="TFB186" s="225"/>
      <c r="TFC186" s="225"/>
      <c r="TFD186" s="225"/>
      <c r="TFE186" s="225"/>
      <c r="TFF186" s="225"/>
      <c r="TFG186" s="225"/>
      <c r="TFH186" s="225"/>
      <c r="TFI186" s="225"/>
      <c r="TFJ186" s="225"/>
      <c r="TFK186" s="225"/>
      <c r="TFL186" s="225"/>
      <c r="TFM186" s="225"/>
      <c r="TFN186" s="225"/>
      <c r="TFO186" s="225"/>
      <c r="TFP186" s="225"/>
      <c r="TFQ186" s="225"/>
      <c r="TFR186" s="225"/>
      <c r="TFS186" s="225"/>
      <c r="TFT186" s="225"/>
      <c r="TFU186" s="225"/>
      <c r="TFV186" s="225"/>
      <c r="TFW186" s="225"/>
      <c r="TFX186" s="225"/>
      <c r="TFY186" s="225"/>
      <c r="TFZ186" s="225"/>
      <c r="TGA186" s="225"/>
      <c r="TGB186" s="225"/>
      <c r="TGC186" s="225"/>
      <c r="TGD186" s="225"/>
      <c r="TGE186" s="225"/>
      <c r="TGF186" s="225"/>
      <c r="TGG186" s="225"/>
      <c r="TGH186" s="225"/>
      <c r="TGI186" s="225"/>
      <c r="TGJ186" s="225"/>
      <c r="TGK186" s="225"/>
      <c r="TGL186" s="225"/>
      <c r="TGM186" s="225"/>
      <c r="TGN186" s="225"/>
      <c r="TGO186" s="225"/>
      <c r="TGP186" s="225"/>
      <c r="TGQ186" s="225"/>
      <c r="TGR186" s="225"/>
      <c r="TGS186" s="225"/>
      <c r="TGT186" s="225"/>
      <c r="TGU186" s="225"/>
      <c r="TGV186" s="225"/>
      <c r="TGW186" s="225"/>
      <c r="TGX186" s="225"/>
      <c r="TGY186" s="225"/>
      <c r="TGZ186" s="225"/>
      <c r="THA186" s="225"/>
      <c r="THB186" s="225"/>
      <c r="THC186" s="225"/>
      <c r="THD186" s="225"/>
      <c r="THE186" s="225"/>
      <c r="THF186" s="225"/>
      <c r="THG186" s="225"/>
      <c r="THH186" s="225"/>
      <c r="THI186" s="225"/>
      <c r="THJ186" s="225"/>
      <c r="THK186" s="225"/>
      <c r="THL186" s="225"/>
      <c r="THM186" s="225"/>
      <c r="THN186" s="225"/>
      <c r="THO186" s="225"/>
      <c r="THP186" s="225"/>
      <c r="THQ186" s="225"/>
      <c r="THR186" s="225"/>
      <c r="THS186" s="225"/>
      <c r="THT186" s="225"/>
      <c r="THU186" s="225"/>
      <c r="THV186" s="225"/>
      <c r="THW186" s="225"/>
      <c r="THX186" s="225"/>
      <c r="THY186" s="225"/>
      <c r="THZ186" s="225"/>
      <c r="TIA186" s="225"/>
      <c r="TIB186" s="225"/>
      <c r="TIC186" s="225"/>
      <c r="TID186" s="225"/>
      <c r="TIE186" s="225"/>
      <c r="TIF186" s="225"/>
      <c r="TIG186" s="225"/>
      <c r="TIH186" s="225"/>
      <c r="TII186" s="225"/>
      <c r="TIJ186" s="225"/>
      <c r="TIK186" s="225"/>
      <c r="TIL186" s="225"/>
      <c r="TIM186" s="225"/>
      <c r="TIN186" s="225"/>
      <c r="TIO186" s="225"/>
      <c r="TIP186" s="225"/>
      <c r="TIQ186" s="225"/>
      <c r="TIR186" s="225"/>
      <c r="TIS186" s="225"/>
      <c r="TIT186" s="225"/>
      <c r="TIU186" s="225"/>
      <c r="TIV186" s="225"/>
      <c r="TIW186" s="225"/>
      <c r="TIX186" s="225"/>
      <c r="TIY186" s="225"/>
      <c r="TIZ186" s="225"/>
      <c r="TJA186" s="225"/>
      <c r="TJB186" s="225"/>
      <c r="TJC186" s="225"/>
      <c r="TJD186" s="225"/>
      <c r="TJE186" s="225"/>
      <c r="TJF186" s="225"/>
      <c r="TJG186" s="225"/>
      <c r="TJH186" s="225"/>
      <c r="TJI186" s="225"/>
      <c r="TJJ186" s="225"/>
      <c r="TJK186" s="225"/>
      <c r="TJL186" s="225"/>
      <c r="TJM186" s="225"/>
      <c r="TJN186" s="225"/>
      <c r="TJO186" s="225"/>
      <c r="TJP186" s="225"/>
      <c r="TJQ186" s="225"/>
      <c r="TJR186" s="225"/>
      <c r="TJS186" s="225"/>
      <c r="TJT186" s="225"/>
      <c r="TJU186" s="225"/>
      <c r="TJV186" s="225"/>
      <c r="TJW186" s="225"/>
      <c r="TJX186" s="225"/>
      <c r="TJY186" s="225"/>
      <c r="TJZ186" s="225"/>
      <c r="TKA186" s="225"/>
      <c r="TKB186" s="225"/>
      <c r="TKC186" s="225"/>
      <c r="TKD186" s="225"/>
      <c r="TKE186" s="225"/>
      <c r="TKF186" s="225"/>
      <c r="TKG186" s="225"/>
      <c r="TKH186" s="225"/>
      <c r="TKI186" s="225"/>
      <c r="TKJ186" s="225"/>
      <c r="TKK186" s="225"/>
      <c r="TKL186" s="225"/>
      <c r="TKM186" s="225"/>
      <c r="TKN186" s="225"/>
      <c r="TKO186" s="225"/>
      <c r="TKP186" s="225"/>
      <c r="TKQ186" s="225"/>
      <c r="TKR186" s="225"/>
      <c r="TKS186" s="225"/>
      <c r="TKT186" s="225"/>
      <c r="TKU186" s="225"/>
      <c r="TKV186" s="225"/>
      <c r="TKW186" s="225"/>
      <c r="TKX186" s="225"/>
      <c r="TKY186" s="225"/>
      <c r="TKZ186" s="225"/>
      <c r="TLA186" s="225"/>
      <c r="TLB186" s="225"/>
      <c r="TLC186" s="225"/>
      <c r="TLD186" s="225"/>
      <c r="TLE186" s="225"/>
      <c r="TLF186" s="225"/>
      <c r="TLG186" s="225"/>
      <c r="TLH186" s="225"/>
      <c r="TLI186" s="225"/>
      <c r="TLJ186" s="225"/>
      <c r="TLK186" s="225"/>
      <c r="TLL186" s="225"/>
      <c r="TLM186" s="225"/>
      <c r="TLN186" s="225"/>
      <c r="TLO186" s="225"/>
      <c r="TLP186" s="225"/>
      <c r="TLQ186" s="225"/>
      <c r="TLR186" s="225"/>
      <c r="TLS186" s="225"/>
      <c r="TLT186" s="225"/>
      <c r="TLU186" s="225"/>
      <c r="TLV186" s="225"/>
      <c r="TLW186" s="225"/>
      <c r="TLX186" s="225"/>
      <c r="TLY186" s="225"/>
      <c r="TLZ186" s="225"/>
      <c r="TMA186" s="225"/>
      <c r="TMB186" s="225"/>
      <c r="TMC186" s="225"/>
      <c r="TMD186" s="225"/>
      <c r="TME186" s="225"/>
      <c r="TMF186" s="225"/>
      <c r="TMG186" s="225"/>
      <c r="TMH186" s="225"/>
      <c r="TMI186" s="225"/>
      <c r="TMJ186" s="225"/>
      <c r="TMK186" s="225"/>
      <c r="TML186" s="225"/>
      <c r="TMM186" s="225"/>
      <c r="TMN186" s="225"/>
      <c r="TMO186" s="225"/>
      <c r="TMP186" s="225"/>
      <c r="TMQ186" s="225"/>
      <c r="TMR186" s="225"/>
      <c r="TMS186" s="225"/>
      <c r="TMT186" s="225"/>
      <c r="TMU186" s="225"/>
      <c r="TMV186" s="225"/>
      <c r="TMW186" s="225"/>
      <c r="TMX186" s="225"/>
      <c r="TMY186" s="225"/>
      <c r="TMZ186" s="225"/>
      <c r="TNA186" s="225"/>
      <c r="TNB186" s="225"/>
      <c r="TNC186" s="225"/>
      <c r="TND186" s="225"/>
      <c r="TNE186" s="225"/>
      <c r="TNF186" s="225"/>
      <c r="TNG186" s="225"/>
      <c r="TNH186" s="225"/>
      <c r="TNI186" s="225"/>
      <c r="TNJ186" s="225"/>
      <c r="TNK186" s="225"/>
      <c r="TNL186" s="225"/>
      <c r="TNM186" s="225"/>
      <c r="TNN186" s="225"/>
      <c r="TNO186" s="225"/>
      <c r="TNP186" s="225"/>
      <c r="TNQ186" s="225"/>
      <c r="TNR186" s="225"/>
      <c r="TNS186" s="225"/>
      <c r="TNT186" s="225"/>
      <c r="TNU186" s="225"/>
      <c r="TNV186" s="225"/>
      <c r="TNW186" s="225"/>
      <c r="TNX186" s="225"/>
      <c r="TNY186" s="225"/>
      <c r="TNZ186" s="225"/>
      <c r="TOA186" s="225"/>
      <c r="TOB186" s="225"/>
      <c r="TOC186" s="225"/>
      <c r="TOD186" s="225"/>
      <c r="TOE186" s="225"/>
      <c r="TOF186" s="225"/>
      <c r="TOG186" s="225"/>
      <c r="TOH186" s="225"/>
      <c r="TOI186" s="225"/>
      <c r="TOJ186" s="225"/>
      <c r="TOK186" s="225"/>
      <c r="TOL186" s="225"/>
      <c r="TOM186" s="225"/>
      <c r="TON186" s="225"/>
      <c r="TOO186" s="225"/>
      <c r="TOP186" s="225"/>
      <c r="TOQ186" s="225"/>
      <c r="TOR186" s="225"/>
      <c r="TOS186" s="225"/>
      <c r="TOT186" s="225"/>
      <c r="TOU186" s="225"/>
      <c r="TOV186" s="225"/>
      <c r="TOW186" s="225"/>
      <c r="TOX186" s="225"/>
      <c r="TOY186" s="225"/>
      <c r="TOZ186" s="225"/>
      <c r="TPA186" s="225"/>
      <c r="TPB186" s="225"/>
      <c r="TPC186" s="225"/>
      <c r="TPD186" s="225"/>
      <c r="TPE186" s="225"/>
      <c r="TPF186" s="225"/>
      <c r="TPG186" s="225"/>
      <c r="TPH186" s="225"/>
      <c r="TPI186" s="225"/>
      <c r="TPJ186" s="225"/>
      <c r="TPK186" s="225"/>
      <c r="TPL186" s="225"/>
      <c r="TPM186" s="225"/>
      <c r="TPN186" s="225"/>
      <c r="TPO186" s="225"/>
      <c r="TPP186" s="225"/>
      <c r="TPQ186" s="225"/>
      <c r="TPR186" s="225"/>
      <c r="TPS186" s="225"/>
      <c r="TPT186" s="225"/>
      <c r="TPU186" s="225"/>
      <c r="TPV186" s="225"/>
      <c r="TPW186" s="225"/>
      <c r="TPX186" s="225"/>
      <c r="TPY186" s="225"/>
      <c r="TPZ186" s="225"/>
      <c r="TQA186" s="225"/>
      <c r="TQB186" s="225"/>
      <c r="TQC186" s="225"/>
      <c r="TQD186" s="225"/>
      <c r="TQE186" s="225"/>
      <c r="TQF186" s="225"/>
      <c r="TQG186" s="225"/>
      <c r="TQH186" s="225"/>
      <c r="TQI186" s="225"/>
      <c r="TQJ186" s="225"/>
      <c r="TQK186" s="225"/>
      <c r="TQL186" s="225"/>
      <c r="TQM186" s="225"/>
      <c r="TQN186" s="225"/>
      <c r="TQO186" s="225"/>
      <c r="TQP186" s="225"/>
      <c r="TQQ186" s="225"/>
      <c r="TQR186" s="225"/>
      <c r="TQS186" s="225"/>
      <c r="TQT186" s="225"/>
      <c r="TQU186" s="225"/>
      <c r="TQV186" s="225"/>
      <c r="TQW186" s="225"/>
      <c r="TQX186" s="225"/>
      <c r="TQY186" s="225"/>
      <c r="TQZ186" s="225"/>
      <c r="TRA186" s="225"/>
      <c r="TRB186" s="225"/>
      <c r="TRC186" s="225"/>
      <c r="TRD186" s="225"/>
      <c r="TRE186" s="225"/>
      <c r="TRF186" s="225"/>
      <c r="TRG186" s="225"/>
      <c r="TRH186" s="225"/>
      <c r="TRI186" s="225"/>
      <c r="TRJ186" s="225"/>
      <c r="TRK186" s="225"/>
      <c r="TRL186" s="225"/>
      <c r="TRM186" s="225"/>
      <c r="TRN186" s="225"/>
      <c r="TRO186" s="225"/>
      <c r="TRP186" s="225"/>
      <c r="TRQ186" s="225"/>
      <c r="TRR186" s="225"/>
      <c r="TRS186" s="225"/>
      <c r="TRT186" s="225"/>
      <c r="TRU186" s="225"/>
      <c r="TRV186" s="225"/>
      <c r="TRW186" s="225"/>
      <c r="TRX186" s="225"/>
      <c r="TRY186" s="225"/>
      <c r="TRZ186" s="225"/>
      <c r="TSA186" s="225"/>
      <c r="TSB186" s="225"/>
      <c r="TSC186" s="225"/>
      <c r="TSD186" s="225"/>
      <c r="TSE186" s="225"/>
      <c r="TSF186" s="225"/>
      <c r="TSG186" s="225"/>
      <c r="TSH186" s="225"/>
      <c r="TSI186" s="225"/>
      <c r="TSJ186" s="225"/>
      <c r="TSK186" s="225"/>
      <c r="TSL186" s="225"/>
      <c r="TSM186" s="225"/>
      <c r="TSN186" s="225"/>
      <c r="TSO186" s="225"/>
      <c r="TSP186" s="225"/>
      <c r="TSQ186" s="225"/>
      <c r="TSR186" s="225"/>
      <c r="TSS186" s="225"/>
      <c r="TST186" s="225"/>
      <c r="TSU186" s="225"/>
      <c r="TSV186" s="225"/>
      <c r="TSW186" s="225"/>
      <c r="TSX186" s="225"/>
      <c r="TSY186" s="225"/>
      <c r="TSZ186" s="225"/>
      <c r="TTA186" s="225"/>
      <c r="TTB186" s="225"/>
      <c r="TTC186" s="225"/>
      <c r="TTD186" s="225"/>
      <c r="TTE186" s="225"/>
      <c r="TTF186" s="225"/>
      <c r="TTG186" s="225"/>
      <c r="TTH186" s="225"/>
      <c r="TTI186" s="225"/>
      <c r="TTJ186" s="225"/>
      <c r="TTK186" s="225"/>
      <c r="TTL186" s="225"/>
      <c r="TTM186" s="225"/>
      <c r="TTN186" s="225"/>
      <c r="TTO186" s="225"/>
      <c r="TTP186" s="225"/>
      <c r="TTQ186" s="225"/>
      <c r="TTR186" s="225"/>
      <c r="TTS186" s="225"/>
      <c r="TTT186" s="225"/>
      <c r="TTU186" s="225"/>
      <c r="TTV186" s="225"/>
      <c r="TTW186" s="225"/>
      <c r="TTX186" s="225"/>
      <c r="TTY186" s="225"/>
      <c r="TTZ186" s="225"/>
      <c r="TUA186" s="225"/>
      <c r="TUB186" s="225"/>
      <c r="TUC186" s="225"/>
      <c r="TUD186" s="225"/>
      <c r="TUE186" s="225"/>
      <c r="TUF186" s="225"/>
      <c r="TUG186" s="225"/>
      <c r="TUH186" s="225"/>
      <c r="TUI186" s="225"/>
      <c r="TUJ186" s="225"/>
      <c r="TUK186" s="225"/>
      <c r="TUL186" s="225"/>
      <c r="TUM186" s="225"/>
      <c r="TUN186" s="225"/>
      <c r="TUO186" s="225"/>
      <c r="TUP186" s="225"/>
      <c r="TUQ186" s="225"/>
      <c r="TUR186" s="225"/>
      <c r="TUS186" s="225"/>
      <c r="TUT186" s="225"/>
      <c r="TUU186" s="225"/>
      <c r="TUV186" s="225"/>
      <c r="TUW186" s="225"/>
      <c r="TUX186" s="225"/>
      <c r="TUY186" s="225"/>
      <c r="TUZ186" s="225"/>
      <c r="TVA186" s="225"/>
      <c r="TVB186" s="225"/>
      <c r="TVC186" s="225"/>
      <c r="TVD186" s="225"/>
      <c r="TVE186" s="225"/>
      <c r="TVF186" s="225"/>
      <c r="TVG186" s="225"/>
      <c r="TVH186" s="225"/>
      <c r="TVI186" s="225"/>
      <c r="TVJ186" s="225"/>
      <c r="TVK186" s="225"/>
      <c r="TVL186" s="225"/>
      <c r="TVM186" s="225"/>
      <c r="TVN186" s="225"/>
      <c r="TVO186" s="225"/>
      <c r="TVP186" s="225"/>
      <c r="TVQ186" s="225"/>
      <c r="TVR186" s="225"/>
      <c r="TVS186" s="225"/>
      <c r="TVT186" s="225"/>
      <c r="TVU186" s="225"/>
      <c r="TVV186" s="225"/>
      <c r="TVW186" s="225"/>
      <c r="TVX186" s="225"/>
      <c r="TVY186" s="225"/>
      <c r="TVZ186" s="225"/>
      <c r="TWA186" s="225"/>
      <c r="TWB186" s="225"/>
      <c r="TWC186" s="225"/>
      <c r="TWD186" s="225"/>
      <c r="TWE186" s="225"/>
      <c r="TWF186" s="225"/>
      <c r="TWG186" s="225"/>
      <c r="TWH186" s="225"/>
      <c r="TWI186" s="225"/>
      <c r="TWJ186" s="225"/>
      <c r="TWK186" s="225"/>
      <c r="TWL186" s="225"/>
      <c r="TWM186" s="225"/>
      <c r="TWN186" s="225"/>
      <c r="TWO186" s="225"/>
      <c r="TWP186" s="225"/>
      <c r="TWQ186" s="225"/>
      <c r="TWR186" s="225"/>
      <c r="TWS186" s="225"/>
      <c r="TWT186" s="225"/>
      <c r="TWU186" s="225"/>
      <c r="TWV186" s="225"/>
      <c r="TWW186" s="225"/>
      <c r="TWX186" s="225"/>
      <c r="TWY186" s="225"/>
      <c r="TWZ186" s="225"/>
      <c r="TXA186" s="225"/>
      <c r="TXB186" s="225"/>
      <c r="TXC186" s="225"/>
      <c r="TXD186" s="225"/>
      <c r="TXE186" s="225"/>
      <c r="TXF186" s="225"/>
      <c r="TXG186" s="225"/>
      <c r="TXH186" s="225"/>
      <c r="TXI186" s="225"/>
      <c r="TXJ186" s="225"/>
      <c r="TXK186" s="225"/>
      <c r="TXL186" s="225"/>
      <c r="TXM186" s="225"/>
      <c r="TXN186" s="225"/>
      <c r="TXO186" s="225"/>
      <c r="TXP186" s="225"/>
      <c r="TXQ186" s="225"/>
      <c r="TXR186" s="225"/>
      <c r="TXS186" s="225"/>
      <c r="TXT186" s="225"/>
      <c r="TXU186" s="225"/>
      <c r="TXV186" s="225"/>
      <c r="TXW186" s="225"/>
      <c r="TXX186" s="225"/>
      <c r="TXY186" s="225"/>
      <c r="TXZ186" s="225"/>
      <c r="TYA186" s="225"/>
      <c r="TYB186" s="225"/>
      <c r="TYC186" s="225"/>
      <c r="TYD186" s="225"/>
      <c r="TYE186" s="225"/>
      <c r="TYF186" s="225"/>
      <c r="TYG186" s="225"/>
      <c r="TYH186" s="225"/>
      <c r="TYI186" s="225"/>
      <c r="TYJ186" s="225"/>
      <c r="TYK186" s="225"/>
      <c r="TYL186" s="225"/>
      <c r="TYM186" s="225"/>
      <c r="TYN186" s="225"/>
      <c r="TYO186" s="225"/>
      <c r="TYP186" s="225"/>
      <c r="TYQ186" s="225"/>
      <c r="TYR186" s="225"/>
      <c r="TYS186" s="225"/>
      <c r="TYT186" s="225"/>
      <c r="TYU186" s="225"/>
      <c r="TYV186" s="225"/>
      <c r="TYW186" s="225"/>
      <c r="TYX186" s="225"/>
      <c r="TYY186" s="225"/>
      <c r="TYZ186" s="225"/>
      <c r="TZA186" s="225"/>
      <c r="TZB186" s="225"/>
      <c r="TZC186" s="225"/>
      <c r="TZD186" s="225"/>
      <c r="TZE186" s="225"/>
      <c r="TZF186" s="225"/>
      <c r="TZG186" s="225"/>
      <c r="TZH186" s="225"/>
      <c r="TZI186" s="225"/>
      <c r="TZJ186" s="225"/>
      <c r="TZK186" s="225"/>
      <c r="TZL186" s="225"/>
      <c r="TZM186" s="225"/>
      <c r="TZN186" s="225"/>
      <c r="TZO186" s="225"/>
      <c r="TZP186" s="225"/>
      <c r="TZQ186" s="225"/>
      <c r="TZR186" s="225"/>
      <c r="TZS186" s="225"/>
      <c r="TZT186" s="225"/>
      <c r="TZU186" s="225"/>
      <c r="TZV186" s="225"/>
      <c r="TZW186" s="225"/>
      <c r="TZX186" s="225"/>
      <c r="TZY186" s="225"/>
      <c r="TZZ186" s="225"/>
      <c r="UAA186" s="225"/>
      <c r="UAB186" s="225"/>
      <c r="UAC186" s="225"/>
      <c r="UAD186" s="225"/>
      <c r="UAE186" s="225"/>
      <c r="UAF186" s="225"/>
      <c r="UAG186" s="225"/>
      <c r="UAH186" s="225"/>
      <c r="UAI186" s="225"/>
      <c r="UAJ186" s="225"/>
      <c r="UAK186" s="225"/>
      <c r="UAL186" s="225"/>
      <c r="UAM186" s="225"/>
      <c r="UAN186" s="225"/>
      <c r="UAO186" s="225"/>
      <c r="UAP186" s="225"/>
      <c r="UAQ186" s="225"/>
      <c r="UAR186" s="225"/>
      <c r="UAS186" s="225"/>
      <c r="UAT186" s="225"/>
      <c r="UAU186" s="225"/>
      <c r="UAV186" s="225"/>
      <c r="UAW186" s="225"/>
      <c r="UAX186" s="225"/>
      <c r="UAY186" s="225"/>
      <c r="UAZ186" s="225"/>
      <c r="UBA186" s="225"/>
      <c r="UBB186" s="225"/>
      <c r="UBC186" s="225"/>
      <c r="UBD186" s="225"/>
      <c r="UBE186" s="225"/>
      <c r="UBF186" s="225"/>
      <c r="UBG186" s="225"/>
      <c r="UBH186" s="225"/>
      <c r="UBI186" s="225"/>
      <c r="UBJ186" s="225"/>
      <c r="UBK186" s="225"/>
      <c r="UBL186" s="225"/>
      <c r="UBM186" s="225"/>
      <c r="UBN186" s="225"/>
      <c r="UBO186" s="225"/>
      <c r="UBP186" s="225"/>
      <c r="UBQ186" s="225"/>
      <c r="UBR186" s="225"/>
      <c r="UBS186" s="225"/>
      <c r="UBT186" s="225"/>
      <c r="UBU186" s="225"/>
      <c r="UBV186" s="225"/>
      <c r="UBW186" s="225"/>
      <c r="UBX186" s="225"/>
      <c r="UBY186" s="225"/>
      <c r="UBZ186" s="225"/>
      <c r="UCA186" s="225"/>
      <c r="UCB186" s="225"/>
      <c r="UCC186" s="225"/>
      <c r="UCD186" s="225"/>
      <c r="UCE186" s="225"/>
      <c r="UCF186" s="225"/>
      <c r="UCG186" s="225"/>
      <c r="UCH186" s="225"/>
      <c r="UCI186" s="225"/>
      <c r="UCJ186" s="225"/>
      <c r="UCK186" s="225"/>
      <c r="UCL186" s="225"/>
      <c r="UCM186" s="225"/>
      <c r="UCN186" s="225"/>
      <c r="UCO186" s="225"/>
      <c r="UCP186" s="225"/>
      <c r="UCQ186" s="225"/>
      <c r="UCR186" s="225"/>
      <c r="UCS186" s="225"/>
      <c r="UCT186" s="225"/>
      <c r="UCU186" s="225"/>
      <c r="UCV186" s="225"/>
      <c r="UCW186" s="225"/>
      <c r="UCX186" s="225"/>
      <c r="UCY186" s="225"/>
      <c r="UCZ186" s="225"/>
      <c r="UDA186" s="225"/>
      <c r="UDB186" s="225"/>
      <c r="UDC186" s="225"/>
      <c r="UDD186" s="225"/>
      <c r="UDE186" s="225"/>
      <c r="UDF186" s="225"/>
      <c r="UDG186" s="225"/>
      <c r="UDH186" s="225"/>
      <c r="UDI186" s="225"/>
      <c r="UDJ186" s="225"/>
      <c r="UDK186" s="225"/>
      <c r="UDL186" s="225"/>
      <c r="UDM186" s="225"/>
      <c r="UDN186" s="225"/>
      <c r="UDO186" s="225"/>
      <c r="UDP186" s="225"/>
      <c r="UDQ186" s="225"/>
      <c r="UDR186" s="225"/>
      <c r="UDS186" s="225"/>
      <c r="UDT186" s="225"/>
      <c r="UDU186" s="225"/>
      <c r="UDV186" s="225"/>
      <c r="UDW186" s="225"/>
      <c r="UDX186" s="225"/>
      <c r="UDY186" s="225"/>
      <c r="UDZ186" s="225"/>
      <c r="UEA186" s="225"/>
      <c r="UEB186" s="225"/>
      <c r="UEC186" s="225"/>
      <c r="UED186" s="225"/>
      <c r="UEE186" s="225"/>
      <c r="UEF186" s="225"/>
      <c r="UEG186" s="225"/>
      <c r="UEH186" s="225"/>
      <c r="UEI186" s="225"/>
      <c r="UEJ186" s="225"/>
      <c r="UEK186" s="225"/>
      <c r="UEL186" s="225"/>
      <c r="UEM186" s="225"/>
      <c r="UEN186" s="225"/>
      <c r="UEO186" s="225"/>
      <c r="UEP186" s="225"/>
      <c r="UEQ186" s="225"/>
      <c r="UER186" s="225"/>
      <c r="UES186" s="225"/>
      <c r="UET186" s="225"/>
      <c r="UEU186" s="225"/>
      <c r="UEV186" s="225"/>
      <c r="UEW186" s="225"/>
      <c r="UEX186" s="225"/>
      <c r="UEY186" s="225"/>
      <c r="UEZ186" s="225"/>
      <c r="UFA186" s="225"/>
      <c r="UFB186" s="225"/>
      <c r="UFC186" s="225"/>
      <c r="UFD186" s="225"/>
      <c r="UFE186" s="225"/>
      <c r="UFF186" s="225"/>
      <c r="UFG186" s="225"/>
      <c r="UFH186" s="225"/>
      <c r="UFI186" s="225"/>
      <c r="UFJ186" s="225"/>
      <c r="UFK186" s="225"/>
      <c r="UFL186" s="225"/>
      <c r="UFM186" s="225"/>
      <c r="UFN186" s="225"/>
      <c r="UFO186" s="225"/>
      <c r="UFP186" s="225"/>
      <c r="UFQ186" s="225"/>
      <c r="UFR186" s="225"/>
      <c r="UFS186" s="225"/>
      <c r="UFT186" s="225"/>
      <c r="UFU186" s="225"/>
      <c r="UFV186" s="225"/>
      <c r="UFW186" s="225"/>
      <c r="UFX186" s="225"/>
      <c r="UFY186" s="225"/>
      <c r="UFZ186" s="225"/>
      <c r="UGA186" s="225"/>
      <c r="UGB186" s="225"/>
      <c r="UGC186" s="225"/>
      <c r="UGD186" s="225"/>
      <c r="UGE186" s="225"/>
      <c r="UGF186" s="225"/>
      <c r="UGG186" s="225"/>
      <c r="UGH186" s="225"/>
      <c r="UGI186" s="225"/>
      <c r="UGJ186" s="225"/>
      <c r="UGK186" s="225"/>
      <c r="UGL186" s="225"/>
      <c r="UGM186" s="225"/>
      <c r="UGN186" s="225"/>
      <c r="UGO186" s="225"/>
      <c r="UGP186" s="225"/>
      <c r="UGQ186" s="225"/>
      <c r="UGR186" s="225"/>
      <c r="UGS186" s="225"/>
      <c r="UGT186" s="225"/>
      <c r="UGU186" s="225"/>
      <c r="UGV186" s="225"/>
      <c r="UGW186" s="225"/>
      <c r="UGX186" s="225"/>
      <c r="UGY186" s="225"/>
      <c r="UGZ186" s="225"/>
      <c r="UHA186" s="225"/>
      <c r="UHB186" s="225"/>
      <c r="UHC186" s="225"/>
      <c r="UHD186" s="225"/>
      <c r="UHE186" s="225"/>
      <c r="UHF186" s="225"/>
      <c r="UHG186" s="225"/>
      <c r="UHH186" s="225"/>
      <c r="UHI186" s="225"/>
      <c r="UHJ186" s="225"/>
      <c r="UHK186" s="225"/>
      <c r="UHL186" s="225"/>
      <c r="UHM186" s="225"/>
      <c r="UHN186" s="225"/>
      <c r="UHO186" s="225"/>
      <c r="UHP186" s="225"/>
      <c r="UHQ186" s="225"/>
      <c r="UHR186" s="225"/>
      <c r="UHS186" s="225"/>
      <c r="UHT186" s="225"/>
      <c r="UHU186" s="225"/>
      <c r="UHV186" s="225"/>
      <c r="UHW186" s="225"/>
      <c r="UHX186" s="225"/>
      <c r="UHY186" s="225"/>
      <c r="UHZ186" s="225"/>
      <c r="UIA186" s="225"/>
      <c r="UIB186" s="225"/>
      <c r="UIC186" s="225"/>
      <c r="UID186" s="225"/>
      <c r="UIE186" s="225"/>
      <c r="UIF186" s="225"/>
      <c r="UIG186" s="225"/>
      <c r="UIH186" s="225"/>
      <c r="UII186" s="225"/>
      <c r="UIJ186" s="225"/>
      <c r="UIK186" s="225"/>
      <c r="UIL186" s="225"/>
      <c r="UIM186" s="225"/>
      <c r="UIN186" s="225"/>
      <c r="UIO186" s="225"/>
      <c r="UIP186" s="225"/>
      <c r="UIQ186" s="225"/>
      <c r="UIR186" s="225"/>
      <c r="UIS186" s="225"/>
      <c r="UIT186" s="225"/>
      <c r="UIU186" s="225"/>
      <c r="UIV186" s="225"/>
      <c r="UIW186" s="225"/>
      <c r="UIX186" s="225"/>
      <c r="UIY186" s="225"/>
      <c r="UIZ186" s="225"/>
      <c r="UJA186" s="225"/>
      <c r="UJB186" s="225"/>
      <c r="UJC186" s="225"/>
      <c r="UJD186" s="225"/>
      <c r="UJE186" s="225"/>
      <c r="UJF186" s="225"/>
      <c r="UJG186" s="225"/>
      <c r="UJH186" s="225"/>
      <c r="UJI186" s="225"/>
      <c r="UJJ186" s="225"/>
      <c r="UJK186" s="225"/>
      <c r="UJL186" s="225"/>
      <c r="UJM186" s="225"/>
      <c r="UJN186" s="225"/>
      <c r="UJO186" s="225"/>
      <c r="UJP186" s="225"/>
      <c r="UJQ186" s="225"/>
      <c r="UJR186" s="225"/>
      <c r="UJS186" s="225"/>
      <c r="UJT186" s="225"/>
      <c r="UJU186" s="225"/>
      <c r="UJV186" s="225"/>
      <c r="UJW186" s="225"/>
      <c r="UJX186" s="225"/>
      <c r="UJY186" s="225"/>
      <c r="UJZ186" s="225"/>
      <c r="UKA186" s="225"/>
      <c r="UKB186" s="225"/>
      <c r="UKC186" s="225"/>
      <c r="UKD186" s="225"/>
      <c r="UKE186" s="225"/>
      <c r="UKF186" s="225"/>
      <c r="UKG186" s="225"/>
      <c r="UKH186" s="225"/>
      <c r="UKI186" s="225"/>
      <c r="UKJ186" s="225"/>
      <c r="UKK186" s="225"/>
      <c r="UKL186" s="225"/>
      <c r="UKM186" s="225"/>
      <c r="UKN186" s="225"/>
      <c r="UKO186" s="225"/>
      <c r="UKP186" s="225"/>
      <c r="UKQ186" s="225"/>
      <c r="UKR186" s="225"/>
      <c r="UKS186" s="225"/>
      <c r="UKT186" s="225"/>
      <c r="UKU186" s="225"/>
      <c r="UKV186" s="225"/>
      <c r="UKW186" s="225"/>
      <c r="UKX186" s="225"/>
      <c r="UKY186" s="225"/>
      <c r="UKZ186" s="225"/>
      <c r="ULA186" s="225"/>
      <c r="ULB186" s="225"/>
      <c r="ULC186" s="225"/>
      <c r="ULD186" s="225"/>
      <c r="ULE186" s="225"/>
      <c r="ULF186" s="225"/>
      <c r="ULG186" s="225"/>
      <c r="ULH186" s="225"/>
      <c r="ULI186" s="225"/>
      <c r="ULJ186" s="225"/>
      <c r="ULK186" s="225"/>
      <c r="ULL186" s="225"/>
      <c r="ULM186" s="225"/>
      <c r="ULN186" s="225"/>
      <c r="ULO186" s="225"/>
      <c r="ULP186" s="225"/>
      <c r="ULQ186" s="225"/>
      <c r="ULR186" s="225"/>
      <c r="ULS186" s="225"/>
      <c r="ULT186" s="225"/>
      <c r="ULU186" s="225"/>
      <c r="ULV186" s="225"/>
      <c r="ULW186" s="225"/>
      <c r="ULX186" s="225"/>
      <c r="ULY186" s="225"/>
      <c r="ULZ186" s="225"/>
      <c r="UMA186" s="225"/>
      <c r="UMB186" s="225"/>
      <c r="UMC186" s="225"/>
      <c r="UMD186" s="225"/>
      <c r="UME186" s="225"/>
      <c r="UMF186" s="225"/>
      <c r="UMG186" s="225"/>
      <c r="UMH186" s="225"/>
      <c r="UMI186" s="225"/>
      <c r="UMJ186" s="225"/>
      <c r="UMK186" s="225"/>
      <c r="UML186" s="225"/>
      <c r="UMM186" s="225"/>
      <c r="UMN186" s="225"/>
      <c r="UMO186" s="225"/>
      <c r="UMP186" s="225"/>
      <c r="UMQ186" s="225"/>
      <c r="UMR186" s="225"/>
      <c r="UMS186" s="225"/>
      <c r="UMT186" s="225"/>
      <c r="UMU186" s="225"/>
      <c r="UMV186" s="225"/>
      <c r="UMW186" s="225"/>
      <c r="UMX186" s="225"/>
      <c r="UMY186" s="225"/>
      <c r="UMZ186" s="225"/>
      <c r="UNA186" s="225"/>
      <c r="UNB186" s="225"/>
      <c r="UNC186" s="225"/>
      <c r="UND186" s="225"/>
      <c r="UNE186" s="225"/>
      <c r="UNF186" s="225"/>
      <c r="UNG186" s="225"/>
      <c r="UNH186" s="225"/>
      <c r="UNI186" s="225"/>
      <c r="UNJ186" s="225"/>
      <c r="UNK186" s="225"/>
      <c r="UNL186" s="225"/>
      <c r="UNM186" s="225"/>
      <c r="UNN186" s="225"/>
      <c r="UNO186" s="225"/>
      <c r="UNP186" s="225"/>
      <c r="UNQ186" s="225"/>
      <c r="UNR186" s="225"/>
      <c r="UNS186" s="225"/>
      <c r="UNT186" s="225"/>
      <c r="UNU186" s="225"/>
      <c r="UNV186" s="225"/>
      <c r="UNW186" s="225"/>
      <c r="UNX186" s="225"/>
      <c r="UNY186" s="225"/>
      <c r="UNZ186" s="225"/>
      <c r="UOA186" s="225"/>
      <c r="UOB186" s="225"/>
      <c r="UOC186" s="225"/>
      <c r="UOD186" s="225"/>
      <c r="UOE186" s="225"/>
      <c r="UOF186" s="225"/>
      <c r="UOG186" s="225"/>
      <c r="UOH186" s="225"/>
      <c r="UOI186" s="225"/>
      <c r="UOJ186" s="225"/>
      <c r="UOK186" s="225"/>
      <c r="UOL186" s="225"/>
      <c r="UOM186" s="225"/>
      <c r="UON186" s="225"/>
      <c r="UOO186" s="225"/>
      <c r="UOP186" s="225"/>
      <c r="UOQ186" s="225"/>
      <c r="UOR186" s="225"/>
      <c r="UOS186" s="225"/>
      <c r="UOT186" s="225"/>
      <c r="UOU186" s="225"/>
      <c r="UOV186" s="225"/>
      <c r="UOW186" s="225"/>
      <c r="UOX186" s="225"/>
      <c r="UOY186" s="225"/>
      <c r="UOZ186" s="225"/>
      <c r="UPA186" s="225"/>
      <c r="UPB186" s="225"/>
      <c r="UPC186" s="225"/>
      <c r="UPD186" s="225"/>
      <c r="UPE186" s="225"/>
      <c r="UPF186" s="225"/>
      <c r="UPG186" s="225"/>
      <c r="UPH186" s="225"/>
      <c r="UPI186" s="225"/>
      <c r="UPJ186" s="225"/>
      <c r="UPK186" s="225"/>
      <c r="UPL186" s="225"/>
      <c r="UPM186" s="225"/>
      <c r="UPN186" s="225"/>
      <c r="UPO186" s="225"/>
      <c r="UPP186" s="225"/>
      <c r="UPQ186" s="225"/>
      <c r="UPR186" s="225"/>
      <c r="UPS186" s="225"/>
      <c r="UPT186" s="225"/>
      <c r="UPU186" s="225"/>
      <c r="UPV186" s="225"/>
      <c r="UPW186" s="225"/>
      <c r="UPX186" s="225"/>
      <c r="UPY186" s="225"/>
      <c r="UPZ186" s="225"/>
      <c r="UQA186" s="225"/>
      <c r="UQB186" s="225"/>
      <c r="UQC186" s="225"/>
      <c r="UQD186" s="225"/>
      <c r="UQE186" s="225"/>
      <c r="UQF186" s="225"/>
      <c r="UQG186" s="225"/>
      <c r="UQH186" s="225"/>
      <c r="UQI186" s="225"/>
      <c r="UQJ186" s="225"/>
      <c r="UQK186" s="225"/>
      <c r="UQL186" s="225"/>
      <c r="UQM186" s="225"/>
      <c r="UQN186" s="225"/>
      <c r="UQO186" s="225"/>
      <c r="UQP186" s="225"/>
      <c r="UQQ186" s="225"/>
      <c r="UQR186" s="225"/>
      <c r="UQS186" s="225"/>
      <c r="UQT186" s="225"/>
      <c r="UQU186" s="225"/>
      <c r="UQV186" s="225"/>
      <c r="UQW186" s="225"/>
      <c r="UQX186" s="225"/>
      <c r="UQY186" s="225"/>
      <c r="UQZ186" s="225"/>
      <c r="URA186" s="225"/>
      <c r="URB186" s="225"/>
      <c r="URC186" s="225"/>
      <c r="URD186" s="225"/>
      <c r="URE186" s="225"/>
      <c r="URF186" s="225"/>
      <c r="URG186" s="225"/>
      <c r="URH186" s="225"/>
      <c r="URI186" s="225"/>
      <c r="URJ186" s="225"/>
      <c r="URK186" s="225"/>
      <c r="URL186" s="225"/>
      <c r="URM186" s="225"/>
      <c r="URN186" s="225"/>
      <c r="URO186" s="225"/>
      <c r="URP186" s="225"/>
      <c r="URQ186" s="225"/>
      <c r="URR186" s="225"/>
      <c r="URS186" s="225"/>
      <c r="URT186" s="225"/>
      <c r="URU186" s="225"/>
      <c r="URV186" s="225"/>
      <c r="URW186" s="225"/>
      <c r="URX186" s="225"/>
      <c r="URY186" s="225"/>
      <c r="URZ186" s="225"/>
      <c r="USA186" s="225"/>
      <c r="USB186" s="225"/>
      <c r="USC186" s="225"/>
      <c r="USD186" s="225"/>
      <c r="USE186" s="225"/>
      <c r="USF186" s="225"/>
      <c r="USG186" s="225"/>
      <c r="USH186" s="225"/>
      <c r="USI186" s="225"/>
      <c r="USJ186" s="225"/>
      <c r="USK186" s="225"/>
      <c r="USL186" s="225"/>
      <c r="USM186" s="225"/>
      <c r="USN186" s="225"/>
      <c r="USO186" s="225"/>
      <c r="USP186" s="225"/>
      <c r="USQ186" s="225"/>
      <c r="USR186" s="225"/>
      <c r="USS186" s="225"/>
      <c r="UST186" s="225"/>
      <c r="USU186" s="225"/>
      <c r="USV186" s="225"/>
      <c r="USW186" s="225"/>
      <c r="USX186" s="225"/>
      <c r="USY186" s="225"/>
      <c r="USZ186" s="225"/>
      <c r="UTA186" s="225"/>
      <c r="UTB186" s="225"/>
      <c r="UTC186" s="225"/>
      <c r="UTD186" s="225"/>
      <c r="UTE186" s="225"/>
      <c r="UTF186" s="225"/>
      <c r="UTG186" s="225"/>
      <c r="UTH186" s="225"/>
      <c r="UTI186" s="225"/>
      <c r="UTJ186" s="225"/>
      <c r="UTK186" s="225"/>
      <c r="UTL186" s="225"/>
      <c r="UTM186" s="225"/>
      <c r="UTN186" s="225"/>
      <c r="UTO186" s="225"/>
      <c r="UTP186" s="225"/>
      <c r="UTQ186" s="225"/>
      <c r="UTR186" s="225"/>
      <c r="UTS186" s="225"/>
      <c r="UTT186" s="225"/>
      <c r="UTU186" s="225"/>
      <c r="UTV186" s="225"/>
      <c r="UTW186" s="225"/>
      <c r="UTX186" s="225"/>
      <c r="UTY186" s="225"/>
      <c r="UTZ186" s="225"/>
      <c r="UUA186" s="225"/>
      <c r="UUB186" s="225"/>
      <c r="UUC186" s="225"/>
      <c r="UUD186" s="225"/>
      <c r="UUE186" s="225"/>
      <c r="UUF186" s="225"/>
      <c r="UUG186" s="225"/>
      <c r="UUH186" s="225"/>
      <c r="UUI186" s="225"/>
      <c r="UUJ186" s="225"/>
      <c r="UUK186" s="225"/>
      <c r="UUL186" s="225"/>
      <c r="UUM186" s="225"/>
      <c r="UUN186" s="225"/>
      <c r="UUO186" s="225"/>
      <c r="UUP186" s="225"/>
      <c r="UUQ186" s="225"/>
      <c r="UUR186" s="225"/>
      <c r="UUS186" s="225"/>
      <c r="UUT186" s="225"/>
      <c r="UUU186" s="225"/>
      <c r="UUV186" s="225"/>
      <c r="UUW186" s="225"/>
      <c r="UUX186" s="225"/>
      <c r="UUY186" s="225"/>
      <c r="UUZ186" s="225"/>
      <c r="UVA186" s="225"/>
      <c r="UVB186" s="225"/>
      <c r="UVC186" s="225"/>
      <c r="UVD186" s="225"/>
      <c r="UVE186" s="225"/>
      <c r="UVF186" s="225"/>
      <c r="UVG186" s="225"/>
      <c r="UVH186" s="225"/>
      <c r="UVI186" s="225"/>
      <c r="UVJ186" s="225"/>
      <c r="UVK186" s="225"/>
      <c r="UVL186" s="225"/>
      <c r="UVM186" s="225"/>
      <c r="UVN186" s="225"/>
      <c r="UVO186" s="225"/>
      <c r="UVP186" s="225"/>
      <c r="UVQ186" s="225"/>
      <c r="UVR186" s="225"/>
      <c r="UVS186" s="225"/>
      <c r="UVT186" s="225"/>
      <c r="UVU186" s="225"/>
      <c r="UVV186" s="225"/>
      <c r="UVW186" s="225"/>
      <c r="UVX186" s="225"/>
      <c r="UVY186" s="225"/>
      <c r="UVZ186" s="225"/>
      <c r="UWA186" s="225"/>
      <c r="UWB186" s="225"/>
      <c r="UWC186" s="225"/>
      <c r="UWD186" s="225"/>
      <c r="UWE186" s="225"/>
      <c r="UWF186" s="225"/>
      <c r="UWG186" s="225"/>
      <c r="UWH186" s="225"/>
      <c r="UWI186" s="225"/>
      <c r="UWJ186" s="225"/>
      <c r="UWK186" s="225"/>
      <c r="UWL186" s="225"/>
      <c r="UWM186" s="225"/>
      <c r="UWN186" s="225"/>
      <c r="UWO186" s="225"/>
      <c r="UWP186" s="225"/>
      <c r="UWQ186" s="225"/>
      <c r="UWR186" s="225"/>
      <c r="UWS186" s="225"/>
      <c r="UWT186" s="225"/>
      <c r="UWU186" s="225"/>
      <c r="UWV186" s="225"/>
      <c r="UWW186" s="225"/>
      <c r="UWX186" s="225"/>
      <c r="UWY186" s="225"/>
      <c r="UWZ186" s="225"/>
      <c r="UXA186" s="225"/>
      <c r="UXB186" s="225"/>
      <c r="UXC186" s="225"/>
      <c r="UXD186" s="225"/>
      <c r="UXE186" s="225"/>
      <c r="UXF186" s="225"/>
      <c r="UXG186" s="225"/>
      <c r="UXH186" s="225"/>
      <c r="UXI186" s="225"/>
      <c r="UXJ186" s="225"/>
      <c r="UXK186" s="225"/>
      <c r="UXL186" s="225"/>
      <c r="UXM186" s="225"/>
      <c r="UXN186" s="225"/>
      <c r="UXO186" s="225"/>
      <c r="UXP186" s="225"/>
      <c r="UXQ186" s="225"/>
      <c r="UXR186" s="225"/>
      <c r="UXS186" s="225"/>
      <c r="UXT186" s="225"/>
      <c r="UXU186" s="225"/>
      <c r="UXV186" s="225"/>
      <c r="UXW186" s="225"/>
      <c r="UXX186" s="225"/>
      <c r="UXY186" s="225"/>
      <c r="UXZ186" s="225"/>
      <c r="UYA186" s="225"/>
      <c r="UYB186" s="225"/>
      <c r="UYC186" s="225"/>
      <c r="UYD186" s="225"/>
      <c r="UYE186" s="225"/>
      <c r="UYF186" s="225"/>
      <c r="UYG186" s="225"/>
      <c r="UYH186" s="225"/>
      <c r="UYI186" s="225"/>
      <c r="UYJ186" s="225"/>
      <c r="UYK186" s="225"/>
      <c r="UYL186" s="225"/>
      <c r="UYM186" s="225"/>
      <c r="UYN186" s="225"/>
      <c r="UYO186" s="225"/>
      <c r="UYP186" s="225"/>
      <c r="UYQ186" s="225"/>
      <c r="UYR186" s="225"/>
      <c r="UYS186" s="225"/>
      <c r="UYT186" s="225"/>
      <c r="UYU186" s="225"/>
      <c r="UYV186" s="225"/>
      <c r="UYW186" s="225"/>
      <c r="UYX186" s="225"/>
      <c r="UYY186" s="225"/>
      <c r="UYZ186" s="225"/>
      <c r="UZA186" s="225"/>
      <c r="UZB186" s="225"/>
      <c r="UZC186" s="225"/>
      <c r="UZD186" s="225"/>
      <c r="UZE186" s="225"/>
      <c r="UZF186" s="225"/>
      <c r="UZG186" s="225"/>
      <c r="UZH186" s="225"/>
      <c r="UZI186" s="225"/>
      <c r="UZJ186" s="225"/>
      <c r="UZK186" s="225"/>
      <c r="UZL186" s="225"/>
      <c r="UZM186" s="225"/>
      <c r="UZN186" s="225"/>
      <c r="UZO186" s="225"/>
      <c r="UZP186" s="225"/>
      <c r="UZQ186" s="225"/>
      <c r="UZR186" s="225"/>
      <c r="UZS186" s="225"/>
      <c r="UZT186" s="225"/>
      <c r="UZU186" s="225"/>
      <c r="UZV186" s="225"/>
      <c r="UZW186" s="225"/>
      <c r="UZX186" s="225"/>
      <c r="UZY186" s="225"/>
      <c r="UZZ186" s="225"/>
      <c r="VAA186" s="225"/>
      <c r="VAB186" s="225"/>
      <c r="VAC186" s="225"/>
      <c r="VAD186" s="225"/>
      <c r="VAE186" s="225"/>
      <c r="VAF186" s="225"/>
      <c r="VAG186" s="225"/>
      <c r="VAH186" s="225"/>
      <c r="VAI186" s="225"/>
      <c r="VAJ186" s="225"/>
      <c r="VAK186" s="225"/>
      <c r="VAL186" s="225"/>
      <c r="VAM186" s="225"/>
      <c r="VAN186" s="225"/>
      <c r="VAO186" s="225"/>
      <c r="VAP186" s="225"/>
      <c r="VAQ186" s="225"/>
      <c r="VAR186" s="225"/>
      <c r="VAS186" s="225"/>
      <c r="VAT186" s="225"/>
      <c r="VAU186" s="225"/>
      <c r="VAV186" s="225"/>
      <c r="VAW186" s="225"/>
      <c r="VAX186" s="225"/>
      <c r="VAY186" s="225"/>
      <c r="VAZ186" s="225"/>
      <c r="VBA186" s="225"/>
      <c r="VBB186" s="225"/>
      <c r="VBC186" s="225"/>
      <c r="VBD186" s="225"/>
      <c r="VBE186" s="225"/>
      <c r="VBF186" s="225"/>
      <c r="VBG186" s="225"/>
      <c r="VBH186" s="225"/>
      <c r="VBI186" s="225"/>
      <c r="VBJ186" s="225"/>
      <c r="VBK186" s="225"/>
      <c r="VBL186" s="225"/>
      <c r="VBM186" s="225"/>
      <c r="VBN186" s="225"/>
      <c r="VBO186" s="225"/>
      <c r="VBP186" s="225"/>
      <c r="VBQ186" s="225"/>
      <c r="VBR186" s="225"/>
      <c r="VBS186" s="225"/>
      <c r="VBT186" s="225"/>
      <c r="VBU186" s="225"/>
      <c r="VBV186" s="225"/>
      <c r="VBW186" s="225"/>
      <c r="VBX186" s="225"/>
      <c r="VBY186" s="225"/>
      <c r="VBZ186" s="225"/>
      <c r="VCA186" s="225"/>
      <c r="VCB186" s="225"/>
      <c r="VCC186" s="225"/>
      <c r="VCD186" s="225"/>
      <c r="VCE186" s="225"/>
      <c r="VCF186" s="225"/>
      <c r="VCG186" s="225"/>
      <c r="VCH186" s="225"/>
      <c r="VCI186" s="225"/>
      <c r="VCJ186" s="225"/>
      <c r="VCK186" s="225"/>
      <c r="VCL186" s="225"/>
      <c r="VCM186" s="225"/>
      <c r="VCN186" s="225"/>
      <c r="VCO186" s="225"/>
      <c r="VCP186" s="225"/>
      <c r="VCQ186" s="225"/>
      <c r="VCR186" s="225"/>
      <c r="VCS186" s="225"/>
      <c r="VCT186" s="225"/>
      <c r="VCU186" s="225"/>
      <c r="VCV186" s="225"/>
      <c r="VCW186" s="225"/>
      <c r="VCX186" s="225"/>
      <c r="VCY186" s="225"/>
      <c r="VCZ186" s="225"/>
      <c r="VDA186" s="225"/>
      <c r="VDB186" s="225"/>
      <c r="VDC186" s="225"/>
      <c r="VDD186" s="225"/>
      <c r="VDE186" s="225"/>
      <c r="VDF186" s="225"/>
      <c r="VDG186" s="225"/>
      <c r="VDH186" s="225"/>
      <c r="VDI186" s="225"/>
      <c r="VDJ186" s="225"/>
      <c r="VDK186" s="225"/>
      <c r="VDL186" s="225"/>
      <c r="VDM186" s="225"/>
      <c r="VDN186" s="225"/>
      <c r="VDO186" s="225"/>
      <c r="VDP186" s="225"/>
      <c r="VDQ186" s="225"/>
      <c r="VDR186" s="225"/>
      <c r="VDS186" s="225"/>
      <c r="VDT186" s="225"/>
      <c r="VDU186" s="225"/>
      <c r="VDV186" s="225"/>
      <c r="VDW186" s="225"/>
      <c r="VDX186" s="225"/>
      <c r="VDY186" s="225"/>
      <c r="VDZ186" s="225"/>
      <c r="VEA186" s="225"/>
      <c r="VEB186" s="225"/>
      <c r="VEC186" s="225"/>
      <c r="VED186" s="225"/>
      <c r="VEE186" s="225"/>
      <c r="VEF186" s="225"/>
      <c r="VEG186" s="225"/>
      <c r="VEH186" s="225"/>
      <c r="VEI186" s="225"/>
      <c r="VEJ186" s="225"/>
      <c r="VEK186" s="225"/>
      <c r="VEL186" s="225"/>
      <c r="VEM186" s="225"/>
      <c r="VEN186" s="225"/>
      <c r="VEO186" s="225"/>
      <c r="VEP186" s="225"/>
      <c r="VEQ186" s="225"/>
      <c r="VER186" s="225"/>
      <c r="VES186" s="225"/>
      <c r="VET186" s="225"/>
      <c r="VEU186" s="225"/>
      <c r="VEV186" s="225"/>
      <c r="VEW186" s="225"/>
      <c r="VEX186" s="225"/>
      <c r="VEY186" s="225"/>
      <c r="VEZ186" s="225"/>
      <c r="VFA186" s="225"/>
      <c r="VFB186" s="225"/>
      <c r="VFC186" s="225"/>
      <c r="VFD186" s="225"/>
      <c r="VFE186" s="225"/>
      <c r="VFF186" s="225"/>
      <c r="VFG186" s="225"/>
      <c r="VFH186" s="225"/>
      <c r="VFI186" s="225"/>
      <c r="VFJ186" s="225"/>
      <c r="VFK186" s="225"/>
      <c r="VFL186" s="225"/>
      <c r="VFM186" s="225"/>
      <c r="VFN186" s="225"/>
      <c r="VFO186" s="225"/>
      <c r="VFP186" s="225"/>
      <c r="VFQ186" s="225"/>
      <c r="VFR186" s="225"/>
      <c r="VFS186" s="225"/>
      <c r="VFT186" s="225"/>
      <c r="VFU186" s="225"/>
      <c r="VFV186" s="225"/>
      <c r="VFW186" s="225"/>
      <c r="VFX186" s="225"/>
      <c r="VFY186" s="225"/>
      <c r="VFZ186" s="225"/>
      <c r="VGA186" s="225"/>
      <c r="VGB186" s="225"/>
      <c r="VGC186" s="225"/>
      <c r="VGD186" s="225"/>
      <c r="VGE186" s="225"/>
      <c r="VGF186" s="225"/>
      <c r="VGG186" s="225"/>
      <c r="VGH186" s="225"/>
      <c r="VGI186" s="225"/>
      <c r="VGJ186" s="225"/>
      <c r="VGK186" s="225"/>
      <c r="VGL186" s="225"/>
      <c r="VGM186" s="225"/>
      <c r="VGN186" s="225"/>
      <c r="VGO186" s="225"/>
      <c r="VGP186" s="225"/>
      <c r="VGQ186" s="225"/>
      <c r="VGR186" s="225"/>
      <c r="VGS186" s="225"/>
      <c r="VGT186" s="225"/>
      <c r="VGU186" s="225"/>
      <c r="VGV186" s="225"/>
      <c r="VGW186" s="225"/>
      <c r="VGX186" s="225"/>
      <c r="VGY186" s="225"/>
      <c r="VGZ186" s="225"/>
      <c r="VHA186" s="225"/>
      <c r="VHB186" s="225"/>
      <c r="VHC186" s="225"/>
      <c r="VHD186" s="225"/>
      <c r="VHE186" s="225"/>
      <c r="VHF186" s="225"/>
      <c r="VHG186" s="225"/>
      <c r="VHH186" s="225"/>
      <c r="VHI186" s="225"/>
      <c r="VHJ186" s="225"/>
      <c r="VHK186" s="225"/>
      <c r="VHL186" s="225"/>
      <c r="VHM186" s="225"/>
      <c r="VHN186" s="225"/>
      <c r="VHO186" s="225"/>
      <c r="VHP186" s="225"/>
      <c r="VHQ186" s="225"/>
      <c r="VHR186" s="225"/>
      <c r="VHS186" s="225"/>
      <c r="VHT186" s="225"/>
      <c r="VHU186" s="225"/>
      <c r="VHV186" s="225"/>
      <c r="VHW186" s="225"/>
      <c r="VHX186" s="225"/>
      <c r="VHY186" s="225"/>
      <c r="VHZ186" s="225"/>
      <c r="VIA186" s="225"/>
      <c r="VIB186" s="225"/>
      <c r="VIC186" s="225"/>
      <c r="VID186" s="225"/>
      <c r="VIE186" s="225"/>
      <c r="VIF186" s="225"/>
      <c r="VIG186" s="225"/>
      <c r="VIH186" s="225"/>
      <c r="VII186" s="225"/>
      <c r="VIJ186" s="225"/>
      <c r="VIK186" s="225"/>
      <c r="VIL186" s="225"/>
      <c r="VIM186" s="225"/>
      <c r="VIN186" s="225"/>
      <c r="VIO186" s="225"/>
      <c r="VIP186" s="225"/>
      <c r="VIQ186" s="225"/>
      <c r="VIR186" s="225"/>
      <c r="VIS186" s="225"/>
      <c r="VIT186" s="225"/>
      <c r="VIU186" s="225"/>
      <c r="VIV186" s="225"/>
      <c r="VIW186" s="225"/>
      <c r="VIX186" s="225"/>
      <c r="VIY186" s="225"/>
      <c r="VIZ186" s="225"/>
      <c r="VJA186" s="225"/>
      <c r="VJB186" s="225"/>
      <c r="VJC186" s="225"/>
      <c r="VJD186" s="225"/>
      <c r="VJE186" s="225"/>
      <c r="VJF186" s="225"/>
      <c r="VJG186" s="225"/>
      <c r="VJH186" s="225"/>
      <c r="VJI186" s="225"/>
      <c r="VJJ186" s="225"/>
      <c r="VJK186" s="225"/>
      <c r="VJL186" s="225"/>
      <c r="VJM186" s="225"/>
      <c r="VJN186" s="225"/>
      <c r="VJO186" s="225"/>
      <c r="VJP186" s="225"/>
      <c r="VJQ186" s="225"/>
      <c r="VJR186" s="225"/>
      <c r="VJS186" s="225"/>
      <c r="VJT186" s="225"/>
      <c r="VJU186" s="225"/>
      <c r="VJV186" s="225"/>
      <c r="VJW186" s="225"/>
      <c r="VJX186" s="225"/>
      <c r="VJY186" s="225"/>
      <c r="VJZ186" s="225"/>
      <c r="VKA186" s="225"/>
      <c r="VKB186" s="225"/>
      <c r="VKC186" s="225"/>
      <c r="VKD186" s="225"/>
      <c r="VKE186" s="225"/>
      <c r="VKF186" s="225"/>
      <c r="VKG186" s="225"/>
      <c r="VKH186" s="225"/>
      <c r="VKI186" s="225"/>
      <c r="VKJ186" s="225"/>
      <c r="VKK186" s="225"/>
      <c r="VKL186" s="225"/>
      <c r="VKM186" s="225"/>
      <c r="VKN186" s="225"/>
      <c r="VKO186" s="225"/>
      <c r="VKP186" s="225"/>
      <c r="VKQ186" s="225"/>
      <c r="VKR186" s="225"/>
      <c r="VKS186" s="225"/>
      <c r="VKT186" s="225"/>
      <c r="VKU186" s="225"/>
      <c r="VKV186" s="225"/>
      <c r="VKW186" s="225"/>
      <c r="VKX186" s="225"/>
      <c r="VKY186" s="225"/>
      <c r="VKZ186" s="225"/>
      <c r="VLA186" s="225"/>
      <c r="VLB186" s="225"/>
      <c r="VLC186" s="225"/>
      <c r="VLD186" s="225"/>
      <c r="VLE186" s="225"/>
      <c r="VLF186" s="225"/>
      <c r="VLG186" s="225"/>
      <c r="VLH186" s="225"/>
      <c r="VLI186" s="225"/>
      <c r="VLJ186" s="225"/>
      <c r="VLK186" s="225"/>
      <c r="VLL186" s="225"/>
      <c r="VLM186" s="225"/>
      <c r="VLN186" s="225"/>
      <c r="VLO186" s="225"/>
      <c r="VLP186" s="225"/>
      <c r="VLQ186" s="225"/>
      <c r="VLR186" s="225"/>
      <c r="VLS186" s="225"/>
      <c r="VLT186" s="225"/>
      <c r="VLU186" s="225"/>
      <c r="VLV186" s="225"/>
      <c r="VLW186" s="225"/>
      <c r="VLX186" s="225"/>
      <c r="VLY186" s="225"/>
      <c r="VLZ186" s="225"/>
      <c r="VMA186" s="225"/>
      <c r="VMB186" s="225"/>
      <c r="VMC186" s="225"/>
      <c r="VMD186" s="225"/>
      <c r="VME186" s="225"/>
      <c r="VMF186" s="225"/>
      <c r="VMG186" s="225"/>
      <c r="VMH186" s="225"/>
      <c r="VMI186" s="225"/>
      <c r="VMJ186" s="225"/>
      <c r="VMK186" s="225"/>
      <c r="VML186" s="225"/>
      <c r="VMM186" s="225"/>
      <c r="VMN186" s="225"/>
      <c r="VMO186" s="225"/>
      <c r="VMP186" s="225"/>
      <c r="VMQ186" s="225"/>
      <c r="VMR186" s="225"/>
      <c r="VMS186" s="225"/>
      <c r="VMT186" s="225"/>
      <c r="VMU186" s="225"/>
      <c r="VMV186" s="225"/>
      <c r="VMW186" s="225"/>
      <c r="VMX186" s="225"/>
      <c r="VMY186" s="225"/>
      <c r="VMZ186" s="225"/>
      <c r="VNA186" s="225"/>
      <c r="VNB186" s="225"/>
      <c r="VNC186" s="225"/>
      <c r="VND186" s="225"/>
      <c r="VNE186" s="225"/>
      <c r="VNF186" s="225"/>
      <c r="VNG186" s="225"/>
      <c r="VNH186" s="225"/>
      <c r="VNI186" s="225"/>
      <c r="VNJ186" s="225"/>
      <c r="VNK186" s="225"/>
      <c r="VNL186" s="225"/>
      <c r="VNM186" s="225"/>
      <c r="VNN186" s="225"/>
      <c r="VNO186" s="225"/>
      <c r="VNP186" s="225"/>
      <c r="VNQ186" s="225"/>
      <c r="VNR186" s="225"/>
      <c r="VNS186" s="225"/>
      <c r="VNT186" s="225"/>
      <c r="VNU186" s="225"/>
      <c r="VNV186" s="225"/>
      <c r="VNW186" s="225"/>
      <c r="VNX186" s="225"/>
      <c r="VNY186" s="225"/>
      <c r="VNZ186" s="225"/>
      <c r="VOA186" s="225"/>
      <c r="VOB186" s="225"/>
      <c r="VOC186" s="225"/>
      <c r="VOD186" s="225"/>
      <c r="VOE186" s="225"/>
      <c r="VOF186" s="225"/>
      <c r="VOG186" s="225"/>
      <c r="VOH186" s="225"/>
      <c r="VOI186" s="225"/>
      <c r="VOJ186" s="225"/>
      <c r="VOK186" s="225"/>
      <c r="VOL186" s="225"/>
      <c r="VOM186" s="225"/>
      <c r="VON186" s="225"/>
      <c r="VOO186" s="225"/>
      <c r="VOP186" s="225"/>
      <c r="VOQ186" s="225"/>
      <c r="VOR186" s="225"/>
      <c r="VOS186" s="225"/>
      <c r="VOT186" s="225"/>
      <c r="VOU186" s="225"/>
      <c r="VOV186" s="225"/>
      <c r="VOW186" s="225"/>
      <c r="VOX186" s="225"/>
      <c r="VOY186" s="225"/>
      <c r="VOZ186" s="225"/>
      <c r="VPA186" s="225"/>
      <c r="VPB186" s="225"/>
      <c r="VPC186" s="225"/>
      <c r="VPD186" s="225"/>
      <c r="VPE186" s="225"/>
      <c r="VPF186" s="225"/>
      <c r="VPG186" s="225"/>
      <c r="VPH186" s="225"/>
      <c r="VPI186" s="225"/>
      <c r="VPJ186" s="225"/>
      <c r="VPK186" s="225"/>
      <c r="VPL186" s="225"/>
      <c r="VPM186" s="225"/>
      <c r="VPN186" s="225"/>
      <c r="VPO186" s="225"/>
      <c r="VPP186" s="225"/>
      <c r="VPQ186" s="225"/>
      <c r="VPR186" s="225"/>
      <c r="VPS186" s="225"/>
      <c r="VPT186" s="225"/>
      <c r="VPU186" s="225"/>
      <c r="VPV186" s="225"/>
      <c r="VPW186" s="225"/>
      <c r="VPX186" s="225"/>
      <c r="VPY186" s="225"/>
      <c r="VPZ186" s="225"/>
      <c r="VQA186" s="225"/>
      <c r="VQB186" s="225"/>
      <c r="VQC186" s="225"/>
      <c r="VQD186" s="225"/>
      <c r="VQE186" s="225"/>
      <c r="VQF186" s="225"/>
      <c r="VQG186" s="225"/>
      <c r="VQH186" s="225"/>
      <c r="VQI186" s="225"/>
      <c r="VQJ186" s="225"/>
      <c r="VQK186" s="225"/>
      <c r="VQL186" s="225"/>
      <c r="VQM186" s="225"/>
      <c r="VQN186" s="225"/>
      <c r="VQO186" s="225"/>
      <c r="VQP186" s="225"/>
      <c r="VQQ186" s="225"/>
      <c r="VQR186" s="225"/>
      <c r="VQS186" s="225"/>
      <c r="VQT186" s="225"/>
      <c r="VQU186" s="225"/>
      <c r="VQV186" s="225"/>
      <c r="VQW186" s="225"/>
      <c r="VQX186" s="225"/>
      <c r="VQY186" s="225"/>
      <c r="VQZ186" s="225"/>
      <c r="VRA186" s="225"/>
      <c r="VRB186" s="225"/>
      <c r="VRC186" s="225"/>
      <c r="VRD186" s="225"/>
      <c r="VRE186" s="225"/>
      <c r="VRF186" s="225"/>
      <c r="VRG186" s="225"/>
      <c r="VRH186" s="225"/>
      <c r="VRI186" s="225"/>
      <c r="VRJ186" s="225"/>
      <c r="VRK186" s="225"/>
      <c r="VRL186" s="225"/>
      <c r="VRM186" s="225"/>
      <c r="VRN186" s="225"/>
      <c r="VRO186" s="225"/>
      <c r="VRP186" s="225"/>
      <c r="VRQ186" s="225"/>
      <c r="VRR186" s="225"/>
      <c r="VRS186" s="225"/>
      <c r="VRT186" s="225"/>
      <c r="VRU186" s="225"/>
      <c r="VRV186" s="225"/>
      <c r="VRW186" s="225"/>
      <c r="VRX186" s="225"/>
      <c r="VRY186" s="225"/>
      <c r="VRZ186" s="225"/>
      <c r="VSA186" s="225"/>
      <c r="VSB186" s="225"/>
      <c r="VSC186" s="225"/>
      <c r="VSD186" s="225"/>
      <c r="VSE186" s="225"/>
      <c r="VSF186" s="225"/>
      <c r="VSG186" s="225"/>
      <c r="VSH186" s="225"/>
      <c r="VSI186" s="225"/>
      <c r="VSJ186" s="225"/>
      <c r="VSK186" s="225"/>
      <c r="VSL186" s="225"/>
      <c r="VSM186" s="225"/>
      <c r="VSN186" s="225"/>
      <c r="VSO186" s="225"/>
      <c r="VSP186" s="225"/>
      <c r="VSQ186" s="225"/>
      <c r="VSR186" s="225"/>
      <c r="VSS186" s="225"/>
      <c r="VST186" s="225"/>
      <c r="VSU186" s="225"/>
      <c r="VSV186" s="225"/>
      <c r="VSW186" s="225"/>
      <c r="VSX186" s="225"/>
      <c r="VSY186" s="225"/>
      <c r="VSZ186" s="225"/>
      <c r="VTA186" s="225"/>
      <c r="VTB186" s="225"/>
      <c r="VTC186" s="225"/>
      <c r="VTD186" s="225"/>
      <c r="VTE186" s="225"/>
      <c r="VTF186" s="225"/>
      <c r="VTG186" s="225"/>
      <c r="VTH186" s="225"/>
      <c r="VTI186" s="225"/>
      <c r="VTJ186" s="225"/>
      <c r="VTK186" s="225"/>
      <c r="VTL186" s="225"/>
      <c r="VTM186" s="225"/>
      <c r="VTN186" s="225"/>
      <c r="VTO186" s="225"/>
      <c r="VTP186" s="225"/>
      <c r="VTQ186" s="225"/>
      <c r="VTR186" s="225"/>
      <c r="VTS186" s="225"/>
      <c r="VTT186" s="225"/>
      <c r="VTU186" s="225"/>
      <c r="VTV186" s="225"/>
      <c r="VTW186" s="225"/>
      <c r="VTX186" s="225"/>
      <c r="VTY186" s="225"/>
      <c r="VTZ186" s="225"/>
      <c r="VUA186" s="225"/>
      <c r="VUB186" s="225"/>
      <c r="VUC186" s="225"/>
      <c r="VUD186" s="225"/>
      <c r="VUE186" s="225"/>
      <c r="VUF186" s="225"/>
      <c r="VUG186" s="225"/>
      <c r="VUH186" s="225"/>
      <c r="VUI186" s="225"/>
      <c r="VUJ186" s="225"/>
      <c r="VUK186" s="225"/>
      <c r="VUL186" s="225"/>
      <c r="VUM186" s="225"/>
      <c r="VUN186" s="225"/>
      <c r="VUO186" s="225"/>
      <c r="VUP186" s="225"/>
      <c r="VUQ186" s="225"/>
      <c r="VUR186" s="225"/>
      <c r="VUS186" s="225"/>
      <c r="VUT186" s="225"/>
      <c r="VUU186" s="225"/>
      <c r="VUV186" s="225"/>
      <c r="VUW186" s="225"/>
      <c r="VUX186" s="225"/>
      <c r="VUY186" s="225"/>
      <c r="VUZ186" s="225"/>
      <c r="VVA186" s="225"/>
      <c r="VVB186" s="225"/>
      <c r="VVC186" s="225"/>
      <c r="VVD186" s="225"/>
      <c r="VVE186" s="225"/>
      <c r="VVF186" s="225"/>
      <c r="VVG186" s="225"/>
      <c r="VVH186" s="225"/>
      <c r="VVI186" s="225"/>
      <c r="VVJ186" s="225"/>
      <c r="VVK186" s="225"/>
      <c r="VVL186" s="225"/>
      <c r="VVM186" s="225"/>
      <c r="VVN186" s="225"/>
      <c r="VVO186" s="225"/>
      <c r="VVP186" s="225"/>
      <c r="VVQ186" s="225"/>
      <c r="VVR186" s="225"/>
      <c r="VVS186" s="225"/>
      <c r="VVT186" s="225"/>
      <c r="VVU186" s="225"/>
      <c r="VVV186" s="225"/>
      <c r="VVW186" s="225"/>
      <c r="VVX186" s="225"/>
      <c r="VVY186" s="225"/>
      <c r="VVZ186" s="225"/>
      <c r="VWA186" s="225"/>
      <c r="VWB186" s="225"/>
      <c r="VWC186" s="225"/>
      <c r="VWD186" s="225"/>
      <c r="VWE186" s="225"/>
      <c r="VWF186" s="225"/>
      <c r="VWG186" s="225"/>
      <c r="VWH186" s="225"/>
      <c r="VWI186" s="225"/>
      <c r="VWJ186" s="225"/>
      <c r="VWK186" s="225"/>
      <c r="VWL186" s="225"/>
      <c r="VWM186" s="225"/>
      <c r="VWN186" s="225"/>
      <c r="VWO186" s="225"/>
      <c r="VWP186" s="225"/>
      <c r="VWQ186" s="225"/>
      <c r="VWR186" s="225"/>
      <c r="VWS186" s="225"/>
      <c r="VWT186" s="225"/>
      <c r="VWU186" s="225"/>
      <c r="VWV186" s="225"/>
      <c r="VWW186" s="225"/>
      <c r="VWX186" s="225"/>
      <c r="VWY186" s="225"/>
      <c r="VWZ186" s="225"/>
      <c r="VXA186" s="225"/>
      <c r="VXB186" s="225"/>
      <c r="VXC186" s="225"/>
      <c r="VXD186" s="225"/>
      <c r="VXE186" s="225"/>
      <c r="VXF186" s="225"/>
      <c r="VXG186" s="225"/>
      <c r="VXH186" s="225"/>
      <c r="VXI186" s="225"/>
      <c r="VXJ186" s="225"/>
      <c r="VXK186" s="225"/>
      <c r="VXL186" s="225"/>
      <c r="VXM186" s="225"/>
      <c r="VXN186" s="225"/>
      <c r="VXO186" s="225"/>
      <c r="VXP186" s="225"/>
      <c r="VXQ186" s="225"/>
      <c r="VXR186" s="225"/>
      <c r="VXS186" s="225"/>
      <c r="VXT186" s="225"/>
      <c r="VXU186" s="225"/>
      <c r="VXV186" s="225"/>
      <c r="VXW186" s="225"/>
      <c r="VXX186" s="225"/>
      <c r="VXY186" s="225"/>
      <c r="VXZ186" s="225"/>
      <c r="VYA186" s="225"/>
      <c r="VYB186" s="225"/>
      <c r="VYC186" s="225"/>
      <c r="VYD186" s="225"/>
      <c r="VYE186" s="225"/>
      <c r="VYF186" s="225"/>
      <c r="VYG186" s="225"/>
      <c r="VYH186" s="225"/>
      <c r="VYI186" s="225"/>
      <c r="VYJ186" s="225"/>
      <c r="VYK186" s="225"/>
      <c r="VYL186" s="225"/>
      <c r="VYM186" s="225"/>
      <c r="VYN186" s="225"/>
      <c r="VYO186" s="225"/>
      <c r="VYP186" s="225"/>
      <c r="VYQ186" s="225"/>
      <c r="VYR186" s="225"/>
      <c r="VYS186" s="225"/>
      <c r="VYT186" s="225"/>
      <c r="VYU186" s="225"/>
      <c r="VYV186" s="225"/>
      <c r="VYW186" s="225"/>
      <c r="VYX186" s="225"/>
      <c r="VYY186" s="225"/>
      <c r="VYZ186" s="225"/>
      <c r="VZA186" s="225"/>
      <c r="VZB186" s="225"/>
      <c r="VZC186" s="225"/>
      <c r="VZD186" s="225"/>
      <c r="VZE186" s="225"/>
      <c r="VZF186" s="225"/>
      <c r="VZG186" s="225"/>
      <c r="VZH186" s="225"/>
      <c r="VZI186" s="225"/>
      <c r="VZJ186" s="225"/>
      <c r="VZK186" s="225"/>
      <c r="VZL186" s="225"/>
      <c r="VZM186" s="225"/>
      <c r="VZN186" s="225"/>
      <c r="VZO186" s="225"/>
      <c r="VZP186" s="225"/>
      <c r="VZQ186" s="225"/>
      <c r="VZR186" s="225"/>
      <c r="VZS186" s="225"/>
      <c r="VZT186" s="225"/>
      <c r="VZU186" s="225"/>
      <c r="VZV186" s="225"/>
      <c r="VZW186" s="225"/>
      <c r="VZX186" s="225"/>
      <c r="VZY186" s="225"/>
      <c r="VZZ186" s="225"/>
      <c r="WAA186" s="225"/>
      <c r="WAB186" s="225"/>
      <c r="WAC186" s="225"/>
      <c r="WAD186" s="225"/>
      <c r="WAE186" s="225"/>
      <c r="WAF186" s="225"/>
      <c r="WAG186" s="225"/>
      <c r="WAH186" s="225"/>
      <c r="WAI186" s="225"/>
      <c r="WAJ186" s="225"/>
      <c r="WAK186" s="225"/>
      <c r="WAL186" s="225"/>
      <c r="WAM186" s="225"/>
      <c r="WAN186" s="225"/>
      <c r="WAO186" s="225"/>
      <c r="WAP186" s="225"/>
      <c r="WAQ186" s="225"/>
      <c r="WAR186" s="225"/>
      <c r="WAS186" s="225"/>
      <c r="WAT186" s="225"/>
      <c r="WAU186" s="225"/>
      <c r="WAV186" s="225"/>
      <c r="WAW186" s="225"/>
      <c r="WAX186" s="225"/>
      <c r="WAY186" s="225"/>
      <c r="WAZ186" s="225"/>
      <c r="WBA186" s="225"/>
      <c r="WBB186" s="225"/>
      <c r="WBC186" s="225"/>
      <c r="WBD186" s="225"/>
      <c r="WBE186" s="225"/>
      <c r="WBF186" s="225"/>
      <c r="WBG186" s="225"/>
      <c r="WBH186" s="225"/>
      <c r="WBI186" s="225"/>
      <c r="WBJ186" s="225"/>
      <c r="WBK186" s="225"/>
      <c r="WBL186" s="225"/>
      <c r="WBM186" s="225"/>
      <c r="WBN186" s="225"/>
      <c r="WBO186" s="225"/>
      <c r="WBP186" s="225"/>
      <c r="WBQ186" s="225"/>
      <c r="WBR186" s="225"/>
      <c r="WBS186" s="225"/>
      <c r="WBT186" s="225"/>
      <c r="WBU186" s="225"/>
      <c r="WBV186" s="225"/>
      <c r="WBW186" s="225"/>
      <c r="WBX186" s="225"/>
      <c r="WBY186" s="225"/>
      <c r="WBZ186" s="225"/>
      <c r="WCA186" s="225"/>
      <c r="WCB186" s="225"/>
      <c r="WCC186" s="225"/>
      <c r="WCD186" s="225"/>
      <c r="WCE186" s="225"/>
      <c r="WCF186" s="225"/>
      <c r="WCG186" s="225"/>
      <c r="WCH186" s="225"/>
      <c r="WCI186" s="225"/>
      <c r="WCJ186" s="225"/>
      <c r="WCK186" s="225"/>
      <c r="WCL186" s="225"/>
      <c r="WCM186" s="225"/>
      <c r="WCN186" s="225"/>
      <c r="WCO186" s="225"/>
      <c r="WCP186" s="225"/>
      <c r="WCQ186" s="225"/>
      <c r="WCR186" s="225"/>
      <c r="WCS186" s="225"/>
      <c r="WCT186" s="225"/>
      <c r="WCU186" s="225"/>
      <c r="WCV186" s="225"/>
      <c r="WCW186" s="225"/>
      <c r="WCX186" s="225"/>
      <c r="WCY186" s="225"/>
      <c r="WCZ186" s="225"/>
      <c r="WDA186" s="225"/>
      <c r="WDB186" s="225"/>
      <c r="WDC186" s="225"/>
      <c r="WDD186" s="225"/>
      <c r="WDE186" s="225"/>
      <c r="WDF186" s="225"/>
      <c r="WDG186" s="225"/>
      <c r="WDH186" s="225"/>
      <c r="WDI186" s="225"/>
      <c r="WDJ186" s="225"/>
      <c r="WDK186" s="225"/>
      <c r="WDL186" s="225"/>
      <c r="WDM186" s="225"/>
      <c r="WDN186" s="225"/>
      <c r="WDO186" s="225"/>
      <c r="WDP186" s="225"/>
      <c r="WDQ186" s="225"/>
      <c r="WDR186" s="225"/>
      <c r="WDS186" s="225"/>
      <c r="WDT186" s="225"/>
      <c r="WDU186" s="225"/>
      <c r="WDV186" s="225"/>
      <c r="WDW186" s="225"/>
      <c r="WDX186" s="225"/>
      <c r="WDY186" s="225"/>
      <c r="WDZ186" s="225"/>
      <c r="WEA186" s="225"/>
      <c r="WEB186" s="225"/>
      <c r="WEC186" s="225"/>
      <c r="WED186" s="225"/>
      <c r="WEE186" s="225"/>
      <c r="WEF186" s="225"/>
      <c r="WEG186" s="225"/>
      <c r="WEH186" s="225"/>
      <c r="WEI186" s="225"/>
      <c r="WEJ186" s="225"/>
      <c r="WEK186" s="225"/>
      <c r="WEL186" s="225"/>
      <c r="WEM186" s="225"/>
      <c r="WEN186" s="225"/>
      <c r="WEO186" s="225"/>
      <c r="WEP186" s="225"/>
      <c r="WEQ186" s="225"/>
      <c r="WER186" s="225"/>
      <c r="WES186" s="225"/>
      <c r="WET186" s="225"/>
      <c r="WEU186" s="225"/>
      <c r="WEV186" s="225"/>
      <c r="WEW186" s="225"/>
      <c r="WEX186" s="225"/>
      <c r="WEY186" s="225"/>
      <c r="WEZ186" s="225"/>
      <c r="WFA186" s="225"/>
      <c r="WFB186" s="225"/>
      <c r="WFC186" s="225"/>
      <c r="WFD186" s="225"/>
      <c r="WFE186" s="225"/>
      <c r="WFF186" s="225"/>
      <c r="WFG186" s="225"/>
      <c r="WFH186" s="225"/>
      <c r="WFI186" s="225"/>
      <c r="WFJ186" s="225"/>
      <c r="WFK186" s="225"/>
      <c r="WFL186" s="225"/>
      <c r="WFM186" s="225"/>
      <c r="WFN186" s="225"/>
      <c r="WFO186" s="225"/>
      <c r="WFP186" s="225"/>
      <c r="WFQ186" s="225"/>
      <c r="WFR186" s="225"/>
      <c r="WFS186" s="225"/>
      <c r="WFT186" s="225"/>
      <c r="WFU186" s="225"/>
      <c r="WFV186" s="225"/>
      <c r="WFW186" s="225"/>
      <c r="WFX186" s="225"/>
      <c r="WFY186" s="225"/>
      <c r="WFZ186" s="225"/>
      <c r="WGA186" s="225"/>
      <c r="WGB186" s="225"/>
      <c r="WGC186" s="225"/>
      <c r="WGD186" s="225"/>
      <c r="WGE186" s="225"/>
      <c r="WGF186" s="225"/>
      <c r="WGG186" s="225"/>
      <c r="WGH186" s="225"/>
      <c r="WGI186" s="225"/>
      <c r="WGJ186" s="225"/>
      <c r="WGK186" s="225"/>
      <c r="WGL186" s="225"/>
      <c r="WGM186" s="225"/>
      <c r="WGN186" s="225"/>
      <c r="WGO186" s="225"/>
      <c r="WGP186" s="225"/>
      <c r="WGQ186" s="225"/>
      <c r="WGR186" s="225"/>
      <c r="WGS186" s="225"/>
      <c r="WGT186" s="225"/>
      <c r="WGU186" s="225"/>
      <c r="WGV186" s="225"/>
      <c r="WGW186" s="225"/>
      <c r="WGX186" s="225"/>
      <c r="WGY186" s="225"/>
      <c r="WGZ186" s="225"/>
      <c r="WHA186" s="225"/>
      <c r="WHB186" s="225"/>
      <c r="WHC186" s="225"/>
      <c r="WHD186" s="225"/>
      <c r="WHE186" s="225"/>
      <c r="WHF186" s="225"/>
      <c r="WHG186" s="225"/>
      <c r="WHH186" s="225"/>
      <c r="WHI186" s="225"/>
      <c r="WHJ186" s="225"/>
      <c r="WHK186" s="225"/>
      <c r="WHL186" s="225"/>
      <c r="WHM186" s="225"/>
      <c r="WHN186" s="225"/>
      <c r="WHO186" s="225"/>
      <c r="WHP186" s="225"/>
      <c r="WHQ186" s="225"/>
      <c r="WHR186" s="225"/>
      <c r="WHS186" s="225"/>
      <c r="WHT186" s="225"/>
      <c r="WHU186" s="225"/>
      <c r="WHV186" s="225"/>
      <c r="WHW186" s="225"/>
      <c r="WHX186" s="225"/>
      <c r="WHY186" s="225"/>
      <c r="WHZ186" s="225"/>
      <c r="WIA186" s="225"/>
      <c r="WIB186" s="225"/>
      <c r="WIC186" s="225"/>
      <c r="WID186" s="225"/>
      <c r="WIE186" s="225"/>
      <c r="WIF186" s="225"/>
      <c r="WIG186" s="225"/>
      <c r="WIH186" s="225"/>
      <c r="WII186" s="225"/>
      <c r="WIJ186" s="225"/>
      <c r="WIK186" s="225"/>
      <c r="WIL186" s="225"/>
      <c r="WIM186" s="225"/>
      <c r="WIN186" s="225"/>
      <c r="WIO186" s="225"/>
      <c r="WIP186" s="225"/>
      <c r="WIQ186" s="225"/>
      <c r="WIR186" s="225"/>
      <c r="WIS186" s="225"/>
      <c r="WIT186" s="225"/>
      <c r="WIU186" s="225"/>
      <c r="WIV186" s="225"/>
      <c r="WIW186" s="225"/>
      <c r="WIX186" s="225"/>
      <c r="WIY186" s="225"/>
      <c r="WIZ186" s="225"/>
      <c r="WJA186" s="225"/>
      <c r="WJB186" s="225"/>
      <c r="WJC186" s="225"/>
      <c r="WJD186" s="225"/>
      <c r="WJE186" s="225"/>
      <c r="WJF186" s="225"/>
      <c r="WJG186" s="225"/>
      <c r="WJH186" s="225"/>
      <c r="WJI186" s="225"/>
      <c r="WJJ186" s="225"/>
      <c r="WJK186" s="225"/>
      <c r="WJL186" s="225"/>
      <c r="WJM186" s="225"/>
      <c r="WJN186" s="225"/>
      <c r="WJO186" s="225"/>
      <c r="WJP186" s="225"/>
      <c r="WJQ186" s="225"/>
      <c r="WJR186" s="225"/>
      <c r="WJS186" s="225"/>
      <c r="WJT186" s="225"/>
      <c r="WJU186" s="225"/>
      <c r="WJV186" s="225"/>
      <c r="WJW186" s="225"/>
      <c r="WJX186" s="225"/>
      <c r="WJY186" s="225"/>
      <c r="WJZ186" s="225"/>
      <c r="WKA186" s="225"/>
      <c r="WKB186" s="225"/>
      <c r="WKC186" s="225"/>
      <c r="WKD186" s="225"/>
      <c r="WKE186" s="225"/>
      <c r="WKF186" s="225"/>
      <c r="WKG186" s="225"/>
      <c r="WKH186" s="225"/>
      <c r="WKI186" s="225"/>
      <c r="WKJ186" s="225"/>
      <c r="WKK186" s="225"/>
      <c r="WKL186" s="225"/>
      <c r="WKM186" s="225"/>
      <c r="WKN186" s="225"/>
      <c r="WKO186" s="225"/>
      <c r="WKP186" s="225"/>
      <c r="WKQ186" s="225"/>
      <c r="WKR186" s="225"/>
      <c r="WKS186" s="225"/>
      <c r="WKT186" s="225"/>
      <c r="WKU186" s="225"/>
      <c r="WKV186" s="225"/>
      <c r="WKW186" s="225"/>
      <c r="WKX186" s="225"/>
      <c r="WKY186" s="225"/>
      <c r="WKZ186" s="225"/>
      <c r="WLA186" s="225"/>
      <c r="WLB186" s="225"/>
      <c r="WLC186" s="225"/>
      <c r="WLD186" s="225"/>
      <c r="WLE186" s="225"/>
      <c r="WLF186" s="225"/>
      <c r="WLG186" s="225"/>
      <c r="WLH186" s="225"/>
      <c r="WLI186" s="225"/>
      <c r="WLJ186" s="225"/>
      <c r="WLK186" s="225"/>
      <c r="WLL186" s="225"/>
      <c r="WLM186" s="225"/>
      <c r="WLN186" s="225"/>
      <c r="WLO186" s="225"/>
      <c r="WLP186" s="225"/>
      <c r="WLQ186" s="225"/>
      <c r="WLR186" s="225"/>
      <c r="WLS186" s="225"/>
      <c r="WLT186" s="225"/>
      <c r="WLU186" s="225"/>
      <c r="WLV186" s="225"/>
      <c r="WLW186" s="225"/>
      <c r="WLX186" s="225"/>
      <c r="WLY186" s="225"/>
      <c r="WLZ186" s="225"/>
      <c r="WMA186" s="225"/>
      <c r="WMB186" s="225"/>
      <c r="WMC186" s="225"/>
      <c r="WMD186" s="225"/>
      <c r="WME186" s="225"/>
      <c r="WMF186" s="225"/>
      <c r="WMG186" s="225"/>
      <c r="WMH186" s="225"/>
      <c r="WMI186" s="225"/>
      <c r="WMJ186" s="225"/>
      <c r="WMK186" s="225"/>
      <c r="WML186" s="225"/>
      <c r="WMM186" s="225"/>
      <c r="WMN186" s="225"/>
      <c r="WMO186" s="225"/>
      <c r="WMP186" s="225"/>
      <c r="WMQ186" s="225"/>
      <c r="WMR186" s="225"/>
      <c r="WMS186" s="225"/>
      <c r="WMT186" s="225"/>
      <c r="WMU186" s="225"/>
      <c r="WMV186" s="225"/>
      <c r="WMW186" s="225"/>
      <c r="WMX186" s="225"/>
      <c r="WMY186" s="225"/>
      <c r="WMZ186" s="225"/>
      <c r="WNA186" s="225"/>
      <c r="WNB186" s="225"/>
      <c r="WNC186" s="225"/>
      <c r="WND186" s="225"/>
      <c r="WNE186" s="225"/>
      <c r="WNF186" s="225"/>
      <c r="WNG186" s="225"/>
      <c r="WNH186" s="225"/>
      <c r="WNI186" s="225"/>
      <c r="WNJ186" s="225"/>
      <c r="WNK186" s="225"/>
      <c r="WNL186" s="225"/>
      <c r="WNM186" s="225"/>
      <c r="WNN186" s="225"/>
      <c r="WNO186" s="225"/>
      <c r="WNP186" s="225"/>
      <c r="WNQ186" s="225"/>
      <c r="WNR186" s="225"/>
      <c r="WNS186" s="225"/>
      <c r="WNT186" s="225"/>
      <c r="WNU186" s="225"/>
      <c r="WNV186" s="225"/>
      <c r="WNW186" s="225"/>
      <c r="WNX186" s="225"/>
      <c r="WNY186" s="225"/>
      <c r="WNZ186" s="225"/>
      <c r="WOA186" s="225"/>
      <c r="WOB186" s="225"/>
      <c r="WOC186" s="225"/>
      <c r="WOD186" s="225"/>
      <c r="WOE186" s="225"/>
      <c r="WOF186" s="225"/>
      <c r="WOG186" s="225"/>
      <c r="WOH186" s="225"/>
      <c r="WOI186" s="225"/>
      <c r="WOJ186" s="225"/>
      <c r="WOK186" s="225"/>
      <c r="WOL186" s="225"/>
      <c r="WOM186" s="225"/>
      <c r="WON186" s="225"/>
      <c r="WOO186" s="225"/>
      <c r="WOP186" s="225"/>
      <c r="WOQ186" s="225"/>
      <c r="WOR186" s="225"/>
      <c r="WOS186" s="225"/>
      <c r="WOT186" s="225"/>
      <c r="WOU186" s="225"/>
      <c r="WOV186" s="225"/>
      <c r="WOW186" s="225"/>
      <c r="WOX186" s="225"/>
      <c r="WOY186" s="225"/>
      <c r="WOZ186" s="225"/>
      <c r="WPA186" s="225"/>
      <c r="WPB186" s="225"/>
      <c r="WPC186" s="225"/>
      <c r="WPD186" s="225"/>
      <c r="WPE186" s="225"/>
      <c r="WPF186" s="225"/>
      <c r="WPG186" s="225"/>
      <c r="WPH186" s="225"/>
      <c r="WPI186" s="225"/>
      <c r="WPJ186" s="225"/>
      <c r="WPK186" s="225"/>
      <c r="WPL186" s="225"/>
      <c r="WPM186" s="225"/>
      <c r="WPN186" s="225"/>
      <c r="WPO186" s="225"/>
      <c r="WPP186" s="225"/>
      <c r="WPQ186" s="225"/>
      <c r="WPR186" s="225"/>
      <c r="WPS186" s="225"/>
      <c r="WPT186" s="225"/>
      <c r="WPU186" s="225"/>
      <c r="WPV186" s="225"/>
      <c r="WPW186" s="225"/>
      <c r="WPX186" s="225"/>
      <c r="WPY186" s="225"/>
      <c r="WPZ186" s="225"/>
      <c r="WQA186" s="225"/>
      <c r="WQB186" s="225"/>
      <c r="WQC186" s="225"/>
      <c r="WQD186" s="225"/>
      <c r="WQE186" s="225"/>
      <c r="WQF186" s="225"/>
      <c r="WQG186" s="225"/>
      <c r="WQH186" s="225"/>
      <c r="WQI186" s="225"/>
      <c r="WQJ186" s="225"/>
      <c r="WQK186" s="225"/>
      <c r="WQL186" s="225"/>
      <c r="WQM186" s="225"/>
      <c r="WQN186" s="225"/>
      <c r="WQO186" s="225"/>
      <c r="WQP186" s="225"/>
      <c r="WQQ186" s="225"/>
      <c r="WQR186" s="225"/>
      <c r="WQS186" s="225"/>
      <c r="WQT186" s="225"/>
      <c r="WQU186" s="225"/>
      <c r="WQV186" s="225"/>
      <c r="WQW186" s="225"/>
      <c r="WQX186" s="225"/>
      <c r="WQY186" s="225"/>
      <c r="WQZ186" s="225"/>
      <c r="WRA186" s="225"/>
      <c r="WRB186" s="225"/>
      <c r="WRC186" s="225"/>
      <c r="WRD186" s="225"/>
      <c r="WRE186" s="225"/>
      <c r="WRF186" s="225"/>
      <c r="WRG186" s="225"/>
      <c r="WRH186" s="225"/>
      <c r="WRI186" s="225"/>
      <c r="WRJ186" s="225"/>
      <c r="WRK186" s="225"/>
      <c r="WRL186" s="225"/>
      <c r="WRM186" s="225"/>
      <c r="WRN186" s="225"/>
      <c r="WRO186" s="225"/>
      <c r="WRP186" s="225"/>
      <c r="WRQ186" s="225"/>
      <c r="WRR186" s="225"/>
      <c r="WRS186" s="225"/>
      <c r="WRT186" s="225"/>
      <c r="WRU186" s="225"/>
      <c r="WRV186" s="225"/>
      <c r="WRW186" s="225"/>
      <c r="WRX186" s="225"/>
      <c r="WRY186" s="225"/>
      <c r="WRZ186" s="225"/>
      <c r="WSA186" s="225"/>
      <c r="WSB186" s="225"/>
      <c r="WSC186" s="225"/>
      <c r="WSD186" s="225"/>
      <c r="WSE186" s="225"/>
      <c r="WSF186" s="225"/>
      <c r="WSG186" s="225"/>
      <c r="WSH186" s="225"/>
      <c r="WSI186" s="225"/>
      <c r="WSJ186" s="225"/>
      <c r="WSK186" s="225"/>
      <c r="WSL186" s="225"/>
      <c r="WSM186" s="225"/>
      <c r="WSN186" s="225"/>
      <c r="WSO186" s="225"/>
      <c r="WSP186" s="225"/>
      <c r="WSQ186" s="225"/>
      <c r="WSR186" s="225"/>
      <c r="WSS186" s="225"/>
      <c r="WST186" s="225"/>
      <c r="WSU186" s="225"/>
      <c r="WSV186" s="225"/>
      <c r="WSW186" s="225"/>
      <c r="WSX186" s="225"/>
      <c r="WSY186" s="225"/>
      <c r="WSZ186" s="225"/>
      <c r="WTA186" s="225"/>
      <c r="WTB186" s="225"/>
      <c r="WTC186" s="225"/>
      <c r="WTD186" s="225"/>
      <c r="WTE186" s="225"/>
      <c r="WTF186" s="225"/>
      <c r="WTG186" s="225"/>
      <c r="WTH186" s="225"/>
      <c r="WTI186" s="225"/>
      <c r="WTJ186" s="225"/>
      <c r="WTK186" s="225"/>
      <c r="WTL186" s="225"/>
      <c r="WTM186" s="225"/>
      <c r="WTN186" s="225"/>
      <c r="WTO186" s="225"/>
      <c r="WTP186" s="225"/>
      <c r="WTQ186" s="225"/>
      <c r="WTR186" s="225"/>
      <c r="WTS186" s="225"/>
      <c r="WTT186" s="225"/>
      <c r="WTU186" s="225"/>
      <c r="WTV186" s="225"/>
      <c r="WTW186" s="225"/>
      <c r="WTX186" s="225"/>
      <c r="WTY186" s="225"/>
      <c r="WTZ186" s="225"/>
      <c r="WUA186" s="225"/>
      <c r="WUB186" s="225"/>
      <c r="WUC186" s="225"/>
      <c r="WUD186" s="225"/>
      <c r="WUE186" s="225"/>
      <c r="WUF186" s="225"/>
      <c r="WUG186" s="225"/>
      <c r="WUH186" s="225"/>
      <c r="WUI186" s="225"/>
      <c r="WUJ186" s="225"/>
      <c r="WUK186" s="225"/>
      <c r="WUL186" s="225"/>
      <c r="WUM186" s="225"/>
      <c r="WUN186" s="225"/>
      <c r="WUO186" s="225"/>
      <c r="WUP186" s="225"/>
      <c r="WUQ186" s="225"/>
      <c r="WUR186" s="225"/>
      <c r="WUS186" s="225"/>
      <c r="WUT186" s="225"/>
      <c r="WUU186" s="225"/>
      <c r="WUV186" s="225"/>
      <c r="WUW186" s="225"/>
      <c r="WUX186" s="225"/>
      <c r="WUY186" s="225"/>
      <c r="WUZ186" s="225"/>
      <c r="WVA186" s="225"/>
      <c r="WVB186" s="225"/>
      <c r="WVC186" s="225"/>
      <c r="WVD186" s="225"/>
      <c r="WVE186" s="225"/>
      <c r="WVF186" s="225"/>
      <c r="WVG186" s="225"/>
      <c r="WVH186" s="225"/>
      <c r="WVI186" s="225"/>
      <c r="WVJ186" s="225"/>
      <c r="WVK186" s="225"/>
      <c r="WVL186" s="225"/>
      <c r="WVM186" s="225"/>
      <c r="WVN186" s="225"/>
      <c r="WVO186" s="225"/>
      <c r="WVP186" s="225"/>
      <c r="WVQ186" s="225"/>
      <c r="WVR186" s="225"/>
      <c r="WVS186" s="225"/>
      <c r="WVT186" s="225"/>
      <c r="WVU186" s="225"/>
      <c r="WVV186" s="225"/>
      <c r="WVW186" s="225"/>
      <c r="WVX186" s="225"/>
      <c r="WVY186" s="225"/>
      <c r="WVZ186" s="225"/>
      <c r="WWA186" s="225"/>
      <c r="WWB186" s="225"/>
      <c r="WWC186" s="225"/>
      <c r="WWD186" s="225"/>
      <c r="WWE186" s="225"/>
      <c r="WWF186" s="225"/>
      <c r="WWG186" s="225"/>
      <c r="WWH186" s="225"/>
      <c r="WWI186" s="225"/>
      <c r="WWJ186" s="225"/>
      <c r="WWK186" s="225"/>
      <c r="WWL186" s="225"/>
      <c r="WWM186" s="225"/>
      <c r="WWN186" s="225"/>
      <c r="WWO186" s="225"/>
      <c r="WWP186" s="225"/>
      <c r="WWQ186" s="225"/>
      <c r="WWR186" s="225"/>
      <c r="WWS186" s="225"/>
      <c r="WWT186" s="225"/>
      <c r="WWU186" s="225"/>
      <c r="WWV186" s="225"/>
      <c r="WWW186" s="225"/>
      <c r="WWX186" s="225"/>
      <c r="WWY186" s="225"/>
      <c r="WWZ186" s="225"/>
      <c r="WXA186" s="225"/>
      <c r="WXB186" s="225"/>
      <c r="WXC186" s="225"/>
      <c r="WXD186" s="225"/>
      <c r="WXE186" s="225"/>
      <c r="WXF186" s="225"/>
      <c r="WXG186" s="225"/>
      <c r="WXH186" s="225"/>
      <c r="WXI186" s="225"/>
      <c r="WXJ186" s="225"/>
      <c r="WXK186" s="225"/>
      <c r="WXL186" s="225"/>
      <c r="WXM186" s="225"/>
      <c r="WXN186" s="225"/>
      <c r="WXO186" s="225"/>
      <c r="WXP186" s="225"/>
      <c r="WXQ186" s="225"/>
      <c r="WXR186" s="225"/>
      <c r="WXS186" s="225"/>
      <c r="WXT186" s="225"/>
      <c r="WXU186" s="225"/>
      <c r="WXV186" s="225"/>
      <c r="WXW186" s="225"/>
      <c r="WXX186" s="225"/>
      <c r="WXY186" s="225"/>
      <c r="WXZ186" s="225"/>
      <c r="WYA186" s="225"/>
      <c r="WYB186" s="225"/>
      <c r="WYC186" s="225"/>
      <c r="WYD186" s="225"/>
      <c r="WYE186" s="225"/>
      <c r="WYF186" s="225"/>
      <c r="WYG186" s="225"/>
      <c r="WYH186" s="225"/>
      <c r="WYI186" s="225"/>
      <c r="WYJ186" s="225"/>
      <c r="WYK186" s="225"/>
      <c r="WYL186" s="225"/>
      <c r="WYM186" s="225"/>
      <c r="WYN186" s="225"/>
      <c r="WYO186" s="225"/>
      <c r="WYP186" s="225"/>
      <c r="WYQ186" s="225"/>
      <c r="WYR186" s="225"/>
      <c r="WYS186" s="225"/>
      <c r="WYT186" s="225"/>
      <c r="WYU186" s="225"/>
      <c r="WYV186" s="225"/>
      <c r="WYW186" s="225"/>
      <c r="WYX186" s="225"/>
      <c r="WYY186" s="225"/>
      <c r="WYZ186" s="225"/>
      <c r="WZA186" s="225"/>
      <c r="WZB186" s="225"/>
      <c r="WZC186" s="225"/>
      <c r="WZD186" s="225"/>
      <c r="WZE186" s="225"/>
      <c r="WZF186" s="225"/>
      <c r="WZG186" s="225"/>
      <c r="WZH186" s="225"/>
      <c r="WZI186" s="225"/>
      <c r="WZJ186" s="225"/>
      <c r="WZK186" s="225"/>
      <c r="WZL186" s="225"/>
      <c r="WZM186" s="225"/>
      <c r="WZN186" s="225"/>
      <c r="WZO186" s="225"/>
      <c r="WZP186" s="225"/>
      <c r="WZQ186" s="225"/>
      <c r="WZR186" s="225"/>
      <c r="WZS186" s="225"/>
      <c r="WZT186" s="225"/>
      <c r="WZU186" s="225"/>
      <c r="WZV186" s="225"/>
      <c r="WZW186" s="225"/>
      <c r="WZX186" s="225"/>
      <c r="WZY186" s="225"/>
      <c r="WZZ186" s="225"/>
      <c r="XAA186" s="225"/>
      <c r="XAB186" s="225"/>
      <c r="XAC186" s="225"/>
      <c r="XAD186" s="225"/>
      <c r="XAE186" s="225"/>
      <c r="XAF186" s="225"/>
      <c r="XAG186" s="225"/>
      <c r="XAH186" s="225"/>
      <c r="XAI186" s="225"/>
      <c r="XAJ186" s="225"/>
      <c r="XAK186" s="225"/>
      <c r="XAL186" s="225"/>
      <c r="XAM186" s="225"/>
      <c r="XAN186" s="225"/>
      <c r="XAO186" s="225"/>
      <c r="XAP186" s="225"/>
      <c r="XAQ186" s="225"/>
      <c r="XAR186" s="225"/>
      <c r="XAS186" s="225"/>
      <c r="XAT186" s="225"/>
      <c r="XAU186" s="225"/>
      <c r="XAV186" s="225"/>
      <c r="XAW186" s="225"/>
      <c r="XAX186" s="225"/>
      <c r="XAY186" s="225"/>
      <c r="XAZ186" s="225"/>
      <c r="XBA186" s="225"/>
      <c r="XBB186" s="225"/>
      <c r="XBC186" s="225"/>
      <c r="XBD186" s="225"/>
      <c r="XBE186" s="225"/>
      <c r="XBF186" s="225"/>
      <c r="XBG186" s="225"/>
      <c r="XBH186" s="225"/>
      <c r="XBI186" s="225"/>
      <c r="XBJ186" s="225"/>
      <c r="XBK186" s="225"/>
      <c r="XBL186" s="225"/>
      <c r="XBM186" s="225"/>
      <c r="XBN186" s="225"/>
      <c r="XBO186" s="225"/>
      <c r="XBP186" s="225"/>
      <c r="XBQ186" s="225"/>
      <c r="XBR186" s="225"/>
      <c r="XBS186" s="225"/>
      <c r="XBT186" s="225"/>
      <c r="XBU186" s="225"/>
      <c r="XBV186" s="225"/>
      <c r="XBW186" s="225"/>
      <c r="XBX186" s="225"/>
      <c r="XBY186" s="225"/>
      <c r="XBZ186" s="225"/>
      <c r="XCA186" s="225"/>
      <c r="XCB186" s="225"/>
      <c r="XCC186" s="225"/>
      <c r="XCD186" s="225"/>
      <c r="XCE186" s="225"/>
      <c r="XCF186" s="225"/>
      <c r="XCG186" s="225"/>
      <c r="XCH186" s="225"/>
      <c r="XCI186" s="225"/>
      <c r="XCJ186" s="225"/>
      <c r="XCK186" s="225"/>
      <c r="XCL186" s="225"/>
      <c r="XCM186" s="225"/>
      <c r="XCN186" s="225"/>
      <c r="XCO186" s="225"/>
      <c r="XCP186" s="225"/>
      <c r="XCQ186" s="225"/>
      <c r="XCR186" s="225"/>
      <c r="XCS186" s="225"/>
      <c r="XCT186" s="225"/>
      <c r="XCU186" s="225"/>
      <c r="XCV186" s="225"/>
      <c r="XCW186" s="225"/>
      <c r="XCX186" s="225"/>
      <c r="XCY186" s="225"/>
      <c r="XCZ186" s="225"/>
      <c r="XDA186" s="225"/>
      <c r="XDB186" s="225"/>
      <c r="XDC186" s="225"/>
      <c r="XDD186" s="225"/>
      <c r="XDE186" s="225"/>
      <c r="XDF186" s="225"/>
      <c r="XDG186" s="225"/>
      <c r="XDH186" s="225"/>
      <c r="XDI186" s="225"/>
      <c r="XDJ186" s="225"/>
      <c r="XDK186" s="225"/>
      <c r="XDL186" s="225"/>
      <c r="XDM186" s="225"/>
      <c r="XDN186" s="225"/>
      <c r="XDO186" s="225"/>
      <c r="XDP186" s="225"/>
      <c r="XDQ186" s="225"/>
      <c r="XDR186" s="225"/>
      <c r="XDS186" s="225"/>
      <c r="XDT186" s="225"/>
      <c r="XDU186" s="225"/>
      <c r="XDV186" s="225"/>
      <c r="XDW186" s="225"/>
      <c r="XDX186" s="225"/>
      <c r="XDY186" s="225"/>
      <c r="XDZ186" s="225"/>
      <c r="XEA186" s="225"/>
      <c r="XEB186" s="225"/>
      <c r="XEC186" s="225"/>
      <c r="XED186" s="225"/>
      <c r="XEE186" s="225"/>
      <c r="XEF186" s="225"/>
      <c r="XEG186" s="225"/>
      <c r="XEH186" s="225"/>
      <c r="XEI186" s="225"/>
      <c r="XEJ186" s="225"/>
      <c r="XEK186" s="225"/>
      <c r="XEL186" s="225"/>
      <c r="XEM186" s="225"/>
      <c r="XEN186" s="225"/>
      <c r="XEO186" s="225"/>
      <c r="XEP186" s="225"/>
      <c r="XEQ186" s="225"/>
      <c r="XER186" s="225"/>
      <c r="XES186" s="225"/>
      <c r="XET186" s="225"/>
      <c r="XEU186" s="225"/>
      <c r="XEV186" s="225"/>
      <c r="XEW186" s="225"/>
      <c r="XEX186" s="225"/>
      <c r="XEY186" s="225"/>
      <c r="XEZ186" s="225"/>
      <c r="XFA186" s="225"/>
      <c r="XFB186" s="225"/>
      <c r="XFC186" s="225"/>
    </row>
    <row r="187" spans="1:16383" x14ac:dyDescent="0.35">
      <c r="A187" s="226">
        <v>44102</v>
      </c>
      <c r="B187" s="227">
        <v>103.52125000000002</v>
      </c>
      <c r="C187" s="217">
        <v>5.6400000000000006E-2</v>
      </c>
      <c r="D187" s="247">
        <v>100.77000000000001</v>
      </c>
      <c r="E187" s="217">
        <v>6.9000000000000006E-2</v>
      </c>
      <c r="F187" s="228">
        <v>100.82000000000001</v>
      </c>
      <c r="G187" s="217">
        <v>7.4099999999999999E-2</v>
      </c>
      <c r="H187" s="220">
        <v>100.79</v>
      </c>
      <c r="I187" s="217">
        <v>7.4300000000000005E-2</v>
      </c>
    </row>
    <row r="188" spans="1:16383" x14ac:dyDescent="0.35">
      <c r="A188" s="226">
        <v>44103</v>
      </c>
      <c r="B188" s="227">
        <v>103.52625</v>
      </c>
      <c r="C188" s="217">
        <v>5.6400000000000006E-2</v>
      </c>
      <c r="D188" s="247">
        <v>100.78</v>
      </c>
      <c r="E188" s="217">
        <v>6.8900000000000003E-2</v>
      </c>
      <c r="F188" s="228">
        <v>100.88000000000001</v>
      </c>
      <c r="G188" s="217">
        <v>7.3999999999999996E-2</v>
      </c>
      <c r="H188" s="220">
        <v>100.95</v>
      </c>
      <c r="I188" s="217">
        <v>7.4099999999999999E-2</v>
      </c>
    </row>
    <row r="189" spans="1:16383" x14ac:dyDescent="0.35">
      <c r="A189" s="226">
        <v>44104</v>
      </c>
      <c r="B189" s="235">
        <v>103.28625000000002</v>
      </c>
      <c r="C189" s="217">
        <v>5.7000000000000002E-2</v>
      </c>
      <c r="D189" s="247">
        <v>100.44000000000001</v>
      </c>
      <c r="E189" s="217">
        <v>6.9400000000000003E-2</v>
      </c>
      <c r="F189" s="236">
        <v>100.78</v>
      </c>
      <c r="G189" s="217">
        <v>7.4200000000000002E-2</v>
      </c>
      <c r="H189" s="220">
        <v>100.73</v>
      </c>
      <c r="I189" s="217">
        <v>7.4300000000000005E-2</v>
      </c>
    </row>
    <row r="190" spans="1:16383" x14ac:dyDescent="0.35">
      <c r="A190" s="240">
        <v>44105</v>
      </c>
      <c r="B190" s="241">
        <v>103.25250000000003</v>
      </c>
      <c r="C190" s="217">
        <v>5.7000000000000002E-2</v>
      </c>
      <c r="D190" s="247">
        <v>100.55000000000001</v>
      </c>
      <c r="E190" s="217">
        <v>6.93E-2</v>
      </c>
      <c r="F190" s="242">
        <v>100.77000000000001</v>
      </c>
      <c r="G190" s="217">
        <v>7.4200000000000002E-2</v>
      </c>
      <c r="H190" s="220">
        <v>100.79</v>
      </c>
      <c r="I190" s="217">
        <v>7.4300000000000005E-2</v>
      </c>
    </row>
    <row r="191" spans="1:16383" x14ac:dyDescent="0.35">
      <c r="A191" s="245">
        <v>44106</v>
      </c>
      <c r="B191" s="241">
        <v>103.26500000000001</v>
      </c>
      <c r="C191" s="217">
        <v>5.7000000000000002E-2</v>
      </c>
      <c r="D191" s="247">
        <v>100.81</v>
      </c>
      <c r="E191" s="217">
        <v>6.8900000000000003E-2</v>
      </c>
      <c r="F191" s="242">
        <v>100.95</v>
      </c>
      <c r="G191" s="217">
        <v>7.3999999999999996E-2</v>
      </c>
      <c r="H191" s="220">
        <v>100.95</v>
      </c>
      <c r="I191" s="217">
        <v>7.4099999999999999E-2</v>
      </c>
    </row>
    <row r="192" spans="1:16383" x14ac:dyDescent="0.35">
      <c r="A192" s="226">
        <v>44109</v>
      </c>
      <c r="B192" s="248">
        <v>103.045</v>
      </c>
      <c r="C192" s="217">
        <v>5.7500000000000002E-2</v>
      </c>
      <c r="D192" s="248">
        <v>100.74000000000001</v>
      </c>
      <c r="E192" s="217">
        <v>6.9000000000000006E-2</v>
      </c>
      <c r="F192" s="248">
        <v>100.89</v>
      </c>
      <c r="G192" s="217">
        <v>7.3999999999999996E-2</v>
      </c>
      <c r="H192" s="248">
        <v>100.88000000000001</v>
      </c>
      <c r="I192" s="217">
        <v>7.4200000000000002E-2</v>
      </c>
    </row>
    <row r="193" spans="1:9" x14ac:dyDescent="0.35">
      <c r="A193" s="226">
        <v>44110</v>
      </c>
      <c r="B193" s="248">
        <v>103.15124999999998</v>
      </c>
      <c r="C193" s="217">
        <v>5.7300000000000004E-2</v>
      </c>
      <c r="D193" s="248">
        <v>100.88000000000001</v>
      </c>
      <c r="E193" s="217">
        <v>6.88E-2</v>
      </c>
      <c r="F193" s="248">
        <v>101.12</v>
      </c>
      <c r="G193" s="217">
        <v>7.3800000000000004E-2</v>
      </c>
      <c r="H193" s="248">
        <v>101.08</v>
      </c>
      <c r="I193" s="217">
        <v>7.3999999999999996E-2</v>
      </c>
    </row>
    <row r="194" spans="1:9" x14ac:dyDescent="0.35">
      <c r="A194" s="226">
        <v>44111</v>
      </c>
      <c r="B194" s="248">
        <v>103.11374999999998</v>
      </c>
      <c r="C194" s="217">
        <v>5.7300000000000004E-2</v>
      </c>
      <c r="D194" s="248">
        <v>100.89</v>
      </c>
      <c r="E194" s="217">
        <v>6.88E-2</v>
      </c>
      <c r="F194" s="248">
        <v>100.99</v>
      </c>
      <c r="G194" s="217">
        <v>7.3900000000000007E-2</v>
      </c>
      <c r="H194" s="248">
        <v>101.01</v>
      </c>
      <c r="I194" s="217">
        <v>7.4099999999999999E-2</v>
      </c>
    </row>
    <row r="195" spans="1:9" x14ac:dyDescent="0.35">
      <c r="A195" s="226">
        <v>44112</v>
      </c>
      <c r="B195" s="248">
        <v>102.98125</v>
      </c>
      <c r="C195" s="217">
        <v>5.7700000000000001E-2</v>
      </c>
      <c r="D195" s="248">
        <v>100.87</v>
      </c>
      <c r="E195" s="217">
        <v>6.88E-2</v>
      </c>
      <c r="F195" s="248">
        <v>100.87</v>
      </c>
      <c r="G195" s="217">
        <v>7.4099999999999999E-2</v>
      </c>
      <c r="H195" s="248">
        <v>100.95</v>
      </c>
      <c r="I195" s="217">
        <v>7.4099999999999999E-2</v>
      </c>
    </row>
    <row r="196" spans="1:9" x14ac:dyDescent="0.35">
      <c r="A196" s="226">
        <v>44113</v>
      </c>
      <c r="B196" s="248">
        <v>102.95874999999998</v>
      </c>
      <c r="C196" s="217">
        <v>5.7700000000000001E-2</v>
      </c>
      <c r="D196" s="248">
        <v>100.7</v>
      </c>
      <c r="E196" s="217">
        <v>6.9100000000000009E-2</v>
      </c>
      <c r="F196" s="248">
        <v>100.88000000000001</v>
      </c>
      <c r="G196" s="217">
        <v>7.3999999999999996E-2</v>
      </c>
      <c r="H196" s="248">
        <v>100.98</v>
      </c>
      <c r="I196" s="217">
        <v>7.4099999999999999E-2</v>
      </c>
    </row>
    <row r="197" spans="1:9" x14ac:dyDescent="0.35">
      <c r="A197" s="226">
        <v>44116</v>
      </c>
      <c r="B197" s="216">
        <v>103.09125</v>
      </c>
      <c r="C197" s="217">
        <v>5.74E-2</v>
      </c>
      <c r="D197" s="216">
        <v>100.96000000000001</v>
      </c>
      <c r="E197" s="217">
        <v>6.8699999999999997E-2</v>
      </c>
      <c r="F197" s="216">
        <v>100.94000000000001</v>
      </c>
      <c r="G197" s="217">
        <v>7.3999999999999996E-2</v>
      </c>
      <c r="H197" s="216">
        <v>100.99000000000001</v>
      </c>
      <c r="I197" s="217">
        <v>7.4099999999999999E-2</v>
      </c>
    </row>
    <row r="198" spans="1:9" x14ac:dyDescent="0.35">
      <c r="A198" s="226">
        <v>44117</v>
      </c>
      <c r="B198" s="216">
        <v>103.09875</v>
      </c>
      <c r="C198" s="217">
        <v>5.74E-2</v>
      </c>
      <c r="D198" s="216">
        <v>100.94000000000001</v>
      </c>
      <c r="E198" s="217">
        <v>6.8699999999999997E-2</v>
      </c>
      <c r="F198" s="216">
        <v>101.01</v>
      </c>
      <c r="G198" s="217">
        <v>7.3900000000000007E-2</v>
      </c>
      <c r="H198" s="216">
        <v>101.01</v>
      </c>
      <c r="I198" s="217">
        <v>7.4099999999999999E-2</v>
      </c>
    </row>
    <row r="199" spans="1:9" x14ac:dyDescent="0.35">
      <c r="A199" s="226">
        <v>44118</v>
      </c>
      <c r="B199" s="216">
        <v>103.17750000000001</v>
      </c>
      <c r="C199" s="217">
        <v>5.7200000000000001E-2</v>
      </c>
      <c r="D199" s="216">
        <v>101.11</v>
      </c>
      <c r="E199" s="217">
        <v>6.8500000000000005E-2</v>
      </c>
      <c r="F199" s="216">
        <v>101.12</v>
      </c>
      <c r="G199" s="217">
        <v>7.3800000000000004E-2</v>
      </c>
      <c r="H199" s="216">
        <v>101.09</v>
      </c>
      <c r="I199" s="217">
        <v>7.3999999999999996E-2</v>
      </c>
    </row>
    <row r="200" spans="1:9" x14ac:dyDescent="0.35">
      <c r="A200" s="226">
        <v>44119</v>
      </c>
      <c r="B200" s="216">
        <v>103.35874999999999</v>
      </c>
      <c r="C200" s="217">
        <v>5.67E-2</v>
      </c>
      <c r="D200" s="216">
        <v>101.35000000000001</v>
      </c>
      <c r="E200" s="217">
        <v>6.8100000000000008E-2</v>
      </c>
      <c r="F200" s="216">
        <v>101.32000000000001</v>
      </c>
      <c r="G200" s="217">
        <v>7.350000000000001E-2</v>
      </c>
      <c r="H200" s="216">
        <v>101.23</v>
      </c>
      <c r="I200" s="217">
        <v>7.3800000000000004E-2</v>
      </c>
    </row>
    <row r="201" spans="1:9" x14ac:dyDescent="0.35">
      <c r="A201" s="226">
        <v>44120</v>
      </c>
      <c r="B201" s="216">
        <v>103.58874999999999</v>
      </c>
      <c r="C201" s="217">
        <v>5.62E-2</v>
      </c>
      <c r="D201" s="216">
        <v>101.96000000000001</v>
      </c>
      <c r="E201" s="217">
        <v>6.7299999999999999E-2</v>
      </c>
      <c r="F201" s="216">
        <v>101.75</v>
      </c>
      <c r="G201" s="217">
        <v>7.3099999999999998E-2</v>
      </c>
      <c r="H201" s="216">
        <v>101.77000000000001</v>
      </c>
      <c r="I201" s="217">
        <v>7.3300000000000004E-2</v>
      </c>
    </row>
    <row r="202" spans="1:9" x14ac:dyDescent="0.35">
      <c r="A202" s="249">
        <v>44123</v>
      </c>
      <c r="B202" s="216">
        <v>103.78175000000002</v>
      </c>
      <c r="C202" s="217">
        <v>5.57E-2</v>
      </c>
      <c r="D202" s="216">
        <v>102.38000000000001</v>
      </c>
      <c r="E202" s="217">
        <v>6.6700000000000009E-2</v>
      </c>
      <c r="F202" s="216">
        <v>102.02000000000001</v>
      </c>
      <c r="G202" s="217">
        <v>7.2800000000000004E-2</v>
      </c>
      <c r="H202" s="216">
        <v>102.03</v>
      </c>
      <c r="I202" s="217">
        <v>7.3099999999999998E-2</v>
      </c>
    </row>
    <row r="203" spans="1:9" x14ac:dyDescent="0.35">
      <c r="A203" s="249">
        <v>44124</v>
      </c>
      <c r="B203" s="216">
        <v>103.99625</v>
      </c>
      <c r="C203" s="217">
        <v>5.5200000000000006E-2</v>
      </c>
      <c r="D203" s="216">
        <v>102.53</v>
      </c>
      <c r="E203" s="217">
        <v>6.6500000000000004E-2</v>
      </c>
      <c r="F203" s="216">
        <v>102.06</v>
      </c>
      <c r="G203" s="217">
        <v>7.2700000000000001E-2</v>
      </c>
      <c r="H203" s="216">
        <v>102.14</v>
      </c>
      <c r="I203" s="217">
        <v>7.3000000000000009E-2</v>
      </c>
    </row>
    <row r="204" spans="1:9" x14ac:dyDescent="0.35">
      <c r="A204" s="249">
        <v>44125</v>
      </c>
      <c r="B204" s="216">
        <v>104.07625000000002</v>
      </c>
      <c r="C204" s="217">
        <v>5.5E-2</v>
      </c>
      <c r="D204" s="216">
        <v>102.99000000000001</v>
      </c>
      <c r="E204" s="217">
        <v>6.59E-2</v>
      </c>
      <c r="F204" s="216">
        <v>102.88</v>
      </c>
      <c r="G204" s="217">
        <v>7.1800000000000003E-2</v>
      </c>
      <c r="H204" s="216">
        <v>102.87</v>
      </c>
      <c r="I204" s="217">
        <v>7.2300000000000003E-2</v>
      </c>
    </row>
    <row r="205" spans="1:9" x14ac:dyDescent="0.35">
      <c r="A205" s="249">
        <v>44126</v>
      </c>
      <c r="B205" s="216">
        <v>104.10499999999999</v>
      </c>
      <c r="C205" s="217">
        <v>5.4900000000000004E-2</v>
      </c>
      <c r="D205" s="216">
        <v>102.85000000000001</v>
      </c>
      <c r="E205" s="217">
        <v>6.6100000000000006E-2</v>
      </c>
      <c r="F205" s="216">
        <v>102.94</v>
      </c>
      <c r="G205" s="217">
        <v>7.1800000000000003E-2</v>
      </c>
      <c r="H205" s="216">
        <v>102.94000000000001</v>
      </c>
      <c r="I205" s="217">
        <v>7.22E-2</v>
      </c>
    </row>
    <row r="206" spans="1:9" x14ac:dyDescent="0.35">
      <c r="A206" s="249">
        <v>44127</v>
      </c>
      <c r="B206" s="216">
        <v>104.19868421052632</v>
      </c>
      <c r="C206" s="217">
        <v>5.4700000000000006E-2</v>
      </c>
      <c r="D206" s="216">
        <v>102.89</v>
      </c>
      <c r="E206" s="217">
        <v>6.6000000000000003E-2</v>
      </c>
      <c r="F206" s="216">
        <v>102.7</v>
      </c>
      <c r="G206" s="217">
        <v>7.2000000000000008E-2</v>
      </c>
      <c r="H206" s="216">
        <v>102.72</v>
      </c>
      <c r="I206" s="217">
        <v>7.2400000000000006E-2</v>
      </c>
    </row>
    <row r="207" spans="1:9" x14ac:dyDescent="0.35">
      <c r="A207" s="249">
        <v>44130</v>
      </c>
      <c r="B207" s="220">
        <v>104.12</v>
      </c>
      <c r="C207" s="217">
        <v>5.4800000000000001E-2</v>
      </c>
      <c r="D207" s="220">
        <v>102.92</v>
      </c>
      <c r="E207" s="217">
        <v>6.6000000000000003E-2</v>
      </c>
      <c r="F207" s="220">
        <v>102.84</v>
      </c>
      <c r="G207" s="217">
        <v>7.1900000000000006E-2</v>
      </c>
      <c r="H207" s="220">
        <v>102.69</v>
      </c>
      <c r="I207" s="217">
        <v>7.2400000000000006E-2</v>
      </c>
    </row>
    <row r="208" spans="1:9" x14ac:dyDescent="0.35">
      <c r="A208" s="249">
        <v>44131</v>
      </c>
      <c r="B208" s="216">
        <v>104.16374999999998</v>
      </c>
      <c r="C208" s="217">
        <v>5.4700000000000006E-2</v>
      </c>
      <c r="D208" s="220">
        <v>102.95</v>
      </c>
      <c r="E208" s="217">
        <v>6.59E-2</v>
      </c>
      <c r="F208" s="216">
        <v>103.19</v>
      </c>
      <c r="G208" s="217">
        <v>7.1500000000000008E-2</v>
      </c>
      <c r="H208" s="220">
        <v>102.61</v>
      </c>
      <c r="I208" s="217">
        <v>7.2500000000000009E-2</v>
      </c>
    </row>
    <row r="209" spans="1:9" x14ac:dyDescent="0.35">
      <c r="A209" s="249">
        <v>44137</v>
      </c>
      <c r="B209" s="216">
        <v>104.0625</v>
      </c>
      <c r="C209" s="217">
        <v>5.4900000000000004E-2</v>
      </c>
      <c r="D209" s="216">
        <v>102.92</v>
      </c>
      <c r="E209" s="217">
        <v>6.6000000000000003E-2</v>
      </c>
      <c r="F209" s="216">
        <v>103.04</v>
      </c>
      <c r="G209" s="217">
        <v>7.1599999999999997E-2</v>
      </c>
      <c r="H209" s="216">
        <v>102.64</v>
      </c>
      <c r="I209" s="217">
        <v>7.2500000000000009E-2</v>
      </c>
    </row>
    <row r="210" spans="1:9" x14ac:dyDescent="0.35">
      <c r="A210" s="249">
        <v>44138</v>
      </c>
      <c r="B210" s="216">
        <v>104.12875</v>
      </c>
      <c r="C210" s="217">
        <v>5.4800000000000001E-2</v>
      </c>
      <c r="D210" s="216">
        <v>103.12</v>
      </c>
      <c r="E210" s="217">
        <v>6.5700000000000008E-2</v>
      </c>
      <c r="F210" s="216">
        <v>103.07</v>
      </c>
      <c r="G210" s="217">
        <v>7.1599999999999997E-2</v>
      </c>
      <c r="H210" s="216">
        <v>102.69000000000001</v>
      </c>
      <c r="I210" s="217">
        <v>7.2400000000000006E-2</v>
      </c>
    </row>
    <row r="211" spans="1:9" x14ac:dyDescent="0.35">
      <c r="A211" s="249">
        <v>44139</v>
      </c>
      <c r="B211" s="216">
        <v>104.04749999999999</v>
      </c>
      <c r="C211" s="217">
        <v>5.5E-2</v>
      </c>
      <c r="D211" s="216">
        <v>103.08</v>
      </c>
      <c r="E211" s="217">
        <v>6.5700000000000008E-2</v>
      </c>
      <c r="F211" s="216">
        <v>103.07000000000001</v>
      </c>
      <c r="G211" s="217">
        <v>7.1599999999999997E-2</v>
      </c>
      <c r="H211" s="216">
        <v>102.80000000000001</v>
      </c>
      <c r="I211" s="217">
        <v>7.2300000000000003E-2</v>
      </c>
    </row>
    <row r="212" spans="1:9" x14ac:dyDescent="0.35">
      <c r="A212" s="249">
        <v>44140</v>
      </c>
      <c r="B212" s="216">
        <v>104.18625</v>
      </c>
      <c r="C212" s="217">
        <v>5.4600000000000003E-2</v>
      </c>
      <c r="D212" s="216">
        <v>103.5</v>
      </c>
      <c r="E212" s="217">
        <v>6.5200000000000008E-2</v>
      </c>
      <c r="F212" s="216">
        <v>103.33</v>
      </c>
      <c r="G212" s="217">
        <v>7.1300000000000002E-2</v>
      </c>
      <c r="H212" s="216">
        <v>103.33</v>
      </c>
      <c r="I212" s="217">
        <v>7.1800000000000003E-2</v>
      </c>
    </row>
    <row r="213" spans="1:9" x14ac:dyDescent="0.35">
      <c r="A213" s="249">
        <v>44141</v>
      </c>
      <c r="B213" s="216">
        <v>104.37374999999999</v>
      </c>
      <c r="C213" s="217">
        <v>5.4200000000000005E-2</v>
      </c>
      <c r="D213" s="216">
        <v>104.79</v>
      </c>
      <c r="E213" s="217">
        <v>6.3399999999999998E-2</v>
      </c>
      <c r="F213" s="216">
        <v>104.83</v>
      </c>
      <c r="G213" s="217">
        <v>6.9699999999999998E-2</v>
      </c>
      <c r="H213" s="216">
        <v>103.81</v>
      </c>
      <c r="I213" s="217">
        <v>7.1400000000000005E-2</v>
      </c>
    </row>
    <row r="214" spans="1:9" x14ac:dyDescent="0.35">
      <c r="A214" s="249">
        <v>44144</v>
      </c>
      <c r="B214" s="216">
        <v>104.6925</v>
      </c>
      <c r="C214" s="217">
        <v>5.3400000000000003E-2</v>
      </c>
      <c r="D214" s="220">
        <v>105.55000000000001</v>
      </c>
      <c r="E214" s="217">
        <v>6.2400000000000004E-2</v>
      </c>
      <c r="F214" s="216">
        <v>106.13000000000001</v>
      </c>
      <c r="G214" s="217">
        <v>6.83E-2</v>
      </c>
      <c r="H214" s="220">
        <v>103.85000000000001</v>
      </c>
      <c r="I214" s="217">
        <v>7.1400000000000005E-2</v>
      </c>
    </row>
    <row r="215" spans="1:9" x14ac:dyDescent="0.35">
      <c r="A215" s="249">
        <v>44145</v>
      </c>
      <c r="B215" s="216">
        <v>104.97</v>
      </c>
      <c r="C215" s="217">
        <v>5.2699999999999997E-2</v>
      </c>
      <c r="D215" s="220">
        <v>105.97</v>
      </c>
      <c r="E215" s="217">
        <v>6.1800000000000001E-2</v>
      </c>
      <c r="F215" s="216">
        <v>107.25</v>
      </c>
      <c r="G215" s="217">
        <v>6.7199999999999996E-2</v>
      </c>
      <c r="H215" s="220">
        <v>104.21</v>
      </c>
      <c r="I215" s="217">
        <v>7.0999999999999994E-2</v>
      </c>
    </row>
    <row r="216" spans="1:9" x14ac:dyDescent="0.35">
      <c r="A216" s="249">
        <v>44146</v>
      </c>
      <c r="B216" s="216">
        <v>104.62375</v>
      </c>
      <c r="C216" s="217">
        <v>5.3500000000000006E-2</v>
      </c>
      <c r="D216" s="220">
        <v>105.31</v>
      </c>
      <c r="E216" s="217">
        <v>6.2700000000000006E-2</v>
      </c>
      <c r="F216" s="216">
        <v>106.14</v>
      </c>
      <c r="G216" s="217">
        <v>6.83E-2</v>
      </c>
      <c r="H216" s="220">
        <v>103.27000000000001</v>
      </c>
      <c r="I216" s="217">
        <v>7.1900000000000006E-2</v>
      </c>
    </row>
    <row r="217" spans="1:9" x14ac:dyDescent="0.35">
      <c r="A217" s="249">
        <v>44147</v>
      </c>
      <c r="B217" s="216">
        <v>104.46374999999999</v>
      </c>
      <c r="C217" s="217">
        <v>5.3900000000000003E-2</v>
      </c>
      <c r="D217" s="220">
        <v>104.88000000000001</v>
      </c>
      <c r="E217" s="217">
        <v>6.3300000000000009E-2</v>
      </c>
      <c r="F217" s="216">
        <v>105.74000000000001</v>
      </c>
      <c r="G217" s="217">
        <v>6.8699999999999997E-2</v>
      </c>
      <c r="H217" s="220">
        <v>102.83</v>
      </c>
      <c r="I217" s="217">
        <v>7.2300000000000003E-2</v>
      </c>
    </row>
    <row r="218" spans="1:9" x14ac:dyDescent="0.35">
      <c r="A218" s="249">
        <v>44148</v>
      </c>
      <c r="B218" s="216">
        <v>104.61</v>
      </c>
      <c r="C218" s="217">
        <v>5.3600000000000002E-2</v>
      </c>
      <c r="D218" s="220">
        <v>105.11</v>
      </c>
      <c r="E218" s="217">
        <v>6.3E-2</v>
      </c>
      <c r="F218" s="216">
        <v>106.05000000000001</v>
      </c>
      <c r="G218" s="217">
        <v>6.8400000000000002E-2</v>
      </c>
      <c r="H218" s="220">
        <v>102.95</v>
      </c>
      <c r="I218" s="217">
        <v>7.22E-2</v>
      </c>
    </row>
    <row r="219" spans="1:9" x14ac:dyDescent="0.35">
      <c r="A219" s="249">
        <v>44151</v>
      </c>
      <c r="B219" s="248">
        <v>104.80125000000001</v>
      </c>
      <c r="C219" s="217">
        <v>5.3100000000000001E-2</v>
      </c>
      <c r="D219" s="248">
        <v>105.38000000000001</v>
      </c>
      <c r="E219" s="217">
        <v>6.2600000000000003E-2</v>
      </c>
      <c r="F219" s="248">
        <v>106.35</v>
      </c>
      <c r="G219" s="217">
        <v>6.8100000000000008E-2</v>
      </c>
      <c r="H219" s="248">
        <v>103.42</v>
      </c>
      <c r="I219" s="217">
        <v>7.17E-2</v>
      </c>
    </row>
    <row r="220" spans="1:9" x14ac:dyDescent="0.35">
      <c r="A220" s="249">
        <v>44152</v>
      </c>
      <c r="B220" s="248">
        <v>105.2475</v>
      </c>
      <c r="C220" s="217">
        <v>5.2000000000000005E-2</v>
      </c>
      <c r="D220" s="248">
        <v>106.11</v>
      </c>
      <c r="E220" s="217">
        <v>6.1600000000000002E-2</v>
      </c>
      <c r="F220" s="248">
        <v>107.01</v>
      </c>
      <c r="G220" s="217">
        <v>6.7400000000000002E-2</v>
      </c>
      <c r="H220" s="248">
        <v>103.98</v>
      </c>
      <c r="I220" s="217">
        <v>7.1199999999999999E-2</v>
      </c>
    </row>
    <row r="221" spans="1:9" x14ac:dyDescent="0.35">
      <c r="A221" s="249">
        <v>44153</v>
      </c>
      <c r="B221" s="248">
        <v>105.42</v>
      </c>
      <c r="C221" s="217">
        <v>5.16E-2</v>
      </c>
      <c r="D221" s="248">
        <v>106.49</v>
      </c>
      <c r="E221" s="217">
        <v>6.1100000000000002E-2</v>
      </c>
      <c r="F221" s="248">
        <v>107.88</v>
      </c>
      <c r="G221" s="217">
        <v>6.6500000000000004E-2</v>
      </c>
      <c r="H221" s="248">
        <v>104.76</v>
      </c>
      <c r="I221" s="217">
        <v>7.0500000000000007E-2</v>
      </c>
    </row>
    <row r="222" spans="1:9" x14ac:dyDescent="0.35">
      <c r="A222" s="249">
        <v>44154</v>
      </c>
      <c r="B222" s="248">
        <v>105.46625</v>
      </c>
      <c r="C222" s="217">
        <v>5.1500000000000004E-2</v>
      </c>
      <c r="D222" s="248">
        <v>106.17</v>
      </c>
      <c r="E222" s="217">
        <v>6.1600000000000002E-2</v>
      </c>
      <c r="F222" s="248">
        <v>107.75</v>
      </c>
      <c r="G222" s="217">
        <v>6.6600000000000006E-2</v>
      </c>
      <c r="H222" s="248">
        <v>105.09</v>
      </c>
      <c r="I222" s="217">
        <v>7.0199999999999999E-2</v>
      </c>
    </row>
    <row r="223" spans="1:9" x14ac:dyDescent="0.35">
      <c r="A223" s="249">
        <v>44155</v>
      </c>
      <c r="B223" s="248">
        <v>105.4075</v>
      </c>
      <c r="C223" s="217">
        <v>5.16E-2</v>
      </c>
      <c r="D223" s="248">
        <v>106.11</v>
      </c>
      <c r="E223" s="217">
        <v>6.1600000000000002E-2</v>
      </c>
      <c r="F223" s="248">
        <v>107.56</v>
      </c>
      <c r="G223" s="217">
        <v>6.6799999999999998E-2</v>
      </c>
      <c r="H223" s="248">
        <v>105.09</v>
      </c>
      <c r="I223" s="217">
        <v>7.0199999999999999E-2</v>
      </c>
    </row>
    <row r="224" spans="1:9" x14ac:dyDescent="0.35">
      <c r="A224" s="249">
        <v>44158</v>
      </c>
      <c r="B224" s="248">
        <v>105.37124999999999</v>
      </c>
      <c r="C224" s="217">
        <v>5.1700000000000003E-2</v>
      </c>
      <c r="D224" s="248">
        <v>105.77000000000001</v>
      </c>
      <c r="E224" s="217">
        <v>6.2100000000000002E-2</v>
      </c>
      <c r="F224" s="248">
        <v>107.5</v>
      </c>
      <c r="G224" s="217">
        <v>6.6900000000000001E-2</v>
      </c>
      <c r="H224" s="248">
        <v>105.14</v>
      </c>
      <c r="I224" s="217">
        <v>7.0199999999999999E-2</v>
      </c>
    </row>
    <row r="225" spans="1:9" x14ac:dyDescent="0.35">
      <c r="A225" s="249">
        <v>44159</v>
      </c>
      <c r="B225" s="248">
        <v>105.47625000000001</v>
      </c>
      <c r="C225" s="217">
        <v>5.1400000000000001E-2</v>
      </c>
      <c r="D225" s="248">
        <v>105.77000000000001</v>
      </c>
      <c r="E225" s="217">
        <v>6.2100000000000002E-2</v>
      </c>
      <c r="F225" s="248">
        <v>107.49000000000001</v>
      </c>
      <c r="G225" s="217">
        <v>6.6900000000000001E-2</v>
      </c>
      <c r="H225" s="248">
        <v>105.43</v>
      </c>
      <c r="I225" s="217">
        <v>6.9900000000000004E-2</v>
      </c>
    </row>
    <row r="226" spans="1:9" x14ac:dyDescent="0.35">
      <c r="A226" s="249">
        <v>44160</v>
      </c>
      <c r="B226" s="248">
        <v>105.575</v>
      </c>
      <c r="C226" s="217">
        <v>5.1200000000000002E-2</v>
      </c>
      <c r="D226" s="248">
        <v>105.98</v>
      </c>
      <c r="E226" s="217">
        <v>6.1800000000000001E-2</v>
      </c>
      <c r="F226" s="248">
        <v>107.72</v>
      </c>
      <c r="G226" s="217">
        <v>6.6700000000000009E-2</v>
      </c>
      <c r="H226" s="248">
        <v>105.88000000000001</v>
      </c>
      <c r="I226" s="217">
        <v>6.9500000000000006E-2</v>
      </c>
    </row>
    <row r="227" spans="1:9" x14ac:dyDescent="0.35">
      <c r="A227" s="249">
        <v>44161</v>
      </c>
      <c r="B227" s="248">
        <v>105.79875</v>
      </c>
      <c r="C227" s="217">
        <v>5.0600000000000006E-2</v>
      </c>
      <c r="D227" s="248">
        <v>106.28</v>
      </c>
      <c r="E227" s="217">
        <v>6.1400000000000003E-2</v>
      </c>
      <c r="F227" s="248">
        <v>107.88000000000001</v>
      </c>
      <c r="G227" s="217">
        <v>6.6500000000000004E-2</v>
      </c>
      <c r="H227" s="248">
        <v>106.51</v>
      </c>
      <c r="I227" s="217">
        <v>6.8900000000000003E-2</v>
      </c>
    </row>
    <row r="228" spans="1:9" x14ac:dyDescent="0.35">
      <c r="A228" s="249">
        <v>44162</v>
      </c>
      <c r="B228" s="248">
        <v>105.89124999999999</v>
      </c>
      <c r="C228" s="217">
        <v>5.04E-2</v>
      </c>
      <c r="D228" s="248">
        <v>106.23</v>
      </c>
      <c r="E228" s="217">
        <v>6.1500000000000006E-2</v>
      </c>
      <c r="F228" s="248">
        <v>107.81</v>
      </c>
      <c r="G228" s="217">
        <v>6.6600000000000006E-2</v>
      </c>
      <c r="H228" s="248">
        <v>106.33</v>
      </c>
      <c r="I228" s="217">
        <v>6.9100000000000009E-2</v>
      </c>
    </row>
    <row r="229" spans="1:9" x14ac:dyDescent="0.35">
      <c r="A229" s="249">
        <v>44165</v>
      </c>
      <c r="B229" s="248">
        <v>105.85374999999999</v>
      </c>
      <c r="C229" s="217">
        <v>5.04E-2</v>
      </c>
      <c r="D229" s="248">
        <v>106.07000000000001</v>
      </c>
      <c r="E229" s="217">
        <v>6.1700000000000005E-2</v>
      </c>
      <c r="F229" s="248">
        <v>107.72</v>
      </c>
      <c r="G229" s="217">
        <v>6.6700000000000009E-2</v>
      </c>
      <c r="H229" s="248">
        <v>106.15</v>
      </c>
      <c r="I229" s="217">
        <v>6.9199999999999998E-2</v>
      </c>
    </row>
    <row r="230" spans="1:9" x14ac:dyDescent="0.35">
      <c r="A230" s="249">
        <v>44166</v>
      </c>
      <c r="B230" s="248">
        <v>105.8475</v>
      </c>
      <c r="C230" s="217">
        <v>5.0500000000000003E-2</v>
      </c>
      <c r="D230" s="248">
        <v>106.03</v>
      </c>
      <c r="E230" s="217">
        <v>6.1700000000000005E-2</v>
      </c>
      <c r="F230" s="248">
        <v>107.61</v>
      </c>
      <c r="G230" s="217">
        <v>6.6799999999999998E-2</v>
      </c>
      <c r="H230" s="248">
        <v>106.14</v>
      </c>
      <c r="I230" s="217">
        <v>6.9199999999999998E-2</v>
      </c>
    </row>
    <row r="231" spans="1:9" x14ac:dyDescent="0.35">
      <c r="A231" s="249">
        <v>44167</v>
      </c>
      <c r="B231" s="248">
        <v>105.88124999999998</v>
      </c>
      <c r="C231" s="217">
        <v>5.04E-2</v>
      </c>
      <c r="D231" s="248">
        <v>106.2</v>
      </c>
      <c r="E231" s="217">
        <v>6.1500000000000006E-2</v>
      </c>
      <c r="F231" s="248">
        <v>108.11</v>
      </c>
      <c r="G231" s="217">
        <v>6.6299999999999998E-2</v>
      </c>
      <c r="H231" s="248">
        <v>106.61</v>
      </c>
      <c r="I231" s="217">
        <v>6.88E-2</v>
      </c>
    </row>
    <row r="232" spans="1:9" x14ac:dyDescent="0.35">
      <c r="A232" s="249">
        <v>44168</v>
      </c>
      <c r="B232" s="248">
        <v>105.83250000000001</v>
      </c>
      <c r="C232" s="217">
        <v>5.0500000000000003E-2</v>
      </c>
      <c r="D232" s="248">
        <v>105.97</v>
      </c>
      <c r="E232" s="217">
        <v>6.1800000000000001E-2</v>
      </c>
      <c r="F232" s="248">
        <v>108.06</v>
      </c>
      <c r="G232" s="217">
        <v>6.6299999999999998E-2</v>
      </c>
      <c r="H232" s="248">
        <v>106.62</v>
      </c>
      <c r="I232" s="217">
        <v>6.88E-2</v>
      </c>
    </row>
    <row r="233" spans="1:9" x14ac:dyDescent="0.35">
      <c r="A233" s="249">
        <v>44169</v>
      </c>
      <c r="B233" s="248">
        <v>105.72250000000001</v>
      </c>
      <c r="C233" s="217">
        <v>5.0700000000000002E-2</v>
      </c>
      <c r="D233" s="248">
        <v>105.75</v>
      </c>
      <c r="E233" s="217">
        <v>6.2100000000000002E-2</v>
      </c>
      <c r="F233" s="248">
        <v>107.88000000000001</v>
      </c>
      <c r="G233" s="217">
        <v>6.6500000000000004E-2</v>
      </c>
      <c r="H233" s="248">
        <v>106.54</v>
      </c>
      <c r="I233" s="217">
        <v>6.8900000000000003E-2</v>
      </c>
    </row>
    <row r="234" spans="1:9" x14ac:dyDescent="0.35">
      <c r="A234" s="249">
        <v>44172</v>
      </c>
      <c r="B234" s="248">
        <v>105.8425</v>
      </c>
      <c r="C234" s="217">
        <v>5.04E-2</v>
      </c>
      <c r="D234" s="248">
        <v>105.85000000000001</v>
      </c>
      <c r="E234" s="217">
        <v>6.2E-2</v>
      </c>
      <c r="F234" s="248">
        <v>108.26</v>
      </c>
      <c r="G234" s="217">
        <v>6.6100000000000006E-2</v>
      </c>
      <c r="H234" s="248">
        <v>106.80000000000001</v>
      </c>
      <c r="I234" s="217">
        <v>6.8600000000000008E-2</v>
      </c>
    </row>
    <row r="235" spans="1:9" x14ac:dyDescent="0.35">
      <c r="A235" s="249">
        <v>44173</v>
      </c>
      <c r="B235" s="248">
        <v>105.81875000000001</v>
      </c>
      <c r="C235" s="217">
        <v>5.0500000000000003E-2</v>
      </c>
      <c r="D235" s="248">
        <v>105.85000000000001</v>
      </c>
      <c r="E235" s="217">
        <v>6.2E-2</v>
      </c>
      <c r="F235" s="248">
        <v>108.35</v>
      </c>
      <c r="G235" s="217">
        <v>6.6000000000000003E-2</v>
      </c>
      <c r="H235" s="248">
        <v>106.77000000000001</v>
      </c>
      <c r="I235" s="217">
        <v>6.8699999999999997E-2</v>
      </c>
    </row>
    <row r="236" spans="1:9" x14ac:dyDescent="0.35">
      <c r="A236" s="249">
        <v>44175</v>
      </c>
      <c r="B236" s="248">
        <v>105.84625</v>
      </c>
      <c r="C236" s="217">
        <v>5.04E-2</v>
      </c>
      <c r="D236" s="248">
        <v>105.85</v>
      </c>
      <c r="E236" s="217">
        <v>6.2E-2</v>
      </c>
      <c r="F236" s="248">
        <v>108.29</v>
      </c>
      <c r="G236" s="217">
        <v>6.6100000000000006E-2</v>
      </c>
      <c r="H236" s="248">
        <v>106.82000000000001</v>
      </c>
      <c r="I236" s="217">
        <v>6.8600000000000008E-2</v>
      </c>
    </row>
    <row r="237" spans="1:9" x14ac:dyDescent="0.35">
      <c r="A237" s="249">
        <v>44176</v>
      </c>
      <c r="B237" s="248">
        <v>105.93</v>
      </c>
      <c r="C237" s="217">
        <v>5.0200000000000002E-2</v>
      </c>
      <c r="D237" s="248">
        <v>106.21000000000001</v>
      </c>
      <c r="E237" s="217">
        <v>6.1500000000000006E-2</v>
      </c>
      <c r="F237" s="248">
        <v>108.66000000000001</v>
      </c>
      <c r="G237" s="217">
        <v>6.5700000000000008E-2</v>
      </c>
      <c r="H237" s="248">
        <v>107.97</v>
      </c>
      <c r="I237" s="217">
        <v>6.7600000000000007E-2</v>
      </c>
    </row>
    <row r="238" spans="1:9" x14ac:dyDescent="0.35">
      <c r="A238" s="250">
        <v>44179</v>
      </c>
      <c r="B238" s="216">
        <v>105.86124999999998</v>
      </c>
      <c r="C238" s="251">
        <v>5.0300000000000004E-2</v>
      </c>
      <c r="D238" s="220">
        <v>106.52000000000001</v>
      </c>
      <c r="E238" s="251">
        <v>6.1100000000000002E-2</v>
      </c>
      <c r="F238" s="216">
        <v>108.76</v>
      </c>
      <c r="G238" s="251">
        <v>6.5600000000000006E-2</v>
      </c>
      <c r="H238" s="220">
        <v>108.77000000000001</v>
      </c>
      <c r="I238" s="251">
        <v>6.6900000000000001E-2</v>
      </c>
    </row>
    <row r="239" spans="1:9" x14ac:dyDescent="0.35">
      <c r="A239" s="250">
        <v>44180</v>
      </c>
      <c r="B239" s="216">
        <v>105.58125000000001</v>
      </c>
      <c r="C239" s="251">
        <v>5.1000000000000004E-2</v>
      </c>
      <c r="D239" s="220">
        <v>106.47</v>
      </c>
      <c r="E239" s="251">
        <v>6.1100000000000002E-2</v>
      </c>
      <c r="F239" s="216">
        <v>109.22</v>
      </c>
      <c r="G239" s="251">
        <v>6.5100000000000005E-2</v>
      </c>
      <c r="H239" s="220">
        <v>109.21000000000001</v>
      </c>
      <c r="I239" s="251">
        <v>6.6500000000000004E-2</v>
      </c>
    </row>
    <row r="240" spans="1:9" x14ac:dyDescent="0.35">
      <c r="A240" s="250">
        <v>44181</v>
      </c>
      <c r="B240" s="216">
        <v>105.39624999999998</v>
      </c>
      <c r="C240" s="251">
        <v>5.1400000000000001E-2</v>
      </c>
      <c r="D240" s="220">
        <v>106.57000000000001</v>
      </c>
      <c r="E240" s="251">
        <v>6.1000000000000006E-2</v>
      </c>
      <c r="F240" s="216">
        <v>109.69000000000001</v>
      </c>
      <c r="G240" s="251">
        <v>6.4700000000000008E-2</v>
      </c>
      <c r="H240" s="220">
        <v>109.46000000000001</v>
      </c>
      <c r="I240" s="251">
        <v>6.6299999999999998E-2</v>
      </c>
    </row>
    <row r="241" spans="1:9" x14ac:dyDescent="0.35">
      <c r="A241" s="250">
        <v>44182</v>
      </c>
      <c r="B241" s="216">
        <v>105.49</v>
      </c>
      <c r="C241" s="251">
        <v>5.1200000000000002E-2</v>
      </c>
      <c r="D241" s="220">
        <v>107.41</v>
      </c>
      <c r="E241" s="251">
        <v>5.9900000000000002E-2</v>
      </c>
      <c r="F241" s="216">
        <v>111.39</v>
      </c>
      <c r="G241" s="251">
        <v>6.3E-2</v>
      </c>
      <c r="H241" s="220">
        <v>110.67</v>
      </c>
      <c r="I241" s="251">
        <v>6.5199999999999994E-2</v>
      </c>
    </row>
    <row r="242" spans="1:9" x14ac:dyDescent="0.35">
      <c r="A242" s="250">
        <v>44183</v>
      </c>
      <c r="B242" s="216">
        <v>105.57250000000001</v>
      </c>
      <c r="C242" s="251">
        <v>5.1000000000000004E-2</v>
      </c>
      <c r="D242" s="220">
        <v>107.91000000000001</v>
      </c>
      <c r="E242" s="251">
        <v>5.9200000000000003E-2</v>
      </c>
      <c r="F242" s="216">
        <v>111.83</v>
      </c>
      <c r="G242" s="251">
        <v>6.25E-2</v>
      </c>
      <c r="H242" s="220">
        <v>111.72</v>
      </c>
      <c r="I242" s="251">
        <v>6.4399999999999999E-2</v>
      </c>
    </row>
    <row r="243" spans="1:9" x14ac:dyDescent="0.35">
      <c r="A243" s="250">
        <v>44186</v>
      </c>
      <c r="B243" s="216">
        <v>105.28</v>
      </c>
      <c r="C243" s="217">
        <v>5.1700000000000003E-2</v>
      </c>
      <c r="D243" s="252">
        <v>107.47</v>
      </c>
      <c r="E243" s="217">
        <v>5.9800000000000006E-2</v>
      </c>
      <c r="F243" s="247">
        <v>111.28</v>
      </c>
      <c r="G243" s="217">
        <v>6.3100000000000003E-2</v>
      </c>
      <c r="H243" s="247">
        <v>111.32000000000001</v>
      </c>
      <c r="I243" s="217">
        <v>6.4700000000000008E-2</v>
      </c>
    </row>
    <row r="244" spans="1:9" x14ac:dyDescent="0.35">
      <c r="A244" s="250">
        <v>44187</v>
      </c>
      <c r="B244" s="216">
        <v>104.83499999999999</v>
      </c>
      <c r="C244" s="217">
        <v>5.28E-2</v>
      </c>
      <c r="D244" s="252">
        <v>106.8</v>
      </c>
      <c r="E244" s="217">
        <v>6.0700000000000004E-2</v>
      </c>
      <c r="F244" s="247">
        <v>110.39</v>
      </c>
      <c r="G244" s="217">
        <v>6.3899999999999998E-2</v>
      </c>
      <c r="H244" s="247">
        <v>110.73</v>
      </c>
      <c r="I244" s="217">
        <v>6.5200000000000008E-2</v>
      </c>
    </row>
    <row r="245" spans="1:9" x14ac:dyDescent="0.35">
      <c r="A245" s="250">
        <v>44188</v>
      </c>
      <c r="B245" s="216">
        <v>104.63374999999999</v>
      </c>
      <c r="C245" s="217">
        <v>5.33E-2</v>
      </c>
      <c r="D245" s="252">
        <v>106.46000000000001</v>
      </c>
      <c r="E245" s="217">
        <v>6.1100000000000002E-2</v>
      </c>
      <c r="F245" s="247">
        <v>109.88000000000001</v>
      </c>
      <c r="G245" s="217">
        <v>6.4399999999999999E-2</v>
      </c>
      <c r="H245" s="247">
        <v>110.53</v>
      </c>
      <c r="I245" s="217">
        <v>6.54E-2</v>
      </c>
    </row>
    <row r="246" spans="1:9" x14ac:dyDescent="0.35">
      <c r="A246" s="250">
        <v>44193</v>
      </c>
      <c r="B246" s="248">
        <v>105.19</v>
      </c>
      <c r="C246" s="217">
        <v>5.1900000000000002E-2</v>
      </c>
      <c r="D246" s="248">
        <v>107.32000000000001</v>
      </c>
      <c r="E246" s="217">
        <v>6.0000000000000005E-2</v>
      </c>
      <c r="F246" s="248">
        <v>110.68</v>
      </c>
      <c r="G246" s="217">
        <v>6.3600000000000004E-2</v>
      </c>
      <c r="H246" s="248">
        <v>111.01</v>
      </c>
      <c r="I246" s="217">
        <v>6.4899999999999999E-2</v>
      </c>
    </row>
    <row r="247" spans="1:9" x14ac:dyDescent="0.35">
      <c r="A247" s="250">
        <v>44194</v>
      </c>
      <c r="B247" s="248">
        <v>105.2975</v>
      </c>
      <c r="C247" s="217">
        <v>5.16E-2</v>
      </c>
      <c r="D247" s="248">
        <v>107.79</v>
      </c>
      <c r="E247" s="217">
        <v>5.9400000000000001E-2</v>
      </c>
      <c r="F247" s="248">
        <v>110.89</v>
      </c>
      <c r="G247" s="217">
        <v>6.3399999999999998E-2</v>
      </c>
      <c r="H247" s="248">
        <v>111.19000000000001</v>
      </c>
      <c r="I247" s="217">
        <v>6.4799999999999996E-2</v>
      </c>
    </row>
    <row r="248" spans="1:9" x14ac:dyDescent="0.35">
      <c r="A248" s="250">
        <v>44195</v>
      </c>
      <c r="B248" s="248">
        <v>105.41125</v>
      </c>
      <c r="C248" s="217">
        <v>5.1300000000000005E-2</v>
      </c>
      <c r="D248" s="248">
        <v>108.34</v>
      </c>
      <c r="E248" s="217">
        <v>5.8600000000000006E-2</v>
      </c>
      <c r="F248" s="248">
        <v>111.10000000000001</v>
      </c>
      <c r="G248" s="217">
        <v>6.3200000000000006E-2</v>
      </c>
      <c r="H248" s="248">
        <v>111.13000000000001</v>
      </c>
      <c r="I248" s="217">
        <v>6.4799999999999996E-2</v>
      </c>
    </row>
  </sheetData>
  <mergeCells count="17">
    <mergeCell ref="H4:I4"/>
    <mergeCell ref="B5:C5"/>
    <mergeCell ref="D5:E5"/>
    <mergeCell ref="F5:G5"/>
    <mergeCell ref="H5:I5"/>
    <mergeCell ref="A2:A6"/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  <mergeCell ref="F4:G4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B68E-69E5-431C-9942-47AE216AFA7B}">
  <dimension ref="A2:J252"/>
  <sheetViews>
    <sheetView zoomScale="101" zoomScaleNormal="90" workbookViewId="0">
      <pane ySplit="6" topLeftCell="A240" activePane="bottomLeft" state="frozen"/>
      <selection activeCell="K1" sqref="K1:XFD1048576"/>
      <selection pane="bottomLeft" activeCell="I7" sqref="I7:I252"/>
    </sheetView>
  </sheetViews>
  <sheetFormatPr defaultColWidth="0" defaultRowHeight="14.5" x14ac:dyDescent="0.35"/>
  <cols>
    <col min="1" max="1" width="14.453125" style="253" customWidth="1"/>
    <col min="2" max="2" width="10" style="287" customWidth="1"/>
    <col min="3" max="3" width="10" style="288" customWidth="1"/>
    <col min="4" max="4" width="10" style="287" customWidth="1"/>
    <col min="5" max="5" width="10" style="288" customWidth="1"/>
    <col min="6" max="6" width="10" style="287" customWidth="1"/>
    <col min="7" max="7" width="10" style="288" customWidth="1"/>
    <col min="8" max="8" width="10" style="287" customWidth="1"/>
    <col min="9" max="9" width="10" style="288" customWidth="1"/>
    <col min="10" max="10" width="9.1796875" style="262" customWidth="1"/>
    <col min="11" max="16384" width="9.1796875" style="47" hidden="1"/>
  </cols>
  <sheetData>
    <row r="2" spans="1:9" x14ac:dyDescent="0.35">
      <c r="A2" s="482" t="s">
        <v>73</v>
      </c>
      <c r="B2" s="492" t="s">
        <v>74</v>
      </c>
      <c r="C2" s="492"/>
      <c r="D2" s="492" t="s">
        <v>75</v>
      </c>
      <c r="E2" s="492"/>
      <c r="F2" s="492" t="s">
        <v>76</v>
      </c>
      <c r="G2" s="492"/>
      <c r="H2" s="492" t="s">
        <v>77</v>
      </c>
      <c r="I2" s="492"/>
    </row>
    <row r="3" spans="1:9" x14ac:dyDescent="0.35">
      <c r="A3" s="483"/>
      <c r="B3" s="492" t="s">
        <v>116</v>
      </c>
      <c r="C3" s="492"/>
      <c r="D3" s="492" t="s">
        <v>117</v>
      </c>
      <c r="E3" s="492"/>
      <c r="F3" s="492" t="s">
        <v>118</v>
      </c>
      <c r="G3" s="492"/>
      <c r="H3" s="492" t="s">
        <v>111</v>
      </c>
      <c r="I3" s="492"/>
    </row>
    <row r="4" spans="1:9" x14ac:dyDescent="0.35">
      <c r="A4" s="483"/>
      <c r="B4" s="490">
        <v>5.5E-2</v>
      </c>
      <c r="C4" s="490"/>
      <c r="D4" s="490">
        <v>6.5000000000000002E-2</v>
      </c>
      <c r="E4" s="490"/>
      <c r="F4" s="490">
        <v>6.25E-2</v>
      </c>
      <c r="G4" s="490"/>
      <c r="H4" s="490">
        <v>7.4999999999999997E-2</v>
      </c>
      <c r="I4" s="490"/>
    </row>
    <row r="5" spans="1:9" x14ac:dyDescent="0.35">
      <c r="A5" s="483"/>
      <c r="B5" s="491">
        <v>46127</v>
      </c>
      <c r="C5" s="491"/>
      <c r="D5" s="491">
        <v>47894</v>
      </c>
      <c r="E5" s="491"/>
      <c r="F5" s="491">
        <v>49841</v>
      </c>
      <c r="G5" s="491"/>
      <c r="H5" s="491">
        <v>51241</v>
      </c>
      <c r="I5" s="491"/>
    </row>
    <row r="6" spans="1:9" ht="26" x14ac:dyDescent="0.35">
      <c r="A6" s="483"/>
      <c r="B6" s="263" t="s">
        <v>82</v>
      </c>
      <c r="C6" s="264" t="s">
        <v>83</v>
      </c>
      <c r="D6" s="263" t="s">
        <v>82</v>
      </c>
      <c r="E6" s="264" t="s">
        <v>83</v>
      </c>
      <c r="F6" s="263" t="s">
        <v>82</v>
      </c>
      <c r="G6" s="264" t="s">
        <v>83</v>
      </c>
      <c r="H6" s="263" t="s">
        <v>82</v>
      </c>
      <c r="I6" s="264" t="s">
        <v>83</v>
      </c>
    </row>
    <row r="7" spans="1:9" x14ac:dyDescent="0.35">
      <c r="A7" s="265">
        <v>44200</v>
      </c>
      <c r="B7" s="266">
        <v>101.77</v>
      </c>
      <c r="C7" s="267">
        <v>5.1200000000000002E-2</v>
      </c>
      <c r="D7" s="266">
        <v>104.76</v>
      </c>
      <c r="E7" s="267">
        <v>5.8700000000000002E-2</v>
      </c>
      <c r="F7" s="266" t="s">
        <v>119</v>
      </c>
      <c r="G7" s="267" t="s">
        <v>119</v>
      </c>
      <c r="H7" s="266">
        <v>110.9</v>
      </c>
      <c r="I7" s="267">
        <v>6.5000000000000002E-2</v>
      </c>
    </row>
    <row r="8" spans="1:9" x14ac:dyDescent="0.35">
      <c r="A8" s="265">
        <v>44201</v>
      </c>
      <c r="B8" s="266">
        <v>101.69</v>
      </c>
      <c r="C8" s="267">
        <v>5.1299999999999998E-2</v>
      </c>
      <c r="D8" s="266">
        <v>104.54</v>
      </c>
      <c r="E8" s="267">
        <v>5.8999999999999997E-2</v>
      </c>
      <c r="F8" s="266" t="s">
        <v>119</v>
      </c>
      <c r="G8" s="267" t="s">
        <v>119</v>
      </c>
      <c r="H8" s="266">
        <v>110.73</v>
      </c>
      <c r="I8" s="267">
        <v>6.5199999999999994E-2</v>
      </c>
    </row>
    <row r="9" spans="1:9" x14ac:dyDescent="0.35">
      <c r="A9" s="265">
        <v>44202</v>
      </c>
      <c r="B9" s="266">
        <v>101.84</v>
      </c>
      <c r="C9" s="267">
        <v>5.0999999999999997E-2</v>
      </c>
      <c r="D9" s="266">
        <v>104.47</v>
      </c>
      <c r="E9" s="267">
        <v>5.91E-2</v>
      </c>
      <c r="F9" s="266" t="s">
        <v>119</v>
      </c>
      <c r="G9" s="267" t="s">
        <v>119</v>
      </c>
      <c r="H9" s="266">
        <v>110.24</v>
      </c>
      <c r="I9" s="267">
        <v>6.5600000000000006E-2</v>
      </c>
    </row>
    <row r="10" spans="1:9" x14ac:dyDescent="0.35">
      <c r="A10" s="265">
        <v>44203</v>
      </c>
      <c r="B10" s="266">
        <v>101.72</v>
      </c>
      <c r="C10" s="267">
        <v>5.1299999999999998E-2</v>
      </c>
      <c r="D10" s="266">
        <v>104.19</v>
      </c>
      <c r="E10" s="267">
        <v>5.9499999999999997E-2</v>
      </c>
      <c r="F10" s="266" t="s">
        <v>119</v>
      </c>
      <c r="G10" s="267" t="s">
        <v>119</v>
      </c>
      <c r="H10" s="266">
        <v>109.78</v>
      </c>
      <c r="I10" s="267">
        <v>6.6000000000000003E-2</v>
      </c>
    </row>
    <row r="11" spans="1:9" x14ac:dyDescent="0.35">
      <c r="A11" s="265">
        <v>44204</v>
      </c>
      <c r="B11" s="266">
        <v>101.59</v>
      </c>
      <c r="C11" s="267">
        <v>5.1499999999999997E-2</v>
      </c>
      <c r="D11" s="266">
        <v>102.87</v>
      </c>
      <c r="E11" s="267">
        <v>6.1199999999999997E-2</v>
      </c>
      <c r="F11" s="266">
        <v>100.4</v>
      </c>
      <c r="G11" s="267">
        <v>6.2100000000000002E-2</v>
      </c>
      <c r="H11" s="266">
        <v>109.34</v>
      </c>
      <c r="I11" s="267">
        <v>6.6400000000000001E-2</v>
      </c>
    </row>
    <row r="12" spans="1:9" x14ac:dyDescent="0.35">
      <c r="A12" s="265">
        <v>44207</v>
      </c>
      <c r="B12" s="266">
        <v>101.44</v>
      </c>
      <c r="C12" s="267">
        <v>5.1900000000000002E-2</v>
      </c>
      <c r="D12" s="266">
        <v>102.72</v>
      </c>
      <c r="E12" s="267">
        <v>6.1400000000000003E-2</v>
      </c>
      <c r="F12" s="266">
        <v>101.33</v>
      </c>
      <c r="G12" s="267">
        <v>6.1200000000000004E-2</v>
      </c>
      <c r="H12" s="266">
        <v>108.55000000000001</v>
      </c>
      <c r="I12" s="267">
        <v>6.7100000000000007E-2</v>
      </c>
    </row>
    <row r="13" spans="1:9" x14ac:dyDescent="0.35">
      <c r="A13" s="265">
        <v>44208</v>
      </c>
      <c r="B13" s="266">
        <v>101.4</v>
      </c>
      <c r="C13" s="267">
        <v>5.1900000000000002E-2</v>
      </c>
      <c r="D13" s="266">
        <v>102.19000000000001</v>
      </c>
      <c r="E13" s="267">
        <v>6.2100000000000002E-2</v>
      </c>
      <c r="F13" s="266">
        <v>101.04</v>
      </c>
      <c r="G13" s="267">
        <v>6.1500000000000006E-2</v>
      </c>
      <c r="H13" s="266">
        <v>108.18</v>
      </c>
      <c r="I13" s="267">
        <v>6.7400000000000002E-2</v>
      </c>
    </row>
    <row r="14" spans="1:9" x14ac:dyDescent="0.35">
      <c r="A14" s="265">
        <v>44209</v>
      </c>
      <c r="B14" s="266">
        <v>101.29</v>
      </c>
      <c r="C14" s="267">
        <v>5.2200000000000003E-2</v>
      </c>
      <c r="D14" s="266">
        <v>102.41000000000001</v>
      </c>
      <c r="E14" s="267">
        <v>6.1800000000000001E-2</v>
      </c>
      <c r="F14" s="266">
        <v>100.99</v>
      </c>
      <c r="G14" s="267">
        <v>6.1500000000000006E-2</v>
      </c>
      <c r="H14" s="266">
        <v>107.66000000000001</v>
      </c>
      <c r="I14" s="267">
        <v>6.7900000000000002E-2</v>
      </c>
    </row>
    <row r="15" spans="1:9" x14ac:dyDescent="0.35">
      <c r="A15" s="265">
        <v>44210</v>
      </c>
      <c r="B15" s="266">
        <v>101.35000000000001</v>
      </c>
      <c r="C15" s="267">
        <v>5.21E-2</v>
      </c>
      <c r="D15" s="266">
        <v>102.43</v>
      </c>
      <c r="E15" s="267">
        <v>6.1800000000000001E-2</v>
      </c>
      <c r="F15" s="266">
        <v>101.2</v>
      </c>
      <c r="G15" s="267">
        <v>6.13E-2</v>
      </c>
      <c r="H15" s="266">
        <v>107.36</v>
      </c>
      <c r="I15" s="267">
        <v>6.8100000000000008E-2</v>
      </c>
    </row>
    <row r="16" spans="1:9" x14ac:dyDescent="0.35">
      <c r="A16" s="265">
        <v>44214</v>
      </c>
      <c r="B16" s="266">
        <v>101.49000000000001</v>
      </c>
      <c r="C16" s="267">
        <v>5.1700000000000003E-2</v>
      </c>
      <c r="D16" s="266">
        <v>102.48</v>
      </c>
      <c r="E16" s="267">
        <v>6.1700000000000005E-2</v>
      </c>
      <c r="F16" s="266">
        <v>101.34</v>
      </c>
      <c r="G16" s="267">
        <v>6.1200000000000004E-2</v>
      </c>
      <c r="H16" s="266">
        <v>107.22</v>
      </c>
      <c r="I16" s="267">
        <v>6.8199999999999997E-2</v>
      </c>
    </row>
    <row r="17" spans="1:9" x14ac:dyDescent="0.35">
      <c r="A17" s="265">
        <v>44215</v>
      </c>
      <c r="B17" s="266">
        <v>101.33</v>
      </c>
      <c r="C17" s="267">
        <v>5.21E-2</v>
      </c>
      <c r="D17" s="266">
        <v>102.26</v>
      </c>
      <c r="E17" s="267">
        <v>6.2E-2</v>
      </c>
      <c r="F17" s="266">
        <v>101.30000000000001</v>
      </c>
      <c r="G17" s="267">
        <v>6.1200000000000004E-2</v>
      </c>
      <c r="H17" s="266">
        <v>107.17</v>
      </c>
      <c r="I17" s="267">
        <v>6.83E-2</v>
      </c>
    </row>
    <row r="18" spans="1:9" x14ac:dyDescent="0.35">
      <c r="A18" s="265">
        <v>44216</v>
      </c>
      <c r="B18" s="266">
        <v>101.33</v>
      </c>
      <c r="C18" s="267">
        <v>5.21E-2</v>
      </c>
      <c r="D18" s="266">
        <v>101.99000000000001</v>
      </c>
      <c r="E18" s="267">
        <v>6.2400000000000004E-2</v>
      </c>
      <c r="F18" s="266">
        <v>100.35000000000001</v>
      </c>
      <c r="G18" s="267">
        <v>6.2200000000000005E-2</v>
      </c>
      <c r="H18" s="266">
        <v>106.96000000000001</v>
      </c>
      <c r="I18" s="267">
        <v>6.8500000000000005E-2</v>
      </c>
    </row>
    <row r="19" spans="1:9" x14ac:dyDescent="0.35">
      <c r="A19" s="265">
        <v>44217</v>
      </c>
      <c r="B19" s="266">
        <v>101.12</v>
      </c>
      <c r="C19" s="267">
        <v>5.2600000000000001E-2</v>
      </c>
      <c r="D19" s="266">
        <v>101.46000000000001</v>
      </c>
      <c r="E19" s="267">
        <v>6.3100000000000003E-2</v>
      </c>
      <c r="F19" s="266">
        <v>99.990000000000009</v>
      </c>
      <c r="G19" s="267">
        <v>6.2600000000000003E-2</v>
      </c>
      <c r="H19" s="266">
        <v>106.63000000000001</v>
      </c>
      <c r="I19" s="267">
        <v>6.88E-2</v>
      </c>
    </row>
    <row r="20" spans="1:9" x14ac:dyDescent="0.35">
      <c r="A20" s="265">
        <v>44218</v>
      </c>
      <c r="B20" s="266">
        <v>101.35000000000001</v>
      </c>
      <c r="C20" s="267">
        <v>5.2000000000000005E-2</v>
      </c>
      <c r="D20" s="266">
        <v>102.01</v>
      </c>
      <c r="E20" s="267">
        <v>6.2300000000000001E-2</v>
      </c>
      <c r="F20" s="266">
        <v>100.27000000000001</v>
      </c>
      <c r="G20" s="267">
        <v>6.2300000000000001E-2</v>
      </c>
      <c r="H20" s="266">
        <v>107.01</v>
      </c>
      <c r="I20" s="267">
        <v>6.8400000000000002E-2</v>
      </c>
    </row>
    <row r="21" spans="1:9" x14ac:dyDescent="0.35">
      <c r="A21" s="265">
        <v>44221</v>
      </c>
      <c r="B21" s="266">
        <v>101.25</v>
      </c>
      <c r="C21" s="267">
        <v>5.2300000000000006E-2</v>
      </c>
      <c r="D21" s="266">
        <v>101.79</v>
      </c>
      <c r="E21" s="268">
        <v>6.2600000000000003E-2</v>
      </c>
      <c r="F21" s="266">
        <v>100.11</v>
      </c>
      <c r="G21" s="269">
        <v>6.2400000000000004E-2</v>
      </c>
      <c r="H21" s="266">
        <v>106.64</v>
      </c>
      <c r="I21" s="268">
        <v>6.88E-2</v>
      </c>
    </row>
    <row r="22" spans="1:9" x14ac:dyDescent="0.35">
      <c r="A22" s="265">
        <v>44222</v>
      </c>
      <c r="B22" s="266">
        <v>101.69000000000001</v>
      </c>
      <c r="C22" s="267">
        <v>5.1300000000000005E-2</v>
      </c>
      <c r="D22" s="266">
        <v>101.88000000000001</v>
      </c>
      <c r="E22" s="268">
        <v>6.25E-2</v>
      </c>
      <c r="F22" s="266">
        <v>100.12</v>
      </c>
      <c r="G22" s="268">
        <v>6.2400000000000004E-2</v>
      </c>
      <c r="H22" s="266">
        <v>106.94000000000001</v>
      </c>
      <c r="I22" s="268">
        <v>6.8500000000000005E-2</v>
      </c>
    </row>
    <row r="23" spans="1:9" x14ac:dyDescent="0.35">
      <c r="A23" s="265">
        <v>44223</v>
      </c>
      <c r="B23" s="266">
        <v>101.27</v>
      </c>
      <c r="C23" s="267">
        <v>5.2200000000000003E-2</v>
      </c>
      <c r="D23" s="266">
        <v>101.96000000000001</v>
      </c>
      <c r="E23" s="268">
        <v>6.2400000000000004E-2</v>
      </c>
      <c r="F23" s="266">
        <v>100.08</v>
      </c>
      <c r="G23" s="269">
        <v>6.25E-2</v>
      </c>
      <c r="H23" s="266">
        <v>106.99000000000001</v>
      </c>
      <c r="I23" s="268">
        <v>6.8400000000000002E-2</v>
      </c>
    </row>
    <row r="24" spans="1:9" x14ac:dyDescent="0.35">
      <c r="A24" s="265">
        <v>44224</v>
      </c>
      <c r="B24" s="266">
        <v>101.36</v>
      </c>
      <c r="C24" s="267">
        <v>5.2000000000000005E-2</v>
      </c>
      <c r="D24" s="266">
        <v>102.14</v>
      </c>
      <c r="E24" s="268">
        <v>6.2100000000000002E-2</v>
      </c>
      <c r="F24" s="266">
        <v>99.98</v>
      </c>
      <c r="G24" s="268">
        <v>6.2600000000000003E-2</v>
      </c>
      <c r="H24" s="266">
        <v>107.03</v>
      </c>
      <c r="I24" s="268">
        <v>6.8400000000000002E-2</v>
      </c>
    </row>
    <row r="25" spans="1:9" x14ac:dyDescent="0.35">
      <c r="A25" s="265">
        <v>44225</v>
      </c>
      <c r="B25" s="266">
        <v>101.49000000000001</v>
      </c>
      <c r="C25" s="267">
        <v>5.1700000000000003E-2</v>
      </c>
      <c r="D25" s="266">
        <v>102.01</v>
      </c>
      <c r="E25" s="268">
        <v>6.2300000000000001E-2</v>
      </c>
      <c r="F25" s="266">
        <v>99.92</v>
      </c>
      <c r="G25" s="268">
        <v>6.2600000000000003E-2</v>
      </c>
      <c r="H25" s="266">
        <v>106.99000000000001</v>
      </c>
      <c r="I25" s="268">
        <v>6.8400000000000002E-2</v>
      </c>
    </row>
    <row r="26" spans="1:9" x14ac:dyDescent="0.35">
      <c r="A26" s="265">
        <v>44228</v>
      </c>
      <c r="B26" s="266">
        <v>101.61</v>
      </c>
      <c r="C26" s="267">
        <v>5.1500000000000004E-2</v>
      </c>
      <c r="D26" s="266">
        <v>102.47</v>
      </c>
      <c r="E26" s="267">
        <v>6.1700000000000005E-2</v>
      </c>
      <c r="F26" s="266">
        <v>100.05000000000001</v>
      </c>
      <c r="G26" s="267">
        <v>6.25E-2</v>
      </c>
      <c r="H26" s="266">
        <v>107.33</v>
      </c>
      <c r="I26" s="267">
        <v>6.8100000000000008E-2</v>
      </c>
    </row>
    <row r="27" spans="1:9" x14ac:dyDescent="0.35">
      <c r="A27" s="265">
        <v>44229</v>
      </c>
      <c r="B27" s="266">
        <v>101.63000000000001</v>
      </c>
      <c r="C27" s="267">
        <v>5.1400000000000001E-2</v>
      </c>
      <c r="D27" s="266">
        <v>102.74000000000001</v>
      </c>
      <c r="E27" s="267">
        <v>6.13E-2</v>
      </c>
      <c r="F27" s="266">
        <v>100.01</v>
      </c>
      <c r="G27" s="267">
        <v>6.25E-2</v>
      </c>
      <c r="H27" s="266">
        <v>107.53</v>
      </c>
      <c r="I27" s="267">
        <v>6.8000000000000005E-2</v>
      </c>
    </row>
    <row r="28" spans="1:9" x14ac:dyDescent="0.35">
      <c r="A28" s="265">
        <v>44230</v>
      </c>
      <c r="B28" s="266">
        <v>101.65</v>
      </c>
      <c r="C28" s="267">
        <v>5.1400000000000001E-2</v>
      </c>
      <c r="D28" s="266">
        <v>102.94000000000001</v>
      </c>
      <c r="E28" s="267">
        <v>6.1100000000000002E-2</v>
      </c>
      <c r="F28" s="266">
        <v>101.05000000000001</v>
      </c>
      <c r="G28" s="267">
        <v>6.1500000000000006E-2</v>
      </c>
      <c r="H28" s="266">
        <v>107.84</v>
      </c>
      <c r="I28" s="267">
        <v>6.7699999999999996E-2</v>
      </c>
    </row>
    <row r="29" spans="1:9" x14ac:dyDescent="0.35">
      <c r="A29" s="265">
        <v>44231</v>
      </c>
      <c r="B29" s="266">
        <v>101.60000000000001</v>
      </c>
      <c r="C29" s="267">
        <v>5.1500000000000004E-2</v>
      </c>
      <c r="D29" s="266">
        <v>102.85000000000001</v>
      </c>
      <c r="E29" s="267">
        <v>6.1200000000000004E-2</v>
      </c>
      <c r="F29" s="266">
        <v>101.44000000000001</v>
      </c>
      <c r="G29" s="267">
        <v>6.1100000000000002E-2</v>
      </c>
      <c r="H29" s="266">
        <v>107.47</v>
      </c>
      <c r="I29" s="267">
        <v>6.8000000000000005E-2</v>
      </c>
    </row>
    <row r="30" spans="1:9" x14ac:dyDescent="0.35">
      <c r="A30" s="265">
        <v>44232</v>
      </c>
      <c r="B30" s="266">
        <v>101.46000000000001</v>
      </c>
      <c r="C30" s="267">
        <v>5.1800000000000006E-2</v>
      </c>
      <c r="D30" s="266">
        <v>102.71000000000001</v>
      </c>
      <c r="E30" s="267">
        <v>6.1400000000000003E-2</v>
      </c>
      <c r="F30" s="266">
        <v>101.13000000000001</v>
      </c>
      <c r="G30" s="267">
        <v>6.1400000000000003E-2</v>
      </c>
      <c r="H30" s="266">
        <v>107.48</v>
      </c>
      <c r="I30" s="267">
        <v>6.8000000000000005E-2</v>
      </c>
    </row>
    <row r="31" spans="1:9" x14ac:dyDescent="0.35">
      <c r="A31" s="265">
        <v>44235</v>
      </c>
      <c r="B31" s="266">
        <v>101.49</v>
      </c>
      <c r="C31" s="267">
        <v>5.1700000000000003E-2</v>
      </c>
      <c r="D31" s="266">
        <v>102.69000000000001</v>
      </c>
      <c r="E31" s="267">
        <v>6.1400000000000003E-2</v>
      </c>
      <c r="F31" s="266">
        <v>101.13000000000001</v>
      </c>
      <c r="G31" s="267">
        <v>6.1400000000000003E-2</v>
      </c>
      <c r="H31" s="266">
        <v>107.47</v>
      </c>
      <c r="I31" s="267">
        <v>6.8000000000000005E-2</v>
      </c>
    </row>
    <row r="32" spans="1:9" x14ac:dyDescent="0.35">
      <c r="A32" s="265">
        <v>44236</v>
      </c>
      <c r="B32" s="266">
        <v>101.16000000000001</v>
      </c>
      <c r="C32" s="267">
        <v>5.2400000000000002E-2</v>
      </c>
      <c r="D32" s="266">
        <v>102.22</v>
      </c>
      <c r="E32" s="267">
        <v>6.2E-2</v>
      </c>
      <c r="F32" s="266">
        <v>100.78</v>
      </c>
      <c r="G32" s="267">
        <v>6.1700000000000005E-2</v>
      </c>
      <c r="H32" s="266">
        <v>106.99000000000001</v>
      </c>
      <c r="I32" s="267">
        <v>6.8400000000000002E-2</v>
      </c>
    </row>
    <row r="33" spans="1:9" x14ac:dyDescent="0.35">
      <c r="A33" s="265">
        <v>44237</v>
      </c>
      <c r="B33" s="266">
        <v>101.16000000000001</v>
      </c>
      <c r="C33" s="267">
        <v>5.2400000000000002E-2</v>
      </c>
      <c r="D33" s="266">
        <v>102.22</v>
      </c>
      <c r="E33" s="267">
        <v>6.2E-2</v>
      </c>
      <c r="F33" s="266">
        <v>100.30000000000001</v>
      </c>
      <c r="G33" s="267">
        <v>6.2200000000000005E-2</v>
      </c>
      <c r="H33" s="266">
        <v>106.92</v>
      </c>
      <c r="I33" s="267">
        <v>6.8500000000000005E-2</v>
      </c>
    </row>
    <row r="34" spans="1:9" x14ac:dyDescent="0.35">
      <c r="A34" s="265">
        <v>44238</v>
      </c>
      <c r="B34" s="266">
        <v>101.19000000000001</v>
      </c>
      <c r="C34" s="267">
        <v>5.2400000000000002E-2</v>
      </c>
      <c r="D34" s="266">
        <v>102.23</v>
      </c>
      <c r="E34" s="267">
        <v>6.2E-2</v>
      </c>
      <c r="F34" s="266">
        <v>100.37</v>
      </c>
      <c r="G34" s="267">
        <v>6.2200000000000005E-2</v>
      </c>
      <c r="H34" s="266">
        <v>106.87</v>
      </c>
      <c r="I34" s="267">
        <v>6.8500000000000005E-2</v>
      </c>
    </row>
    <row r="35" spans="1:9" x14ac:dyDescent="0.35">
      <c r="A35" s="265">
        <v>44242</v>
      </c>
      <c r="B35" s="266">
        <v>101.23</v>
      </c>
      <c r="C35" s="268">
        <v>5.2300000000000006E-2</v>
      </c>
      <c r="D35" s="266">
        <v>102.28</v>
      </c>
      <c r="E35" s="268">
        <v>6.2E-2</v>
      </c>
      <c r="F35" s="266">
        <v>100.37</v>
      </c>
      <c r="G35" s="268">
        <v>6.2200000000000005E-2</v>
      </c>
      <c r="H35" s="266">
        <v>106.79</v>
      </c>
      <c r="I35" s="268">
        <v>6.8600000000000008E-2</v>
      </c>
    </row>
    <row r="36" spans="1:9" x14ac:dyDescent="0.35">
      <c r="A36" s="265">
        <v>44243</v>
      </c>
      <c r="B36" s="266">
        <v>101</v>
      </c>
      <c r="C36" s="268">
        <v>5.28E-2</v>
      </c>
      <c r="D36" s="266">
        <v>101.91</v>
      </c>
      <c r="E36" s="268">
        <v>6.25E-2</v>
      </c>
      <c r="F36" s="266">
        <v>100.2</v>
      </c>
      <c r="G36" s="268">
        <v>6.2300000000000001E-2</v>
      </c>
      <c r="H36" s="266">
        <v>106.66000000000001</v>
      </c>
      <c r="I36" s="268">
        <v>6.8699999999999997E-2</v>
      </c>
    </row>
    <row r="37" spans="1:9" x14ac:dyDescent="0.35">
      <c r="A37" s="265">
        <v>44244</v>
      </c>
      <c r="B37" s="266">
        <v>100.77000000000001</v>
      </c>
      <c r="C37" s="268">
        <v>5.33E-2</v>
      </c>
      <c r="D37" s="266">
        <v>101.46000000000001</v>
      </c>
      <c r="E37" s="268">
        <v>6.3100000000000003E-2</v>
      </c>
      <c r="F37" s="266">
        <v>99.87</v>
      </c>
      <c r="G37" s="268">
        <v>6.2700000000000006E-2</v>
      </c>
      <c r="H37" s="266">
        <v>106.35000000000001</v>
      </c>
      <c r="I37" s="268">
        <v>6.9000000000000006E-2</v>
      </c>
    </row>
    <row r="38" spans="1:9" x14ac:dyDescent="0.35">
      <c r="A38" s="265">
        <v>44245</v>
      </c>
      <c r="B38" s="266">
        <v>100.09</v>
      </c>
      <c r="C38" s="268">
        <v>5.4800000000000001E-2</v>
      </c>
      <c r="D38" s="266">
        <v>100.29</v>
      </c>
      <c r="E38" s="268">
        <v>6.4600000000000005E-2</v>
      </c>
      <c r="F38" s="266">
        <v>99.67</v>
      </c>
      <c r="G38" s="268">
        <v>6.2899999999999998E-2</v>
      </c>
      <c r="H38" s="266">
        <v>105.17</v>
      </c>
      <c r="I38" s="268">
        <v>7.0099999999999996E-2</v>
      </c>
    </row>
    <row r="39" spans="1:9" x14ac:dyDescent="0.35">
      <c r="A39" s="265">
        <v>44246</v>
      </c>
      <c r="B39" s="266">
        <v>99.64</v>
      </c>
      <c r="C39" s="268">
        <v>5.5800000000000002E-2</v>
      </c>
      <c r="D39" s="266">
        <v>99.7</v>
      </c>
      <c r="E39" s="268">
        <v>6.5500000000000003E-2</v>
      </c>
      <c r="F39" s="266">
        <v>99.78</v>
      </c>
      <c r="G39" s="268">
        <v>6.2800000000000009E-2</v>
      </c>
      <c r="H39" s="266">
        <v>104.84</v>
      </c>
      <c r="I39" s="268">
        <v>7.0400000000000004E-2</v>
      </c>
    </row>
    <row r="40" spans="1:9" x14ac:dyDescent="0.35">
      <c r="A40" s="265">
        <v>44249</v>
      </c>
      <c r="B40" s="266">
        <v>99.51</v>
      </c>
      <c r="C40" s="267">
        <v>5.6100000000000004E-2</v>
      </c>
      <c r="D40" s="266">
        <v>99.64</v>
      </c>
      <c r="E40" s="267">
        <v>6.5500000000000003E-2</v>
      </c>
      <c r="F40" s="266">
        <v>99.5</v>
      </c>
      <c r="G40" s="267">
        <v>6.3100000000000003E-2</v>
      </c>
      <c r="H40" s="266">
        <v>103.55000000000001</v>
      </c>
      <c r="I40" s="267">
        <v>7.1599999999999997E-2</v>
      </c>
    </row>
    <row r="41" spans="1:9" x14ac:dyDescent="0.35">
      <c r="A41" s="265">
        <v>44250</v>
      </c>
      <c r="B41" s="266">
        <v>98.59</v>
      </c>
      <c r="C41" s="267">
        <v>5.8200000000000002E-2</v>
      </c>
      <c r="D41" s="266">
        <v>99</v>
      </c>
      <c r="E41" s="267">
        <v>6.6400000000000001E-2</v>
      </c>
      <c r="F41" s="266">
        <v>99.08</v>
      </c>
      <c r="G41" s="267">
        <v>6.3500000000000001E-2</v>
      </c>
      <c r="H41" s="266">
        <v>102.65</v>
      </c>
      <c r="I41" s="267">
        <v>7.2500000000000009E-2</v>
      </c>
    </row>
    <row r="42" spans="1:9" x14ac:dyDescent="0.35">
      <c r="A42" s="265">
        <v>44251</v>
      </c>
      <c r="B42" s="266">
        <v>99.56</v>
      </c>
      <c r="C42" s="267">
        <v>5.6000000000000001E-2</v>
      </c>
      <c r="D42" s="266">
        <v>100.15</v>
      </c>
      <c r="E42" s="267">
        <v>6.4799999999999996E-2</v>
      </c>
      <c r="F42" s="266">
        <v>99.68</v>
      </c>
      <c r="G42" s="267">
        <v>6.2899999999999998E-2</v>
      </c>
      <c r="H42" s="266">
        <v>103.35</v>
      </c>
      <c r="I42" s="267">
        <v>7.1800000000000003E-2</v>
      </c>
    </row>
    <row r="43" spans="1:9" x14ac:dyDescent="0.35">
      <c r="A43" s="265">
        <v>44252</v>
      </c>
      <c r="B43" s="266">
        <v>99.570000000000007</v>
      </c>
      <c r="C43" s="267">
        <v>5.6000000000000001E-2</v>
      </c>
      <c r="D43" s="266">
        <v>100.08</v>
      </c>
      <c r="E43" s="267">
        <v>6.4899999999999999E-2</v>
      </c>
      <c r="F43" s="266">
        <v>99.12</v>
      </c>
      <c r="G43" s="267">
        <v>6.3399999999999998E-2</v>
      </c>
      <c r="H43" s="266">
        <v>103.71000000000001</v>
      </c>
      <c r="I43" s="267">
        <v>7.1500000000000008E-2</v>
      </c>
    </row>
    <row r="44" spans="1:9" x14ac:dyDescent="0.35">
      <c r="A44" s="265">
        <v>44253</v>
      </c>
      <c r="B44" s="266">
        <v>99.08</v>
      </c>
      <c r="C44" s="267">
        <v>5.7100000000000005E-2</v>
      </c>
      <c r="D44" s="266">
        <v>98.92</v>
      </c>
      <c r="E44" s="267">
        <v>6.6500000000000004E-2</v>
      </c>
      <c r="F44" s="266">
        <v>98.9</v>
      </c>
      <c r="G44" s="267">
        <v>6.3700000000000007E-2</v>
      </c>
      <c r="H44" s="266">
        <v>102.55000000000001</v>
      </c>
      <c r="I44" s="267">
        <v>7.2599999999999998E-2</v>
      </c>
    </row>
    <row r="45" spans="1:9" x14ac:dyDescent="0.35">
      <c r="A45" s="265">
        <v>44256</v>
      </c>
      <c r="B45" s="266">
        <v>99.33</v>
      </c>
      <c r="C45" s="267">
        <v>5.6600000000000004E-2</v>
      </c>
      <c r="D45" s="266">
        <v>99.490000000000009</v>
      </c>
      <c r="E45" s="267">
        <v>6.5799999999999997E-2</v>
      </c>
      <c r="F45" s="266">
        <v>99.100000000000009</v>
      </c>
      <c r="G45" s="267">
        <v>6.3500000000000001E-2</v>
      </c>
      <c r="H45" s="266">
        <v>103</v>
      </c>
      <c r="I45" s="267">
        <v>7.2099999999999997E-2</v>
      </c>
    </row>
    <row r="46" spans="1:9" x14ac:dyDescent="0.35">
      <c r="A46" s="265">
        <v>44257</v>
      </c>
      <c r="B46" s="266">
        <v>99.33</v>
      </c>
      <c r="C46" s="267">
        <v>5.6600000000000004E-2</v>
      </c>
      <c r="D46" s="266">
        <v>99.490000000000009</v>
      </c>
      <c r="E46" s="267">
        <v>6.5700000000000008E-2</v>
      </c>
      <c r="F46" s="266">
        <v>99.100000000000009</v>
      </c>
      <c r="G46" s="267">
        <v>6.3500000000000001E-2</v>
      </c>
      <c r="H46" s="266">
        <v>103</v>
      </c>
      <c r="I46" s="267">
        <v>7.2099999999999997E-2</v>
      </c>
    </row>
    <row r="47" spans="1:9" x14ac:dyDescent="0.35">
      <c r="A47" s="265">
        <v>44258</v>
      </c>
      <c r="B47" s="266">
        <v>99.350000000000009</v>
      </c>
      <c r="C47" s="267">
        <v>5.6500000000000002E-2</v>
      </c>
      <c r="D47" s="266">
        <v>99.51</v>
      </c>
      <c r="E47" s="267">
        <v>6.5700000000000008E-2</v>
      </c>
      <c r="F47" s="266">
        <v>98.98</v>
      </c>
      <c r="G47" s="267">
        <v>6.3600000000000004E-2</v>
      </c>
      <c r="H47" s="266">
        <v>102.93</v>
      </c>
      <c r="I47" s="267">
        <v>7.22E-2</v>
      </c>
    </row>
    <row r="48" spans="1:9" x14ac:dyDescent="0.35">
      <c r="A48" s="265">
        <v>44259</v>
      </c>
      <c r="B48" s="266">
        <v>99.42</v>
      </c>
      <c r="C48" s="267">
        <v>5.6400000000000006E-2</v>
      </c>
      <c r="D48" s="266">
        <v>99.67</v>
      </c>
      <c r="E48" s="267">
        <v>6.5500000000000003E-2</v>
      </c>
      <c r="F48" s="266">
        <v>99.27000000000001</v>
      </c>
      <c r="G48" s="267">
        <v>6.3300000000000009E-2</v>
      </c>
      <c r="H48" s="266">
        <v>103.01</v>
      </c>
      <c r="I48" s="267">
        <v>7.2099999999999997E-2</v>
      </c>
    </row>
    <row r="49" spans="1:9" x14ac:dyDescent="0.35">
      <c r="A49" s="265">
        <v>44260</v>
      </c>
      <c r="B49" s="266">
        <v>99.31</v>
      </c>
      <c r="C49" s="267">
        <v>5.6600000000000004E-2</v>
      </c>
      <c r="D49" s="266">
        <v>99.320000000000007</v>
      </c>
      <c r="E49" s="267">
        <v>6.6000000000000003E-2</v>
      </c>
      <c r="F49" s="266">
        <v>98.88000000000001</v>
      </c>
      <c r="G49" s="267">
        <v>6.3700000000000007E-2</v>
      </c>
      <c r="H49" s="266">
        <v>102.75</v>
      </c>
      <c r="I49" s="267">
        <v>7.2400000000000006E-2</v>
      </c>
    </row>
    <row r="50" spans="1:9" x14ac:dyDescent="0.35">
      <c r="A50" s="265">
        <v>44263</v>
      </c>
      <c r="B50" s="266">
        <v>98.76</v>
      </c>
      <c r="C50" s="267">
        <v>5.79E-2</v>
      </c>
      <c r="D50" s="266">
        <v>98.65</v>
      </c>
      <c r="E50" s="267">
        <v>6.6900000000000001E-2</v>
      </c>
      <c r="F50" s="266">
        <v>98.59</v>
      </c>
      <c r="G50" s="267">
        <v>6.4000000000000001E-2</v>
      </c>
      <c r="H50" s="266">
        <v>101.86</v>
      </c>
      <c r="I50" s="267">
        <v>7.3200000000000001E-2</v>
      </c>
    </row>
    <row r="51" spans="1:9" x14ac:dyDescent="0.35">
      <c r="A51" s="265">
        <v>44264</v>
      </c>
      <c r="B51" s="266">
        <v>98.25</v>
      </c>
      <c r="C51" s="267">
        <v>5.91E-2</v>
      </c>
      <c r="D51" s="266">
        <v>97.850000000000009</v>
      </c>
      <c r="E51" s="267">
        <v>6.8100000000000008E-2</v>
      </c>
      <c r="F51" s="266">
        <v>97.72</v>
      </c>
      <c r="G51" s="267">
        <v>6.4899999999999999E-2</v>
      </c>
      <c r="H51" s="266">
        <v>100.53</v>
      </c>
      <c r="I51" s="267">
        <v>7.4499999999999997E-2</v>
      </c>
    </row>
    <row r="52" spans="1:9" x14ac:dyDescent="0.35">
      <c r="A52" s="265">
        <v>44265</v>
      </c>
      <c r="B52" s="266">
        <v>98.210000000000008</v>
      </c>
      <c r="C52" s="267">
        <v>5.9200000000000003E-2</v>
      </c>
      <c r="D52" s="266">
        <v>98.18</v>
      </c>
      <c r="E52" s="267">
        <v>6.7600000000000007E-2</v>
      </c>
      <c r="F52" s="266">
        <v>98.1</v>
      </c>
      <c r="G52" s="267">
        <v>6.4500000000000002E-2</v>
      </c>
      <c r="H52" s="266">
        <v>100.4</v>
      </c>
      <c r="I52" s="267">
        <v>7.46E-2</v>
      </c>
    </row>
    <row r="53" spans="1:9" x14ac:dyDescent="0.35">
      <c r="A53" s="265">
        <v>44267</v>
      </c>
      <c r="B53" s="266">
        <v>98.550000000000011</v>
      </c>
      <c r="C53" s="267">
        <v>5.8400000000000001E-2</v>
      </c>
      <c r="D53" s="266">
        <v>98.63000000000001</v>
      </c>
      <c r="E53" s="267">
        <v>6.7000000000000004E-2</v>
      </c>
      <c r="F53" s="266">
        <v>98.33</v>
      </c>
      <c r="G53" s="267">
        <v>6.4299999999999996E-2</v>
      </c>
      <c r="H53" s="266">
        <v>100.61</v>
      </c>
      <c r="I53" s="267">
        <v>7.4400000000000008E-2</v>
      </c>
    </row>
    <row r="54" spans="1:9" x14ac:dyDescent="0.35">
      <c r="A54" s="265">
        <v>44270</v>
      </c>
      <c r="B54" s="266">
        <v>98.39</v>
      </c>
      <c r="C54" s="267">
        <v>5.8700000000000002E-2</v>
      </c>
      <c r="D54" s="266">
        <v>98.34</v>
      </c>
      <c r="E54" s="267">
        <v>6.7400000000000002E-2</v>
      </c>
      <c r="F54" s="266">
        <v>98.17</v>
      </c>
      <c r="G54" s="267">
        <v>6.4399999999999999E-2</v>
      </c>
      <c r="H54" s="266">
        <v>100.78</v>
      </c>
      <c r="I54" s="267">
        <v>7.4300000000000005E-2</v>
      </c>
    </row>
    <row r="55" spans="1:9" x14ac:dyDescent="0.35">
      <c r="A55" s="265">
        <v>44271</v>
      </c>
      <c r="B55" s="266">
        <v>98.58</v>
      </c>
      <c r="C55" s="267">
        <v>5.8300000000000005E-2</v>
      </c>
      <c r="D55" s="266">
        <v>98.460000000000008</v>
      </c>
      <c r="E55" s="267">
        <v>6.720000000000001E-2</v>
      </c>
      <c r="F55" s="266">
        <v>98.050000000000011</v>
      </c>
      <c r="G55" s="267">
        <v>6.4600000000000005E-2</v>
      </c>
      <c r="H55" s="266">
        <v>100.54</v>
      </c>
      <c r="I55" s="267">
        <v>7.4499999999999997E-2</v>
      </c>
    </row>
    <row r="56" spans="1:9" x14ac:dyDescent="0.35">
      <c r="A56" s="265">
        <v>44272</v>
      </c>
      <c r="B56" s="266">
        <v>98.22</v>
      </c>
      <c r="C56" s="267">
        <v>5.91E-2</v>
      </c>
      <c r="D56" s="266">
        <v>98.210000000000008</v>
      </c>
      <c r="E56" s="267">
        <v>6.7500000000000004E-2</v>
      </c>
      <c r="F56" s="266">
        <v>97.100000000000009</v>
      </c>
      <c r="G56" s="267">
        <v>6.5600000000000006E-2</v>
      </c>
      <c r="H56" s="266">
        <v>100.45</v>
      </c>
      <c r="I56" s="267">
        <v>7.46E-2</v>
      </c>
    </row>
    <row r="57" spans="1:9" x14ac:dyDescent="0.35">
      <c r="A57" s="265">
        <v>44273</v>
      </c>
      <c r="B57" s="266">
        <v>98.37</v>
      </c>
      <c r="C57" s="267">
        <v>5.8800000000000005E-2</v>
      </c>
      <c r="D57" s="266">
        <v>98.51</v>
      </c>
      <c r="E57" s="267">
        <v>6.7100000000000007E-2</v>
      </c>
      <c r="F57" s="266">
        <v>97.37</v>
      </c>
      <c r="G57" s="267">
        <v>6.5299999999999997E-2</v>
      </c>
      <c r="H57" s="266">
        <v>100.81</v>
      </c>
      <c r="I57" s="267">
        <v>7.4200000000000002E-2</v>
      </c>
    </row>
    <row r="58" spans="1:9" x14ac:dyDescent="0.35">
      <c r="A58" s="265">
        <v>44274</v>
      </c>
      <c r="B58" s="266">
        <v>98.050000000000011</v>
      </c>
      <c r="C58" s="267">
        <v>5.96E-2</v>
      </c>
      <c r="D58" s="266">
        <v>97.78</v>
      </c>
      <c r="E58" s="267">
        <v>6.8199999999999997E-2</v>
      </c>
      <c r="F58" s="266">
        <v>96.820000000000007</v>
      </c>
      <c r="G58" s="267">
        <v>6.59E-2</v>
      </c>
      <c r="H58" s="266">
        <v>100.32000000000001</v>
      </c>
      <c r="I58" s="267">
        <v>7.4700000000000003E-2</v>
      </c>
    </row>
    <row r="59" spans="1:9" x14ac:dyDescent="0.35">
      <c r="A59" s="265">
        <v>44277</v>
      </c>
      <c r="B59" s="266">
        <v>98.1</v>
      </c>
      <c r="C59" s="268">
        <v>5.9400000000000001E-2</v>
      </c>
      <c r="D59" s="266">
        <v>97.990000000000009</v>
      </c>
      <c r="E59" s="268">
        <v>6.7900000000000002E-2</v>
      </c>
      <c r="F59" s="266">
        <v>96.72</v>
      </c>
      <c r="G59" s="268">
        <v>6.6000000000000003E-2</v>
      </c>
      <c r="H59" s="266">
        <v>100.28</v>
      </c>
      <c r="I59" s="268">
        <v>7.4800000000000005E-2</v>
      </c>
    </row>
    <row r="60" spans="1:9" x14ac:dyDescent="0.35">
      <c r="A60" s="265">
        <v>44278</v>
      </c>
      <c r="B60" s="266">
        <v>98.28</v>
      </c>
      <c r="C60" s="268">
        <v>5.9000000000000004E-2</v>
      </c>
      <c r="D60" s="266">
        <v>98.29</v>
      </c>
      <c r="E60" s="268">
        <v>6.7400000000000002E-2</v>
      </c>
      <c r="F60" s="266">
        <v>96.92</v>
      </c>
      <c r="G60" s="268">
        <v>6.5799999999999997E-2</v>
      </c>
      <c r="H60" s="266">
        <v>100.59</v>
      </c>
      <c r="I60" s="268">
        <v>7.4499999999999997E-2</v>
      </c>
    </row>
    <row r="61" spans="1:9" x14ac:dyDescent="0.35">
      <c r="A61" s="265">
        <v>44279</v>
      </c>
      <c r="B61" s="266">
        <v>98.79</v>
      </c>
      <c r="C61" s="268">
        <v>5.7800000000000004E-2</v>
      </c>
      <c r="D61" s="266">
        <v>98.59</v>
      </c>
      <c r="E61" s="268">
        <v>6.7000000000000004E-2</v>
      </c>
      <c r="F61" s="266">
        <v>97.100000000000009</v>
      </c>
      <c r="G61" s="268">
        <v>6.5600000000000006E-2</v>
      </c>
      <c r="H61" s="266">
        <v>100.91</v>
      </c>
      <c r="I61" s="268">
        <v>7.4099999999999999E-2</v>
      </c>
    </row>
    <row r="62" spans="1:9" x14ac:dyDescent="0.35">
      <c r="A62" s="265">
        <v>44280</v>
      </c>
      <c r="B62" s="266">
        <v>98.63000000000001</v>
      </c>
      <c r="C62" s="268">
        <v>5.8200000000000002E-2</v>
      </c>
      <c r="D62" s="266">
        <v>98.660000000000011</v>
      </c>
      <c r="E62" s="268">
        <v>6.6900000000000001E-2</v>
      </c>
      <c r="F62" s="266">
        <v>96.95</v>
      </c>
      <c r="G62" s="268">
        <v>6.5700000000000008E-2</v>
      </c>
      <c r="H62" s="266">
        <v>100.80000000000001</v>
      </c>
      <c r="I62" s="268">
        <v>7.4300000000000005E-2</v>
      </c>
    </row>
    <row r="63" spans="1:9" x14ac:dyDescent="0.35">
      <c r="A63" s="265">
        <v>44281</v>
      </c>
      <c r="B63" s="266">
        <v>98.65</v>
      </c>
      <c r="C63" s="268">
        <v>5.8200000000000002E-2</v>
      </c>
      <c r="D63" s="266">
        <v>98.570000000000007</v>
      </c>
      <c r="E63" s="268">
        <v>6.7000000000000004E-2</v>
      </c>
      <c r="F63" s="266">
        <v>96.81</v>
      </c>
      <c r="G63" s="268">
        <v>6.59E-2</v>
      </c>
      <c r="H63" s="266">
        <v>100.66000000000001</v>
      </c>
      <c r="I63" s="268">
        <v>7.4400000000000008E-2</v>
      </c>
    </row>
    <row r="64" spans="1:9" x14ac:dyDescent="0.35">
      <c r="A64" s="265">
        <v>44284</v>
      </c>
      <c r="B64" s="270">
        <v>98.53</v>
      </c>
      <c r="C64" s="267">
        <v>5.8500000000000003E-2</v>
      </c>
      <c r="D64" s="270">
        <v>98.570000000000007</v>
      </c>
      <c r="E64" s="267">
        <v>6.7000000000000004E-2</v>
      </c>
      <c r="F64" s="270">
        <v>96.77</v>
      </c>
      <c r="G64" s="267">
        <v>6.59E-2</v>
      </c>
      <c r="H64" s="270">
        <v>100.27000000000001</v>
      </c>
      <c r="I64" s="267">
        <v>7.4800000000000005E-2</v>
      </c>
    </row>
    <row r="65" spans="1:9" x14ac:dyDescent="0.35">
      <c r="A65" s="265">
        <v>44285</v>
      </c>
      <c r="B65" s="270">
        <v>98.4</v>
      </c>
      <c r="C65" s="267">
        <v>5.8800000000000005E-2</v>
      </c>
      <c r="D65" s="270">
        <v>98.27000000000001</v>
      </c>
      <c r="E65" s="267">
        <v>6.7500000000000004E-2</v>
      </c>
      <c r="F65" s="270">
        <v>96.68</v>
      </c>
      <c r="G65" s="267">
        <v>6.6000000000000003E-2</v>
      </c>
      <c r="H65" s="270">
        <v>100.07000000000001</v>
      </c>
      <c r="I65" s="267">
        <v>7.4999999999999997E-2</v>
      </c>
    </row>
    <row r="66" spans="1:9" x14ac:dyDescent="0.35">
      <c r="A66" s="265">
        <v>44286</v>
      </c>
      <c r="B66" s="270">
        <v>98.29</v>
      </c>
      <c r="C66" s="267">
        <v>5.9000000000000004E-2</v>
      </c>
      <c r="D66" s="270">
        <v>98.06</v>
      </c>
      <c r="E66" s="267">
        <v>6.7799999999999999E-2</v>
      </c>
      <c r="F66" s="270">
        <v>96.45</v>
      </c>
      <c r="G66" s="267">
        <v>6.6299999999999998E-2</v>
      </c>
      <c r="H66" s="270">
        <v>100.06</v>
      </c>
      <c r="I66" s="267">
        <v>7.4999999999999997E-2</v>
      </c>
    </row>
    <row r="67" spans="1:9" x14ac:dyDescent="0.35">
      <c r="A67" s="265">
        <v>44287</v>
      </c>
      <c r="B67" s="270">
        <v>98.41</v>
      </c>
      <c r="C67" s="267">
        <v>5.8700000000000002E-2</v>
      </c>
      <c r="D67" s="270">
        <v>98.26</v>
      </c>
      <c r="E67" s="267">
        <v>6.7500000000000004E-2</v>
      </c>
      <c r="F67" s="270">
        <v>96.7</v>
      </c>
      <c r="G67" s="267">
        <v>6.6000000000000003E-2</v>
      </c>
      <c r="H67" s="270">
        <v>100.5</v>
      </c>
      <c r="I67" s="267">
        <v>7.46E-2</v>
      </c>
    </row>
    <row r="68" spans="1:9" x14ac:dyDescent="0.35">
      <c r="A68" s="265">
        <v>44291</v>
      </c>
      <c r="B68" s="270">
        <v>98.62</v>
      </c>
      <c r="C68" s="267">
        <v>5.8300000000000005E-2</v>
      </c>
      <c r="D68" s="270">
        <v>98.68</v>
      </c>
      <c r="E68" s="267">
        <v>6.6900000000000001E-2</v>
      </c>
      <c r="F68" s="270">
        <v>96.81</v>
      </c>
      <c r="G68" s="267">
        <v>6.59E-2</v>
      </c>
      <c r="H68" s="270">
        <v>101.38000000000001</v>
      </c>
      <c r="I68" s="267">
        <v>7.3700000000000002E-2</v>
      </c>
    </row>
    <row r="69" spans="1:9" x14ac:dyDescent="0.35">
      <c r="A69" s="265">
        <v>44292</v>
      </c>
      <c r="B69" s="270">
        <v>98.87</v>
      </c>
      <c r="C69" s="267">
        <v>5.7700000000000001E-2</v>
      </c>
      <c r="D69" s="270">
        <v>99.570000000000007</v>
      </c>
      <c r="E69" s="267">
        <v>6.5600000000000006E-2</v>
      </c>
      <c r="F69" s="270">
        <v>97.070000000000007</v>
      </c>
      <c r="G69" s="267">
        <v>6.5600000000000006E-2</v>
      </c>
      <c r="H69" s="270">
        <v>101.77000000000001</v>
      </c>
      <c r="I69" s="267">
        <v>7.3300000000000004E-2</v>
      </c>
    </row>
    <row r="70" spans="1:9" x14ac:dyDescent="0.35">
      <c r="A70" s="265">
        <v>44293</v>
      </c>
      <c r="B70" s="270">
        <v>99.06</v>
      </c>
      <c r="C70" s="267">
        <v>5.7200000000000001E-2</v>
      </c>
      <c r="D70" s="270">
        <v>99.78</v>
      </c>
      <c r="E70" s="267">
        <v>6.5299999999999997E-2</v>
      </c>
      <c r="F70" s="270">
        <v>97.23</v>
      </c>
      <c r="G70" s="267">
        <v>6.54E-2</v>
      </c>
      <c r="H70" s="270">
        <v>101.99000000000001</v>
      </c>
      <c r="I70" s="267">
        <v>7.3099999999999998E-2</v>
      </c>
    </row>
    <row r="71" spans="1:9" x14ac:dyDescent="0.35">
      <c r="A71" s="265">
        <v>44294</v>
      </c>
      <c r="B71" s="270">
        <v>99.440000000000012</v>
      </c>
      <c r="C71" s="267">
        <v>5.6300000000000003E-2</v>
      </c>
      <c r="D71" s="270">
        <v>100.5</v>
      </c>
      <c r="E71" s="267">
        <v>6.4299999999999996E-2</v>
      </c>
      <c r="F71" s="270">
        <v>97.84</v>
      </c>
      <c r="G71" s="267">
        <v>6.4799999999999996E-2</v>
      </c>
      <c r="H71" s="270">
        <v>102.42</v>
      </c>
      <c r="I71" s="267">
        <v>7.2700000000000001E-2</v>
      </c>
    </row>
    <row r="72" spans="1:9" x14ac:dyDescent="0.35">
      <c r="A72" s="265">
        <v>44295</v>
      </c>
      <c r="B72" s="270">
        <v>99.58</v>
      </c>
      <c r="C72" s="267">
        <v>5.6000000000000001E-2</v>
      </c>
      <c r="D72" s="270">
        <v>100.58</v>
      </c>
      <c r="E72" s="267">
        <v>6.4200000000000007E-2</v>
      </c>
      <c r="F72" s="270">
        <v>98.2</v>
      </c>
      <c r="G72" s="267">
        <v>6.4399999999999999E-2</v>
      </c>
      <c r="H72" s="270">
        <v>102.87</v>
      </c>
      <c r="I72" s="267">
        <v>7.22E-2</v>
      </c>
    </row>
    <row r="73" spans="1:9" x14ac:dyDescent="0.35">
      <c r="A73" s="265">
        <v>44298</v>
      </c>
      <c r="B73" s="270">
        <v>99.46</v>
      </c>
      <c r="C73" s="267">
        <v>5.6300000000000003E-2</v>
      </c>
      <c r="D73" s="270">
        <v>100.44000000000001</v>
      </c>
      <c r="E73" s="267">
        <v>6.4399999999999999E-2</v>
      </c>
      <c r="F73" s="270">
        <v>98.160000000000011</v>
      </c>
      <c r="G73" s="267">
        <v>6.4500000000000002E-2</v>
      </c>
      <c r="H73" s="270">
        <v>102.83</v>
      </c>
      <c r="I73" s="267">
        <v>7.2300000000000003E-2</v>
      </c>
    </row>
    <row r="74" spans="1:9" x14ac:dyDescent="0.35">
      <c r="A74" s="265">
        <v>44299</v>
      </c>
      <c r="B74" s="270">
        <v>99.28</v>
      </c>
      <c r="C74" s="267">
        <v>5.67E-2</v>
      </c>
      <c r="D74" s="270">
        <v>100.05000000000001</v>
      </c>
      <c r="E74" s="267">
        <v>6.5000000000000002E-2</v>
      </c>
      <c r="F74" s="270">
        <v>98.39</v>
      </c>
      <c r="G74" s="267">
        <v>6.4200000000000007E-2</v>
      </c>
      <c r="H74" s="270">
        <v>102.64</v>
      </c>
      <c r="I74" s="267">
        <v>7.2500000000000009E-2</v>
      </c>
    </row>
    <row r="75" spans="1:9" x14ac:dyDescent="0.35">
      <c r="A75" s="265">
        <v>44300</v>
      </c>
      <c r="B75" s="270">
        <v>98.81</v>
      </c>
      <c r="C75" s="267">
        <v>5.7800000000000004E-2</v>
      </c>
      <c r="D75" s="270">
        <v>99.52000000000001</v>
      </c>
      <c r="E75" s="267">
        <v>6.5700000000000008E-2</v>
      </c>
      <c r="F75" s="270">
        <v>97.460000000000008</v>
      </c>
      <c r="G75" s="267">
        <v>6.5200000000000008E-2</v>
      </c>
      <c r="H75" s="270">
        <v>101.88</v>
      </c>
      <c r="I75" s="267">
        <v>7.3200000000000001E-2</v>
      </c>
    </row>
    <row r="76" spans="1:9" x14ac:dyDescent="0.35">
      <c r="A76" s="265">
        <v>44301</v>
      </c>
      <c r="B76" s="270">
        <v>98.820000000000007</v>
      </c>
      <c r="C76" s="267">
        <v>5.7800000000000004E-2</v>
      </c>
      <c r="D76" s="270">
        <v>99.600000000000009</v>
      </c>
      <c r="E76" s="267">
        <v>6.5600000000000006E-2</v>
      </c>
      <c r="F76" s="270">
        <v>97.240000000000009</v>
      </c>
      <c r="G76" s="267">
        <v>6.54E-2</v>
      </c>
      <c r="H76" s="270">
        <v>101.93</v>
      </c>
      <c r="I76" s="267">
        <v>7.3200000000000001E-2</v>
      </c>
    </row>
    <row r="77" spans="1:9" x14ac:dyDescent="0.35">
      <c r="A77" s="265">
        <v>44302</v>
      </c>
      <c r="B77" s="270">
        <v>99.11</v>
      </c>
      <c r="C77" s="267">
        <v>5.7100000000000005E-2</v>
      </c>
      <c r="D77" s="270">
        <v>100.04</v>
      </c>
      <c r="E77" s="267">
        <v>6.5000000000000002E-2</v>
      </c>
      <c r="F77" s="270">
        <v>97.490000000000009</v>
      </c>
      <c r="G77" s="267">
        <v>6.5200000000000008E-2</v>
      </c>
      <c r="H77" s="270">
        <v>102.3</v>
      </c>
      <c r="I77" s="267">
        <v>7.2800000000000004E-2</v>
      </c>
    </row>
    <row r="78" spans="1:9" x14ac:dyDescent="0.35">
      <c r="A78" s="265">
        <v>44305</v>
      </c>
      <c r="B78" s="271">
        <v>99.36</v>
      </c>
      <c r="C78" s="272">
        <v>5.6500000000000002E-2</v>
      </c>
      <c r="D78" s="271">
        <v>99.36</v>
      </c>
      <c r="E78" s="272">
        <v>6.4600000000000005E-2</v>
      </c>
      <c r="F78" s="271">
        <v>97.850000000000009</v>
      </c>
      <c r="G78" s="272">
        <v>6.4799999999999996E-2</v>
      </c>
      <c r="H78" s="271">
        <v>102.49000000000001</v>
      </c>
      <c r="I78" s="272">
        <v>7.2599999999999998E-2</v>
      </c>
    </row>
    <row r="79" spans="1:9" x14ac:dyDescent="0.35">
      <c r="A79" s="265">
        <v>44306</v>
      </c>
      <c r="B79" s="271">
        <v>99.52000000000001</v>
      </c>
      <c r="C79" s="272">
        <v>5.62E-2</v>
      </c>
      <c r="D79" s="271">
        <v>99.52000000000001</v>
      </c>
      <c r="E79" s="272">
        <v>6.4200000000000007E-2</v>
      </c>
      <c r="F79" s="271">
        <v>98.070000000000007</v>
      </c>
      <c r="G79" s="272">
        <v>6.4600000000000005E-2</v>
      </c>
      <c r="H79" s="271">
        <v>102.65</v>
      </c>
      <c r="I79" s="272">
        <v>7.2500000000000009E-2</v>
      </c>
    </row>
    <row r="80" spans="1:9" x14ac:dyDescent="0.35">
      <c r="A80" s="265">
        <v>44307</v>
      </c>
      <c r="B80" s="271">
        <v>99.42</v>
      </c>
      <c r="C80" s="272">
        <v>5.6400000000000006E-2</v>
      </c>
      <c r="D80" s="271">
        <v>99.42</v>
      </c>
      <c r="E80" s="272">
        <v>6.4399999999999999E-2</v>
      </c>
      <c r="F80" s="271">
        <v>98.25</v>
      </c>
      <c r="G80" s="272">
        <v>6.4399999999999999E-2</v>
      </c>
      <c r="H80" s="271">
        <v>102.56</v>
      </c>
      <c r="I80" s="272">
        <v>7.2500000000000009E-2</v>
      </c>
    </row>
    <row r="81" spans="1:9" x14ac:dyDescent="0.35">
      <c r="A81" s="265">
        <v>44308</v>
      </c>
      <c r="B81" s="271">
        <v>99.53</v>
      </c>
      <c r="C81" s="272">
        <v>5.6100000000000004E-2</v>
      </c>
      <c r="D81" s="271">
        <v>99.53</v>
      </c>
      <c r="E81" s="272">
        <v>6.4200000000000007E-2</v>
      </c>
      <c r="F81" s="271">
        <v>98.440000000000012</v>
      </c>
      <c r="G81" s="272">
        <v>6.4200000000000007E-2</v>
      </c>
      <c r="H81" s="271">
        <v>102.80000000000001</v>
      </c>
      <c r="I81" s="272">
        <v>7.2300000000000003E-2</v>
      </c>
    </row>
    <row r="82" spans="1:9" x14ac:dyDescent="0.35">
      <c r="A82" s="265">
        <v>44309</v>
      </c>
      <c r="B82" s="271">
        <v>99.54</v>
      </c>
      <c r="C82" s="272">
        <v>5.6100000000000004E-2</v>
      </c>
      <c r="D82" s="271">
        <v>99.54</v>
      </c>
      <c r="E82" s="272">
        <v>6.4200000000000007E-2</v>
      </c>
      <c r="F82" s="271">
        <v>98.460000000000008</v>
      </c>
      <c r="G82" s="272">
        <v>6.4100000000000004E-2</v>
      </c>
      <c r="H82" s="271">
        <v>102.95</v>
      </c>
      <c r="I82" s="272">
        <v>7.22E-2</v>
      </c>
    </row>
    <row r="83" spans="1:9" x14ac:dyDescent="0.35">
      <c r="A83" s="265">
        <v>44312</v>
      </c>
      <c r="B83" s="271">
        <v>99.54</v>
      </c>
      <c r="C83" s="272">
        <v>5.6100000000000004E-2</v>
      </c>
      <c r="D83" s="273">
        <v>100.57000000000001</v>
      </c>
      <c r="E83" s="272">
        <v>6.4200000000000007E-2</v>
      </c>
      <c r="F83" s="271">
        <v>98.58</v>
      </c>
      <c r="G83" s="272">
        <v>6.4000000000000001E-2</v>
      </c>
      <c r="H83" s="273">
        <v>103.04</v>
      </c>
      <c r="I83" s="272">
        <v>7.2099999999999997E-2</v>
      </c>
    </row>
    <row r="84" spans="1:9" x14ac:dyDescent="0.35">
      <c r="A84" s="265">
        <v>44313</v>
      </c>
      <c r="B84" s="271">
        <v>99.5</v>
      </c>
      <c r="C84" s="272">
        <v>5.62E-2</v>
      </c>
      <c r="D84" s="273">
        <v>100.48</v>
      </c>
      <c r="E84" s="272">
        <v>6.4399999999999999E-2</v>
      </c>
      <c r="F84" s="271">
        <v>98.320000000000007</v>
      </c>
      <c r="G84" s="272">
        <v>6.4299999999999996E-2</v>
      </c>
      <c r="H84" s="273">
        <v>102.93</v>
      </c>
      <c r="I84" s="272">
        <v>7.22E-2</v>
      </c>
    </row>
    <row r="85" spans="1:9" x14ac:dyDescent="0.35">
      <c r="A85" s="265">
        <v>44314</v>
      </c>
      <c r="B85" s="271">
        <v>99.36</v>
      </c>
      <c r="C85" s="272">
        <v>5.6500000000000002E-2</v>
      </c>
      <c r="D85" s="273">
        <v>100.25</v>
      </c>
      <c r="E85" s="272">
        <v>6.4700000000000008E-2</v>
      </c>
      <c r="F85" s="271">
        <v>98.24</v>
      </c>
      <c r="G85" s="272">
        <v>6.4399999999999999E-2</v>
      </c>
      <c r="H85" s="273">
        <v>102.57000000000001</v>
      </c>
      <c r="I85" s="272">
        <v>7.2500000000000009E-2</v>
      </c>
    </row>
    <row r="86" spans="1:9" x14ac:dyDescent="0.35">
      <c r="A86" s="265">
        <v>44315</v>
      </c>
      <c r="B86" s="271">
        <v>99.39</v>
      </c>
      <c r="C86" s="272">
        <v>5.6500000000000002E-2</v>
      </c>
      <c r="D86" s="273">
        <v>100.32000000000001</v>
      </c>
      <c r="E86" s="272">
        <v>6.4600000000000005E-2</v>
      </c>
      <c r="F86" s="271">
        <v>98.36</v>
      </c>
      <c r="G86" s="272">
        <v>6.4299999999999996E-2</v>
      </c>
      <c r="H86" s="273">
        <v>102.45</v>
      </c>
      <c r="I86" s="272">
        <v>7.2599999999999998E-2</v>
      </c>
    </row>
    <row r="87" spans="1:9" x14ac:dyDescent="0.35">
      <c r="A87" s="265">
        <v>44316</v>
      </c>
      <c r="B87" s="271">
        <v>99.38000000000001</v>
      </c>
      <c r="C87" s="272">
        <v>5.6500000000000002E-2</v>
      </c>
      <c r="D87" s="273">
        <v>100.23</v>
      </c>
      <c r="E87" s="272">
        <v>6.4700000000000008E-2</v>
      </c>
      <c r="F87" s="271">
        <v>98.350000000000009</v>
      </c>
      <c r="G87" s="272">
        <v>6.4299999999999996E-2</v>
      </c>
      <c r="H87" s="273">
        <v>102.66000000000001</v>
      </c>
      <c r="I87" s="272">
        <v>7.2400000000000006E-2</v>
      </c>
    </row>
    <row r="88" spans="1:9" x14ac:dyDescent="0.35">
      <c r="A88" s="265">
        <v>44319</v>
      </c>
      <c r="B88" s="271">
        <v>99.48</v>
      </c>
      <c r="C88" s="272">
        <v>5.6300000000000003E-2</v>
      </c>
      <c r="D88" s="271">
        <v>100.37</v>
      </c>
      <c r="E88" s="272">
        <v>6.4500000000000002E-2</v>
      </c>
      <c r="F88" s="271">
        <v>98.440000000000012</v>
      </c>
      <c r="G88" s="272">
        <v>6.4200000000000007E-2</v>
      </c>
      <c r="H88" s="271">
        <v>103</v>
      </c>
      <c r="I88" s="272">
        <v>7.2099999999999997E-2</v>
      </c>
    </row>
    <row r="89" spans="1:9" x14ac:dyDescent="0.35">
      <c r="A89" s="265">
        <v>44320</v>
      </c>
      <c r="B89" s="271">
        <v>99.53</v>
      </c>
      <c r="C89" s="272">
        <v>5.6100000000000004E-2</v>
      </c>
      <c r="D89" s="271">
        <v>100.71000000000001</v>
      </c>
      <c r="E89" s="272">
        <v>6.4000000000000001E-2</v>
      </c>
      <c r="F89" s="271">
        <v>98.42</v>
      </c>
      <c r="G89" s="272">
        <v>6.4200000000000007E-2</v>
      </c>
      <c r="H89" s="271">
        <v>103.16000000000001</v>
      </c>
      <c r="I89" s="272">
        <v>7.2000000000000008E-2</v>
      </c>
    </row>
    <row r="90" spans="1:9" x14ac:dyDescent="0.35">
      <c r="A90" s="265">
        <v>44321</v>
      </c>
      <c r="B90" s="271">
        <v>99.54</v>
      </c>
      <c r="C90" s="272">
        <v>5.6100000000000004E-2</v>
      </c>
      <c r="D90" s="271">
        <v>100.44000000000001</v>
      </c>
      <c r="E90" s="272">
        <v>6.4399999999999999E-2</v>
      </c>
      <c r="F90" s="271">
        <v>98.5</v>
      </c>
      <c r="G90" s="272">
        <v>6.4100000000000004E-2</v>
      </c>
      <c r="H90" s="271">
        <v>103.30000000000001</v>
      </c>
      <c r="I90" s="272">
        <v>7.1800000000000003E-2</v>
      </c>
    </row>
    <row r="91" spans="1:9" x14ac:dyDescent="0.35">
      <c r="A91" s="265">
        <v>44322</v>
      </c>
      <c r="B91" s="271">
        <v>99.61</v>
      </c>
      <c r="C91" s="272">
        <v>5.6000000000000001E-2</v>
      </c>
      <c r="D91" s="271">
        <v>100.58</v>
      </c>
      <c r="E91" s="272">
        <v>6.4200000000000007E-2</v>
      </c>
      <c r="F91" s="271">
        <v>98.600000000000009</v>
      </c>
      <c r="G91" s="272">
        <v>6.4000000000000001E-2</v>
      </c>
      <c r="H91" s="271">
        <v>103.54</v>
      </c>
      <c r="I91" s="272">
        <v>7.1599999999999997E-2</v>
      </c>
    </row>
    <row r="92" spans="1:9" x14ac:dyDescent="0.35">
      <c r="A92" s="265">
        <v>44323</v>
      </c>
      <c r="B92" s="271">
        <v>99.710000000000008</v>
      </c>
      <c r="C92" s="272">
        <v>5.57E-2</v>
      </c>
      <c r="D92" s="271">
        <v>100.74000000000001</v>
      </c>
      <c r="E92" s="272">
        <v>6.4000000000000001E-2</v>
      </c>
      <c r="F92" s="271">
        <v>99.13</v>
      </c>
      <c r="G92" s="272">
        <v>6.3399999999999998E-2</v>
      </c>
      <c r="H92" s="271">
        <v>104.07000000000001</v>
      </c>
      <c r="I92" s="272">
        <v>7.1099999999999997E-2</v>
      </c>
    </row>
    <row r="93" spans="1:9" x14ac:dyDescent="0.35">
      <c r="A93" s="265">
        <v>44326</v>
      </c>
      <c r="B93" s="271">
        <v>99.800000000000011</v>
      </c>
      <c r="C93" s="272">
        <v>5.5500000000000001E-2</v>
      </c>
      <c r="D93" s="271">
        <v>100.83</v>
      </c>
      <c r="E93" s="272">
        <v>6.3899999999999998E-2</v>
      </c>
      <c r="F93" s="271">
        <v>99.78</v>
      </c>
      <c r="G93" s="272">
        <v>6.2800000000000009E-2</v>
      </c>
      <c r="H93" s="271">
        <v>104.15</v>
      </c>
      <c r="I93" s="272">
        <v>7.1000000000000008E-2</v>
      </c>
    </row>
    <row r="94" spans="1:9" x14ac:dyDescent="0.35">
      <c r="A94" s="265">
        <v>44327</v>
      </c>
      <c r="B94" s="271">
        <v>99.84</v>
      </c>
      <c r="C94" s="272">
        <v>5.5400000000000005E-2</v>
      </c>
      <c r="D94" s="271">
        <v>100.83</v>
      </c>
      <c r="E94" s="272">
        <v>6.3899999999999998E-2</v>
      </c>
      <c r="F94" s="271">
        <v>99.86</v>
      </c>
      <c r="G94" s="272">
        <v>6.2700000000000006E-2</v>
      </c>
      <c r="H94" s="271">
        <v>103.99000000000001</v>
      </c>
      <c r="I94" s="272">
        <v>7.1199999999999999E-2</v>
      </c>
    </row>
    <row r="95" spans="1:9" x14ac:dyDescent="0.35">
      <c r="A95" s="265">
        <v>44333</v>
      </c>
      <c r="B95" s="271">
        <v>99.77000000000001</v>
      </c>
      <c r="C95" s="268">
        <v>5.5600000000000004E-2</v>
      </c>
      <c r="D95" s="273">
        <v>100.59</v>
      </c>
      <c r="E95" s="268">
        <v>6.4200000000000007E-2</v>
      </c>
      <c r="F95" s="271">
        <v>99.64</v>
      </c>
      <c r="G95" s="268">
        <v>6.2899999999999998E-2</v>
      </c>
      <c r="H95" s="273">
        <v>103.81</v>
      </c>
      <c r="I95" s="268">
        <v>7.1300000000000002E-2</v>
      </c>
    </row>
    <row r="96" spans="1:9" x14ac:dyDescent="0.35">
      <c r="A96" s="265">
        <v>44334</v>
      </c>
      <c r="B96" s="271">
        <v>99.65</v>
      </c>
      <c r="C96" s="267">
        <v>5.5900000000000005E-2</v>
      </c>
      <c r="D96" s="273">
        <v>100.29</v>
      </c>
      <c r="E96" s="267">
        <v>6.4600000000000005E-2</v>
      </c>
      <c r="F96" s="271">
        <v>99.570000000000007</v>
      </c>
      <c r="G96" s="267">
        <v>6.3E-2</v>
      </c>
      <c r="H96" s="273">
        <v>103.74000000000001</v>
      </c>
      <c r="I96" s="267">
        <v>7.1400000000000005E-2</v>
      </c>
    </row>
    <row r="97" spans="1:9" x14ac:dyDescent="0.35">
      <c r="A97" s="265">
        <v>44335</v>
      </c>
      <c r="B97" s="271">
        <v>99.78</v>
      </c>
      <c r="C97" s="267">
        <v>5.5600000000000004E-2</v>
      </c>
      <c r="D97" s="273">
        <v>100.35</v>
      </c>
      <c r="E97" s="267">
        <v>6.4500000000000002E-2</v>
      </c>
      <c r="F97" s="271">
        <v>99.75</v>
      </c>
      <c r="G97" s="267">
        <v>6.2800000000000009E-2</v>
      </c>
      <c r="H97" s="273">
        <v>103.82000000000001</v>
      </c>
      <c r="I97" s="267">
        <v>7.1300000000000002E-2</v>
      </c>
    </row>
    <row r="98" spans="1:9" x14ac:dyDescent="0.35">
      <c r="A98" s="265">
        <v>44336</v>
      </c>
      <c r="B98" s="271">
        <v>99.690000000000012</v>
      </c>
      <c r="C98" s="267">
        <v>5.5800000000000002E-2</v>
      </c>
      <c r="D98" s="273">
        <v>100.11</v>
      </c>
      <c r="E98" s="267">
        <v>6.4899999999999999E-2</v>
      </c>
      <c r="F98" s="271">
        <v>99.570000000000007</v>
      </c>
      <c r="G98" s="267">
        <v>6.3E-2</v>
      </c>
      <c r="H98" s="273">
        <v>103.60000000000001</v>
      </c>
      <c r="I98" s="267">
        <v>7.1500000000000008E-2</v>
      </c>
    </row>
    <row r="99" spans="1:9" x14ac:dyDescent="0.35">
      <c r="A99" s="265">
        <v>44337</v>
      </c>
      <c r="B99" s="271">
        <v>99.690000000000012</v>
      </c>
      <c r="C99" s="267">
        <v>5.5800000000000002E-2</v>
      </c>
      <c r="D99" s="273">
        <v>100.22</v>
      </c>
      <c r="E99" s="267">
        <v>6.4700000000000008E-2</v>
      </c>
      <c r="F99" s="271">
        <v>99.690000000000012</v>
      </c>
      <c r="G99" s="267">
        <v>6.2899999999999998E-2</v>
      </c>
      <c r="H99" s="273">
        <v>103.62</v>
      </c>
      <c r="I99" s="267">
        <v>7.1500000000000008E-2</v>
      </c>
    </row>
    <row r="100" spans="1:9" x14ac:dyDescent="0.35">
      <c r="A100" s="265">
        <v>44340</v>
      </c>
      <c r="B100" s="271">
        <v>99.740000000000009</v>
      </c>
      <c r="C100" s="272">
        <v>5.5600000000000004E-2</v>
      </c>
      <c r="D100" s="271">
        <v>100.45</v>
      </c>
      <c r="E100" s="272">
        <v>6.4399999999999999E-2</v>
      </c>
      <c r="F100" s="271">
        <v>99.660000000000011</v>
      </c>
      <c r="G100" s="272">
        <v>6.2899999999999998E-2</v>
      </c>
      <c r="H100" s="271">
        <v>103.79</v>
      </c>
      <c r="I100" s="272">
        <v>7.1400000000000005E-2</v>
      </c>
    </row>
    <row r="101" spans="1:9" x14ac:dyDescent="0.35">
      <c r="A101" s="265">
        <v>44341</v>
      </c>
      <c r="B101" s="274">
        <v>99.88000000000001</v>
      </c>
      <c r="C101" s="272">
        <v>5.5300000000000002E-2</v>
      </c>
      <c r="D101" s="274">
        <v>100.57000000000001</v>
      </c>
      <c r="E101" s="272">
        <v>6.4200000000000007E-2</v>
      </c>
      <c r="F101" s="274">
        <v>99.710000000000008</v>
      </c>
      <c r="G101" s="272">
        <v>6.2800000000000009E-2</v>
      </c>
      <c r="H101" s="274">
        <v>103.93</v>
      </c>
      <c r="I101" s="272">
        <v>7.1199999999999999E-2</v>
      </c>
    </row>
    <row r="102" spans="1:9" x14ac:dyDescent="0.35">
      <c r="A102" s="265">
        <v>44343</v>
      </c>
      <c r="B102" s="271">
        <v>99.81</v>
      </c>
      <c r="C102" s="272">
        <v>5.5500000000000001E-2</v>
      </c>
      <c r="D102" s="271">
        <v>100.56</v>
      </c>
      <c r="E102" s="272">
        <v>6.4200000000000007E-2</v>
      </c>
      <c r="F102" s="271">
        <v>99.35</v>
      </c>
      <c r="G102" s="272">
        <v>6.3200000000000006E-2</v>
      </c>
      <c r="H102" s="271">
        <v>103.92</v>
      </c>
      <c r="I102" s="272">
        <v>7.1199999999999999E-2</v>
      </c>
    </row>
    <row r="103" spans="1:9" x14ac:dyDescent="0.35">
      <c r="A103" s="265">
        <v>44344</v>
      </c>
      <c r="B103" s="274">
        <v>99.88000000000001</v>
      </c>
      <c r="C103" s="272">
        <v>5.5300000000000002E-2</v>
      </c>
      <c r="D103" s="274">
        <v>100.73</v>
      </c>
      <c r="E103" s="272">
        <v>6.4000000000000001E-2</v>
      </c>
      <c r="F103" s="274">
        <v>99.210000000000008</v>
      </c>
      <c r="G103" s="272">
        <v>6.3399999999999998E-2</v>
      </c>
      <c r="H103" s="274">
        <v>103.94000000000001</v>
      </c>
      <c r="I103" s="272">
        <v>7.1199999999999999E-2</v>
      </c>
    </row>
    <row r="104" spans="1:9" x14ac:dyDescent="0.35">
      <c r="A104" s="265">
        <v>44347</v>
      </c>
      <c r="B104" s="275">
        <v>99.92</v>
      </c>
      <c r="C104" s="272">
        <v>5.5200000000000006E-2</v>
      </c>
      <c r="D104" s="275">
        <v>100.52000000000001</v>
      </c>
      <c r="E104" s="272">
        <v>6.4299999999999996E-2</v>
      </c>
      <c r="F104" s="275">
        <v>99.2</v>
      </c>
      <c r="G104" s="272">
        <v>6.3399999999999998E-2</v>
      </c>
      <c r="H104" s="275">
        <v>103.93</v>
      </c>
      <c r="I104" s="272">
        <v>7.1199999999999999E-2</v>
      </c>
    </row>
    <row r="105" spans="1:9" x14ac:dyDescent="0.35">
      <c r="A105" s="265">
        <v>44349</v>
      </c>
      <c r="B105" s="275">
        <v>100.10000000000001</v>
      </c>
      <c r="C105" s="272">
        <v>5.4800000000000001E-2</v>
      </c>
      <c r="D105" s="275">
        <v>100.65</v>
      </c>
      <c r="E105" s="272">
        <v>6.4100000000000004E-2</v>
      </c>
      <c r="F105" s="275">
        <v>99.440000000000012</v>
      </c>
      <c r="G105" s="272">
        <v>6.3100000000000003E-2</v>
      </c>
      <c r="H105" s="275">
        <v>104.12</v>
      </c>
      <c r="I105" s="272">
        <v>7.1000000000000008E-2</v>
      </c>
    </row>
    <row r="106" spans="1:9" x14ac:dyDescent="0.35">
      <c r="A106" s="265">
        <v>44350</v>
      </c>
      <c r="B106" s="275">
        <v>100.24000000000001</v>
      </c>
      <c r="C106" s="272">
        <v>5.45E-2</v>
      </c>
      <c r="D106" s="275">
        <v>100.75</v>
      </c>
      <c r="E106" s="272">
        <v>6.4000000000000001E-2</v>
      </c>
      <c r="F106" s="275">
        <v>99.4</v>
      </c>
      <c r="G106" s="272">
        <v>6.3200000000000006E-2</v>
      </c>
      <c r="H106" s="275">
        <v>104.39</v>
      </c>
      <c r="I106" s="272">
        <v>7.0800000000000002E-2</v>
      </c>
    </row>
    <row r="107" spans="1:9" x14ac:dyDescent="0.35">
      <c r="A107" s="265">
        <v>44351</v>
      </c>
      <c r="B107" s="275">
        <v>100.22</v>
      </c>
      <c r="C107" s="272">
        <v>5.45E-2</v>
      </c>
      <c r="D107" s="275">
        <v>100.67</v>
      </c>
      <c r="E107" s="272">
        <v>6.4100000000000004E-2</v>
      </c>
      <c r="F107" s="275">
        <v>99.25</v>
      </c>
      <c r="G107" s="272">
        <v>6.3300000000000009E-2</v>
      </c>
      <c r="H107" s="275">
        <v>104.60000000000001</v>
      </c>
      <c r="I107" s="272">
        <v>7.0599999999999996E-2</v>
      </c>
    </row>
    <row r="108" spans="1:9" x14ac:dyDescent="0.35">
      <c r="A108" s="265">
        <v>44354</v>
      </c>
      <c r="B108" s="275">
        <v>100.19000000000001</v>
      </c>
      <c r="C108" s="272">
        <v>5.4600000000000003E-2</v>
      </c>
      <c r="D108" s="275">
        <v>100.67</v>
      </c>
      <c r="E108" s="272">
        <v>6.4100000000000004E-2</v>
      </c>
      <c r="F108" s="275">
        <v>99.26</v>
      </c>
      <c r="G108" s="272">
        <v>6.3300000000000009E-2</v>
      </c>
      <c r="H108" s="275">
        <v>104.68</v>
      </c>
      <c r="I108" s="272">
        <v>7.0500000000000007E-2</v>
      </c>
    </row>
    <row r="109" spans="1:9" x14ac:dyDescent="0.35">
      <c r="A109" s="265">
        <v>44355</v>
      </c>
      <c r="B109" s="275">
        <v>100.19000000000001</v>
      </c>
      <c r="C109" s="272">
        <v>5.4600000000000003E-2</v>
      </c>
      <c r="D109" s="275">
        <v>100.94000000000001</v>
      </c>
      <c r="E109" s="272">
        <v>6.3700000000000007E-2</v>
      </c>
      <c r="F109" s="275">
        <v>99.27</v>
      </c>
      <c r="G109" s="272">
        <v>6.3300000000000009E-2</v>
      </c>
      <c r="H109" s="275">
        <v>104.75</v>
      </c>
      <c r="I109" s="272">
        <v>7.0400000000000004E-2</v>
      </c>
    </row>
    <row r="110" spans="1:9" x14ac:dyDescent="0.35">
      <c r="A110" s="265">
        <v>44356</v>
      </c>
      <c r="B110" s="275">
        <v>100.33</v>
      </c>
      <c r="C110" s="272">
        <v>5.4200000000000005E-2</v>
      </c>
      <c r="D110" s="275">
        <v>100.87</v>
      </c>
      <c r="E110" s="272">
        <v>6.3800000000000009E-2</v>
      </c>
      <c r="F110" s="275">
        <v>99.440000000000012</v>
      </c>
      <c r="G110" s="272">
        <v>6.3100000000000003E-2</v>
      </c>
      <c r="H110" s="275">
        <v>105</v>
      </c>
      <c r="I110" s="272">
        <v>7.0199999999999999E-2</v>
      </c>
    </row>
    <row r="111" spans="1:9" x14ac:dyDescent="0.35">
      <c r="A111" s="265">
        <v>44357</v>
      </c>
      <c r="B111" s="275">
        <v>100.44000000000001</v>
      </c>
      <c r="C111" s="272">
        <v>5.4000000000000006E-2</v>
      </c>
      <c r="D111" s="275">
        <v>101.06</v>
      </c>
      <c r="E111" s="272">
        <v>6.3600000000000004E-2</v>
      </c>
      <c r="F111" s="275">
        <v>99.62</v>
      </c>
      <c r="G111" s="272">
        <v>6.2899999999999998E-2</v>
      </c>
      <c r="H111" s="275">
        <v>105.15</v>
      </c>
      <c r="I111" s="272">
        <v>7.010000000000001E-2</v>
      </c>
    </row>
    <row r="112" spans="1:9" x14ac:dyDescent="0.35">
      <c r="A112" s="265">
        <v>44358</v>
      </c>
      <c r="B112" s="275">
        <v>100.59</v>
      </c>
      <c r="C112" s="272">
        <v>5.3600000000000002E-2</v>
      </c>
      <c r="D112" s="275">
        <v>101.22</v>
      </c>
      <c r="E112" s="272">
        <v>6.3300000000000009E-2</v>
      </c>
      <c r="F112" s="275">
        <v>99.690000000000012</v>
      </c>
      <c r="G112" s="272">
        <v>6.2899999999999998E-2</v>
      </c>
      <c r="H112" s="275">
        <v>105.28</v>
      </c>
      <c r="I112" s="272">
        <v>7.0000000000000007E-2</v>
      </c>
    </row>
    <row r="113" spans="1:9" x14ac:dyDescent="0.35">
      <c r="A113" s="265">
        <v>44361</v>
      </c>
      <c r="B113" s="275">
        <v>100.72</v>
      </c>
      <c r="C113" s="272">
        <v>5.33E-2</v>
      </c>
      <c r="D113" s="275">
        <v>101.2</v>
      </c>
      <c r="E113" s="272">
        <v>6.3399999999999998E-2</v>
      </c>
      <c r="F113" s="275">
        <v>99.63</v>
      </c>
      <c r="G113" s="272">
        <v>6.2899999999999998E-2</v>
      </c>
      <c r="H113" s="275">
        <v>105.23</v>
      </c>
      <c r="I113" s="272">
        <v>7.0000000000000007E-2</v>
      </c>
    </row>
    <row r="114" spans="1:9" x14ac:dyDescent="0.35">
      <c r="A114" s="265">
        <v>44362</v>
      </c>
      <c r="B114" s="275">
        <v>100.74000000000001</v>
      </c>
      <c r="C114" s="272">
        <v>5.33E-2</v>
      </c>
      <c r="D114" s="275">
        <v>100.95</v>
      </c>
      <c r="E114" s="272">
        <v>6.3700000000000007E-2</v>
      </c>
      <c r="F114" s="275">
        <v>99.59</v>
      </c>
      <c r="G114" s="272">
        <v>6.3E-2</v>
      </c>
      <c r="H114" s="275">
        <v>105.08</v>
      </c>
      <c r="I114" s="272">
        <v>7.010000000000001E-2</v>
      </c>
    </row>
    <row r="115" spans="1:9" x14ac:dyDescent="0.35">
      <c r="A115" s="265">
        <v>44363</v>
      </c>
      <c r="B115" s="275">
        <v>100.78</v>
      </c>
      <c r="C115" s="272">
        <v>5.3200000000000004E-2</v>
      </c>
      <c r="D115" s="275">
        <v>100.80000000000001</v>
      </c>
      <c r="E115" s="272">
        <v>6.3899999999999998E-2</v>
      </c>
      <c r="F115" s="275">
        <v>99.58</v>
      </c>
      <c r="G115" s="272">
        <v>6.3E-2</v>
      </c>
      <c r="H115" s="275">
        <v>104.88000000000001</v>
      </c>
      <c r="I115" s="272">
        <v>7.0300000000000001E-2</v>
      </c>
    </row>
    <row r="116" spans="1:9" x14ac:dyDescent="0.35">
      <c r="A116" s="265">
        <v>44364</v>
      </c>
      <c r="B116" s="275">
        <v>100.7</v>
      </c>
      <c r="C116" s="272">
        <v>5.3400000000000003E-2</v>
      </c>
      <c r="D116" s="275">
        <v>100.60000000000001</v>
      </c>
      <c r="E116" s="272">
        <v>6.4200000000000007E-2</v>
      </c>
      <c r="F116" s="275">
        <v>99.38000000000001</v>
      </c>
      <c r="G116" s="272">
        <v>6.3200000000000006E-2</v>
      </c>
      <c r="H116" s="275">
        <v>104.7</v>
      </c>
      <c r="I116" s="272">
        <v>7.0500000000000007E-2</v>
      </c>
    </row>
    <row r="117" spans="1:9" x14ac:dyDescent="0.35">
      <c r="A117" s="265">
        <v>44365</v>
      </c>
      <c r="B117" s="275">
        <v>100.63000000000001</v>
      </c>
      <c r="C117" s="272">
        <v>5.3500000000000006E-2</v>
      </c>
      <c r="D117" s="275">
        <v>99.98</v>
      </c>
      <c r="E117" s="272">
        <v>6.5100000000000005E-2</v>
      </c>
      <c r="F117" s="275">
        <v>99.210000000000008</v>
      </c>
      <c r="G117" s="272">
        <v>6.3399999999999998E-2</v>
      </c>
      <c r="H117" s="275">
        <v>104</v>
      </c>
      <c r="I117" s="272">
        <v>7.1099999999999997E-2</v>
      </c>
    </row>
    <row r="118" spans="1:9" x14ac:dyDescent="0.35">
      <c r="A118" s="265">
        <v>44368</v>
      </c>
      <c r="B118" s="275">
        <v>100.58</v>
      </c>
      <c r="C118" s="272">
        <v>5.3600000000000002E-2</v>
      </c>
      <c r="D118" s="275">
        <v>99.660000000000011</v>
      </c>
      <c r="E118" s="272">
        <v>6.5500000000000003E-2</v>
      </c>
      <c r="F118" s="275">
        <v>99.13000000000001</v>
      </c>
      <c r="G118" s="272">
        <v>6.3500000000000001E-2</v>
      </c>
      <c r="H118" s="275">
        <v>103.69000000000001</v>
      </c>
      <c r="I118" s="272">
        <v>7.1400000000000005E-2</v>
      </c>
    </row>
    <row r="119" spans="1:9" x14ac:dyDescent="0.35">
      <c r="A119" s="265">
        <v>44369</v>
      </c>
      <c r="B119" s="275">
        <v>100.59</v>
      </c>
      <c r="C119" s="272">
        <v>5.3600000000000002E-2</v>
      </c>
      <c r="D119" s="275">
        <v>99.42</v>
      </c>
      <c r="E119" s="272">
        <v>6.59E-2</v>
      </c>
      <c r="F119" s="275">
        <v>98.89</v>
      </c>
      <c r="G119" s="272">
        <v>6.3700000000000007E-2</v>
      </c>
      <c r="H119" s="275">
        <v>103.05000000000001</v>
      </c>
      <c r="I119" s="272">
        <v>7.2000000000000008E-2</v>
      </c>
    </row>
    <row r="120" spans="1:9" x14ac:dyDescent="0.35">
      <c r="A120" s="265">
        <v>44370</v>
      </c>
      <c r="B120" s="275">
        <v>100.7</v>
      </c>
      <c r="C120" s="272">
        <v>5.3400000000000003E-2</v>
      </c>
      <c r="D120" s="275">
        <v>99.45</v>
      </c>
      <c r="E120" s="272">
        <v>6.5799999999999997E-2</v>
      </c>
      <c r="F120" s="275">
        <v>98.820000000000007</v>
      </c>
      <c r="G120" s="272">
        <v>6.3800000000000009E-2</v>
      </c>
      <c r="H120" s="275">
        <v>102.86</v>
      </c>
      <c r="I120" s="272">
        <v>7.22E-2</v>
      </c>
    </row>
    <row r="121" spans="1:9" x14ac:dyDescent="0.35">
      <c r="A121" s="265">
        <v>44371</v>
      </c>
      <c r="B121" s="275">
        <v>100.71000000000001</v>
      </c>
      <c r="C121" s="272">
        <v>5.33E-2</v>
      </c>
      <c r="D121" s="275">
        <v>99.59</v>
      </c>
      <c r="E121" s="272">
        <v>6.5600000000000006E-2</v>
      </c>
      <c r="F121" s="275">
        <v>98.78</v>
      </c>
      <c r="G121" s="272">
        <v>6.3800000000000009E-2</v>
      </c>
      <c r="H121" s="275">
        <v>102.86</v>
      </c>
      <c r="I121" s="272">
        <v>7.22E-2</v>
      </c>
    </row>
    <row r="122" spans="1:9" x14ac:dyDescent="0.35">
      <c r="A122" s="265">
        <v>44372</v>
      </c>
      <c r="B122" s="275">
        <v>100.77000000000001</v>
      </c>
      <c r="C122" s="272">
        <v>5.3200000000000004E-2</v>
      </c>
      <c r="D122" s="275">
        <v>99.79</v>
      </c>
      <c r="E122" s="272">
        <v>6.5299999999999997E-2</v>
      </c>
      <c r="F122" s="275">
        <v>98.7</v>
      </c>
      <c r="G122" s="272">
        <v>6.3899999999999998E-2</v>
      </c>
      <c r="H122" s="275">
        <v>103</v>
      </c>
      <c r="I122" s="272">
        <v>7.2099999999999997E-2</v>
      </c>
    </row>
    <row r="123" spans="1:9" x14ac:dyDescent="0.35">
      <c r="A123" s="265">
        <v>44375</v>
      </c>
      <c r="B123" s="275">
        <v>100.83</v>
      </c>
      <c r="C123" s="272">
        <v>5.3000000000000005E-2</v>
      </c>
      <c r="D123" s="275">
        <v>99.820000000000007</v>
      </c>
      <c r="E123" s="272">
        <v>6.5299999999999997E-2</v>
      </c>
      <c r="F123" s="275">
        <v>98.940000000000012</v>
      </c>
      <c r="G123" s="272">
        <v>6.3700000000000007E-2</v>
      </c>
      <c r="H123" s="275">
        <v>102.98</v>
      </c>
      <c r="I123" s="272">
        <v>7.2099999999999997E-2</v>
      </c>
    </row>
    <row r="124" spans="1:9" x14ac:dyDescent="0.35">
      <c r="A124" s="265">
        <v>44376</v>
      </c>
      <c r="B124" s="275">
        <v>100.69000000000001</v>
      </c>
      <c r="C124" s="272">
        <v>5.3400000000000003E-2</v>
      </c>
      <c r="D124" s="275">
        <v>99.64</v>
      </c>
      <c r="E124" s="272">
        <v>6.5500000000000003E-2</v>
      </c>
      <c r="F124" s="275">
        <v>98.77000000000001</v>
      </c>
      <c r="G124" s="272">
        <v>6.3800000000000009E-2</v>
      </c>
      <c r="H124" s="275">
        <v>102.84</v>
      </c>
      <c r="I124" s="272">
        <v>7.22E-2</v>
      </c>
    </row>
    <row r="125" spans="1:9" x14ac:dyDescent="0.35">
      <c r="A125" s="265">
        <v>44377</v>
      </c>
      <c r="B125" s="275">
        <v>100.46000000000001</v>
      </c>
      <c r="C125" s="272">
        <v>5.3900000000000003E-2</v>
      </c>
      <c r="D125" s="275">
        <v>99.34</v>
      </c>
      <c r="E125" s="272">
        <v>6.6000000000000003E-2</v>
      </c>
      <c r="F125" s="275">
        <v>98.43</v>
      </c>
      <c r="G125" s="272">
        <v>6.4200000000000007E-2</v>
      </c>
      <c r="H125" s="275">
        <v>102.48</v>
      </c>
      <c r="I125" s="272">
        <v>7.2599999999999998E-2</v>
      </c>
    </row>
    <row r="126" spans="1:9" x14ac:dyDescent="0.35">
      <c r="A126" s="265">
        <v>44378</v>
      </c>
      <c r="B126" s="275">
        <v>100.53</v>
      </c>
      <c r="C126" s="272">
        <v>5.3800000000000001E-2</v>
      </c>
      <c r="D126" s="275">
        <v>99.550000000000011</v>
      </c>
      <c r="E126" s="272">
        <v>6.5700000000000008E-2</v>
      </c>
      <c r="F126" s="275">
        <v>98.7</v>
      </c>
      <c r="G126" s="272">
        <v>6.3899999999999998E-2</v>
      </c>
      <c r="H126" s="275">
        <v>102.62</v>
      </c>
      <c r="I126" s="272">
        <v>7.2500000000000009E-2</v>
      </c>
    </row>
    <row r="127" spans="1:9" x14ac:dyDescent="0.35">
      <c r="A127" s="265">
        <v>44379</v>
      </c>
      <c r="B127" s="275">
        <v>100.47</v>
      </c>
      <c r="C127" s="272">
        <v>5.3900000000000003E-2</v>
      </c>
      <c r="D127" s="275">
        <v>99.53</v>
      </c>
      <c r="E127" s="272">
        <v>6.5700000000000008E-2</v>
      </c>
      <c r="F127" s="275">
        <v>98.67</v>
      </c>
      <c r="G127" s="272">
        <v>6.3899999999999998E-2</v>
      </c>
      <c r="H127" s="275">
        <v>102.48</v>
      </c>
      <c r="I127" s="272">
        <v>7.2599999999999998E-2</v>
      </c>
    </row>
    <row r="128" spans="1:9" x14ac:dyDescent="0.35">
      <c r="A128" s="265">
        <v>44382</v>
      </c>
      <c r="B128" s="275">
        <v>100.52000000000001</v>
      </c>
      <c r="C128" s="272">
        <v>5.3800000000000001E-2</v>
      </c>
      <c r="D128" s="275">
        <v>99.62</v>
      </c>
      <c r="E128" s="272">
        <v>6.5600000000000006E-2</v>
      </c>
      <c r="F128" s="275">
        <v>98.68</v>
      </c>
      <c r="G128" s="272">
        <v>6.3899999999999998E-2</v>
      </c>
      <c r="H128" s="275">
        <v>102.57</v>
      </c>
      <c r="I128" s="272">
        <v>6.3899999999999998E-2</v>
      </c>
    </row>
    <row r="129" spans="1:9" x14ac:dyDescent="0.35">
      <c r="A129" s="265">
        <v>44383</v>
      </c>
      <c r="B129" s="275">
        <v>100.62</v>
      </c>
      <c r="C129" s="272">
        <v>5.3500000000000006E-2</v>
      </c>
      <c r="D129" s="275">
        <v>99.72</v>
      </c>
      <c r="E129" s="272">
        <v>6.54E-2</v>
      </c>
      <c r="F129" s="275">
        <v>98.77000000000001</v>
      </c>
      <c r="G129" s="272">
        <v>6.3800000000000009E-2</v>
      </c>
      <c r="H129" s="275">
        <v>102.60000000000001</v>
      </c>
      <c r="I129" s="272">
        <v>6.3800000000000009E-2</v>
      </c>
    </row>
    <row r="130" spans="1:9" x14ac:dyDescent="0.35">
      <c r="A130" s="265">
        <v>44384</v>
      </c>
      <c r="B130" s="275">
        <v>100.60000000000001</v>
      </c>
      <c r="C130" s="272">
        <v>5.3600000000000002E-2</v>
      </c>
      <c r="D130" s="275">
        <v>99.800000000000011</v>
      </c>
      <c r="E130" s="272">
        <v>6.5299999999999997E-2</v>
      </c>
      <c r="F130" s="275">
        <v>98.67</v>
      </c>
      <c r="G130" s="272">
        <v>6.3899999999999998E-2</v>
      </c>
      <c r="H130" s="275">
        <v>102.82000000000001</v>
      </c>
      <c r="I130" s="272">
        <v>6.3899999999999998E-2</v>
      </c>
    </row>
    <row r="131" spans="1:9" x14ac:dyDescent="0.35">
      <c r="A131" s="265">
        <v>44385</v>
      </c>
      <c r="B131" s="275">
        <v>100.67</v>
      </c>
      <c r="C131" s="272">
        <v>5.3400000000000003E-2</v>
      </c>
      <c r="D131" s="275">
        <v>100.06</v>
      </c>
      <c r="E131" s="272">
        <v>6.5000000000000002E-2</v>
      </c>
      <c r="F131" s="275">
        <v>98.850000000000009</v>
      </c>
      <c r="G131" s="272">
        <v>6.3700000000000007E-2</v>
      </c>
      <c r="H131" s="275">
        <v>102.99000000000001</v>
      </c>
      <c r="I131" s="272">
        <v>6.3700000000000007E-2</v>
      </c>
    </row>
    <row r="132" spans="1:9" x14ac:dyDescent="0.35">
      <c r="A132" s="265">
        <v>44386</v>
      </c>
      <c r="B132" s="275">
        <v>100.67</v>
      </c>
      <c r="C132" s="272">
        <v>5.3400000000000003E-2</v>
      </c>
      <c r="D132" s="275">
        <v>100.06</v>
      </c>
      <c r="E132" s="272">
        <v>6.5000000000000002E-2</v>
      </c>
      <c r="F132" s="275">
        <v>98.850000000000009</v>
      </c>
      <c r="G132" s="272">
        <v>6.3700000000000007E-2</v>
      </c>
      <c r="H132" s="275">
        <v>102.99000000000001</v>
      </c>
      <c r="I132" s="272">
        <v>6.3700000000000007E-2</v>
      </c>
    </row>
    <row r="133" spans="1:9" x14ac:dyDescent="0.35">
      <c r="A133" s="265">
        <v>44389</v>
      </c>
      <c r="B133" s="276">
        <v>100.66000000000001</v>
      </c>
      <c r="C133" s="267">
        <v>5.3400000000000003E-2</v>
      </c>
      <c r="D133" s="276">
        <v>99.86</v>
      </c>
      <c r="E133" s="267">
        <v>6.5200000000000008E-2</v>
      </c>
      <c r="F133" s="276">
        <v>98.68</v>
      </c>
      <c r="G133" s="267">
        <v>6.3899999999999998E-2</v>
      </c>
      <c r="H133" s="276">
        <v>103.17</v>
      </c>
      <c r="I133" s="267">
        <v>7.1900000000000006E-2</v>
      </c>
    </row>
    <row r="134" spans="1:9" x14ac:dyDescent="0.35">
      <c r="A134" s="265">
        <v>44390</v>
      </c>
      <c r="B134" s="276">
        <v>100.60000000000001</v>
      </c>
      <c r="C134" s="267">
        <v>5.3600000000000002E-2</v>
      </c>
      <c r="D134" s="276">
        <v>99.910000000000011</v>
      </c>
      <c r="E134" s="267">
        <v>6.5200000000000008E-2</v>
      </c>
      <c r="F134" s="276">
        <v>98.65</v>
      </c>
      <c r="G134" s="267">
        <v>6.4000000000000001E-2</v>
      </c>
      <c r="H134" s="276">
        <v>103.28</v>
      </c>
      <c r="I134" s="267">
        <v>7.1800000000000003E-2</v>
      </c>
    </row>
    <row r="135" spans="1:9" x14ac:dyDescent="0.35">
      <c r="A135" s="265">
        <v>44391</v>
      </c>
      <c r="B135" s="276">
        <v>100.66000000000001</v>
      </c>
      <c r="C135" s="267">
        <v>5.3400000000000003E-2</v>
      </c>
      <c r="D135" s="276">
        <v>100.35000000000001</v>
      </c>
      <c r="E135" s="267">
        <v>6.4500000000000002E-2</v>
      </c>
      <c r="F135" s="276">
        <v>98.690000000000012</v>
      </c>
      <c r="G135" s="267">
        <v>6.3899999999999998E-2</v>
      </c>
      <c r="H135" s="276">
        <v>103.47</v>
      </c>
      <c r="I135" s="267">
        <v>7.1599999999999997E-2</v>
      </c>
    </row>
    <row r="136" spans="1:9" x14ac:dyDescent="0.35">
      <c r="A136" s="265">
        <v>44392</v>
      </c>
      <c r="B136" s="276">
        <v>100.75</v>
      </c>
      <c r="C136" s="267">
        <v>5.3200000000000004E-2</v>
      </c>
      <c r="D136" s="276">
        <v>100.78</v>
      </c>
      <c r="E136" s="267">
        <v>6.3899999999999998E-2</v>
      </c>
      <c r="F136" s="276">
        <v>98.89</v>
      </c>
      <c r="G136" s="267">
        <v>6.3700000000000007E-2</v>
      </c>
      <c r="H136" s="276">
        <v>103.95</v>
      </c>
      <c r="I136" s="267">
        <v>7.1199999999999999E-2</v>
      </c>
    </row>
    <row r="137" spans="1:9" x14ac:dyDescent="0.35">
      <c r="A137" s="265">
        <v>44393</v>
      </c>
      <c r="B137" s="276">
        <v>100.76</v>
      </c>
      <c r="C137" s="267">
        <v>5.3200000000000004E-2</v>
      </c>
      <c r="D137" s="276">
        <v>100.88000000000001</v>
      </c>
      <c r="E137" s="267">
        <v>6.3800000000000009E-2</v>
      </c>
      <c r="F137" s="276">
        <v>99.02000000000001</v>
      </c>
      <c r="G137" s="267">
        <v>6.3600000000000004E-2</v>
      </c>
      <c r="H137" s="276">
        <v>104.28</v>
      </c>
      <c r="I137" s="267">
        <v>7.0900000000000005E-2</v>
      </c>
    </row>
    <row r="138" spans="1:9" x14ac:dyDescent="0.35">
      <c r="A138" s="265">
        <v>44396</v>
      </c>
      <c r="B138" s="275">
        <v>100.82000000000001</v>
      </c>
      <c r="C138" s="272">
        <v>5.3000000000000005E-2</v>
      </c>
      <c r="D138" s="275">
        <v>101.15</v>
      </c>
      <c r="E138" s="272">
        <v>6.3399999999999998E-2</v>
      </c>
      <c r="F138" s="275">
        <v>99.02000000000001</v>
      </c>
      <c r="G138" s="272">
        <v>6.3600000000000004E-2</v>
      </c>
      <c r="H138" s="275">
        <v>104.24000000000001</v>
      </c>
      <c r="I138" s="272">
        <v>7.0900000000000005E-2</v>
      </c>
    </row>
    <row r="139" spans="1:9" x14ac:dyDescent="0.35">
      <c r="A139" s="265">
        <v>44398</v>
      </c>
      <c r="B139" s="275">
        <v>100.99</v>
      </c>
      <c r="C139" s="272">
        <v>5.2600000000000001E-2</v>
      </c>
      <c r="D139" s="275">
        <v>101.5</v>
      </c>
      <c r="E139" s="272">
        <v>6.2899999999999998E-2</v>
      </c>
      <c r="F139" s="275">
        <v>99.13000000000001</v>
      </c>
      <c r="G139" s="272">
        <v>6.3500000000000001E-2</v>
      </c>
      <c r="H139" s="275">
        <v>104.25</v>
      </c>
      <c r="I139" s="272">
        <v>7.0900000000000005E-2</v>
      </c>
    </row>
    <row r="140" spans="1:9" x14ac:dyDescent="0.35">
      <c r="A140" s="265">
        <v>44399</v>
      </c>
      <c r="B140" s="275">
        <v>101.08</v>
      </c>
      <c r="C140" s="272">
        <v>5.2400000000000002E-2</v>
      </c>
      <c r="D140" s="275">
        <v>101.56</v>
      </c>
      <c r="E140" s="272">
        <v>6.2800000000000009E-2</v>
      </c>
      <c r="F140" s="275">
        <v>99.03</v>
      </c>
      <c r="G140" s="272">
        <v>6.3600000000000004E-2</v>
      </c>
      <c r="H140" s="275">
        <v>104.26</v>
      </c>
      <c r="I140" s="272">
        <v>7.0900000000000005E-2</v>
      </c>
    </row>
    <row r="141" spans="1:9" x14ac:dyDescent="0.35">
      <c r="A141" s="265">
        <v>44400</v>
      </c>
      <c r="B141" s="275">
        <v>101.14</v>
      </c>
      <c r="C141" s="272">
        <v>5.2300000000000006E-2</v>
      </c>
      <c r="D141" s="275">
        <v>101.57000000000001</v>
      </c>
      <c r="E141" s="272">
        <v>6.2800000000000009E-2</v>
      </c>
      <c r="F141" s="275">
        <v>98.95</v>
      </c>
      <c r="G141" s="272">
        <v>6.3600000000000004E-2</v>
      </c>
      <c r="H141" s="275">
        <v>104.28</v>
      </c>
      <c r="I141" s="272">
        <v>7.0900000000000005E-2</v>
      </c>
    </row>
    <row r="142" spans="1:9" x14ac:dyDescent="0.35">
      <c r="A142" s="265">
        <v>44403</v>
      </c>
      <c r="B142" s="275">
        <v>101.03</v>
      </c>
      <c r="C142" s="272">
        <v>5.2500000000000005E-2</v>
      </c>
      <c r="D142" s="275">
        <v>101.5</v>
      </c>
      <c r="E142" s="272">
        <v>6.2899999999999998E-2</v>
      </c>
      <c r="F142" s="275">
        <v>98.79</v>
      </c>
      <c r="G142" s="272">
        <v>6.3800000000000009E-2</v>
      </c>
      <c r="H142" s="275">
        <v>104.30000000000001</v>
      </c>
      <c r="I142" s="272">
        <v>7.0900000000000005E-2</v>
      </c>
    </row>
    <row r="143" spans="1:9" x14ac:dyDescent="0.35">
      <c r="A143" s="265">
        <v>44404</v>
      </c>
      <c r="B143" s="275">
        <v>101.09</v>
      </c>
      <c r="C143" s="272">
        <v>5.2400000000000002E-2</v>
      </c>
      <c r="D143" s="275">
        <v>101.5</v>
      </c>
      <c r="E143" s="272">
        <v>6.2899999999999998E-2</v>
      </c>
      <c r="F143" s="275">
        <v>99.14</v>
      </c>
      <c r="G143" s="272">
        <v>6.3399999999999998E-2</v>
      </c>
      <c r="H143" s="275">
        <v>104.37</v>
      </c>
      <c r="I143" s="272">
        <v>7.0800000000000002E-2</v>
      </c>
    </row>
    <row r="144" spans="1:9" x14ac:dyDescent="0.35">
      <c r="A144" s="265">
        <v>44405</v>
      </c>
      <c r="B144" s="275">
        <v>101.15</v>
      </c>
      <c r="C144" s="272">
        <v>5.2200000000000003E-2</v>
      </c>
      <c r="D144" s="275">
        <v>101.51</v>
      </c>
      <c r="E144" s="272">
        <v>6.2899999999999998E-2</v>
      </c>
      <c r="F144" s="275">
        <v>99.43</v>
      </c>
      <c r="G144" s="272">
        <v>6.3100000000000003E-2</v>
      </c>
      <c r="H144" s="275">
        <v>104.42</v>
      </c>
      <c r="I144" s="272">
        <v>7.0699999999999999E-2</v>
      </c>
    </row>
    <row r="145" spans="1:9" x14ac:dyDescent="0.35">
      <c r="A145" s="265">
        <v>44406</v>
      </c>
      <c r="B145" s="275">
        <v>101.34</v>
      </c>
      <c r="C145" s="272">
        <v>5.1800000000000006E-2</v>
      </c>
      <c r="D145" s="275">
        <v>101.49000000000001</v>
      </c>
      <c r="E145" s="272">
        <v>6.2899999999999998E-2</v>
      </c>
      <c r="F145" s="275">
        <v>99.51</v>
      </c>
      <c r="G145" s="272">
        <v>6.3100000000000003E-2</v>
      </c>
      <c r="H145" s="275">
        <v>104.48</v>
      </c>
      <c r="I145" s="272">
        <v>7.0699999999999999E-2</v>
      </c>
    </row>
    <row r="146" spans="1:9" x14ac:dyDescent="0.35">
      <c r="A146" s="265">
        <v>44407</v>
      </c>
      <c r="B146" s="275">
        <v>101.45</v>
      </c>
      <c r="C146" s="272">
        <v>5.1500000000000004E-2</v>
      </c>
      <c r="D146" s="275">
        <v>101.57000000000001</v>
      </c>
      <c r="E146" s="272">
        <v>6.2800000000000009E-2</v>
      </c>
      <c r="F146" s="275">
        <v>99.600000000000009</v>
      </c>
      <c r="G146" s="272">
        <v>6.3E-2</v>
      </c>
      <c r="H146" s="275">
        <v>104.74000000000001</v>
      </c>
      <c r="I146" s="272">
        <v>7.0400000000000004E-2</v>
      </c>
    </row>
    <row r="147" spans="1:9" x14ac:dyDescent="0.35">
      <c r="A147" s="265">
        <v>44410</v>
      </c>
      <c r="B147" s="275">
        <v>101.48</v>
      </c>
      <c r="C147" s="272">
        <v>5.1400000000000001E-2</v>
      </c>
      <c r="D147" s="275">
        <v>101.60000000000001</v>
      </c>
      <c r="E147" s="272">
        <v>6.2800000000000009E-2</v>
      </c>
      <c r="F147" s="275">
        <v>99.570000000000007</v>
      </c>
      <c r="G147" s="272">
        <v>6.3E-2</v>
      </c>
      <c r="H147" s="275">
        <v>105</v>
      </c>
      <c r="I147" s="272">
        <v>7.0199999999999999E-2</v>
      </c>
    </row>
    <row r="148" spans="1:9" x14ac:dyDescent="0.35">
      <c r="A148" s="265">
        <v>44411</v>
      </c>
      <c r="B148" s="275">
        <v>101.53</v>
      </c>
      <c r="C148" s="272">
        <v>5.1300000000000005E-2</v>
      </c>
      <c r="D148" s="275">
        <v>101.65</v>
      </c>
      <c r="E148" s="272">
        <v>6.2700000000000006E-2</v>
      </c>
      <c r="F148" s="275">
        <v>99.53</v>
      </c>
      <c r="G148" s="272">
        <v>6.3E-2</v>
      </c>
      <c r="H148" s="275">
        <v>105.30000000000001</v>
      </c>
      <c r="I148" s="272">
        <v>6.9900000000000004E-2</v>
      </c>
    </row>
    <row r="149" spans="1:9" x14ac:dyDescent="0.35">
      <c r="A149" s="265">
        <v>44412</v>
      </c>
      <c r="B149" s="275">
        <v>101.73</v>
      </c>
      <c r="C149" s="272">
        <v>5.0800000000000005E-2</v>
      </c>
      <c r="D149" s="275">
        <v>101.88</v>
      </c>
      <c r="E149" s="272">
        <v>6.2400000000000004E-2</v>
      </c>
      <c r="F149" s="275">
        <v>99.62</v>
      </c>
      <c r="G149" s="272">
        <v>6.2899999999999998E-2</v>
      </c>
      <c r="H149" s="275">
        <v>105.37</v>
      </c>
      <c r="I149" s="272">
        <v>6.9800000000000001E-2</v>
      </c>
    </row>
    <row r="150" spans="1:9" x14ac:dyDescent="0.35">
      <c r="A150" s="265">
        <v>44413</v>
      </c>
      <c r="B150" s="275">
        <v>101.74000000000001</v>
      </c>
      <c r="C150" s="272">
        <v>5.0800000000000005E-2</v>
      </c>
      <c r="D150" s="275">
        <v>101.86</v>
      </c>
      <c r="E150" s="272">
        <v>6.2400000000000004E-2</v>
      </c>
      <c r="F150" s="275">
        <v>99.58</v>
      </c>
      <c r="G150" s="272">
        <v>6.3E-2</v>
      </c>
      <c r="H150" s="275">
        <v>105.28</v>
      </c>
      <c r="I150" s="272">
        <v>6.9900000000000004E-2</v>
      </c>
    </row>
    <row r="151" spans="1:9" x14ac:dyDescent="0.35">
      <c r="A151" s="265">
        <v>44414</v>
      </c>
      <c r="B151" s="275">
        <v>101.57000000000001</v>
      </c>
      <c r="C151" s="272">
        <v>5.1200000000000002E-2</v>
      </c>
      <c r="D151" s="275">
        <v>101.67</v>
      </c>
      <c r="E151" s="272">
        <v>6.2700000000000006E-2</v>
      </c>
      <c r="F151" s="275">
        <v>99.570000000000007</v>
      </c>
      <c r="G151" s="272">
        <v>6.3E-2</v>
      </c>
      <c r="H151" s="275">
        <v>105.10000000000001</v>
      </c>
      <c r="I151" s="272">
        <v>7.010000000000001E-2</v>
      </c>
    </row>
    <row r="152" spans="1:9" x14ac:dyDescent="0.35">
      <c r="A152" s="265">
        <v>44417</v>
      </c>
      <c r="B152" s="275">
        <v>101.45</v>
      </c>
      <c r="C152" s="272">
        <v>5.1500000000000004E-2</v>
      </c>
      <c r="D152" s="275">
        <v>101.43</v>
      </c>
      <c r="E152" s="272">
        <v>6.3E-2</v>
      </c>
      <c r="F152" s="275">
        <v>99.45</v>
      </c>
      <c r="G152" s="272">
        <v>6.3100000000000003E-2</v>
      </c>
      <c r="H152" s="275">
        <v>104.95</v>
      </c>
      <c r="I152" s="272">
        <v>7.0199999999999999E-2</v>
      </c>
    </row>
    <row r="153" spans="1:9" x14ac:dyDescent="0.35">
      <c r="A153" s="265">
        <v>44418</v>
      </c>
      <c r="B153" s="275">
        <v>101.4</v>
      </c>
      <c r="C153" s="272">
        <v>5.16E-2</v>
      </c>
      <c r="D153" s="275">
        <v>101.34</v>
      </c>
      <c r="E153" s="272">
        <v>6.3200000000000006E-2</v>
      </c>
      <c r="F153" s="275">
        <v>99.26</v>
      </c>
      <c r="G153" s="272">
        <v>6.3300000000000009E-2</v>
      </c>
      <c r="H153" s="275">
        <v>104.73</v>
      </c>
      <c r="I153" s="272">
        <v>7.0400000000000004E-2</v>
      </c>
    </row>
    <row r="154" spans="1:9" x14ac:dyDescent="0.35">
      <c r="A154" s="265">
        <v>44420</v>
      </c>
      <c r="B154" s="275">
        <v>101.41000000000001</v>
      </c>
      <c r="C154" s="272">
        <v>5.16E-2</v>
      </c>
      <c r="D154" s="275">
        <v>101.35000000000001</v>
      </c>
      <c r="E154" s="272">
        <v>6.3100000000000003E-2</v>
      </c>
      <c r="F154" s="275">
        <v>99.190000000000012</v>
      </c>
      <c r="G154" s="272">
        <v>6.3399999999999998E-2</v>
      </c>
      <c r="H154" s="275">
        <v>104.53</v>
      </c>
      <c r="I154" s="272">
        <v>7.0599999999999996E-2</v>
      </c>
    </row>
    <row r="155" spans="1:9" x14ac:dyDescent="0.35">
      <c r="A155" s="265">
        <v>44421</v>
      </c>
      <c r="B155" s="275">
        <v>101.27000000000001</v>
      </c>
      <c r="C155" s="272">
        <v>5.1900000000000002E-2</v>
      </c>
      <c r="D155" s="275">
        <v>101.07000000000001</v>
      </c>
      <c r="E155" s="272">
        <v>6.3500000000000001E-2</v>
      </c>
      <c r="F155" s="275">
        <v>99.240000000000009</v>
      </c>
      <c r="G155" s="272">
        <v>6.3300000000000009E-2</v>
      </c>
      <c r="H155" s="275">
        <v>104.28</v>
      </c>
      <c r="I155" s="272">
        <v>7.0900000000000005E-2</v>
      </c>
    </row>
    <row r="156" spans="1:9" x14ac:dyDescent="0.35">
      <c r="A156" s="265">
        <v>44424</v>
      </c>
      <c r="B156" s="275">
        <v>101.28</v>
      </c>
      <c r="C156" s="272">
        <v>5.1900000000000002E-2</v>
      </c>
      <c r="D156" s="275">
        <v>101.22</v>
      </c>
      <c r="E156" s="272">
        <v>6.3300000000000009E-2</v>
      </c>
      <c r="F156" s="275">
        <v>99.350000000000009</v>
      </c>
      <c r="G156" s="272">
        <v>6.3200000000000006E-2</v>
      </c>
      <c r="H156" s="275">
        <v>104.33</v>
      </c>
      <c r="I156" s="272">
        <v>7.0800000000000002E-2</v>
      </c>
    </row>
    <row r="157" spans="1:9" x14ac:dyDescent="0.35">
      <c r="A157" s="265">
        <v>44426</v>
      </c>
      <c r="B157" s="275">
        <v>101.37</v>
      </c>
      <c r="C157" s="272">
        <v>5.1700000000000003E-2</v>
      </c>
      <c r="D157" s="275">
        <v>101.39</v>
      </c>
      <c r="E157" s="272">
        <v>6.3100000000000003E-2</v>
      </c>
      <c r="F157" s="275">
        <v>99.37</v>
      </c>
      <c r="G157" s="272">
        <v>6.3200000000000006E-2</v>
      </c>
      <c r="H157" s="275">
        <v>104.44000000000001</v>
      </c>
      <c r="I157" s="272">
        <v>7.0699999999999999E-2</v>
      </c>
    </row>
    <row r="158" spans="1:9" x14ac:dyDescent="0.35">
      <c r="A158" s="265">
        <v>44427</v>
      </c>
      <c r="B158" s="275">
        <v>101.5</v>
      </c>
      <c r="C158" s="272">
        <v>5.1400000000000001E-2</v>
      </c>
      <c r="D158" s="275">
        <v>101.46000000000001</v>
      </c>
      <c r="E158" s="272">
        <v>6.3E-2</v>
      </c>
      <c r="F158" s="275">
        <v>99.350000000000009</v>
      </c>
      <c r="G158" s="272">
        <v>6.3200000000000006E-2</v>
      </c>
      <c r="H158" s="275">
        <v>104.67</v>
      </c>
      <c r="I158" s="272">
        <v>7.0500000000000007E-2</v>
      </c>
    </row>
    <row r="159" spans="1:9" x14ac:dyDescent="0.35">
      <c r="A159" s="265">
        <v>44428</v>
      </c>
      <c r="B159" s="275">
        <v>101.43</v>
      </c>
      <c r="C159" s="272">
        <v>5.1500000000000004E-2</v>
      </c>
      <c r="D159" s="275">
        <v>101.28</v>
      </c>
      <c r="E159" s="272">
        <v>6.3200000000000006E-2</v>
      </c>
      <c r="F159" s="275">
        <v>99.22</v>
      </c>
      <c r="G159" s="272">
        <v>6.3399999999999998E-2</v>
      </c>
      <c r="H159" s="275">
        <v>104.59</v>
      </c>
      <c r="I159" s="272">
        <v>7.0599999999999996E-2</v>
      </c>
    </row>
    <row r="160" spans="1:9" x14ac:dyDescent="0.35">
      <c r="A160" s="265">
        <v>44431</v>
      </c>
      <c r="B160" s="275">
        <v>101.36</v>
      </c>
      <c r="C160" s="272">
        <v>5.1700000000000003E-2</v>
      </c>
      <c r="D160" s="275">
        <v>101.09</v>
      </c>
      <c r="E160" s="272">
        <v>6.3500000000000001E-2</v>
      </c>
      <c r="F160" s="275">
        <v>99.21</v>
      </c>
      <c r="G160" s="272">
        <v>6.3399999999999998E-2</v>
      </c>
      <c r="H160" s="275">
        <v>104.52000000000001</v>
      </c>
      <c r="I160" s="272">
        <v>7.0599999999999996E-2</v>
      </c>
    </row>
    <row r="161" spans="1:9" x14ac:dyDescent="0.35">
      <c r="A161" s="265">
        <v>44432</v>
      </c>
      <c r="B161" s="275">
        <v>101.52000000000001</v>
      </c>
      <c r="C161" s="272">
        <v>5.1300000000000005E-2</v>
      </c>
      <c r="D161" s="275">
        <v>101.52000000000001</v>
      </c>
      <c r="E161" s="272">
        <v>6.2899999999999998E-2</v>
      </c>
      <c r="F161" s="275">
        <v>99.63000000000001</v>
      </c>
      <c r="G161" s="272">
        <v>6.2899999999999998E-2</v>
      </c>
      <c r="H161" s="275">
        <v>104.74</v>
      </c>
      <c r="I161" s="272">
        <v>7.0400000000000004E-2</v>
      </c>
    </row>
    <row r="162" spans="1:9" x14ac:dyDescent="0.35">
      <c r="A162" s="265">
        <v>44433</v>
      </c>
      <c r="B162" s="275">
        <v>101.71000000000001</v>
      </c>
      <c r="C162" s="272">
        <v>5.0800000000000005E-2</v>
      </c>
      <c r="D162" s="275">
        <v>102.02000000000001</v>
      </c>
      <c r="E162" s="272">
        <v>6.2200000000000005E-2</v>
      </c>
      <c r="F162" s="275">
        <v>99.39</v>
      </c>
      <c r="G162" s="272">
        <v>6.3200000000000006E-2</v>
      </c>
      <c r="H162" s="275">
        <v>105.52000000000001</v>
      </c>
      <c r="I162" s="272">
        <v>6.9699999999999998E-2</v>
      </c>
    </row>
    <row r="163" spans="1:9" x14ac:dyDescent="0.35">
      <c r="A163" s="265">
        <v>44434</v>
      </c>
      <c r="B163" s="275">
        <v>101.92</v>
      </c>
      <c r="C163" s="272">
        <v>5.0300000000000004E-2</v>
      </c>
      <c r="D163" s="275">
        <v>102.61</v>
      </c>
      <c r="E163" s="272">
        <v>6.1400000000000003E-2</v>
      </c>
      <c r="F163" s="275">
        <v>99.61</v>
      </c>
      <c r="G163" s="272">
        <v>6.2899999999999998E-2</v>
      </c>
      <c r="H163" s="275">
        <v>106.47</v>
      </c>
      <c r="I163" s="272">
        <v>6.88E-2</v>
      </c>
    </row>
    <row r="164" spans="1:9" x14ac:dyDescent="0.35">
      <c r="A164" s="265">
        <v>44435</v>
      </c>
      <c r="B164" s="275">
        <v>101.9</v>
      </c>
      <c r="C164" s="272">
        <v>5.04E-2</v>
      </c>
      <c r="D164" s="275">
        <v>102.56</v>
      </c>
      <c r="E164" s="272">
        <v>6.1400000000000003E-2</v>
      </c>
      <c r="F164" s="275">
        <v>99.47</v>
      </c>
      <c r="G164" s="272">
        <v>6.3100000000000003E-2</v>
      </c>
      <c r="H164" s="275">
        <v>106.29</v>
      </c>
      <c r="I164" s="272">
        <v>6.9000000000000006E-2</v>
      </c>
    </row>
    <row r="165" spans="1:9" x14ac:dyDescent="0.35">
      <c r="A165" s="265">
        <v>44438</v>
      </c>
      <c r="B165" s="276">
        <v>101.78</v>
      </c>
      <c r="C165" s="267">
        <v>5.0700000000000002E-2</v>
      </c>
      <c r="D165" s="270">
        <v>102.53</v>
      </c>
      <c r="E165" s="267">
        <v>6.1500000000000006E-2</v>
      </c>
      <c r="F165" s="270">
        <v>99.54</v>
      </c>
      <c r="G165" s="267">
        <v>6.3E-2</v>
      </c>
      <c r="H165" s="270">
        <v>106.17</v>
      </c>
      <c r="I165" s="267">
        <v>6.9100000000000009E-2</v>
      </c>
    </row>
    <row r="166" spans="1:9" x14ac:dyDescent="0.35">
      <c r="A166" s="265">
        <v>44439</v>
      </c>
      <c r="B166" s="276">
        <v>102.2</v>
      </c>
      <c r="C166" s="267">
        <v>4.9600000000000005E-2</v>
      </c>
      <c r="D166" s="270">
        <v>102.98</v>
      </c>
      <c r="E166" s="267">
        <v>6.0900000000000003E-2</v>
      </c>
      <c r="F166" s="270">
        <v>99.81</v>
      </c>
      <c r="G166" s="267">
        <v>6.2700000000000006E-2</v>
      </c>
      <c r="H166" s="270">
        <v>106.23</v>
      </c>
      <c r="I166" s="267">
        <v>6.9000000000000006E-2</v>
      </c>
    </row>
    <row r="167" spans="1:9" x14ac:dyDescent="0.35">
      <c r="A167" s="265">
        <v>44440</v>
      </c>
      <c r="B167" s="276">
        <v>101.97</v>
      </c>
      <c r="C167" s="267">
        <v>5.0200000000000002E-2</v>
      </c>
      <c r="D167" s="270">
        <v>103.28</v>
      </c>
      <c r="E167" s="267">
        <v>6.0400000000000002E-2</v>
      </c>
      <c r="F167" s="270">
        <v>99.84</v>
      </c>
      <c r="G167" s="267">
        <v>6.2700000000000006E-2</v>
      </c>
      <c r="H167" s="270">
        <v>107.42</v>
      </c>
      <c r="I167" s="267">
        <v>6.8000000000000005E-2</v>
      </c>
    </row>
    <row r="168" spans="1:9" x14ac:dyDescent="0.35">
      <c r="A168" s="265">
        <v>44441</v>
      </c>
      <c r="B168" s="276">
        <v>101.93</v>
      </c>
      <c r="C168" s="267">
        <v>5.0300000000000004E-2</v>
      </c>
      <c r="D168" s="270">
        <v>102.99000000000001</v>
      </c>
      <c r="E168" s="267">
        <v>6.08E-2</v>
      </c>
      <c r="F168" s="270">
        <v>99.67</v>
      </c>
      <c r="G168" s="267">
        <v>6.2899999999999998E-2</v>
      </c>
      <c r="H168" s="270">
        <v>106.99000000000001</v>
      </c>
      <c r="I168" s="267">
        <v>6.83E-2</v>
      </c>
    </row>
    <row r="169" spans="1:9" x14ac:dyDescent="0.35">
      <c r="A169" s="265">
        <v>44442</v>
      </c>
      <c r="B169" s="276">
        <v>101.93</v>
      </c>
      <c r="C169" s="267">
        <v>5.0300000000000004E-2</v>
      </c>
      <c r="D169" s="270">
        <v>102.97</v>
      </c>
      <c r="E169" s="267">
        <v>6.0900000000000003E-2</v>
      </c>
      <c r="F169" s="270">
        <v>99.64</v>
      </c>
      <c r="G169" s="267">
        <v>6.2899999999999998E-2</v>
      </c>
      <c r="H169" s="270">
        <v>106.98</v>
      </c>
      <c r="I169" s="267">
        <v>6.8400000000000002E-2</v>
      </c>
    </row>
    <row r="170" spans="1:9" x14ac:dyDescent="0.35">
      <c r="A170" s="265">
        <v>44445</v>
      </c>
      <c r="B170" s="275">
        <v>101.91000000000001</v>
      </c>
      <c r="C170" s="272">
        <v>5.0300000000000004E-2</v>
      </c>
      <c r="D170" s="275">
        <v>102.97</v>
      </c>
      <c r="E170" s="272">
        <v>6.0900000000000003E-2</v>
      </c>
      <c r="F170" s="275">
        <v>99.660000000000011</v>
      </c>
      <c r="G170" s="272">
        <v>6.2899999999999998E-2</v>
      </c>
      <c r="H170" s="275">
        <v>106.98</v>
      </c>
      <c r="I170" s="272">
        <v>6.8400000000000002E-2</v>
      </c>
    </row>
    <row r="171" spans="1:9" x14ac:dyDescent="0.35">
      <c r="A171" s="265">
        <v>44446</v>
      </c>
      <c r="B171" s="275">
        <v>101.91000000000001</v>
      </c>
      <c r="C171" s="272">
        <v>5.0300000000000004E-2</v>
      </c>
      <c r="D171" s="275">
        <v>102.95</v>
      </c>
      <c r="E171" s="272">
        <v>6.0900000000000003E-2</v>
      </c>
      <c r="F171" s="275">
        <v>99.7</v>
      </c>
      <c r="G171" s="272">
        <v>6.2899999999999998E-2</v>
      </c>
      <c r="H171" s="275">
        <v>106.99000000000001</v>
      </c>
      <c r="I171" s="272">
        <v>6.83E-2</v>
      </c>
    </row>
    <row r="172" spans="1:9" x14ac:dyDescent="0.35">
      <c r="A172" s="265">
        <v>44447</v>
      </c>
      <c r="B172" s="275">
        <v>101.86</v>
      </c>
      <c r="C172" s="272">
        <v>5.0500000000000003E-2</v>
      </c>
      <c r="D172" s="275">
        <v>102.77</v>
      </c>
      <c r="E172" s="272">
        <v>6.1100000000000002E-2</v>
      </c>
      <c r="F172" s="275">
        <v>99.68</v>
      </c>
      <c r="G172" s="272">
        <v>6.2899999999999998E-2</v>
      </c>
      <c r="H172" s="275">
        <v>106.84</v>
      </c>
      <c r="I172" s="272">
        <v>6.8500000000000005E-2</v>
      </c>
    </row>
    <row r="173" spans="1:9" x14ac:dyDescent="0.35">
      <c r="A173" s="265">
        <v>44448</v>
      </c>
      <c r="B173" s="275">
        <v>101.69000000000001</v>
      </c>
      <c r="C173" s="272">
        <v>5.0900000000000001E-2</v>
      </c>
      <c r="D173" s="275">
        <v>102.48</v>
      </c>
      <c r="E173" s="272">
        <v>6.1500000000000006E-2</v>
      </c>
      <c r="F173" s="275">
        <v>99.62</v>
      </c>
      <c r="G173" s="272">
        <v>6.2899999999999998E-2</v>
      </c>
      <c r="H173" s="275">
        <v>106.57000000000001</v>
      </c>
      <c r="I173" s="272">
        <v>6.8699999999999997E-2</v>
      </c>
    </row>
    <row r="174" spans="1:9" x14ac:dyDescent="0.35">
      <c r="A174" s="265">
        <v>44449</v>
      </c>
      <c r="B174" s="275">
        <v>101.79</v>
      </c>
      <c r="C174" s="272">
        <v>5.0600000000000006E-2</v>
      </c>
      <c r="D174" s="275">
        <v>102.47</v>
      </c>
      <c r="E174" s="272">
        <v>6.1500000000000006E-2</v>
      </c>
      <c r="F174" s="275">
        <v>99.78</v>
      </c>
      <c r="G174" s="272">
        <v>6.2800000000000009E-2</v>
      </c>
      <c r="H174" s="275">
        <v>106.62</v>
      </c>
      <c r="I174" s="272">
        <v>6.8699999999999997E-2</v>
      </c>
    </row>
    <row r="175" spans="1:9" x14ac:dyDescent="0.35">
      <c r="A175" s="265">
        <v>44452</v>
      </c>
      <c r="B175" s="275">
        <v>101.88000000000001</v>
      </c>
      <c r="C175" s="272">
        <v>5.04E-2</v>
      </c>
      <c r="D175" s="275">
        <v>102.62</v>
      </c>
      <c r="E175" s="272">
        <v>6.13E-2</v>
      </c>
      <c r="F175" s="275">
        <v>99.820000000000007</v>
      </c>
      <c r="G175" s="272">
        <v>6.2700000000000006E-2</v>
      </c>
      <c r="H175" s="275">
        <v>106.52000000000001</v>
      </c>
      <c r="I175" s="272">
        <v>6.88E-2</v>
      </c>
    </row>
    <row r="176" spans="1:9" x14ac:dyDescent="0.35">
      <c r="A176" s="265">
        <v>44453</v>
      </c>
      <c r="B176" s="275">
        <v>101.80000000000001</v>
      </c>
      <c r="C176" s="272">
        <v>5.0600000000000006E-2</v>
      </c>
      <c r="D176" s="275">
        <v>102.54</v>
      </c>
      <c r="E176" s="272">
        <v>6.1400000000000003E-2</v>
      </c>
      <c r="F176" s="275">
        <v>99.800000000000011</v>
      </c>
      <c r="G176" s="272">
        <v>6.2700000000000006E-2</v>
      </c>
      <c r="H176" s="275">
        <v>104.49000000000001</v>
      </c>
      <c r="I176" s="272">
        <v>6.8599999999999994E-2</v>
      </c>
    </row>
    <row r="177" spans="1:9" x14ac:dyDescent="0.35">
      <c r="A177" s="265">
        <v>44454</v>
      </c>
      <c r="B177" s="275">
        <v>101.84</v>
      </c>
      <c r="C177" s="272">
        <v>5.0500000000000003E-2</v>
      </c>
      <c r="D177" s="275">
        <v>102.66000000000001</v>
      </c>
      <c r="E177" s="272">
        <v>6.13E-2</v>
      </c>
      <c r="F177" s="275">
        <v>99.98</v>
      </c>
      <c r="G177" s="272">
        <v>6.2600000000000003E-2</v>
      </c>
      <c r="H177" s="275">
        <v>106.71000000000001</v>
      </c>
      <c r="I177" s="272">
        <v>6.8600000000000008E-2</v>
      </c>
    </row>
    <row r="178" spans="1:9" x14ac:dyDescent="0.35">
      <c r="A178" s="265">
        <v>44455</v>
      </c>
      <c r="B178" s="275">
        <v>101.87</v>
      </c>
      <c r="C178" s="272">
        <v>5.04E-2</v>
      </c>
      <c r="D178" s="275">
        <v>102.74000000000001</v>
      </c>
      <c r="E178" s="272">
        <v>6.1200000000000004E-2</v>
      </c>
      <c r="F178" s="275">
        <v>100.04</v>
      </c>
      <c r="G178" s="272">
        <v>6.25E-2</v>
      </c>
      <c r="H178" s="275">
        <v>106.77000000000001</v>
      </c>
      <c r="I178" s="272">
        <v>6.8500000000000005E-2</v>
      </c>
    </row>
    <row r="179" spans="1:9" x14ac:dyDescent="0.35">
      <c r="A179" s="265">
        <v>44456</v>
      </c>
      <c r="B179" s="275">
        <v>101.80000000000001</v>
      </c>
      <c r="C179" s="272">
        <v>5.0600000000000006E-2</v>
      </c>
      <c r="D179" s="275">
        <v>102.63000000000001</v>
      </c>
      <c r="E179" s="272">
        <v>6.13E-2</v>
      </c>
      <c r="F179" s="275">
        <v>100.05000000000001</v>
      </c>
      <c r="G179" s="272">
        <v>6.25E-2</v>
      </c>
      <c r="H179" s="275">
        <v>106.62</v>
      </c>
      <c r="I179" s="272">
        <v>6.8699999999999997E-2</v>
      </c>
    </row>
    <row r="180" spans="1:9" x14ac:dyDescent="0.35">
      <c r="A180" s="265">
        <v>44459</v>
      </c>
      <c r="B180" s="275">
        <v>101.78</v>
      </c>
      <c r="C180" s="272">
        <v>5.0600000000000006E-2</v>
      </c>
      <c r="D180" s="275">
        <v>102.56</v>
      </c>
      <c r="E180" s="272">
        <v>6.1400000000000003E-2</v>
      </c>
      <c r="F180" s="275">
        <v>100.66</v>
      </c>
      <c r="G180" s="272">
        <v>6.1800000000000001E-2</v>
      </c>
      <c r="H180" s="275">
        <v>106.62</v>
      </c>
      <c r="I180" s="272">
        <v>6.8699999999999997E-2</v>
      </c>
    </row>
    <row r="181" spans="1:9" x14ac:dyDescent="0.35">
      <c r="A181" s="265">
        <v>44460</v>
      </c>
      <c r="B181" s="275">
        <v>101.63</v>
      </c>
      <c r="C181" s="272">
        <v>5.0999999999999997E-2</v>
      </c>
      <c r="D181" s="275">
        <v>102.33</v>
      </c>
      <c r="E181" s="272">
        <v>6.1699999999999998E-2</v>
      </c>
      <c r="F181" s="275">
        <v>99.820000000000007</v>
      </c>
      <c r="G181" s="272">
        <v>6.2700000000000006E-2</v>
      </c>
      <c r="H181" s="275">
        <v>106.34</v>
      </c>
      <c r="I181" s="272">
        <v>6.8900000000000003E-2</v>
      </c>
    </row>
    <row r="182" spans="1:9" x14ac:dyDescent="0.35">
      <c r="A182" s="265">
        <v>44461</v>
      </c>
      <c r="B182" s="275">
        <v>101.32000000000001</v>
      </c>
      <c r="C182" s="272">
        <v>5.1800000000000006E-2</v>
      </c>
      <c r="D182" s="275">
        <v>101.88000000000001</v>
      </c>
      <c r="E182" s="272">
        <v>6.2400000000000004E-2</v>
      </c>
      <c r="F182" s="275">
        <v>99.61</v>
      </c>
      <c r="G182" s="272">
        <v>6.2899999999999998E-2</v>
      </c>
      <c r="H182" s="275">
        <v>105.67</v>
      </c>
      <c r="I182" s="272">
        <v>6.9600000000000009E-2</v>
      </c>
    </row>
    <row r="183" spans="1:9" x14ac:dyDescent="0.35">
      <c r="A183" s="265">
        <v>44462</v>
      </c>
      <c r="B183" s="275">
        <v>101.33</v>
      </c>
      <c r="C183" s="272">
        <v>5.1700000000000003E-2</v>
      </c>
      <c r="D183" s="275">
        <v>102.02000000000001</v>
      </c>
      <c r="E183" s="272">
        <v>6.2200000000000005E-2</v>
      </c>
      <c r="F183" s="275">
        <v>99.67</v>
      </c>
      <c r="G183" s="272">
        <v>6.2899999999999998E-2</v>
      </c>
      <c r="H183" s="275">
        <v>105.61</v>
      </c>
      <c r="I183" s="272">
        <v>6.9600000000000009E-2</v>
      </c>
    </row>
    <row r="184" spans="1:9" x14ac:dyDescent="0.35">
      <c r="A184" s="265">
        <v>44463</v>
      </c>
      <c r="B184" s="275">
        <v>101.38000000000001</v>
      </c>
      <c r="C184" s="272">
        <v>5.16E-2</v>
      </c>
      <c r="D184" s="275">
        <v>102.09</v>
      </c>
      <c r="E184" s="272">
        <v>6.2100000000000002E-2</v>
      </c>
      <c r="F184" s="275">
        <v>99.690000000000012</v>
      </c>
      <c r="G184" s="272">
        <v>6.2899999999999998E-2</v>
      </c>
      <c r="H184" s="275">
        <v>105.48</v>
      </c>
      <c r="I184" s="272">
        <v>6.9699999999999998E-2</v>
      </c>
    </row>
    <row r="185" spans="1:9" x14ac:dyDescent="0.35">
      <c r="A185" s="265">
        <v>44466</v>
      </c>
      <c r="B185" s="277">
        <v>101.23</v>
      </c>
      <c r="C185" s="272">
        <v>5.2000000000000005E-2</v>
      </c>
      <c r="D185" s="277">
        <v>101.82000000000001</v>
      </c>
      <c r="E185" s="272">
        <v>6.2400000000000004E-2</v>
      </c>
      <c r="F185" s="277">
        <v>99.29</v>
      </c>
      <c r="G185" s="272">
        <v>6.3300000000000009E-2</v>
      </c>
      <c r="H185" s="277">
        <v>105.28</v>
      </c>
      <c r="I185" s="272">
        <v>6.9900000000000004E-2</v>
      </c>
    </row>
    <row r="186" spans="1:9" x14ac:dyDescent="0.35">
      <c r="A186" s="265">
        <v>44467</v>
      </c>
      <c r="B186" s="275">
        <v>101.21000000000001</v>
      </c>
      <c r="C186" s="272">
        <v>5.2000000000000005E-2</v>
      </c>
      <c r="D186" s="275">
        <v>101.56</v>
      </c>
      <c r="E186" s="272">
        <v>6.2800000000000009E-2</v>
      </c>
      <c r="F186" s="275">
        <v>99.100000000000009</v>
      </c>
      <c r="G186" s="272">
        <v>6.3500000000000001E-2</v>
      </c>
      <c r="H186" s="275">
        <v>105.15</v>
      </c>
      <c r="I186" s="272">
        <v>7.0000000000000007E-2</v>
      </c>
    </row>
    <row r="187" spans="1:9" x14ac:dyDescent="0.35">
      <c r="A187" s="265">
        <v>44468</v>
      </c>
      <c r="B187" s="277">
        <v>101.19000000000001</v>
      </c>
      <c r="C187" s="272">
        <v>5.21E-2</v>
      </c>
      <c r="D187" s="277">
        <v>101.25</v>
      </c>
      <c r="E187" s="272">
        <v>6.3200000000000006E-2</v>
      </c>
      <c r="F187" s="277">
        <v>98.92</v>
      </c>
      <c r="G187" s="272">
        <v>6.3700000000000007E-2</v>
      </c>
      <c r="H187" s="277">
        <v>104.96000000000001</v>
      </c>
      <c r="I187" s="272">
        <v>7.0199999999999999E-2</v>
      </c>
    </row>
    <row r="188" spans="1:9" x14ac:dyDescent="0.35">
      <c r="A188" s="265">
        <v>44469</v>
      </c>
      <c r="B188" s="275">
        <v>101.2</v>
      </c>
      <c r="C188" s="272">
        <v>5.2000000000000005E-2</v>
      </c>
      <c r="D188" s="275">
        <v>101.25</v>
      </c>
      <c r="E188" s="272">
        <v>6.3200000000000006E-2</v>
      </c>
      <c r="F188" s="275">
        <v>98.86</v>
      </c>
      <c r="G188" s="272">
        <v>6.3700000000000007E-2</v>
      </c>
      <c r="H188" s="275">
        <v>104.81</v>
      </c>
      <c r="I188" s="272">
        <v>7.0400000000000004E-2</v>
      </c>
    </row>
    <row r="189" spans="1:9" x14ac:dyDescent="0.35">
      <c r="A189" s="265">
        <v>44470</v>
      </c>
      <c r="B189" s="277">
        <v>101.17</v>
      </c>
      <c r="C189" s="272">
        <v>5.21E-2</v>
      </c>
      <c r="D189" s="277">
        <v>101.23</v>
      </c>
      <c r="E189" s="272">
        <v>6.3300000000000009E-2</v>
      </c>
      <c r="F189" s="277">
        <v>98.88000000000001</v>
      </c>
      <c r="G189" s="272">
        <v>6.3700000000000007E-2</v>
      </c>
      <c r="H189" s="277">
        <v>104.56</v>
      </c>
      <c r="I189" s="272">
        <v>7.0599999999999996E-2</v>
      </c>
    </row>
    <row r="190" spans="1:9" x14ac:dyDescent="0.35">
      <c r="A190" s="265">
        <v>44473</v>
      </c>
      <c r="B190" s="275">
        <v>101.23</v>
      </c>
      <c r="C190" s="272">
        <v>5.2000000000000005E-2</v>
      </c>
      <c r="D190" s="275">
        <v>101.24000000000001</v>
      </c>
      <c r="E190" s="272">
        <v>6.3300000000000009E-2</v>
      </c>
      <c r="F190" s="275">
        <v>99.100000000000009</v>
      </c>
      <c r="G190" s="272">
        <v>6.3500000000000001E-2</v>
      </c>
      <c r="H190" s="275">
        <v>104.4</v>
      </c>
      <c r="I190" s="272">
        <v>7.0699999999999999E-2</v>
      </c>
    </row>
    <row r="191" spans="1:9" x14ac:dyDescent="0.35">
      <c r="A191" s="265">
        <v>44474</v>
      </c>
      <c r="B191" s="277">
        <v>101.28</v>
      </c>
      <c r="C191" s="272">
        <v>5.1800000000000006E-2</v>
      </c>
      <c r="D191" s="277">
        <v>101.39</v>
      </c>
      <c r="E191" s="272">
        <v>6.3E-2</v>
      </c>
      <c r="F191" s="277">
        <v>99.070000000000007</v>
      </c>
      <c r="G191" s="272">
        <v>6.3500000000000001E-2</v>
      </c>
      <c r="H191" s="277">
        <v>104.28</v>
      </c>
      <c r="I191" s="272">
        <v>7.0900000000000005E-2</v>
      </c>
    </row>
    <row r="192" spans="1:9" x14ac:dyDescent="0.35">
      <c r="A192" s="265">
        <v>44475</v>
      </c>
      <c r="B192" s="275">
        <v>101.38000000000001</v>
      </c>
      <c r="C192" s="272">
        <v>5.16E-2</v>
      </c>
      <c r="D192" s="275">
        <v>101.44000000000001</v>
      </c>
      <c r="E192" s="272">
        <v>6.3E-2</v>
      </c>
      <c r="F192" s="275">
        <v>99.25</v>
      </c>
      <c r="G192" s="272">
        <v>6.3300000000000009E-2</v>
      </c>
      <c r="H192" s="275">
        <v>104.33</v>
      </c>
      <c r="I192" s="272">
        <v>7.0800000000000002E-2</v>
      </c>
    </row>
    <row r="193" spans="1:10" x14ac:dyDescent="0.35">
      <c r="A193" s="265">
        <v>44476</v>
      </c>
      <c r="B193" s="277">
        <v>101.28</v>
      </c>
      <c r="C193" s="272">
        <v>5.1799999999999999E-2</v>
      </c>
      <c r="D193" s="277">
        <v>101.17</v>
      </c>
      <c r="E193" s="272">
        <v>6.3399999999999998E-2</v>
      </c>
      <c r="F193" s="277">
        <v>99.17</v>
      </c>
      <c r="G193" s="272">
        <v>6.3399999999999998E-2</v>
      </c>
      <c r="H193" s="277">
        <v>104.12</v>
      </c>
      <c r="I193" s="272">
        <v>7.0999999999999994E-2</v>
      </c>
    </row>
    <row r="194" spans="1:10" x14ac:dyDescent="0.35">
      <c r="A194" s="265">
        <v>44477</v>
      </c>
      <c r="B194" s="277">
        <v>101.28</v>
      </c>
      <c r="C194" s="272">
        <v>5.1800000000000006E-2</v>
      </c>
      <c r="D194" s="277">
        <v>101.16000000000001</v>
      </c>
      <c r="E194" s="272">
        <v>6.3399999999999998E-2</v>
      </c>
      <c r="F194" s="277">
        <v>99.12</v>
      </c>
      <c r="G194" s="272">
        <v>6.3500000000000001E-2</v>
      </c>
      <c r="H194" s="277">
        <v>103.74000000000001</v>
      </c>
      <c r="I194" s="272">
        <v>7.1400000000000005E-2</v>
      </c>
    </row>
    <row r="195" spans="1:10" x14ac:dyDescent="0.35">
      <c r="A195" s="265">
        <v>44480</v>
      </c>
      <c r="B195" s="275">
        <v>101.22</v>
      </c>
      <c r="C195" s="272">
        <v>5.2000000000000005E-2</v>
      </c>
      <c r="D195" s="275">
        <v>101.05</v>
      </c>
      <c r="E195" s="272">
        <v>6.3500000000000001E-2</v>
      </c>
      <c r="F195" s="275">
        <v>99.03</v>
      </c>
      <c r="G195" s="272">
        <v>6.3600000000000004E-2</v>
      </c>
      <c r="H195" s="275">
        <v>102.80000000000001</v>
      </c>
      <c r="I195" s="272">
        <v>7.2300000000000003E-2</v>
      </c>
    </row>
    <row r="196" spans="1:10" x14ac:dyDescent="0.35">
      <c r="A196" s="265">
        <v>44481</v>
      </c>
      <c r="B196" s="277">
        <v>101.21000000000001</v>
      </c>
      <c r="C196" s="272">
        <v>5.2000000000000005E-2</v>
      </c>
      <c r="D196" s="277">
        <v>100.98</v>
      </c>
      <c r="E196" s="272">
        <v>6.3600000000000004E-2</v>
      </c>
      <c r="F196" s="277">
        <v>99.02000000000001</v>
      </c>
      <c r="G196" s="272">
        <v>6.3600000000000004E-2</v>
      </c>
      <c r="H196" s="277">
        <v>102.46000000000001</v>
      </c>
      <c r="I196" s="272">
        <v>7.2599999999999998E-2</v>
      </c>
    </row>
    <row r="197" spans="1:10" x14ac:dyDescent="0.35">
      <c r="A197" s="265">
        <v>44482</v>
      </c>
      <c r="B197" s="275">
        <v>101.25</v>
      </c>
      <c r="C197" s="272">
        <v>5.1900000000000002E-2</v>
      </c>
      <c r="D197" s="275">
        <v>101.16000000000001</v>
      </c>
      <c r="E197" s="272">
        <v>6.3399999999999998E-2</v>
      </c>
      <c r="F197" s="275">
        <v>99.08</v>
      </c>
      <c r="G197" s="272">
        <v>6.3500000000000001E-2</v>
      </c>
      <c r="H197" s="275">
        <v>102.58</v>
      </c>
      <c r="I197" s="272">
        <v>7.2500000000000009E-2</v>
      </c>
    </row>
    <row r="198" spans="1:10" x14ac:dyDescent="0.35">
      <c r="A198" s="265">
        <v>44483</v>
      </c>
      <c r="B198" s="277">
        <v>101.36</v>
      </c>
      <c r="C198" s="272">
        <v>5.16E-2</v>
      </c>
      <c r="D198" s="277">
        <v>101.34</v>
      </c>
      <c r="E198" s="272">
        <v>6.3100000000000003E-2</v>
      </c>
      <c r="F198" s="277">
        <v>99.190000000000012</v>
      </c>
      <c r="G198" s="272">
        <v>6.3399999999999998E-2</v>
      </c>
      <c r="H198" s="277">
        <v>102.98</v>
      </c>
      <c r="I198" s="272">
        <v>7.2099999999999997E-2</v>
      </c>
    </row>
    <row r="199" spans="1:10" x14ac:dyDescent="0.35">
      <c r="A199" s="265">
        <v>44484</v>
      </c>
      <c r="B199" s="277">
        <v>101.69000000000001</v>
      </c>
      <c r="C199" s="272">
        <v>5.0800000000000005E-2</v>
      </c>
      <c r="D199" s="277">
        <v>102.01</v>
      </c>
      <c r="E199" s="272">
        <v>6.2200000000000005E-2</v>
      </c>
      <c r="F199" s="277">
        <v>99.33</v>
      </c>
      <c r="G199" s="272">
        <v>6.3200000000000006E-2</v>
      </c>
      <c r="H199" s="277">
        <v>103.85000000000001</v>
      </c>
      <c r="I199" s="272">
        <v>7.1300000000000002E-2</v>
      </c>
    </row>
    <row r="200" spans="1:10" x14ac:dyDescent="0.35">
      <c r="A200" s="265">
        <v>44487</v>
      </c>
      <c r="B200" s="275">
        <v>101.65</v>
      </c>
      <c r="C200" s="272">
        <v>5.0900000000000001E-2</v>
      </c>
      <c r="D200" s="275">
        <v>102.11</v>
      </c>
      <c r="E200" s="272">
        <v>6.2E-2</v>
      </c>
      <c r="F200" s="275">
        <v>99.31</v>
      </c>
      <c r="G200" s="272">
        <v>6.3300000000000009E-2</v>
      </c>
      <c r="H200" s="275">
        <v>103.88000000000001</v>
      </c>
      <c r="I200" s="272">
        <v>7.1199999999999999E-2</v>
      </c>
    </row>
    <row r="201" spans="1:10" x14ac:dyDescent="0.35">
      <c r="A201" s="265">
        <v>44488</v>
      </c>
      <c r="B201" s="277">
        <v>101.7</v>
      </c>
      <c r="C201" s="272">
        <v>5.0800000000000005E-2</v>
      </c>
      <c r="D201" s="277">
        <v>102.14</v>
      </c>
      <c r="E201" s="272">
        <v>6.2E-2</v>
      </c>
      <c r="F201" s="277">
        <v>99.5</v>
      </c>
      <c r="G201" s="272">
        <v>6.3100000000000003E-2</v>
      </c>
      <c r="H201" s="277">
        <v>103.96</v>
      </c>
      <c r="I201" s="272">
        <v>7.1199999999999999E-2</v>
      </c>
    </row>
    <row r="202" spans="1:10" x14ac:dyDescent="0.35">
      <c r="A202" s="265">
        <v>44490</v>
      </c>
      <c r="B202" s="275">
        <v>101.69000000000001</v>
      </c>
      <c r="C202" s="272">
        <v>5.0800000000000005E-2</v>
      </c>
      <c r="D202" s="275">
        <v>102.26</v>
      </c>
      <c r="E202" s="272">
        <v>6.1800000000000001E-2</v>
      </c>
      <c r="F202" s="275">
        <v>99.65</v>
      </c>
      <c r="G202" s="272">
        <v>6.2899999999999998E-2</v>
      </c>
      <c r="H202" s="275">
        <v>104.15</v>
      </c>
      <c r="I202" s="272">
        <v>7.1000000000000008E-2</v>
      </c>
    </row>
    <row r="203" spans="1:10" x14ac:dyDescent="0.35">
      <c r="A203" s="265">
        <v>44491</v>
      </c>
      <c r="B203" s="277">
        <v>101.57</v>
      </c>
      <c r="C203" s="272">
        <v>5.11E-2</v>
      </c>
      <c r="D203" s="277">
        <v>102.22</v>
      </c>
      <c r="E203" s="272">
        <v>6.1900000000000004E-2</v>
      </c>
      <c r="F203" s="277">
        <v>99.55</v>
      </c>
      <c r="G203" s="272">
        <v>6.3E-2</v>
      </c>
      <c r="H203" s="277">
        <v>104.01</v>
      </c>
      <c r="I203" s="272">
        <v>7.1099999999999997E-2</v>
      </c>
    </row>
    <row r="204" spans="1:10" s="280" customFormat="1" x14ac:dyDescent="0.35">
      <c r="A204" s="278">
        <v>44494</v>
      </c>
      <c r="B204" s="275">
        <v>101.67</v>
      </c>
      <c r="C204" s="272">
        <v>5.0800000000000005E-2</v>
      </c>
      <c r="D204" s="275">
        <v>102.38000000000001</v>
      </c>
      <c r="E204" s="272">
        <v>6.1600000000000002E-2</v>
      </c>
      <c r="F204" s="275">
        <v>99.98</v>
      </c>
      <c r="G204" s="272">
        <v>6.2600000000000003E-2</v>
      </c>
      <c r="H204" s="275">
        <v>104.34</v>
      </c>
      <c r="I204" s="272">
        <v>7.0800000000000002E-2</v>
      </c>
      <c r="J204" s="279"/>
    </row>
    <row r="205" spans="1:10" s="280" customFormat="1" x14ac:dyDescent="0.35">
      <c r="A205" s="278">
        <v>44495</v>
      </c>
      <c r="B205" s="277">
        <v>101.68</v>
      </c>
      <c r="C205" s="272">
        <v>5.0800000000000005E-2</v>
      </c>
      <c r="D205" s="277">
        <v>102.52000000000001</v>
      </c>
      <c r="E205" s="272">
        <v>6.1400000000000003E-2</v>
      </c>
      <c r="F205" s="277">
        <v>99.89</v>
      </c>
      <c r="G205" s="272">
        <v>6.2700000000000006E-2</v>
      </c>
      <c r="H205" s="277">
        <v>104.43</v>
      </c>
      <c r="I205" s="272">
        <v>7.0699999999999999E-2</v>
      </c>
      <c r="J205" s="279"/>
    </row>
    <row r="206" spans="1:10" s="280" customFormat="1" x14ac:dyDescent="0.35">
      <c r="A206" s="278">
        <v>44496</v>
      </c>
      <c r="B206" s="275">
        <v>101.77000000000001</v>
      </c>
      <c r="C206" s="272">
        <v>5.0600000000000006E-2</v>
      </c>
      <c r="D206" s="275">
        <v>102.65</v>
      </c>
      <c r="E206" s="272">
        <v>6.13E-2</v>
      </c>
      <c r="F206" s="275">
        <v>99.98</v>
      </c>
      <c r="G206" s="272">
        <v>6.2600000000000003E-2</v>
      </c>
      <c r="H206" s="275">
        <v>105.24000000000001</v>
      </c>
      <c r="I206" s="272">
        <v>6.9900000000000004E-2</v>
      </c>
      <c r="J206" s="279"/>
    </row>
    <row r="207" spans="1:10" s="280" customFormat="1" x14ac:dyDescent="0.35">
      <c r="A207" s="278">
        <v>44497</v>
      </c>
      <c r="B207" s="277">
        <v>101.69</v>
      </c>
      <c r="C207" s="272">
        <v>5.0800000000000005E-2</v>
      </c>
      <c r="D207" s="277">
        <v>102.59</v>
      </c>
      <c r="E207" s="272">
        <v>6.13E-2</v>
      </c>
      <c r="F207" s="277">
        <v>99.95</v>
      </c>
      <c r="G207" s="272">
        <v>6.2600000000000003E-2</v>
      </c>
      <c r="H207" s="277">
        <v>105.32000000000001</v>
      </c>
      <c r="I207" s="272">
        <v>6.9900000000000004E-2</v>
      </c>
      <c r="J207" s="279"/>
    </row>
    <row r="208" spans="1:10" s="280" customFormat="1" x14ac:dyDescent="0.35">
      <c r="A208" s="278">
        <v>44498</v>
      </c>
      <c r="B208" s="277">
        <v>101.72</v>
      </c>
      <c r="C208" s="272">
        <v>5.0700000000000002E-2</v>
      </c>
      <c r="D208" s="277">
        <v>102.5</v>
      </c>
      <c r="E208" s="272">
        <v>6.1500000000000006E-2</v>
      </c>
      <c r="F208" s="277">
        <v>99.940000000000012</v>
      </c>
      <c r="G208" s="272">
        <v>6.2600000000000003E-2</v>
      </c>
      <c r="H208" s="277">
        <v>105.21000000000001</v>
      </c>
      <c r="I208" s="272">
        <v>7.0000000000000007E-2</v>
      </c>
      <c r="J208" s="279"/>
    </row>
    <row r="209" spans="1:9" x14ac:dyDescent="0.35">
      <c r="A209" s="278">
        <v>44501</v>
      </c>
      <c r="B209" s="275">
        <v>101.56</v>
      </c>
      <c r="C209" s="272">
        <v>5.11E-2</v>
      </c>
      <c r="D209" s="275">
        <v>102.2</v>
      </c>
      <c r="E209" s="272">
        <v>6.1900000000000004E-2</v>
      </c>
      <c r="F209" s="275">
        <v>99.88000000000001</v>
      </c>
      <c r="G209" s="272">
        <v>6.2700000000000006E-2</v>
      </c>
      <c r="H209" s="275">
        <v>105.14</v>
      </c>
      <c r="I209" s="272">
        <v>7.0000000000000007E-2</v>
      </c>
    </row>
    <row r="210" spans="1:9" x14ac:dyDescent="0.35">
      <c r="A210" s="278">
        <v>44502</v>
      </c>
      <c r="B210" s="277">
        <v>101.62</v>
      </c>
      <c r="C210" s="272">
        <v>5.0900000000000001E-2</v>
      </c>
      <c r="D210" s="277">
        <v>101.82</v>
      </c>
      <c r="E210" s="272">
        <v>6.2400000000000004E-2</v>
      </c>
      <c r="F210" s="277">
        <v>99.81</v>
      </c>
      <c r="G210" s="272">
        <v>6.2700000000000006E-2</v>
      </c>
      <c r="H210" s="277">
        <v>104.93</v>
      </c>
      <c r="I210" s="272">
        <v>7.0199999999999999E-2</v>
      </c>
    </row>
    <row r="211" spans="1:9" x14ac:dyDescent="0.35">
      <c r="A211" s="278">
        <v>44503</v>
      </c>
      <c r="B211" s="275">
        <v>101.66000000000001</v>
      </c>
      <c r="C211" s="272">
        <v>5.0800000000000005E-2</v>
      </c>
      <c r="D211" s="275">
        <v>101.99000000000001</v>
      </c>
      <c r="E211" s="272">
        <v>6.2200000000000005E-2</v>
      </c>
      <c r="F211" s="275">
        <v>99.95</v>
      </c>
      <c r="G211" s="272">
        <v>6.2600000000000003E-2</v>
      </c>
      <c r="H211" s="275">
        <v>105.24000000000001</v>
      </c>
      <c r="I211" s="272">
        <v>6.9900000000000004E-2</v>
      </c>
    </row>
    <row r="212" spans="1:9" x14ac:dyDescent="0.35">
      <c r="A212" s="278">
        <v>44504</v>
      </c>
      <c r="B212" s="277">
        <v>101.63000000000001</v>
      </c>
      <c r="C212" s="272">
        <v>5.0900000000000001E-2</v>
      </c>
      <c r="D212" s="277">
        <v>101.92</v>
      </c>
      <c r="E212" s="272">
        <v>6.2300000000000001E-2</v>
      </c>
      <c r="F212" s="277">
        <v>99.95</v>
      </c>
      <c r="G212" s="272">
        <v>6.2600000000000003E-2</v>
      </c>
      <c r="H212" s="277">
        <v>105.4</v>
      </c>
      <c r="I212" s="272">
        <v>6.9800000000000001E-2</v>
      </c>
    </row>
    <row r="213" spans="1:9" x14ac:dyDescent="0.35">
      <c r="A213" s="278">
        <v>44505</v>
      </c>
      <c r="B213" s="277">
        <v>101.72</v>
      </c>
      <c r="C213" s="272">
        <v>5.0700000000000002E-2</v>
      </c>
      <c r="D213" s="277">
        <v>102.18</v>
      </c>
      <c r="E213" s="272">
        <v>6.1899999999999997E-2</v>
      </c>
      <c r="F213" s="277">
        <v>100.1</v>
      </c>
      <c r="G213" s="272">
        <v>6.2399999999999997E-2</v>
      </c>
      <c r="H213" s="277">
        <v>105.56</v>
      </c>
      <c r="I213" s="272">
        <v>6.9599999999999995E-2</v>
      </c>
    </row>
    <row r="214" spans="1:9" x14ac:dyDescent="0.35">
      <c r="A214" s="278">
        <v>44508</v>
      </c>
      <c r="B214" s="275">
        <v>101.74000000000001</v>
      </c>
      <c r="C214" s="272">
        <v>5.0600000000000006E-2</v>
      </c>
      <c r="D214" s="275">
        <v>102.26</v>
      </c>
      <c r="E214" s="272">
        <v>6.1800000000000001E-2</v>
      </c>
      <c r="F214" s="275">
        <v>100.22</v>
      </c>
      <c r="G214" s="272">
        <v>6.2300000000000001E-2</v>
      </c>
      <c r="H214" s="275">
        <v>105.75</v>
      </c>
      <c r="I214" s="272">
        <v>6.9500000000000006E-2</v>
      </c>
    </row>
    <row r="215" spans="1:9" x14ac:dyDescent="0.35">
      <c r="A215" s="278">
        <v>44509</v>
      </c>
      <c r="B215" s="281">
        <v>101.75</v>
      </c>
      <c r="C215" s="272">
        <v>5.0599999999999999E-2</v>
      </c>
      <c r="D215" s="281">
        <v>102.47</v>
      </c>
      <c r="E215" s="272">
        <v>6.1499999999999999E-2</v>
      </c>
      <c r="F215" s="281">
        <v>100.27</v>
      </c>
      <c r="G215" s="272">
        <v>6.2300000000000001E-2</v>
      </c>
      <c r="H215" s="281">
        <v>106.39</v>
      </c>
      <c r="I215" s="272">
        <v>6.8900000000000003E-2</v>
      </c>
    </row>
    <row r="216" spans="1:9" x14ac:dyDescent="0.35">
      <c r="A216" s="278">
        <v>44510</v>
      </c>
      <c r="B216" s="275">
        <v>101.76</v>
      </c>
      <c r="C216" s="272">
        <v>5.0500000000000003E-2</v>
      </c>
      <c r="D216" s="275">
        <v>102.48</v>
      </c>
      <c r="E216" s="272">
        <v>6.1500000000000006E-2</v>
      </c>
      <c r="F216" s="275">
        <v>100.23</v>
      </c>
      <c r="G216" s="272">
        <v>6.2300000000000001E-2</v>
      </c>
      <c r="H216" s="275">
        <v>106.31</v>
      </c>
      <c r="I216" s="272">
        <v>6.8900000000000003E-2</v>
      </c>
    </row>
    <row r="217" spans="1:9" x14ac:dyDescent="0.35">
      <c r="A217" s="278">
        <v>44511</v>
      </c>
      <c r="B217" s="281">
        <v>101.73</v>
      </c>
      <c r="C217" s="272">
        <v>5.0600000000000006E-2</v>
      </c>
      <c r="D217" s="281">
        <v>102.38000000000001</v>
      </c>
      <c r="E217" s="272">
        <v>6.1600000000000002E-2</v>
      </c>
      <c r="F217" s="281">
        <v>100.19000000000001</v>
      </c>
      <c r="G217" s="272">
        <v>6.2300000000000001E-2</v>
      </c>
      <c r="H217" s="281">
        <v>106.25</v>
      </c>
      <c r="I217" s="272">
        <v>6.9000000000000006E-2</v>
      </c>
    </row>
    <row r="218" spans="1:9" x14ac:dyDescent="0.35">
      <c r="A218" s="278">
        <v>44512</v>
      </c>
      <c r="B218" s="281">
        <v>101.72</v>
      </c>
      <c r="C218" s="272">
        <v>5.0600000000000006E-2</v>
      </c>
      <c r="D218" s="281">
        <v>102.25</v>
      </c>
      <c r="E218" s="272">
        <v>6.1800000000000001E-2</v>
      </c>
      <c r="F218" s="281">
        <v>100.21000000000001</v>
      </c>
      <c r="G218" s="272">
        <v>6.2300000000000001E-2</v>
      </c>
      <c r="H218" s="281">
        <v>106.23</v>
      </c>
      <c r="I218" s="272">
        <v>6.9000000000000006E-2</v>
      </c>
    </row>
    <row r="219" spans="1:9" x14ac:dyDescent="0.35">
      <c r="A219" s="278">
        <v>44515</v>
      </c>
      <c r="B219" s="275">
        <v>101.73</v>
      </c>
      <c r="C219" s="272">
        <v>5.0600000000000006E-2</v>
      </c>
      <c r="D219" s="275">
        <v>102.25</v>
      </c>
      <c r="E219" s="272">
        <v>6.1800000000000001E-2</v>
      </c>
      <c r="F219" s="275">
        <v>100.21000000000001</v>
      </c>
      <c r="G219" s="272">
        <v>6.2300000000000001E-2</v>
      </c>
      <c r="H219" s="275">
        <v>106.24000000000001</v>
      </c>
      <c r="I219" s="272">
        <v>6.9000000000000006E-2</v>
      </c>
    </row>
    <row r="220" spans="1:9" x14ac:dyDescent="0.35">
      <c r="A220" s="278">
        <v>44516</v>
      </c>
      <c r="B220" s="281">
        <v>101.76</v>
      </c>
      <c r="C220" s="272">
        <v>5.0500000000000003E-2</v>
      </c>
      <c r="D220" s="281">
        <v>102.27000000000001</v>
      </c>
      <c r="E220" s="272">
        <v>6.1800000000000001E-2</v>
      </c>
      <c r="F220" s="281">
        <v>100.28</v>
      </c>
      <c r="G220" s="272">
        <v>6.2200000000000005E-2</v>
      </c>
      <c r="H220" s="281">
        <v>106.31</v>
      </c>
      <c r="I220" s="272">
        <v>6.8900000000000003E-2</v>
      </c>
    </row>
    <row r="221" spans="1:9" x14ac:dyDescent="0.35">
      <c r="A221" s="278">
        <v>44517</v>
      </c>
      <c r="B221" s="275">
        <v>101.78</v>
      </c>
      <c r="C221" s="272">
        <v>5.0500000000000003E-2</v>
      </c>
      <c r="D221" s="275">
        <v>102.37</v>
      </c>
      <c r="E221" s="272">
        <v>6.1600000000000002E-2</v>
      </c>
      <c r="F221" s="275">
        <v>100.30000000000001</v>
      </c>
      <c r="G221" s="272">
        <v>6.2200000000000005E-2</v>
      </c>
      <c r="H221" s="275">
        <v>106.37</v>
      </c>
      <c r="I221" s="272">
        <v>6.8900000000000003E-2</v>
      </c>
    </row>
    <row r="222" spans="1:9" x14ac:dyDescent="0.35">
      <c r="A222" s="278">
        <v>44518</v>
      </c>
      <c r="B222" s="281">
        <v>101.82</v>
      </c>
      <c r="C222" s="272">
        <v>5.04E-2</v>
      </c>
      <c r="D222" s="281">
        <v>102.31</v>
      </c>
      <c r="E222" s="272">
        <v>6.1699999999999998E-2</v>
      </c>
      <c r="F222" s="281">
        <v>100.31</v>
      </c>
      <c r="G222" s="272">
        <v>6.2199999999999998E-2</v>
      </c>
      <c r="H222" s="281">
        <v>106.33</v>
      </c>
      <c r="I222" s="272">
        <v>6.8900000000000003E-2</v>
      </c>
    </row>
    <row r="223" spans="1:9" x14ac:dyDescent="0.35">
      <c r="A223" s="278">
        <v>44519</v>
      </c>
      <c r="B223" s="281">
        <v>101.88000000000001</v>
      </c>
      <c r="C223" s="272">
        <v>5.0200000000000002E-2</v>
      </c>
      <c r="D223" s="281">
        <v>102.33</v>
      </c>
      <c r="E223" s="272">
        <v>6.1700000000000005E-2</v>
      </c>
      <c r="F223" s="281">
        <v>100.30000000000001</v>
      </c>
      <c r="G223" s="272">
        <v>6.2200000000000005E-2</v>
      </c>
      <c r="H223" s="281">
        <v>106.27000000000001</v>
      </c>
      <c r="I223" s="272">
        <v>6.9000000000000006E-2</v>
      </c>
    </row>
    <row r="224" spans="1:9" x14ac:dyDescent="0.35">
      <c r="A224" s="278">
        <v>44522</v>
      </c>
      <c r="B224" s="275">
        <v>101.86</v>
      </c>
      <c r="C224" s="272">
        <v>5.0300000000000004E-2</v>
      </c>
      <c r="D224" s="275">
        <v>102.39</v>
      </c>
      <c r="E224" s="272">
        <v>6.1600000000000002E-2</v>
      </c>
      <c r="F224" s="275">
        <v>100.28</v>
      </c>
      <c r="G224" s="272">
        <v>6.2200000000000005E-2</v>
      </c>
      <c r="H224" s="275">
        <v>106.28</v>
      </c>
      <c r="I224" s="272">
        <v>6.9000000000000006E-2</v>
      </c>
    </row>
    <row r="225" spans="1:9" x14ac:dyDescent="0.35">
      <c r="A225" s="278">
        <v>44523</v>
      </c>
      <c r="B225" s="281">
        <v>101.91000000000001</v>
      </c>
      <c r="C225" s="272">
        <v>5.0100000000000006E-2</v>
      </c>
      <c r="D225" s="281">
        <v>102.28</v>
      </c>
      <c r="E225" s="272">
        <v>6.1800000000000001E-2</v>
      </c>
      <c r="F225" s="281">
        <v>100.22</v>
      </c>
      <c r="G225" s="272">
        <v>6.2300000000000001E-2</v>
      </c>
      <c r="H225" s="281">
        <v>106.16000000000001</v>
      </c>
      <c r="I225" s="272">
        <v>6.9100000000000009E-2</v>
      </c>
    </row>
    <row r="226" spans="1:9" x14ac:dyDescent="0.35">
      <c r="A226" s="278">
        <v>44524</v>
      </c>
      <c r="B226" s="275">
        <v>101.9</v>
      </c>
      <c r="C226" s="272">
        <v>5.0200000000000002E-2</v>
      </c>
      <c r="D226" s="275">
        <v>102.30000000000001</v>
      </c>
      <c r="E226" s="272">
        <v>6.1700000000000005E-2</v>
      </c>
      <c r="F226" s="275">
        <v>100.25</v>
      </c>
      <c r="G226" s="272">
        <v>6.2300000000000001E-2</v>
      </c>
      <c r="H226" s="275">
        <v>106.27000000000001</v>
      </c>
      <c r="I226" s="272">
        <v>6.9000000000000006E-2</v>
      </c>
    </row>
    <row r="227" spans="1:9" x14ac:dyDescent="0.35">
      <c r="A227" s="278">
        <v>44525</v>
      </c>
      <c r="B227" s="281">
        <v>101.89</v>
      </c>
      <c r="C227" s="272">
        <v>5.0200000000000002E-2</v>
      </c>
      <c r="D227" s="281">
        <v>102.23</v>
      </c>
      <c r="E227" s="272">
        <v>6.1800000000000001E-2</v>
      </c>
      <c r="F227" s="281">
        <v>100.26</v>
      </c>
      <c r="G227" s="272">
        <v>6.2300000000000001E-2</v>
      </c>
      <c r="H227" s="281">
        <v>106.21000000000001</v>
      </c>
      <c r="I227" s="272">
        <v>6.9000000000000006E-2</v>
      </c>
    </row>
    <row r="228" spans="1:9" x14ac:dyDescent="0.35">
      <c r="A228" s="278">
        <v>44526</v>
      </c>
      <c r="B228" s="281">
        <v>101.93</v>
      </c>
      <c r="C228" s="272">
        <v>5.0100000000000006E-2</v>
      </c>
      <c r="D228" s="281">
        <v>102.24000000000001</v>
      </c>
      <c r="E228" s="272">
        <v>6.1800000000000001E-2</v>
      </c>
      <c r="F228" s="281">
        <v>100.24000000000001</v>
      </c>
      <c r="G228" s="272">
        <v>6.2300000000000001E-2</v>
      </c>
      <c r="H228" s="281">
        <v>106.13000000000001</v>
      </c>
      <c r="I228" s="272">
        <v>6.9100000000000009E-2</v>
      </c>
    </row>
    <row r="229" spans="1:9" s="47" customFormat="1" x14ac:dyDescent="0.35">
      <c r="A229" s="278">
        <v>44529</v>
      </c>
      <c r="B229" s="282">
        <v>101.87</v>
      </c>
      <c r="C229" s="283">
        <v>5.0200000000000002E-2</v>
      </c>
      <c r="D229" s="282">
        <v>101.89</v>
      </c>
      <c r="E229" s="283">
        <v>6.2300000000000001E-2</v>
      </c>
      <c r="F229" s="282">
        <v>100.10000000000001</v>
      </c>
      <c r="G229" s="283">
        <v>6.2400000000000004E-2</v>
      </c>
      <c r="H229" s="282">
        <v>105.95</v>
      </c>
      <c r="I229" s="283">
        <v>6.93E-2</v>
      </c>
    </row>
    <row r="230" spans="1:9" s="47" customFormat="1" x14ac:dyDescent="0.35">
      <c r="A230" s="278">
        <v>44530</v>
      </c>
      <c r="B230" s="282">
        <v>101.85000000000001</v>
      </c>
      <c r="C230" s="283">
        <v>5.0300000000000004E-2</v>
      </c>
      <c r="D230" s="282">
        <v>101.89</v>
      </c>
      <c r="E230" s="283">
        <v>6.2300000000000001E-2</v>
      </c>
      <c r="F230" s="282">
        <v>100.06</v>
      </c>
      <c r="G230" s="283">
        <v>6.25E-2</v>
      </c>
      <c r="H230" s="282">
        <v>105.95</v>
      </c>
      <c r="I230" s="283">
        <v>6.93E-2</v>
      </c>
    </row>
    <row r="231" spans="1:9" s="47" customFormat="1" x14ac:dyDescent="0.35">
      <c r="A231" s="278">
        <v>44531</v>
      </c>
      <c r="B231" s="282">
        <v>101.84</v>
      </c>
      <c r="C231" s="283">
        <v>5.0300000000000004E-2</v>
      </c>
      <c r="D231" s="282">
        <v>101.62</v>
      </c>
      <c r="E231" s="283">
        <v>6.2700000000000006E-2</v>
      </c>
      <c r="F231" s="282">
        <v>100</v>
      </c>
      <c r="G231" s="283">
        <v>6.25E-2</v>
      </c>
      <c r="H231" s="282">
        <v>105.74000000000001</v>
      </c>
      <c r="I231" s="283">
        <v>6.9500000000000006E-2</v>
      </c>
    </row>
    <row r="232" spans="1:9" s="47" customFormat="1" x14ac:dyDescent="0.35">
      <c r="A232" s="278">
        <v>44532</v>
      </c>
      <c r="B232" s="282">
        <v>101.68</v>
      </c>
      <c r="C232" s="283">
        <v>5.0700000000000002E-2</v>
      </c>
      <c r="D232" s="282">
        <v>101.13000000000001</v>
      </c>
      <c r="E232" s="283">
        <v>6.3399999999999998E-2</v>
      </c>
      <c r="F232" s="282">
        <v>99.850000000000009</v>
      </c>
      <c r="G232" s="283">
        <v>6.2700000000000006E-2</v>
      </c>
      <c r="H232" s="282">
        <v>104.98</v>
      </c>
      <c r="I232" s="283">
        <v>7.0199999999999999E-2</v>
      </c>
    </row>
    <row r="233" spans="1:9" s="47" customFormat="1" x14ac:dyDescent="0.35">
      <c r="A233" s="278">
        <v>44533</v>
      </c>
      <c r="B233" s="282">
        <v>101.5</v>
      </c>
      <c r="C233" s="283">
        <v>5.1200000000000002E-2</v>
      </c>
      <c r="D233" s="282">
        <v>100.69000000000001</v>
      </c>
      <c r="E233" s="283">
        <v>6.4000000000000001E-2</v>
      </c>
      <c r="F233" s="282">
        <v>99.76</v>
      </c>
      <c r="G233" s="283">
        <v>6.2800000000000009E-2</v>
      </c>
      <c r="H233" s="282">
        <v>104.65</v>
      </c>
      <c r="I233" s="283">
        <v>7.0500000000000007E-2</v>
      </c>
    </row>
    <row r="234" spans="1:9" x14ac:dyDescent="0.35">
      <c r="A234" s="265">
        <v>44536</v>
      </c>
      <c r="B234" s="284">
        <v>101.38000000000001</v>
      </c>
      <c r="C234" s="285">
        <v>5.1500000000000004E-2</v>
      </c>
      <c r="D234" s="284">
        <v>100.72</v>
      </c>
      <c r="E234" s="285">
        <v>6.4000000000000001E-2</v>
      </c>
      <c r="F234" s="284">
        <v>99.7</v>
      </c>
      <c r="G234" s="285">
        <v>6.2899999999999998E-2</v>
      </c>
      <c r="H234" s="284">
        <v>104.30000000000001</v>
      </c>
      <c r="I234" s="285">
        <v>7.0800000000000002E-2</v>
      </c>
    </row>
    <row r="235" spans="1:9" x14ac:dyDescent="0.35">
      <c r="A235" s="265">
        <v>44537</v>
      </c>
      <c r="B235" s="284">
        <v>101.33</v>
      </c>
      <c r="C235" s="285">
        <v>5.16E-2</v>
      </c>
      <c r="D235" s="284">
        <v>100.60000000000001</v>
      </c>
      <c r="E235" s="285">
        <v>6.4200000000000007E-2</v>
      </c>
      <c r="F235" s="284">
        <v>99.67</v>
      </c>
      <c r="G235" s="285">
        <v>6.2899999999999998E-2</v>
      </c>
      <c r="H235" s="284">
        <v>103.66000000000001</v>
      </c>
      <c r="I235" s="285">
        <v>7.1400000000000005E-2</v>
      </c>
    </row>
    <row r="236" spans="1:9" x14ac:dyDescent="0.35">
      <c r="A236" s="265">
        <v>44538</v>
      </c>
      <c r="B236" s="284">
        <v>101.52000000000001</v>
      </c>
      <c r="C236" s="285">
        <v>5.11E-2</v>
      </c>
      <c r="D236" s="284">
        <v>101.08</v>
      </c>
      <c r="E236" s="285">
        <v>6.3500000000000001E-2</v>
      </c>
      <c r="F236" s="284">
        <v>99.710000000000008</v>
      </c>
      <c r="G236" s="285">
        <v>6.2899999999999998E-2</v>
      </c>
      <c r="H236" s="284">
        <v>103.95</v>
      </c>
      <c r="I236" s="285">
        <v>7.1099999999999997E-2</v>
      </c>
    </row>
    <row r="237" spans="1:9" x14ac:dyDescent="0.35">
      <c r="A237" s="265">
        <v>44539</v>
      </c>
      <c r="B237" s="284">
        <v>101.54</v>
      </c>
      <c r="C237" s="285">
        <v>5.1000000000000004E-2</v>
      </c>
      <c r="D237" s="284">
        <v>101.42</v>
      </c>
      <c r="E237" s="285">
        <v>6.3E-2</v>
      </c>
      <c r="F237" s="284">
        <v>99.79</v>
      </c>
      <c r="G237" s="285">
        <v>6.2800000000000009E-2</v>
      </c>
      <c r="H237" s="284">
        <v>104.19000000000001</v>
      </c>
      <c r="I237" s="285">
        <v>7.0900000000000005E-2</v>
      </c>
    </row>
    <row r="238" spans="1:9" x14ac:dyDescent="0.35">
      <c r="A238" s="265">
        <v>44540</v>
      </c>
      <c r="B238" s="284">
        <v>101.54</v>
      </c>
      <c r="C238" s="285">
        <v>5.0999999999999997E-2</v>
      </c>
      <c r="D238" s="284">
        <v>101.5</v>
      </c>
      <c r="E238" s="285">
        <v>6.2899999999999998E-2</v>
      </c>
      <c r="F238" s="284">
        <v>99.77000000000001</v>
      </c>
      <c r="G238" s="285">
        <v>6.2800000000000009E-2</v>
      </c>
      <c r="H238" s="284">
        <v>104.24000000000001</v>
      </c>
      <c r="I238" s="285">
        <v>7.0900000000000005E-2</v>
      </c>
    </row>
    <row r="239" spans="1:9" x14ac:dyDescent="0.35">
      <c r="A239" s="265">
        <v>44543</v>
      </c>
      <c r="B239" s="286">
        <v>101.46000000000001</v>
      </c>
      <c r="C239" s="285">
        <v>5.1200000000000002E-2</v>
      </c>
      <c r="D239" s="286">
        <v>101.67</v>
      </c>
      <c r="E239" s="285">
        <v>6.2600000000000003E-2</v>
      </c>
      <c r="F239" s="286">
        <v>99.81</v>
      </c>
      <c r="G239" s="285">
        <v>6.2800000000000009E-2</v>
      </c>
      <c r="H239" s="286">
        <v>104.46000000000001</v>
      </c>
      <c r="I239" s="285">
        <v>7.0699999999999999E-2</v>
      </c>
    </row>
    <row r="240" spans="1:9" x14ac:dyDescent="0.35">
      <c r="A240" s="265">
        <v>44544</v>
      </c>
      <c r="B240" s="286">
        <v>101.42</v>
      </c>
      <c r="C240" s="285">
        <v>5.1300000000000005E-2</v>
      </c>
      <c r="D240" s="286">
        <v>101.41000000000001</v>
      </c>
      <c r="E240" s="285">
        <v>6.3E-2</v>
      </c>
      <c r="F240" s="286">
        <v>99.690000000000012</v>
      </c>
      <c r="G240" s="285">
        <v>6.2899999999999998E-2</v>
      </c>
      <c r="H240" s="286">
        <v>104.27000000000001</v>
      </c>
      <c r="I240" s="285">
        <v>7.0800000000000002E-2</v>
      </c>
    </row>
    <row r="241" spans="1:9" x14ac:dyDescent="0.35">
      <c r="A241" s="265">
        <v>44545</v>
      </c>
      <c r="B241" s="286">
        <v>101.33</v>
      </c>
      <c r="C241" s="285">
        <v>5.16E-2</v>
      </c>
      <c r="D241" s="286">
        <v>100.84</v>
      </c>
      <c r="E241" s="285">
        <v>6.3800000000000009E-2</v>
      </c>
      <c r="F241" s="286">
        <v>99.710000000000008</v>
      </c>
      <c r="G241" s="285">
        <v>6.2899999999999998E-2</v>
      </c>
      <c r="H241" s="286">
        <v>104.17</v>
      </c>
      <c r="I241" s="285">
        <v>7.0900000000000005E-2</v>
      </c>
    </row>
    <row r="242" spans="1:9" x14ac:dyDescent="0.35">
      <c r="A242" s="265">
        <v>44546</v>
      </c>
      <c r="B242" s="286">
        <v>101.32000000000001</v>
      </c>
      <c r="C242" s="285">
        <v>5.16E-2</v>
      </c>
      <c r="D242" s="286">
        <v>100.88000000000001</v>
      </c>
      <c r="E242" s="285">
        <v>6.3800000000000009E-2</v>
      </c>
      <c r="F242" s="286">
        <v>99.83</v>
      </c>
      <c r="G242" s="285">
        <v>6.2700000000000006E-2</v>
      </c>
      <c r="H242" s="286">
        <v>104.23</v>
      </c>
      <c r="I242" s="285">
        <v>7.0900000000000005E-2</v>
      </c>
    </row>
    <row r="243" spans="1:9" x14ac:dyDescent="0.35">
      <c r="A243" s="265">
        <v>44547</v>
      </c>
      <c r="B243" s="286">
        <v>101.04</v>
      </c>
      <c r="C243" s="285">
        <v>5.2300000000000006E-2</v>
      </c>
      <c r="D243" s="286">
        <v>100.23</v>
      </c>
      <c r="E243" s="285">
        <v>6.4700000000000008E-2</v>
      </c>
      <c r="F243" s="286">
        <v>99.81</v>
      </c>
      <c r="G243" s="285">
        <v>6.2800000000000009E-2</v>
      </c>
      <c r="H243" s="286">
        <v>104.09</v>
      </c>
      <c r="I243" s="285">
        <v>7.1000000000000008E-2</v>
      </c>
    </row>
    <row r="244" spans="1:9" x14ac:dyDescent="0.35">
      <c r="A244" s="265">
        <v>44550</v>
      </c>
      <c r="B244" s="286">
        <v>101.2</v>
      </c>
      <c r="C244" s="285">
        <v>5.1900000000000002E-2</v>
      </c>
      <c r="D244" s="286">
        <v>100.66000000000001</v>
      </c>
      <c r="E244" s="285">
        <v>6.4100000000000004E-2</v>
      </c>
      <c r="F244" s="286">
        <v>99.820000000000007</v>
      </c>
      <c r="G244" s="285">
        <v>6.2700000000000006E-2</v>
      </c>
      <c r="H244" s="286">
        <v>104.18</v>
      </c>
      <c r="I244" s="285">
        <v>7.0900000000000005E-2</v>
      </c>
    </row>
    <row r="245" spans="1:9" x14ac:dyDescent="0.35">
      <c r="A245" s="265">
        <v>44551</v>
      </c>
      <c r="B245" s="286">
        <v>101.28</v>
      </c>
      <c r="C245" s="285">
        <v>5.1700000000000003E-2</v>
      </c>
      <c r="D245" s="286">
        <v>100.78</v>
      </c>
      <c r="E245" s="285">
        <v>6.3899999999999998E-2</v>
      </c>
      <c r="F245" s="286">
        <v>99.86</v>
      </c>
      <c r="G245" s="285">
        <v>6.2700000000000006E-2</v>
      </c>
      <c r="H245" s="286">
        <v>104.51</v>
      </c>
      <c r="I245" s="285">
        <v>7.0599999999999996E-2</v>
      </c>
    </row>
    <row r="246" spans="1:9" x14ac:dyDescent="0.35">
      <c r="A246" s="265">
        <v>44552</v>
      </c>
      <c r="B246" s="286">
        <v>101.45</v>
      </c>
      <c r="C246" s="285">
        <v>5.1200000000000002E-2</v>
      </c>
      <c r="D246" s="286">
        <v>100.95</v>
      </c>
      <c r="E246" s="285">
        <v>6.3600000000000004E-2</v>
      </c>
      <c r="F246" s="286">
        <v>99.93</v>
      </c>
      <c r="G246" s="285">
        <v>6.2600000000000003E-2</v>
      </c>
      <c r="H246" s="286">
        <v>104.58</v>
      </c>
      <c r="I246" s="285">
        <v>7.0500000000000007E-2</v>
      </c>
    </row>
    <row r="247" spans="1:9" x14ac:dyDescent="0.35">
      <c r="A247" s="265">
        <v>44553</v>
      </c>
      <c r="B247" s="286">
        <v>101.56</v>
      </c>
      <c r="C247" s="285">
        <v>5.0900000000000001E-2</v>
      </c>
      <c r="D247" s="286">
        <v>101</v>
      </c>
      <c r="E247" s="285">
        <v>6.3600000000000004E-2</v>
      </c>
      <c r="F247" s="286">
        <v>99.93</v>
      </c>
      <c r="G247" s="285">
        <v>6.2600000000000003E-2</v>
      </c>
      <c r="H247" s="286">
        <v>104.61</v>
      </c>
      <c r="I247" s="285">
        <v>7.0500000000000007E-2</v>
      </c>
    </row>
    <row r="248" spans="1:9" x14ac:dyDescent="0.35">
      <c r="A248" s="265">
        <v>44554</v>
      </c>
      <c r="B248" s="286">
        <v>101.62</v>
      </c>
      <c r="C248" s="285">
        <v>5.0800000000000005E-2</v>
      </c>
      <c r="D248" s="286">
        <v>101.13000000000001</v>
      </c>
      <c r="E248" s="285">
        <v>6.3399999999999998E-2</v>
      </c>
      <c r="F248" s="286">
        <v>100.02000000000001</v>
      </c>
      <c r="G248" s="285">
        <v>6.25E-2</v>
      </c>
      <c r="H248" s="286">
        <v>104.84</v>
      </c>
      <c r="I248" s="285">
        <v>7.0300000000000001E-2</v>
      </c>
    </row>
    <row r="249" spans="1:9" x14ac:dyDescent="0.35">
      <c r="A249" s="265">
        <v>44557</v>
      </c>
      <c r="B249" s="282">
        <v>101.72</v>
      </c>
      <c r="C249" s="283">
        <v>5.0500000000000003E-2</v>
      </c>
      <c r="D249" s="282">
        <v>101.28</v>
      </c>
      <c r="E249" s="283">
        <v>6.3200000000000006E-2</v>
      </c>
      <c r="F249" s="282">
        <v>100.01</v>
      </c>
      <c r="G249" s="283">
        <v>6.25E-2</v>
      </c>
      <c r="H249" s="282">
        <v>104.81</v>
      </c>
      <c r="I249" s="283">
        <v>7.0300000000000001E-2</v>
      </c>
    </row>
    <row r="250" spans="1:9" x14ac:dyDescent="0.35">
      <c r="A250" s="265">
        <v>44558</v>
      </c>
      <c r="B250" s="282">
        <v>101.69</v>
      </c>
      <c r="C250" s="283">
        <v>5.0600000000000006E-2</v>
      </c>
      <c r="D250" s="282">
        <v>101.23</v>
      </c>
      <c r="E250" s="283">
        <v>6.3200000000000006E-2</v>
      </c>
      <c r="F250" s="282">
        <v>100.29</v>
      </c>
      <c r="G250" s="283">
        <v>6.2200000000000005E-2</v>
      </c>
      <c r="H250" s="282">
        <v>104.83</v>
      </c>
      <c r="I250" s="283">
        <v>7.0300000000000001E-2</v>
      </c>
    </row>
    <row r="251" spans="1:9" x14ac:dyDescent="0.35">
      <c r="A251" s="265">
        <v>44559</v>
      </c>
      <c r="B251" s="282">
        <v>101.66000000000001</v>
      </c>
      <c r="C251" s="283">
        <v>5.0700000000000002E-2</v>
      </c>
      <c r="D251" s="282">
        <v>101.12</v>
      </c>
      <c r="E251" s="283">
        <v>6.3399999999999998E-2</v>
      </c>
      <c r="F251" s="282">
        <v>100.22</v>
      </c>
      <c r="G251" s="283">
        <v>6.2300000000000001E-2</v>
      </c>
      <c r="H251" s="282">
        <v>104.86</v>
      </c>
      <c r="I251" s="283">
        <v>7.0300000000000001E-2</v>
      </c>
    </row>
    <row r="252" spans="1:9" x14ac:dyDescent="0.35">
      <c r="A252" s="265">
        <v>44560</v>
      </c>
      <c r="B252" s="282">
        <v>101.63000000000001</v>
      </c>
      <c r="C252" s="283">
        <v>5.0700000000000002E-2</v>
      </c>
      <c r="D252" s="282">
        <v>101.08</v>
      </c>
      <c r="E252" s="283">
        <v>6.3500000000000001E-2</v>
      </c>
      <c r="F252" s="282">
        <v>100.27000000000001</v>
      </c>
      <c r="G252" s="283">
        <v>6.2300000000000001E-2</v>
      </c>
      <c r="H252" s="282">
        <v>104.64</v>
      </c>
      <c r="I252" s="283">
        <v>7.0500000000000007E-2</v>
      </c>
    </row>
  </sheetData>
  <mergeCells count="17">
    <mergeCell ref="A2:A6"/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711E-F304-4C0E-9F42-E3ACACB5255A}">
  <dimension ref="A2:J252"/>
  <sheetViews>
    <sheetView zoomScale="85" zoomScaleNormal="85" workbookViewId="0">
      <pane ySplit="6" topLeftCell="A166" activePane="bottomLeft" state="frozen"/>
      <selection activeCell="K1" sqref="K1:XFD1048576"/>
      <selection pane="bottomLeft" activeCell="I61" sqref="I61"/>
    </sheetView>
  </sheetViews>
  <sheetFormatPr defaultColWidth="0" defaultRowHeight="14.5" x14ac:dyDescent="0.35"/>
  <cols>
    <col min="1" max="1" width="14.453125" style="253" customWidth="1"/>
    <col min="2" max="2" width="8.1796875" style="332" customWidth="1"/>
    <col min="3" max="3" width="10" style="333" customWidth="1"/>
    <col min="4" max="4" width="8.453125" style="332" customWidth="1"/>
    <col min="5" max="5" width="10" style="333" customWidth="1"/>
    <col min="6" max="6" width="8" style="332" customWidth="1"/>
    <col min="7" max="7" width="10" style="333" customWidth="1"/>
    <col min="8" max="8" width="10.453125" style="332" customWidth="1"/>
    <col min="9" max="9" width="10" style="333" customWidth="1"/>
    <col min="10" max="10" width="9.1796875" style="262" customWidth="1"/>
    <col min="11" max="16384" width="9.1796875" style="47" hidden="1"/>
  </cols>
  <sheetData>
    <row r="2" spans="1:9" x14ac:dyDescent="0.35">
      <c r="A2" s="482" t="s">
        <v>73</v>
      </c>
      <c r="B2" s="485" t="s">
        <v>74</v>
      </c>
      <c r="C2" s="485"/>
      <c r="D2" s="485" t="s">
        <v>75</v>
      </c>
      <c r="E2" s="485"/>
      <c r="F2" s="485" t="s">
        <v>76</v>
      </c>
      <c r="G2" s="485"/>
      <c r="H2" s="485" t="s">
        <v>77</v>
      </c>
      <c r="I2" s="485"/>
    </row>
    <row r="3" spans="1:9" x14ac:dyDescent="0.35">
      <c r="A3" s="483"/>
      <c r="B3" s="485" t="s">
        <v>120</v>
      </c>
      <c r="C3" s="485"/>
      <c r="D3" s="485" t="s">
        <v>121</v>
      </c>
      <c r="E3" s="485"/>
      <c r="F3" s="485" t="s">
        <v>122</v>
      </c>
      <c r="G3" s="485"/>
      <c r="H3" s="485" t="s">
        <v>123</v>
      </c>
      <c r="I3" s="485"/>
    </row>
    <row r="4" spans="1:9" x14ac:dyDescent="0.35">
      <c r="A4" s="483"/>
      <c r="B4" s="486">
        <v>5.1249999999999997E-2</v>
      </c>
      <c r="C4" s="486"/>
      <c r="D4" s="486">
        <v>6.3750000000000001E-2</v>
      </c>
      <c r="E4" s="486"/>
      <c r="F4" s="486">
        <v>6.3750000000000001E-2</v>
      </c>
      <c r="G4" s="486"/>
      <c r="H4" s="486">
        <v>7.1249999999999994E-2</v>
      </c>
      <c r="I4" s="486"/>
    </row>
    <row r="5" spans="1:9" x14ac:dyDescent="0.35">
      <c r="A5" s="483"/>
      <c r="B5" s="479">
        <v>46492</v>
      </c>
      <c r="C5" s="479"/>
      <c r="D5" s="479">
        <v>48319</v>
      </c>
      <c r="E5" s="479"/>
      <c r="F5" s="479">
        <v>50236</v>
      </c>
      <c r="G5" s="479"/>
      <c r="H5" s="479">
        <v>52032</v>
      </c>
      <c r="I5" s="479"/>
    </row>
    <row r="6" spans="1:9" ht="29" x14ac:dyDescent="0.35">
      <c r="A6" s="483"/>
      <c r="B6" s="289" t="s">
        <v>82</v>
      </c>
      <c r="C6" s="290" t="s">
        <v>83</v>
      </c>
      <c r="D6" s="289" t="s">
        <v>82</v>
      </c>
      <c r="E6" s="290" t="s">
        <v>83</v>
      </c>
      <c r="F6" s="289" t="s">
        <v>82</v>
      </c>
      <c r="G6" s="290" t="s">
        <v>83</v>
      </c>
      <c r="H6" s="289" t="s">
        <v>82</v>
      </c>
      <c r="I6" s="290" t="s">
        <v>83</v>
      </c>
    </row>
    <row r="7" spans="1:9" x14ac:dyDescent="0.35">
      <c r="A7" s="265">
        <v>44564</v>
      </c>
      <c r="B7" s="286">
        <v>100.76</v>
      </c>
      <c r="C7" s="291">
        <v>4.9600000000000005E-2</v>
      </c>
      <c r="D7" s="286">
        <v>100.83</v>
      </c>
      <c r="E7" s="291">
        <v>6.2700000000000006E-2</v>
      </c>
      <c r="F7" s="286" t="s">
        <v>119</v>
      </c>
      <c r="G7" s="291" t="s">
        <v>119</v>
      </c>
      <c r="H7" s="286">
        <v>102.72</v>
      </c>
      <c r="I7" s="291">
        <v>6.88E-2</v>
      </c>
    </row>
    <row r="8" spans="1:9" x14ac:dyDescent="0.35">
      <c r="A8" s="265">
        <v>44565</v>
      </c>
      <c r="B8" s="286">
        <v>100.58</v>
      </c>
      <c r="C8" s="291">
        <v>0.05</v>
      </c>
      <c r="D8" s="286">
        <v>100.72</v>
      </c>
      <c r="E8" s="291">
        <v>6.2800000000000009E-2</v>
      </c>
      <c r="F8" s="286" t="s">
        <v>119</v>
      </c>
      <c r="G8" s="291" t="s">
        <v>119</v>
      </c>
      <c r="H8" s="286">
        <v>102.51</v>
      </c>
      <c r="I8" s="291">
        <v>6.9000000000000006E-2</v>
      </c>
    </row>
    <row r="9" spans="1:9" x14ac:dyDescent="0.35">
      <c r="A9" s="265">
        <v>44566</v>
      </c>
      <c r="B9" s="286">
        <v>100.52000000000001</v>
      </c>
      <c r="C9" s="291">
        <v>5.0100000000000006E-2</v>
      </c>
      <c r="D9" s="286">
        <v>100.49000000000001</v>
      </c>
      <c r="E9" s="291">
        <v>6.3100000000000003E-2</v>
      </c>
      <c r="F9" s="286" t="s">
        <v>119</v>
      </c>
      <c r="G9" s="291" t="s">
        <v>119</v>
      </c>
      <c r="H9" s="286">
        <v>102.54</v>
      </c>
      <c r="I9" s="291">
        <v>6.9000000000000006E-2</v>
      </c>
    </row>
    <row r="10" spans="1:9" x14ac:dyDescent="0.35">
      <c r="A10" s="265">
        <v>44567</v>
      </c>
      <c r="B10" s="286">
        <v>100.52000000000001</v>
      </c>
      <c r="C10" s="291">
        <v>5.0100000000000006E-2</v>
      </c>
      <c r="D10" s="286">
        <v>100.49000000000001</v>
      </c>
      <c r="E10" s="291">
        <v>6.3100000000000003E-2</v>
      </c>
      <c r="F10" s="286" t="s">
        <v>119</v>
      </c>
      <c r="G10" s="291" t="s">
        <v>119</v>
      </c>
      <c r="H10" s="286">
        <v>102.54</v>
      </c>
      <c r="I10" s="291">
        <v>6.9000000000000006E-2</v>
      </c>
    </row>
    <row r="11" spans="1:9" x14ac:dyDescent="0.35">
      <c r="A11" s="265">
        <v>44568</v>
      </c>
      <c r="B11" s="286">
        <v>99.73</v>
      </c>
      <c r="C11" s="291">
        <v>5.1900000000000002E-2</v>
      </c>
      <c r="D11" s="286">
        <v>99.51</v>
      </c>
      <c r="E11" s="291">
        <v>6.4399999999999999E-2</v>
      </c>
      <c r="F11" s="286">
        <v>99.95</v>
      </c>
      <c r="G11" s="291">
        <v>6.3800000000000009E-2</v>
      </c>
      <c r="H11" s="286">
        <v>101.89</v>
      </c>
      <c r="I11" s="291">
        <v>6.9500000000000006E-2</v>
      </c>
    </row>
    <row r="12" spans="1:9" x14ac:dyDescent="0.35">
      <c r="A12" s="265">
        <v>44571</v>
      </c>
      <c r="B12" s="286">
        <v>99.48</v>
      </c>
      <c r="C12" s="292">
        <v>5.2400000000000002E-2</v>
      </c>
      <c r="D12" s="286">
        <v>99.47</v>
      </c>
      <c r="E12" s="292">
        <v>6.4500000000000002E-2</v>
      </c>
      <c r="F12" s="286">
        <v>99.87</v>
      </c>
      <c r="G12" s="292">
        <v>6.3899999999999998E-2</v>
      </c>
      <c r="H12" s="286">
        <v>101.43</v>
      </c>
      <c r="I12" s="292">
        <v>7.0000000000000007E-2</v>
      </c>
    </row>
    <row r="13" spans="1:9" x14ac:dyDescent="0.35">
      <c r="A13" s="265">
        <v>44572</v>
      </c>
      <c r="B13" s="286">
        <v>99.410000000000011</v>
      </c>
      <c r="C13" s="292">
        <v>5.2600000000000001E-2</v>
      </c>
      <c r="D13" s="286">
        <v>99.52000000000001</v>
      </c>
      <c r="E13" s="292">
        <v>6.4399999999999999E-2</v>
      </c>
      <c r="F13" s="286">
        <v>99.81</v>
      </c>
      <c r="G13" s="292">
        <v>6.4000000000000001E-2</v>
      </c>
      <c r="H13" s="286">
        <v>101.19000000000001</v>
      </c>
      <c r="I13" s="292">
        <v>7.0199999999999999E-2</v>
      </c>
    </row>
    <row r="14" spans="1:9" x14ac:dyDescent="0.35">
      <c r="A14" s="265">
        <v>44573</v>
      </c>
      <c r="B14" s="286">
        <v>99.65</v>
      </c>
      <c r="C14" s="292">
        <v>5.21E-2</v>
      </c>
      <c r="D14" s="286">
        <v>99.86</v>
      </c>
      <c r="E14" s="292">
        <v>6.4000000000000001E-2</v>
      </c>
      <c r="F14" s="286">
        <v>100.01</v>
      </c>
      <c r="G14" s="292">
        <v>6.3800000000000009E-2</v>
      </c>
      <c r="H14" s="286">
        <v>101.11</v>
      </c>
      <c r="I14" s="292">
        <v>7.0300000000000001E-2</v>
      </c>
    </row>
    <row r="15" spans="1:9" x14ac:dyDescent="0.35">
      <c r="A15" s="265">
        <v>44574</v>
      </c>
      <c r="B15" s="286">
        <v>99.63</v>
      </c>
      <c r="C15" s="292">
        <v>5.21E-2</v>
      </c>
      <c r="D15" s="286">
        <v>99.87</v>
      </c>
      <c r="E15" s="292">
        <v>6.4000000000000001E-2</v>
      </c>
      <c r="F15" s="286">
        <v>99.910000000000011</v>
      </c>
      <c r="G15" s="292">
        <v>6.3899999999999998E-2</v>
      </c>
      <c r="H15" s="286">
        <v>100.56</v>
      </c>
      <c r="I15" s="292">
        <v>7.0800000000000002E-2</v>
      </c>
    </row>
    <row r="16" spans="1:9" x14ac:dyDescent="0.35">
      <c r="A16" s="265">
        <v>44575</v>
      </c>
      <c r="B16" s="286">
        <v>99.79</v>
      </c>
      <c r="C16" s="292">
        <v>5.1700000000000003E-2</v>
      </c>
      <c r="D16" s="286">
        <v>100</v>
      </c>
      <c r="E16" s="292">
        <v>6.3800000000000009E-2</v>
      </c>
      <c r="F16" s="286">
        <v>99.97</v>
      </c>
      <c r="G16" s="292">
        <v>6.3800000000000009E-2</v>
      </c>
      <c r="H16" s="286">
        <v>101.01</v>
      </c>
      <c r="I16" s="292">
        <v>7.0400000000000004E-2</v>
      </c>
    </row>
    <row r="17" spans="1:9" x14ac:dyDescent="0.35">
      <c r="A17" s="265">
        <v>44578</v>
      </c>
      <c r="B17" s="286">
        <v>99.710000000000008</v>
      </c>
      <c r="C17" s="292">
        <v>5.1900000000000002E-2</v>
      </c>
      <c r="D17" s="286">
        <v>100.04</v>
      </c>
      <c r="E17" s="292">
        <v>6.3700000000000007E-2</v>
      </c>
      <c r="F17" s="286">
        <v>99.97</v>
      </c>
      <c r="G17" s="292">
        <v>6.3800000000000009E-2</v>
      </c>
      <c r="H17" s="286">
        <v>101.18</v>
      </c>
      <c r="I17" s="292">
        <v>7.0199999999999999E-2</v>
      </c>
    </row>
    <row r="18" spans="1:9" x14ac:dyDescent="0.35">
      <c r="A18" s="265">
        <v>44579</v>
      </c>
      <c r="B18" s="286">
        <v>99.740000000000009</v>
      </c>
      <c r="C18" s="292">
        <v>5.1900000000000002E-2</v>
      </c>
      <c r="D18" s="286">
        <v>99.960000000000008</v>
      </c>
      <c r="E18" s="292">
        <v>6.3800000000000009E-2</v>
      </c>
      <c r="F18" s="286">
        <v>99.850000000000009</v>
      </c>
      <c r="G18" s="292">
        <v>6.4000000000000001E-2</v>
      </c>
      <c r="H18" s="286">
        <v>101.13000000000001</v>
      </c>
      <c r="I18" s="292">
        <v>7.0199999999999999E-2</v>
      </c>
    </row>
    <row r="19" spans="1:9" x14ac:dyDescent="0.35">
      <c r="A19" s="265">
        <v>44580</v>
      </c>
      <c r="B19" s="286">
        <v>99.68</v>
      </c>
      <c r="C19" s="292">
        <v>5.2000000000000005E-2</v>
      </c>
      <c r="D19" s="286">
        <v>99.76</v>
      </c>
      <c r="E19" s="292">
        <v>6.4100000000000004E-2</v>
      </c>
      <c r="F19" s="286">
        <v>99.7</v>
      </c>
      <c r="G19" s="292">
        <v>6.4100000000000004E-2</v>
      </c>
      <c r="H19" s="286">
        <v>101.24000000000001</v>
      </c>
      <c r="I19" s="292">
        <v>7.010000000000001E-2</v>
      </c>
    </row>
    <row r="20" spans="1:9" x14ac:dyDescent="0.35">
      <c r="A20" s="265">
        <v>44581</v>
      </c>
      <c r="B20" s="286">
        <v>99.61</v>
      </c>
      <c r="C20" s="292">
        <v>5.21E-2</v>
      </c>
      <c r="D20" s="286">
        <v>99.72</v>
      </c>
      <c r="E20" s="292">
        <v>6.4200000000000007E-2</v>
      </c>
      <c r="F20" s="286">
        <v>99.67</v>
      </c>
      <c r="G20" s="292">
        <v>6.4100000000000004E-2</v>
      </c>
      <c r="H20" s="286">
        <v>101.30000000000001</v>
      </c>
      <c r="I20" s="292">
        <v>7.010000000000001E-2</v>
      </c>
    </row>
    <row r="21" spans="1:9" x14ac:dyDescent="0.35">
      <c r="A21" s="265">
        <v>44582</v>
      </c>
      <c r="B21" s="286">
        <v>99.570000000000007</v>
      </c>
      <c r="C21" s="292">
        <v>5.2200000000000003E-2</v>
      </c>
      <c r="D21" s="286">
        <v>99.77000000000001</v>
      </c>
      <c r="E21" s="292">
        <v>6.4100000000000004E-2</v>
      </c>
      <c r="F21" s="286">
        <v>99.66</v>
      </c>
      <c r="G21" s="292">
        <v>6.4100000000000004E-2</v>
      </c>
      <c r="H21" s="286">
        <v>101.52000000000001</v>
      </c>
      <c r="I21" s="292">
        <v>6.9900000000000004E-2</v>
      </c>
    </row>
    <row r="22" spans="1:9" x14ac:dyDescent="0.35">
      <c r="A22" s="265">
        <v>44585</v>
      </c>
      <c r="B22" s="286">
        <v>99.63000000000001</v>
      </c>
      <c r="C22" s="292">
        <v>5.21E-2</v>
      </c>
      <c r="D22" s="286">
        <v>99.75</v>
      </c>
      <c r="E22" s="292">
        <v>6.4100000000000004E-2</v>
      </c>
      <c r="F22" s="286">
        <v>99.690000000000012</v>
      </c>
      <c r="G22" s="292">
        <v>6.4100000000000004E-2</v>
      </c>
      <c r="H22" s="286">
        <v>101.7</v>
      </c>
      <c r="I22" s="292">
        <v>6.9699999999999998E-2</v>
      </c>
    </row>
    <row r="23" spans="1:9" x14ac:dyDescent="0.35">
      <c r="A23" s="265">
        <v>44586</v>
      </c>
      <c r="B23" s="286">
        <v>99.64</v>
      </c>
      <c r="C23" s="292">
        <v>5.21E-2</v>
      </c>
      <c r="D23" s="286">
        <v>99.87</v>
      </c>
      <c r="E23" s="292">
        <v>6.4000000000000001E-2</v>
      </c>
      <c r="F23" s="286">
        <v>99.72</v>
      </c>
      <c r="G23" s="292">
        <v>6.4100000000000004E-2</v>
      </c>
      <c r="H23" s="286">
        <v>101.7</v>
      </c>
      <c r="I23" s="292">
        <v>6.9699999999999998E-2</v>
      </c>
    </row>
    <row r="24" spans="1:9" x14ac:dyDescent="0.35">
      <c r="A24" s="265">
        <v>44587</v>
      </c>
      <c r="B24" s="286">
        <v>99.63000000000001</v>
      </c>
      <c r="C24" s="292">
        <v>5.21E-2</v>
      </c>
      <c r="D24" s="286">
        <v>99.89</v>
      </c>
      <c r="E24" s="292">
        <v>6.3899999999999998E-2</v>
      </c>
      <c r="F24" s="286">
        <v>99.7</v>
      </c>
      <c r="G24" s="292">
        <v>6.4100000000000004E-2</v>
      </c>
      <c r="H24" s="286">
        <v>101.68</v>
      </c>
      <c r="I24" s="292">
        <v>6.9699999999999998E-2</v>
      </c>
    </row>
    <row r="25" spans="1:9" x14ac:dyDescent="0.35">
      <c r="A25" s="265">
        <v>44588</v>
      </c>
      <c r="B25" s="286">
        <v>99.52</v>
      </c>
      <c r="C25" s="292">
        <v>5.2300000000000006E-2</v>
      </c>
      <c r="D25" s="286">
        <v>99.600000000000009</v>
      </c>
      <c r="E25" s="292">
        <v>6.4299999999999996E-2</v>
      </c>
      <c r="F25" s="286">
        <v>99.51</v>
      </c>
      <c r="G25" s="292">
        <v>6.4299999999999996E-2</v>
      </c>
      <c r="H25" s="286">
        <v>101.55000000000001</v>
      </c>
      <c r="I25" s="292">
        <v>6.9900000000000004E-2</v>
      </c>
    </row>
    <row r="26" spans="1:9" x14ac:dyDescent="0.35">
      <c r="A26" s="265">
        <v>44589</v>
      </c>
      <c r="B26" s="286">
        <v>99.48</v>
      </c>
      <c r="C26" s="292">
        <v>5.2400000000000002E-2</v>
      </c>
      <c r="D26" s="286">
        <v>99.4</v>
      </c>
      <c r="E26" s="292">
        <v>6.4600000000000005E-2</v>
      </c>
      <c r="F26" s="286">
        <v>99.53</v>
      </c>
      <c r="G26" s="292">
        <v>6.4299999999999996E-2</v>
      </c>
      <c r="H26" s="286">
        <v>101.51</v>
      </c>
      <c r="I26" s="292">
        <v>6.9900000000000004E-2</v>
      </c>
    </row>
    <row r="27" spans="1:9" x14ac:dyDescent="0.35">
      <c r="A27" s="265">
        <v>44592</v>
      </c>
      <c r="B27" s="286">
        <v>99.570000000000007</v>
      </c>
      <c r="C27" s="292">
        <v>5.2200000000000003E-2</v>
      </c>
      <c r="D27" s="286">
        <v>99.54</v>
      </c>
      <c r="E27" s="292">
        <v>6.4399999999999999E-2</v>
      </c>
      <c r="F27" s="286">
        <v>99.56</v>
      </c>
      <c r="G27" s="292">
        <v>6.4200000000000007E-2</v>
      </c>
      <c r="H27" s="286">
        <v>101.85000000000001</v>
      </c>
      <c r="I27" s="292">
        <v>6.9600000000000009E-2</v>
      </c>
    </row>
    <row r="28" spans="1:9" x14ac:dyDescent="0.35">
      <c r="A28" s="265">
        <v>44594</v>
      </c>
      <c r="B28" s="286">
        <v>99.63000000000001</v>
      </c>
      <c r="C28" s="292">
        <v>5.21E-2</v>
      </c>
      <c r="D28" s="286">
        <v>99.68</v>
      </c>
      <c r="E28" s="292">
        <v>6.4200000000000007E-2</v>
      </c>
      <c r="F28" s="286">
        <v>99.62</v>
      </c>
      <c r="G28" s="292">
        <v>6.4200000000000007E-2</v>
      </c>
      <c r="H28" s="286">
        <v>102.61</v>
      </c>
      <c r="I28" s="292">
        <v>6.8900000000000003E-2</v>
      </c>
    </row>
    <row r="29" spans="1:9" x14ac:dyDescent="0.35">
      <c r="A29" s="265">
        <v>44595</v>
      </c>
      <c r="B29" s="286">
        <v>99.51</v>
      </c>
      <c r="C29" s="292">
        <v>5.2400000000000002E-2</v>
      </c>
      <c r="D29" s="286">
        <v>99.550000000000011</v>
      </c>
      <c r="E29" s="292">
        <v>6.4399999999999999E-2</v>
      </c>
      <c r="F29" s="286">
        <v>99.460000000000008</v>
      </c>
      <c r="G29" s="292">
        <v>6.4399999999999999E-2</v>
      </c>
      <c r="H29" s="286">
        <v>102.5</v>
      </c>
      <c r="I29" s="292">
        <v>6.9000000000000006E-2</v>
      </c>
    </row>
    <row r="30" spans="1:9" x14ac:dyDescent="0.35">
      <c r="A30" s="265">
        <v>44596</v>
      </c>
      <c r="B30" s="286">
        <v>99.4</v>
      </c>
      <c r="C30" s="292">
        <v>5.2600000000000001E-2</v>
      </c>
      <c r="D30" s="286">
        <v>99.34</v>
      </c>
      <c r="E30" s="292">
        <v>6.4700000000000008E-2</v>
      </c>
      <c r="F30" s="286">
        <v>99.43</v>
      </c>
      <c r="G30" s="292">
        <v>6.4399999999999999E-2</v>
      </c>
      <c r="H30" s="286">
        <v>102.24000000000001</v>
      </c>
      <c r="I30" s="292">
        <v>6.9199999999999998E-2</v>
      </c>
    </row>
    <row r="31" spans="1:9" x14ac:dyDescent="0.35">
      <c r="A31" s="293">
        <v>44599</v>
      </c>
      <c r="B31" s="294">
        <v>99.34</v>
      </c>
      <c r="C31" s="295">
        <v>5.28E-2</v>
      </c>
      <c r="D31" s="294">
        <v>99.15</v>
      </c>
      <c r="E31" s="295">
        <v>6.4899999999999999E-2</v>
      </c>
      <c r="F31" s="294">
        <v>99.240000000000009</v>
      </c>
      <c r="G31" s="295">
        <v>6.4600000000000005E-2</v>
      </c>
      <c r="H31" s="294">
        <v>102.08</v>
      </c>
      <c r="I31" s="295">
        <v>6.9400000000000003E-2</v>
      </c>
    </row>
    <row r="32" spans="1:9" x14ac:dyDescent="0.35">
      <c r="A32" s="293">
        <v>44600</v>
      </c>
      <c r="B32" s="294">
        <v>99.26</v>
      </c>
      <c r="C32" s="295">
        <v>5.2900000000000003E-2</v>
      </c>
      <c r="D32" s="294">
        <v>99.14</v>
      </c>
      <c r="E32" s="295">
        <v>6.5000000000000002E-2</v>
      </c>
      <c r="F32" s="294">
        <v>99.160000000000011</v>
      </c>
      <c r="G32" s="295">
        <v>6.4700000000000008E-2</v>
      </c>
      <c r="H32" s="294">
        <v>102.04</v>
      </c>
      <c r="I32" s="295">
        <v>6.9400000000000003E-2</v>
      </c>
    </row>
    <row r="33" spans="1:9" x14ac:dyDescent="0.35">
      <c r="A33" s="293">
        <v>44601</v>
      </c>
      <c r="B33" s="294">
        <v>99.300000000000011</v>
      </c>
      <c r="C33" s="295">
        <v>5.28E-2</v>
      </c>
      <c r="D33" s="294">
        <v>99.210000000000008</v>
      </c>
      <c r="E33" s="295">
        <v>6.4899999999999999E-2</v>
      </c>
      <c r="F33" s="294">
        <v>99.23</v>
      </c>
      <c r="G33" s="295">
        <v>6.4600000000000005E-2</v>
      </c>
      <c r="H33" s="294">
        <v>101.82000000000001</v>
      </c>
      <c r="I33" s="295">
        <v>6.9600000000000009E-2</v>
      </c>
    </row>
    <row r="34" spans="1:9" x14ac:dyDescent="0.35">
      <c r="A34" s="293">
        <v>44602</v>
      </c>
      <c r="B34" s="294">
        <v>99.31</v>
      </c>
      <c r="C34" s="295">
        <v>5.28E-2</v>
      </c>
      <c r="D34" s="294">
        <v>99.300000000000011</v>
      </c>
      <c r="E34" s="295">
        <v>6.4700000000000008E-2</v>
      </c>
      <c r="F34" s="294">
        <v>99.29</v>
      </c>
      <c r="G34" s="295">
        <v>6.4500000000000002E-2</v>
      </c>
      <c r="H34" s="294">
        <v>102</v>
      </c>
      <c r="I34" s="295">
        <v>6.9400000000000003E-2</v>
      </c>
    </row>
    <row r="35" spans="1:9" x14ac:dyDescent="0.35">
      <c r="A35" s="293">
        <v>44603</v>
      </c>
      <c r="B35" s="294">
        <v>99.26</v>
      </c>
      <c r="C35" s="295">
        <v>5.3000000000000005E-2</v>
      </c>
      <c r="D35" s="294">
        <v>99.11</v>
      </c>
      <c r="E35" s="295">
        <v>6.5000000000000002E-2</v>
      </c>
      <c r="F35" s="294">
        <v>99.09</v>
      </c>
      <c r="G35" s="295">
        <v>6.4799999999999996E-2</v>
      </c>
      <c r="H35" s="294">
        <v>101.95</v>
      </c>
      <c r="I35" s="295">
        <v>6.9500000000000006E-2</v>
      </c>
    </row>
    <row r="36" spans="1:9" x14ac:dyDescent="0.35">
      <c r="A36" s="265">
        <v>44606</v>
      </c>
      <c r="B36" s="286">
        <v>99.16</v>
      </c>
      <c r="C36" s="292">
        <v>5.3199999999999997E-2</v>
      </c>
      <c r="D36" s="286">
        <v>99.07</v>
      </c>
      <c r="E36" s="292">
        <v>6.5000000000000002E-2</v>
      </c>
      <c r="F36" s="286">
        <v>99</v>
      </c>
      <c r="G36" s="292">
        <v>6.4799999999999996E-2</v>
      </c>
      <c r="H36" s="286">
        <v>101.97</v>
      </c>
      <c r="I36" s="292">
        <v>6.9500000000000006E-2</v>
      </c>
    </row>
    <row r="37" spans="1:9" x14ac:dyDescent="0.35">
      <c r="A37" s="265">
        <v>44607</v>
      </c>
      <c r="B37" s="286">
        <v>99.14</v>
      </c>
      <c r="C37" s="292">
        <v>5.3200000000000004E-2</v>
      </c>
      <c r="D37" s="286">
        <v>99.12</v>
      </c>
      <c r="E37" s="292">
        <v>6.5000000000000002E-2</v>
      </c>
      <c r="F37" s="286">
        <v>99.02000000000001</v>
      </c>
      <c r="G37" s="292">
        <v>6.4799999999999996E-2</v>
      </c>
      <c r="H37" s="286">
        <v>102</v>
      </c>
      <c r="I37" s="292">
        <v>6.9400000000000003E-2</v>
      </c>
    </row>
    <row r="38" spans="1:9" x14ac:dyDescent="0.35">
      <c r="A38" s="265">
        <v>44608</v>
      </c>
      <c r="B38" s="286">
        <v>99.22</v>
      </c>
      <c r="C38" s="292">
        <v>5.3000000000000005E-2</v>
      </c>
      <c r="D38" s="286">
        <v>99.09</v>
      </c>
      <c r="E38" s="292">
        <v>6.5000000000000002E-2</v>
      </c>
      <c r="F38" s="286">
        <v>99.02000000000001</v>
      </c>
      <c r="G38" s="292">
        <v>6.4799999999999996E-2</v>
      </c>
      <c r="H38" s="286">
        <v>102.33</v>
      </c>
      <c r="I38" s="292">
        <v>6.9100000000000009E-2</v>
      </c>
    </row>
    <row r="39" spans="1:9" x14ac:dyDescent="0.35">
      <c r="A39" s="265">
        <v>44609</v>
      </c>
      <c r="B39" s="286">
        <v>99.2</v>
      </c>
      <c r="C39" s="292">
        <v>5.3100000000000001E-2</v>
      </c>
      <c r="D39" s="286">
        <v>99.14</v>
      </c>
      <c r="E39" s="292">
        <v>6.5000000000000002E-2</v>
      </c>
      <c r="F39" s="286">
        <v>99.100000000000009</v>
      </c>
      <c r="G39" s="292">
        <v>6.4700000000000008E-2</v>
      </c>
      <c r="H39" s="286">
        <v>102.54</v>
      </c>
      <c r="I39" s="292">
        <v>6.8900000000000003E-2</v>
      </c>
    </row>
    <row r="40" spans="1:9" x14ac:dyDescent="0.35">
      <c r="A40" s="265">
        <v>44610</v>
      </c>
      <c r="B40" s="286">
        <v>99.25</v>
      </c>
      <c r="C40" s="292">
        <v>5.3000000000000005E-2</v>
      </c>
      <c r="D40" s="286">
        <v>99.15</v>
      </c>
      <c r="E40" s="292">
        <v>6.4899999999999999E-2</v>
      </c>
      <c r="F40" s="286">
        <v>99.04</v>
      </c>
      <c r="G40" s="292">
        <v>6.4799999999999996E-2</v>
      </c>
      <c r="H40" s="286">
        <v>102.5</v>
      </c>
      <c r="I40" s="292">
        <v>6.9000000000000006E-2</v>
      </c>
    </row>
    <row r="41" spans="1:9" x14ac:dyDescent="0.35">
      <c r="A41" s="293">
        <v>44613</v>
      </c>
      <c r="B41" s="294">
        <v>99.28</v>
      </c>
      <c r="C41" s="296">
        <v>5.2900000000000003E-2</v>
      </c>
      <c r="D41" s="294">
        <v>99.240000000000009</v>
      </c>
      <c r="E41" s="296">
        <v>6.4799999999999996E-2</v>
      </c>
      <c r="F41" s="294">
        <v>99.06</v>
      </c>
      <c r="G41" s="296">
        <v>6.4799999999999996E-2</v>
      </c>
      <c r="H41" s="294">
        <v>102.47</v>
      </c>
      <c r="I41" s="296">
        <v>6.9000000000000006E-2</v>
      </c>
    </row>
    <row r="42" spans="1:9" x14ac:dyDescent="0.35">
      <c r="A42" s="293">
        <v>44614</v>
      </c>
      <c r="B42" s="294">
        <v>99.28</v>
      </c>
      <c r="C42" s="296">
        <v>5.2900000000000003E-2</v>
      </c>
      <c r="D42" s="294">
        <v>99.15</v>
      </c>
      <c r="E42" s="296">
        <v>6.4899999999999999E-2</v>
      </c>
      <c r="F42" s="294">
        <v>98.98</v>
      </c>
      <c r="G42" s="296">
        <v>6.4799999999999996E-2</v>
      </c>
      <c r="H42" s="294">
        <v>102.45</v>
      </c>
      <c r="I42" s="296">
        <v>6.9000000000000006E-2</v>
      </c>
    </row>
    <row r="43" spans="1:9" x14ac:dyDescent="0.35">
      <c r="A43" s="293">
        <v>44615</v>
      </c>
      <c r="B43" s="294">
        <v>99.13000000000001</v>
      </c>
      <c r="C43" s="296">
        <v>5.3200000000000004E-2</v>
      </c>
      <c r="D43" s="294">
        <v>99.15</v>
      </c>
      <c r="E43" s="296">
        <v>6.4899999999999999E-2</v>
      </c>
      <c r="F43" s="294">
        <v>99.06</v>
      </c>
      <c r="G43" s="296">
        <v>6.4799999999999996E-2</v>
      </c>
      <c r="H43" s="294">
        <v>102.48</v>
      </c>
      <c r="I43" s="296">
        <v>6.9000000000000006E-2</v>
      </c>
    </row>
    <row r="44" spans="1:9" x14ac:dyDescent="0.35">
      <c r="A44" s="293">
        <v>44616</v>
      </c>
      <c r="B44" s="294">
        <v>99.070000000000007</v>
      </c>
      <c r="C44" s="296">
        <v>5.3400000000000003E-2</v>
      </c>
      <c r="D44" s="294">
        <v>99.070000000000007</v>
      </c>
      <c r="E44" s="296">
        <v>6.5100000000000005E-2</v>
      </c>
      <c r="F44" s="294">
        <v>98.97</v>
      </c>
      <c r="G44" s="296">
        <v>6.4899999999999999E-2</v>
      </c>
      <c r="H44" s="294">
        <v>102.39</v>
      </c>
      <c r="I44" s="296">
        <v>6.9100000000000009E-2</v>
      </c>
    </row>
    <row r="45" spans="1:9" x14ac:dyDescent="0.35">
      <c r="A45" s="293">
        <v>44617</v>
      </c>
      <c r="B45" s="294">
        <v>99.05</v>
      </c>
      <c r="C45" s="296">
        <v>5.3400000000000003E-2</v>
      </c>
      <c r="D45" s="294">
        <v>98.990000000000009</v>
      </c>
      <c r="E45" s="296">
        <v>6.5200000000000008E-2</v>
      </c>
      <c r="F45" s="294">
        <v>98.92</v>
      </c>
      <c r="G45" s="296">
        <v>6.4899999999999999E-2</v>
      </c>
      <c r="H45" s="294">
        <v>102.45</v>
      </c>
      <c r="I45" s="296">
        <v>6.9000000000000006E-2</v>
      </c>
    </row>
    <row r="46" spans="1:9" x14ac:dyDescent="0.35">
      <c r="A46" s="265">
        <v>44621</v>
      </c>
      <c r="B46" s="297">
        <v>99.06</v>
      </c>
      <c r="C46" s="291">
        <v>5.3400000000000003E-2</v>
      </c>
      <c r="D46" s="55">
        <v>99.09</v>
      </c>
      <c r="E46" s="291">
        <v>6.5000000000000002E-2</v>
      </c>
      <c r="F46" s="55">
        <v>98.95</v>
      </c>
      <c r="G46" s="291">
        <v>6.4899999999999999E-2</v>
      </c>
      <c r="H46" s="55">
        <v>102.33</v>
      </c>
      <c r="I46" s="291">
        <v>6.9100000000000009E-2</v>
      </c>
    </row>
    <row r="47" spans="1:9" x14ac:dyDescent="0.35">
      <c r="A47" s="265">
        <v>44622</v>
      </c>
      <c r="B47" s="297">
        <v>98.95</v>
      </c>
      <c r="C47" s="291">
        <v>5.3700000000000005E-2</v>
      </c>
      <c r="D47" s="55">
        <v>98.93</v>
      </c>
      <c r="E47" s="291">
        <v>6.5200000000000008E-2</v>
      </c>
      <c r="F47" s="55">
        <v>98.87</v>
      </c>
      <c r="G47" s="291">
        <v>6.5000000000000002E-2</v>
      </c>
      <c r="H47" s="55">
        <v>102.4</v>
      </c>
      <c r="I47" s="291">
        <v>6.9100000000000009E-2</v>
      </c>
    </row>
    <row r="48" spans="1:9" x14ac:dyDescent="0.35">
      <c r="A48" s="265">
        <v>44624</v>
      </c>
      <c r="B48" s="298">
        <v>98.64</v>
      </c>
      <c r="C48" s="291">
        <v>5.4400000000000004E-2</v>
      </c>
      <c r="D48" s="299">
        <v>98.460000000000008</v>
      </c>
      <c r="E48" s="291">
        <v>6.59E-2</v>
      </c>
      <c r="F48" s="299">
        <v>98.67</v>
      </c>
      <c r="G48" s="291">
        <v>6.5200000000000008E-2</v>
      </c>
      <c r="H48" s="299">
        <v>101.88000000000001</v>
      </c>
      <c r="I48" s="291">
        <v>6.9500000000000006E-2</v>
      </c>
    </row>
    <row r="49" spans="1:9" x14ac:dyDescent="0.35">
      <c r="A49" s="293">
        <v>44627</v>
      </c>
      <c r="B49" s="300">
        <v>98.35</v>
      </c>
      <c r="C49" s="301">
        <v>5.5E-2</v>
      </c>
      <c r="D49" s="302">
        <v>97.64</v>
      </c>
      <c r="E49" s="301">
        <v>6.7000000000000004E-2</v>
      </c>
      <c r="F49" s="302">
        <v>97.39</v>
      </c>
      <c r="G49" s="301">
        <v>6.6500000000000004E-2</v>
      </c>
      <c r="H49" s="302">
        <v>101.13</v>
      </c>
      <c r="I49" s="301">
        <v>7.0199999999999999E-2</v>
      </c>
    </row>
    <row r="50" spans="1:9" x14ac:dyDescent="0.35">
      <c r="A50" s="293">
        <v>44628</v>
      </c>
      <c r="B50" s="300">
        <v>98.39</v>
      </c>
      <c r="C50" s="301">
        <v>5.5E-2</v>
      </c>
      <c r="D50" s="302">
        <v>97.570000000000007</v>
      </c>
      <c r="E50" s="301">
        <v>6.7100000000000007E-2</v>
      </c>
      <c r="F50" s="302">
        <v>98.160000000000011</v>
      </c>
      <c r="G50" s="301">
        <v>6.5700000000000008E-2</v>
      </c>
      <c r="H50" s="302">
        <v>100.41000000000001</v>
      </c>
      <c r="I50" s="301">
        <v>7.0900000000000005E-2</v>
      </c>
    </row>
    <row r="51" spans="1:9" x14ac:dyDescent="0.35">
      <c r="A51" s="293">
        <v>44629</v>
      </c>
      <c r="B51" s="300">
        <v>98.03</v>
      </c>
      <c r="C51" s="301">
        <v>5.5800000000000002E-2</v>
      </c>
      <c r="D51" s="302">
        <v>97.14</v>
      </c>
      <c r="E51" s="301">
        <v>6.7699999999999996E-2</v>
      </c>
      <c r="F51" s="302">
        <v>96.87</v>
      </c>
      <c r="G51" s="301">
        <v>6.7100000000000007E-2</v>
      </c>
      <c r="H51" s="302">
        <v>99.02000000000001</v>
      </c>
      <c r="I51" s="301">
        <v>7.22E-2</v>
      </c>
    </row>
    <row r="52" spans="1:9" x14ac:dyDescent="0.35">
      <c r="A52" s="293">
        <v>44630</v>
      </c>
      <c r="B52" s="300">
        <v>98.240000000000009</v>
      </c>
      <c r="C52" s="301">
        <v>5.5300000000000002E-2</v>
      </c>
      <c r="D52" s="302">
        <v>97.740000000000009</v>
      </c>
      <c r="E52" s="301">
        <v>6.6900000000000001E-2</v>
      </c>
      <c r="F52" s="302">
        <v>97.19</v>
      </c>
      <c r="G52" s="301">
        <v>6.6700000000000009E-2</v>
      </c>
      <c r="H52" s="302">
        <v>99.02000000000001</v>
      </c>
      <c r="I52" s="301">
        <v>7.22E-2</v>
      </c>
    </row>
    <row r="53" spans="1:9" x14ac:dyDescent="0.35">
      <c r="A53" s="293">
        <v>44631</v>
      </c>
      <c r="B53" s="300">
        <v>98.25</v>
      </c>
      <c r="C53" s="301">
        <v>5.5300000000000002E-2</v>
      </c>
      <c r="D53" s="302">
        <v>97.79</v>
      </c>
      <c r="E53" s="301">
        <v>6.6799999999999998E-2</v>
      </c>
      <c r="F53" s="302">
        <v>97</v>
      </c>
      <c r="G53" s="301">
        <v>6.6900000000000001E-2</v>
      </c>
      <c r="H53" s="302">
        <v>100.19000000000001</v>
      </c>
      <c r="I53" s="301">
        <v>7.1099999999999997E-2</v>
      </c>
    </row>
    <row r="54" spans="1:9" ht="15.5" x14ac:dyDescent="0.35">
      <c r="A54" s="265">
        <v>44634</v>
      </c>
      <c r="B54" s="303">
        <v>98.37</v>
      </c>
      <c r="C54" s="304">
        <v>5.5E-2</v>
      </c>
      <c r="D54" s="303">
        <v>97.89</v>
      </c>
      <c r="E54" s="304">
        <v>6.6700000000000009E-2</v>
      </c>
      <c r="F54" s="303">
        <v>97.25</v>
      </c>
      <c r="G54" s="304">
        <v>6.6700000000000009E-2</v>
      </c>
      <c r="H54" s="303">
        <v>100.30000000000001</v>
      </c>
      <c r="I54" s="304">
        <v>7.1000000000000008E-2</v>
      </c>
    </row>
    <row r="55" spans="1:9" ht="15.5" x14ac:dyDescent="0.35">
      <c r="A55" s="265">
        <v>44635</v>
      </c>
      <c r="B55" s="303">
        <v>98.37</v>
      </c>
      <c r="C55" s="304">
        <v>5.5E-2</v>
      </c>
      <c r="D55" s="303">
        <v>97.89</v>
      </c>
      <c r="E55" s="304">
        <v>6.6700000000000009E-2</v>
      </c>
      <c r="F55" s="303">
        <v>97.25</v>
      </c>
      <c r="G55" s="304">
        <v>6.6700000000000009E-2</v>
      </c>
      <c r="H55" s="303">
        <v>100.30000000000001</v>
      </c>
      <c r="I55" s="304">
        <v>7.1000000000000008E-2</v>
      </c>
    </row>
    <row r="56" spans="1:9" ht="15.5" x14ac:dyDescent="0.35">
      <c r="A56" s="265">
        <v>44636</v>
      </c>
      <c r="B56" s="303">
        <v>98.160000000000011</v>
      </c>
      <c r="C56" s="304">
        <v>5.5500000000000001E-2</v>
      </c>
      <c r="D56" s="303">
        <v>97.72</v>
      </c>
      <c r="E56" s="304">
        <v>6.6900000000000001E-2</v>
      </c>
      <c r="F56" s="303">
        <v>97.160000000000011</v>
      </c>
      <c r="G56" s="304">
        <v>6.6799999999999998E-2</v>
      </c>
      <c r="H56" s="303">
        <v>100.21000000000001</v>
      </c>
      <c r="I56" s="304">
        <v>7.1099999999999997E-2</v>
      </c>
    </row>
    <row r="57" spans="1:9" ht="15.5" x14ac:dyDescent="0.35">
      <c r="A57" s="265">
        <v>44637</v>
      </c>
      <c r="B57" s="303">
        <v>98.25</v>
      </c>
      <c r="C57" s="304">
        <v>5.5300000000000002E-2</v>
      </c>
      <c r="D57" s="303">
        <v>97.850000000000009</v>
      </c>
      <c r="E57" s="304">
        <v>6.6799999999999998E-2</v>
      </c>
      <c r="F57" s="303">
        <v>97.240000000000009</v>
      </c>
      <c r="G57" s="304">
        <v>6.6700000000000009E-2</v>
      </c>
      <c r="H57" s="303">
        <v>99.93</v>
      </c>
      <c r="I57" s="304">
        <v>7.1400000000000005E-2</v>
      </c>
    </row>
    <row r="58" spans="1:9" ht="15.5" x14ac:dyDescent="0.35">
      <c r="A58" s="265">
        <v>44638</v>
      </c>
      <c r="B58" s="303">
        <v>98.28</v>
      </c>
      <c r="C58" s="304">
        <v>5.5200000000000006E-2</v>
      </c>
      <c r="D58" s="303">
        <v>97.88000000000001</v>
      </c>
      <c r="E58" s="304">
        <v>6.6700000000000009E-2</v>
      </c>
      <c r="F58" s="303">
        <v>97.26</v>
      </c>
      <c r="G58" s="304">
        <v>6.6700000000000009E-2</v>
      </c>
      <c r="H58" s="303">
        <v>99.83</v>
      </c>
      <c r="I58" s="304">
        <v>7.1400000000000005E-2</v>
      </c>
    </row>
    <row r="59" spans="1:9" ht="15.5" x14ac:dyDescent="0.35">
      <c r="A59" s="293">
        <v>44641</v>
      </c>
      <c r="B59" s="305">
        <v>98.22</v>
      </c>
      <c r="C59" s="306">
        <v>5.5400000000000005E-2</v>
      </c>
      <c r="D59" s="305">
        <v>97.84</v>
      </c>
      <c r="E59" s="306">
        <v>6.6799999999999998E-2</v>
      </c>
      <c r="F59" s="305">
        <v>97.28</v>
      </c>
      <c r="G59" s="306">
        <v>6.6600000000000006E-2</v>
      </c>
      <c r="H59" s="305">
        <v>99.72</v>
      </c>
      <c r="I59" s="306">
        <v>7.1500000000000008E-2</v>
      </c>
    </row>
    <row r="60" spans="1:9" ht="15.5" x14ac:dyDescent="0.35">
      <c r="A60" s="293">
        <v>44642</v>
      </c>
      <c r="B60" s="305">
        <v>98.190000000000012</v>
      </c>
      <c r="C60" s="306">
        <v>5.5400000000000005E-2</v>
      </c>
      <c r="D60" s="305">
        <v>97.78</v>
      </c>
      <c r="E60" s="306">
        <v>6.6900000000000001E-2</v>
      </c>
      <c r="F60" s="305">
        <v>97.36</v>
      </c>
      <c r="G60" s="306">
        <v>6.6600000000000006E-2</v>
      </c>
      <c r="H60" s="305">
        <v>99.68</v>
      </c>
      <c r="I60" s="306">
        <v>7.1599999999999997E-2</v>
      </c>
    </row>
    <row r="61" spans="1:9" ht="15.5" x14ac:dyDescent="0.35">
      <c r="A61" s="293">
        <v>44643</v>
      </c>
      <c r="B61" s="305">
        <v>98.190000000000012</v>
      </c>
      <c r="C61" s="306">
        <v>5.5400000000000005E-2</v>
      </c>
      <c r="D61" s="305">
        <v>97.59</v>
      </c>
      <c r="E61" s="306">
        <v>6.7100000000000007E-2</v>
      </c>
      <c r="F61" s="305">
        <v>97.56</v>
      </c>
      <c r="G61" s="306">
        <v>6.6299999999999998E-2</v>
      </c>
      <c r="H61" s="305">
        <v>99.78</v>
      </c>
      <c r="I61" s="306">
        <v>7.1500000000000008E-2</v>
      </c>
    </row>
    <row r="62" spans="1:9" ht="15.5" x14ac:dyDescent="0.35">
      <c r="A62" s="293">
        <v>44644</v>
      </c>
      <c r="B62" s="305">
        <v>98.28</v>
      </c>
      <c r="C62" s="306">
        <v>5.5200000000000006E-2</v>
      </c>
      <c r="D62" s="305">
        <v>97.9</v>
      </c>
      <c r="E62" s="306">
        <v>6.6700000000000009E-2</v>
      </c>
      <c r="F62" s="305">
        <v>97.84</v>
      </c>
      <c r="G62" s="306">
        <v>6.6100000000000006E-2</v>
      </c>
      <c r="H62" s="305">
        <v>99.83</v>
      </c>
      <c r="I62" s="306">
        <v>7.1400000000000005E-2</v>
      </c>
    </row>
    <row r="63" spans="1:9" ht="15.5" x14ac:dyDescent="0.35">
      <c r="A63" s="293">
        <v>44645</v>
      </c>
      <c r="B63" s="305">
        <v>98.28</v>
      </c>
      <c r="C63" s="306">
        <v>5.5200000000000006E-2</v>
      </c>
      <c r="D63" s="305">
        <v>98.050000000000011</v>
      </c>
      <c r="E63" s="306">
        <v>6.6500000000000004E-2</v>
      </c>
      <c r="F63" s="305">
        <v>97.740000000000009</v>
      </c>
      <c r="G63" s="306">
        <v>6.6200000000000009E-2</v>
      </c>
      <c r="H63" s="305">
        <v>99.73</v>
      </c>
      <c r="I63" s="306">
        <v>7.1500000000000008E-2</v>
      </c>
    </row>
    <row r="64" spans="1:9" x14ac:dyDescent="0.35">
      <c r="A64" s="265">
        <v>44648</v>
      </c>
      <c r="B64" s="307">
        <v>98.29</v>
      </c>
      <c r="C64" s="308">
        <v>5.5200000000000006E-2</v>
      </c>
      <c r="D64" s="307">
        <v>97.92</v>
      </c>
      <c r="E64" s="308">
        <v>6.6700000000000009E-2</v>
      </c>
      <c r="F64" s="307">
        <v>97.34</v>
      </c>
      <c r="G64" s="308">
        <v>6.6600000000000006E-2</v>
      </c>
      <c r="H64" s="307">
        <v>99.5</v>
      </c>
      <c r="I64" s="308">
        <v>7.1800000000000003E-2</v>
      </c>
    </row>
    <row r="65" spans="1:9" x14ac:dyDescent="0.35">
      <c r="A65" s="265">
        <v>44649</v>
      </c>
      <c r="B65" s="307">
        <v>98.17</v>
      </c>
      <c r="C65" s="308">
        <v>5.5500000000000001E-2</v>
      </c>
      <c r="D65" s="307">
        <v>97.63000000000001</v>
      </c>
      <c r="E65" s="308">
        <v>6.7100000000000007E-2</v>
      </c>
      <c r="F65" s="307">
        <v>97.42</v>
      </c>
      <c r="G65" s="308">
        <v>6.6500000000000004E-2</v>
      </c>
      <c r="H65" s="307">
        <v>99.440000000000012</v>
      </c>
      <c r="I65" s="308">
        <v>7.1800000000000003E-2</v>
      </c>
    </row>
    <row r="66" spans="1:9" x14ac:dyDescent="0.35">
      <c r="A66" s="265">
        <v>44650</v>
      </c>
      <c r="B66" s="307">
        <v>98.2</v>
      </c>
      <c r="C66" s="308">
        <v>5.5400000000000005E-2</v>
      </c>
      <c r="D66" s="307">
        <v>97.65</v>
      </c>
      <c r="E66" s="308">
        <v>6.7000000000000004E-2</v>
      </c>
      <c r="F66" s="307">
        <v>97.410000000000011</v>
      </c>
      <c r="G66" s="308">
        <v>6.6500000000000004E-2</v>
      </c>
      <c r="H66" s="307">
        <v>98.81</v>
      </c>
      <c r="I66" s="308">
        <v>7.2400000000000006E-2</v>
      </c>
    </row>
    <row r="67" spans="1:9" x14ac:dyDescent="0.35">
      <c r="A67" s="265">
        <v>44651</v>
      </c>
      <c r="B67" s="307">
        <v>98.08</v>
      </c>
      <c r="C67" s="308">
        <v>5.57E-2</v>
      </c>
      <c r="D67" s="307">
        <v>97.67</v>
      </c>
      <c r="E67" s="308">
        <v>6.7000000000000004E-2</v>
      </c>
      <c r="F67" s="307">
        <v>97.33</v>
      </c>
      <c r="G67" s="308">
        <v>6.6600000000000006E-2</v>
      </c>
      <c r="H67" s="307">
        <v>98.97</v>
      </c>
      <c r="I67" s="308">
        <v>7.2300000000000003E-2</v>
      </c>
    </row>
    <row r="68" spans="1:9" x14ac:dyDescent="0.35">
      <c r="A68" s="265">
        <v>44652</v>
      </c>
      <c r="B68" s="307">
        <v>98.100000000000009</v>
      </c>
      <c r="C68" s="308">
        <v>5.57E-2</v>
      </c>
      <c r="D68" s="307">
        <v>97.7</v>
      </c>
      <c r="E68" s="308">
        <v>6.7000000000000004E-2</v>
      </c>
      <c r="F68" s="307">
        <v>97.36</v>
      </c>
      <c r="G68" s="308">
        <v>6.6600000000000006E-2</v>
      </c>
      <c r="H68" s="307">
        <v>99.15</v>
      </c>
      <c r="I68" s="308">
        <v>7.2099999999999997E-2</v>
      </c>
    </row>
    <row r="69" spans="1:9" x14ac:dyDescent="0.35">
      <c r="A69" s="309">
        <v>44655</v>
      </c>
      <c r="B69" s="310">
        <v>98.04</v>
      </c>
      <c r="C69" s="311">
        <v>5.5800000000000002E-2</v>
      </c>
      <c r="D69" s="310">
        <v>97.62</v>
      </c>
      <c r="E69" s="311">
        <v>6.7100000000000007E-2</v>
      </c>
      <c r="F69" s="310">
        <v>97.36</v>
      </c>
      <c r="G69" s="311">
        <v>6.6600000000000006E-2</v>
      </c>
      <c r="H69" s="310">
        <v>98.98</v>
      </c>
      <c r="I69" s="311">
        <v>7.2300000000000003E-2</v>
      </c>
    </row>
    <row r="70" spans="1:9" x14ac:dyDescent="0.35">
      <c r="A70" s="309">
        <v>44656</v>
      </c>
      <c r="B70" s="310">
        <v>98.09</v>
      </c>
      <c r="C70" s="311">
        <v>5.57E-2</v>
      </c>
      <c r="D70" s="310">
        <v>97.75</v>
      </c>
      <c r="E70" s="311">
        <v>6.6900000000000001E-2</v>
      </c>
      <c r="F70" s="310">
        <v>97.38000000000001</v>
      </c>
      <c r="G70" s="311">
        <v>6.6500000000000004E-2</v>
      </c>
      <c r="H70" s="310">
        <v>99.28</v>
      </c>
      <c r="I70" s="311">
        <v>7.2000000000000008E-2</v>
      </c>
    </row>
    <row r="71" spans="1:9" x14ac:dyDescent="0.35">
      <c r="A71" s="309">
        <v>44657</v>
      </c>
      <c r="B71" s="310">
        <v>98.09</v>
      </c>
      <c r="C71" s="311">
        <v>5.57E-2</v>
      </c>
      <c r="D71" s="310">
        <v>97.47</v>
      </c>
      <c r="E71" s="311">
        <v>6.7299999999999999E-2</v>
      </c>
      <c r="F71" s="310">
        <v>97.190000000000012</v>
      </c>
      <c r="G71" s="311">
        <v>6.6700000000000009E-2</v>
      </c>
      <c r="H71" s="310">
        <v>99.37</v>
      </c>
      <c r="I71" s="311">
        <v>7.1900000000000006E-2</v>
      </c>
    </row>
    <row r="72" spans="1:9" x14ac:dyDescent="0.35">
      <c r="A72" s="309">
        <v>44658</v>
      </c>
      <c r="B72" s="310">
        <v>97.92</v>
      </c>
      <c r="C72" s="311">
        <v>5.6100000000000004E-2</v>
      </c>
      <c r="D72" s="310">
        <v>97.460000000000008</v>
      </c>
      <c r="E72" s="311">
        <v>6.7299999999999999E-2</v>
      </c>
      <c r="F72" s="310">
        <v>96.910000000000011</v>
      </c>
      <c r="G72" s="311">
        <v>6.7000000000000004E-2</v>
      </c>
      <c r="H72" s="310">
        <v>99.54</v>
      </c>
      <c r="I72" s="311">
        <v>7.17E-2</v>
      </c>
    </row>
    <row r="73" spans="1:9" x14ac:dyDescent="0.35">
      <c r="A73" s="309">
        <v>44659</v>
      </c>
      <c r="B73" s="310">
        <v>97.910000000000011</v>
      </c>
      <c r="C73" s="311">
        <v>5.6100000000000004E-2</v>
      </c>
      <c r="D73" s="310">
        <v>97.4</v>
      </c>
      <c r="E73" s="311">
        <v>6.7400000000000002E-2</v>
      </c>
      <c r="F73" s="310">
        <v>96.910000000000011</v>
      </c>
      <c r="G73" s="311">
        <v>6.7000000000000004E-2</v>
      </c>
      <c r="H73" s="310">
        <v>99.72</v>
      </c>
      <c r="I73" s="311">
        <v>7.1599999999999997E-2</v>
      </c>
    </row>
    <row r="74" spans="1:9" x14ac:dyDescent="0.35">
      <c r="A74" s="265">
        <v>44662</v>
      </c>
      <c r="B74" s="307">
        <v>97.65</v>
      </c>
      <c r="C74" s="308">
        <v>5.6800000000000003E-2</v>
      </c>
      <c r="D74" s="307">
        <v>97.160000000000011</v>
      </c>
      <c r="E74" s="308">
        <v>6.7799999999999999E-2</v>
      </c>
      <c r="F74" s="307">
        <v>96.81</v>
      </c>
      <c r="G74" s="308">
        <v>6.720000000000001E-2</v>
      </c>
      <c r="H74" s="307">
        <v>99.51</v>
      </c>
      <c r="I74" s="308">
        <v>7.17E-2</v>
      </c>
    </row>
    <row r="75" spans="1:9" x14ac:dyDescent="0.35">
      <c r="A75" s="265">
        <v>44663</v>
      </c>
      <c r="B75" s="307">
        <v>97.320000000000007</v>
      </c>
      <c r="C75" s="308">
        <v>5.7500000000000002E-2</v>
      </c>
      <c r="D75" s="307">
        <v>96.87</v>
      </c>
      <c r="E75" s="308">
        <v>6.8199999999999997E-2</v>
      </c>
      <c r="F75" s="307">
        <v>96.350000000000009</v>
      </c>
      <c r="G75" s="308">
        <v>6.7699999999999996E-2</v>
      </c>
      <c r="H75" s="307">
        <v>99.29</v>
      </c>
      <c r="I75" s="308">
        <v>7.2000000000000008E-2</v>
      </c>
    </row>
    <row r="76" spans="1:9" x14ac:dyDescent="0.35">
      <c r="A76" s="265">
        <v>44664</v>
      </c>
      <c r="B76" s="307">
        <v>97.410000000000011</v>
      </c>
      <c r="C76" s="308">
        <v>5.7300000000000004E-2</v>
      </c>
      <c r="D76" s="307">
        <v>96.83</v>
      </c>
      <c r="E76" s="308">
        <v>6.8199999999999997E-2</v>
      </c>
      <c r="F76" s="307">
        <v>96.070000000000007</v>
      </c>
      <c r="G76" s="308">
        <v>6.8000000000000005E-2</v>
      </c>
      <c r="H76" s="307">
        <v>99.070000000000007</v>
      </c>
      <c r="I76" s="308">
        <v>7.22E-2</v>
      </c>
    </row>
    <row r="77" spans="1:9" x14ac:dyDescent="0.35">
      <c r="A77" s="265">
        <v>44665</v>
      </c>
      <c r="B77" s="307">
        <v>97.18</v>
      </c>
      <c r="C77" s="308">
        <v>5.79E-2</v>
      </c>
      <c r="D77" s="307">
        <v>96.550000000000011</v>
      </c>
      <c r="E77" s="308">
        <v>6.8600000000000008E-2</v>
      </c>
      <c r="F77" s="307">
        <v>95.92</v>
      </c>
      <c r="G77" s="308">
        <v>6.8100000000000008E-2</v>
      </c>
      <c r="H77" s="307">
        <v>98.97</v>
      </c>
      <c r="I77" s="308">
        <v>7.2300000000000003E-2</v>
      </c>
    </row>
    <row r="78" spans="1:9" x14ac:dyDescent="0.35">
      <c r="A78" s="293">
        <v>44669</v>
      </c>
      <c r="B78" s="312">
        <v>97.03</v>
      </c>
      <c r="C78" s="313">
        <v>5.8200000000000002E-2</v>
      </c>
      <c r="D78" s="312">
        <v>96.48</v>
      </c>
      <c r="E78" s="313">
        <v>6.8699999999999997E-2</v>
      </c>
      <c r="F78" s="312">
        <v>95.95</v>
      </c>
      <c r="G78" s="313">
        <v>6.8100000000000008E-2</v>
      </c>
      <c r="H78" s="312">
        <v>98.81</v>
      </c>
      <c r="I78" s="313">
        <v>7.2400000000000006E-2</v>
      </c>
    </row>
    <row r="79" spans="1:9" x14ac:dyDescent="0.35">
      <c r="A79" s="293">
        <v>44670</v>
      </c>
      <c r="B79" s="312">
        <v>96.850000000000009</v>
      </c>
      <c r="C79" s="313">
        <v>5.8700000000000002E-2</v>
      </c>
      <c r="D79" s="312">
        <v>96.34</v>
      </c>
      <c r="E79" s="313">
        <v>6.8900000000000003E-2</v>
      </c>
      <c r="F79" s="312">
        <v>95.910000000000011</v>
      </c>
      <c r="G79" s="313">
        <v>6.8100000000000008E-2</v>
      </c>
      <c r="H79" s="312">
        <v>98.72</v>
      </c>
      <c r="I79" s="313">
        <v>7.2500000000000009E-2</v>
      </c>
    </row>
    <row r="80" spans="1:9" x14ac:dyDescent="0.35">
      <c r="A80" s="293">
        <v>44671</v>
      </c>
      <c r="B80" s="312">
        <v>96.55</v>
      </c>
      <c r="C80" s="313">
        <v>5.9400000000000001E-2</v>
      </c>
      <c r="D80" s="312">
        <v>96.18</v>
      </c>
      <c r="E80" s="313">
        <v>6.9199999999999998E-2</v>
      </c>
      <c r="F80" s="312">
        <v>95.72</v>
      </c>
      <c r="G80" s="313">
        <v>6.83E-2</v>
      </c>
      <c r="H80" s="312">
        <v>98.490000000000009</v>
      </c>
      <c r="I80" s="313">
        <v>7.2700000000000001E-2</v>
      </c>
    </row>
    <row r="81" spans="1:9" x14ac:dyDescent="0.35">
      <c r="A81" s="293">
        <v>44672</v>
      </c>
      <c r="B81" s="312">
        <v>96.23</v>
      </c>
      <c r="C81" s="313">
        <v>6.0200000000000004E-2</v>
      </c>
      <c r="D81" s="312">
        <v>96.410000000000011</v>
      </c>
      <c r="E81" s="313">
        <v>6.88E-2</v>
      </c>
      <c r="F81" s="312">
        <v>95.02000000000001</v>
      </c>
      <c r="G81" s="313">
        <v>6.9100000000000009E-2</v>
      </c>
      <c r="H81" s="312">
        <v>98.550000000000011</v>
      </c>
      <c r="I81" s="313">
        <v>7.2700000000000001E-2</v>
      </c>
    </row>
    <row r="82" spans="1:9" x14ac:dyDescent="0.35">
      <c r="A82" s="293">
        <v>44673</v>
      </c>
      <c r="B82" s="312">
        <v>96.11</v>
      </c>
      <c r="C82" s="313">
        <v>6.0500000000000005E-2</v>
      </c>
      <c r="D82" s="312">
        <v>96.36</v>
      </c>
      <c r="E82" s="313">
        <v>6.8900000000000003E-2</v>
      </c>
      <c r="F82" s="312">
        <v>95.06</v>
      </c>
      <c r="G82" s="313">
        <v>6.9100000000000009E-2</v>
      </c>
      <c r="H82" s="312">
        <v>98.36</v>
      </c>
      <c r="I82" s="313">
        <v>7.2900000000000006E-2</v>
      </c>
    </row>
    <row r="83" spans="1:9" x14ac:dyDescent="0.35">
      <c r="A83" s="265">
        <v>44676</v>
      </c>
      <c r="B83" s="282">
        <v>95.850000000000009</v>
      </c>
      <c r="C83" s="283">
        <v>6.1100000000000002E-2</v>
      </c>
      <c r="D83" s="282">
        <v>96.03</v>
      </c>
      <c r="E83" s="283">
        <v>6.9400000000000003E-2</v>
      </c>
      <c r="F83" s="282">
        <v>94.38000000000001</v>
      </c>
      <c r="G83" s="283">
        <v>6.9800000000000001E-2</v>
      </c>
      <c r="H83" s="282">
        <v>98.38000000000001</v>
      </c>
      <c r="I83" s="283">
        <v>7.2800000000000004E-2</v>
      </c>
    </row>
    <row r="84" spans="1:9" x14ac:dyDescent="0.35">
      <c r="A84" s="265">
        <v>44677</v>
      </c>
      <c r="B84" s="282">
        <v>95.850000000000009</v>
      </c>
      <c r="C84" s="283">
        <v>6.1100000000000002E-2</v>
      </c>
      <c r="D84" s="282">
        <v>96.02000000000001</v>
      </c>
      <c r="E84" s="283">
        <v>6.9400000000000003E-2</v>
      </c>
      <c r="F84" s="282">
        <v>94.38000000000001</v>
      </c>
      <c r="G84" s="283">
        <v>6.9800000000000001E-2</v>
      </c>
      <c r="H84" s="282">
        <v>98.38000000000001</v>
      </c>
      <c r="I84" s="283">
        <v>7.2800000000000004E-2</v>
      </c>
    </row>
    <row r="85" spans="1:9" x14ac:dyDescent="0.35">
      <c r="A85" s="265">
        <v>44678</v>
      </c>
      <c r="B85" s="282">
        <v>95.570000000000007</v>
      </c>
      <c r="C85" s="283">
        <v>6.1800000000000001E-2</v>
      </c>
      <c r="D85" s="282">
        <v>96.31</v>
      </c>
      <c r="E85" s="283">
        <v>6.9000000000000006E-2</v>
      </c>
      <c r="F85" s="282">
        <v>94.37</v>
      </c>
      <c r="G85" s="283">
        <v>6.9900000000000004E-2</v>
      </c>
      <c r="H85" s="282">
        <v>98.39</v>
      </c>
      <c r="I85" s="283">
        <v>7.2800000000000004E-2</v>
      </c>
    </row>
    <row r="86" spans="1:9" x14ac:dyDescent="0.35">
      <c r="A86" s="265">
        <v>44679</v>
      </c>
      <c r="B86" s="282">
        <v>95.67</v>
      </c>
      <c r="C86" s="283">
        <v>6.1600000000000002E-2</v>
      </c>
      <c r="D86" s="282">
        <v>96.45</v>
      </c>
      <c r="E86" s="283">
        <v>6.88E-2</v>
      </c>
      <c r="F86" s="282">
        <v>94.36</v>
      </c>
      <c r="G86" s="283">
        <v>6.9900000000000004E-2</v>
      </c>
      <c r="H86" s="282">
        <v>98.39</v>
      </c>
      <c r="I86" s="283">
        <v>7.2800000000000004E-2</v>
      </c>
    </row>
    <row r="87" spans="1:9" x14ac:dyDescent="0.35">
      <c r="A87" s="309">
        <v>44690</v>
      </c>
      <c r="B87" s="310">
        <v>94.9</v>
      </c>
      <c r="C87" s="311">
        <v>6.3500000000000001E-2</v>
      </c>
      <c r="D87" s="310">
        <v>95.72</v>
      </c>
      <c r="E87" s="311">
        <v>6.9800000000000001E-2</v>
      </c>
      <c r="F87" s="310">
        <v>93.4</v>
      </c>
      <c r="G87" s="311">
        <v>7.1000000000000008E-2</v>
      </c>
      <c r="H87" s="310">
        <v>97.79</v>
      </c>
      <c r="I87" s="311">
        <v>7.3400000000000007E-2</v>
      </c>
    </row>
    <row r="88" spans="1:9" x14ac:dyDescent="0.35">
      <c r="A88" s="309">
        <v>44691</v>
      </c>
      <c r="B88" s="310">
        <v>94.22</v>
      </c>
      <c r="C88" s="311">
        <v>6.5200000000000008E-2</v>
      </c>
      <c r="D88" s="310">
        <v>94.39</v>
      </c>
      <c r="E88" s="311">
        <v>7.1800000000000003E-2</v>
      </c>
      <c r="F88" s="310">
        <v>91.92</v>
      </c>
      <c r="G88" s="311">
        <v>7.2700000000000001E-2</v>
      </c>
      <c r="H88" s="310">
        <v>96.48</v>
      </c>
      <c r="I88" s="311">
        <v>7.4700000000000003E-2</v>
      </c>
    </row>
    <row r="89" spans="1:9" x14ac:dyDescent="0.35">
      <c r="A89" s="309">
        <v>44692</v>
      </c>
      <c r="B89" s="310">
        <v>93.58</v>
      </c>
      <c r="C89" s="311">
        <v>6.6799999999999998E-2</v>
      </c>
      <c r="D89" s="310">
        <v>93.68</v>
      </c>
      <c r="E89" s="311">
        <v>7.2800000000000004E-2</v>
      </c>
      <c r="F89" s="310">
        <v>91.59</v>
      </c>
      <c r="G89" s="311">
        <v>7.3000000000000009E-2</v>
      </c>
      <c r="H89" s="310">
        <v>95.79</v>
      </c>
      <c r="I89" s="311">
        <v>7.5400000000000009E-2</v>
      </c>
    </row>
    <row r="90" spans="1:9" x14ac:dyDescent="0.35">
      <c r="A90" s="309">
        <v>44693</v>
      </c>
      <c r="B90" s="310">
        <v>93.58</v>
      </c>
      <c r="C90" s="311">
        <v>6.6799999999999998E-2</v>
      </c>
      <c r="D90" s="310">
        <v>94.050000000000011</v>
      </c>
      <c r="E90" s="311">
        <v>7.2300000000000003E-2</v>
      </c>
      <c r="F90" s="310">
        <v>91.65</v>
      </c>
      <c r="G90" s="311">
        <v>7.3000000000000009E-2</v>
      </c>
      <c r="H90" s="310">
        <v>96.100000000000009</v>
      </c>
      <c r="I90" s="311">
        <v>7.51E-2</v>
      </c>
    </row>
    <row r="91" spans="1:9" x14ac:dyDescent="0.35">
      <c r="A91" s="309">
        <v>44694</v>
      </c>
      <c r="B91" s="310">
        <v>93.77000000000001</v>
      </c>
      <c r="C91" s="311">
        <v>6.6299999999999998E-2</v>
      </c>
      <c r="D91" s="310">
        <v>94.070000000000007</v>
      </c>
      <c r="E91" s="311">
        <v>7.2300000000000003E-2</v>
      </c>
      <c r="F91" s="310">
        <v>91.08</v>
      </c>
      <c r="G91" s="311">
        <v>7.3599999999999999E-2</v>
      </c>
      <c r="H91" s="310">
        <v>96.06</v>
      </c>
      <c r="I91" s="311">
        <v>7.51E-2</v>
      </c>
    </row>
    <row r="92" spans="1:9" x14ac:dyDescent="0.35">
      <c r="A92" s="265">
        <v>44698</v>
      </c>
      <c r="B92" s="307">
        <v>93.98</v>
      </c>
      <c r="C92" s="308">
        <v>6.5799999999999997E-2</v>
      </c>
      <c r="D92" s="307">
        <v>94.17</v>
      </c>
      <c r="E92" s="308">
        <v>7.2099999999999997E-2</v>
      </c>
      <c r="F92" s="307">
        <v>90.31</v>
      </c>
      <c r="G92" s="308">
        <v>7.46E-2</v>
      </c>
      <c r="H92" s="307">
        <v>96.190000000000012</v>
      </c>
      <c r="I92" s="308">
        <v>7.4999999999999997E-2</v>
      </c>
    </row>
    <row r="93" spans="1:9" x14ac:dyDescent="0.35">
      <c r="A93" s="265">
        <v>44699</v>
      </c>
      <c r="B93" s="307">
        <v>94.14</v>
      </c>
      <c r="C93" s="308">
        <v>6.54E-2</v>
      </c>
      <c r="D93" s="307">
        <v>94.43</v>
      </c>
      <c r="E93" s="308">
        <v>7.17E-2</v>
      </c>
      <c r="F93" s="307">
        <v>90.23</v>
      </c>
      <c r="G93" s="308">
        <v>7.4700000000000003E-2</v>
      </c>
      <c r="H93" s="307">
        <v>96.7</v>
      </c>
      <c r="I93" s="308">
        <v>7.4499999999999997E-2</v>
      </c>
    </row>
    <row r="94" spans="1:9" x14ac:dyDescent="0.35">
      <c r="A94" s="265">
        <v>44700</v>
      </c>
      <c r="B94" s="307">
        <v>94.4</v>
      </c>
      <c r="C94" s="308">
        <v>6.4799999999999996E-2</v>
      </c>
      <c r="D94" s="307">
        <v>94.45</v>
      </c>
      <c r="E94" s="308">
        <v>7.17E-2</v>
      </c>
      <c r="F94" s="307">
        <v>90.210000000000008</v>
      </c>
      <c r="G94" s="308">
        <v>7.4700000000000003E-2</v>
      </c>
      <c r="H94" s="307">
        <v>96.740000000000009</v>
      </c>
      <c r="I94" s="308">
        <v>7.4400000000000008E-2</v>
      </c>
    </row>
    <row r="95" spans="1:9" x14ac:dyDescent="0.35">
      <c r="A95" s="265">
        <v>44701</v>
      </c>
      <c r="B95" s="307">
        <v>95.31</v>
      </c>
      <c r="C95" s="308">
        <v>6.25E-2</v>
      </c>
      <c r="D95" s="307">
        <v>94.72</v>
      </c>
      <c r="E95" s="308">
        <v>7.1300000000000002E-2</v>
      </c>
      <c r="F95" s="307">
        <v>90.68</v>
      </c>
      <c r="G95" s="308">
        <v>7.4099999999999999E-2</v>
      </c>
      <c r="H95" s="307">
        <v>96.83</v>
      </c>
      <c r="I95" s="308">
        <v>7.4400000000000008E-2</v>
      </c>
    </row>
    <row r="96" spans="1:9" x14ac:dyDescent="0.35">
      <c r="A96" s="293">
        <v>44704</v>
      </c>
      <c r="B96" s="312">
        <v>95.89</v>
      </c>
      <c r="C96" s="313">
        <v>6.1100000000000002E-2</v>
      </c>
      <c r="D96" s="312">
        <v>95.27000000000001</v>
      </c>
      <c r="E96" s="313">
        <v>7.0500000000000007E-2</v>
      </c>
      <c r="F96" s="312">
        <v>91.04</v>
      </c>
      <c r="G96" s="313">
        <v>7.3700000000000002E-2</v>
      </c>
      <c r="H96" s="312">
        <v>98.12</v>
      </c>
      <c r="I96" s="313">
        <v>7.3099999999999998E-2</v>
      </c>
    </row>
    <row r="97" spans="1:9" x14ac:dyDescent="0.35">
      <c r="A97" s="293">
        <v>44705</v>
      </c>
      <c r="B97" s="312">
        <v>95.89</v>
      </c>
      <c r="C97" s="313">
        <v>6.1100000000000002E-2</v>
      </c>
      <c r="D97" s="312">
        <v>95.23</v>
      </c>
      <c r="E97" s="313">
        <v>7.0599999999999996E-2</v>
      </c>
      <c r="F97" s="312">
        <v>91.68</v>
      </c>
      <c r="G97" s="313">
        <v>7.3000000000000009E-2</v>
      </c>
      <c r="H97" s="312">
        <v>98.45</v>
      </c>
      <c r="I97" s="313">
        <v>7.2800000000000004E-2</v>
      </c>
    </row>
    <row r="98" spans="1:9" x14ac:dyDescent="0.35">
      <c r="A98" s="293">
        <v>44706</v>
      </c>
      <c r="B98" s="312">
        <v>95.660000000000011</v>
      </c>
      <c r="C98" s="313">
        <v>6.1700000000000005E-2</v>
      </c>
      <c r="D98" s="312">
        <v>95.09</v>
      </c>
      <c r="E98" s="313">
        <v>7.0800000000000002E-2</v>
      </c>
      <c r="F98" s="312">
        <v>91.47</v>
      </c>
      <c r="G98" s="313">
        <v>7.3200000000000001E-2</v>
      </c>
      <c r="H98" s="312">
        <v>97.86</v>
      </c>
      <c r="I98" s="313">
        <v>7.3300000000000004E-2</v>
      </c>
    </row>
    <row r="99" spans="1:9" x14ac:dyDescent="0.35">
      <c r="A99" s="293">
        <v>44708</v>
      </c>
      <c r="B99" s="312">
        <v>96.08</v>
      </c>
      <c r="C99" s="313">
        <v>6.0700000000000004E-2</v>
      </c>
      <c r="D99" s="312">
        <v>95.67</v>
      </c>
      <c r="E99" s="313">
        <v>6.9900000000000004E-2</v>
      </c>
      <c r="F99" s="312">
        <v>91.78</v>
      </c>
      <c r="G99" s="313">
        <v>7.2800000000000004E-2</v>
      </c>
      <c r="H99" s="312">
        <v>98.09</v>
      </c>
      <c r="I99" s="313">
        <v>7.3099999999999998E-2</v>
      </c>
    </row>
    <row r="100" spans="1:9" x14ac:dyDescent="0.35">
      <c r="A100" s="265">
        <v>44711</v>
      </c>
      <c r="B100" s="307">
        <v>96.11</v>
      </c>
      <c r="C100" s="308">
        <v>6.0600000000000001E-2</v>
      </c>
      <c r="D100" s="307">
        <v>96.01</v>
      </c>
      <c r="E100" s="308">
        <v>6.9400000000000003E-2</v>
      </c>
      <c r="F100" s="307">
        <v>91.95</v>
      </c>
      <c r="G100" s="308">
        <v>7.2599999999999998E-2</v>
      </c>
      <c r="H100" s="307">
        <v>98.08</v>
      </c>
      <c r="I100" s="308">
        <v>7.3099999999999998E-2</v>
      </c>
    </row>
    <row r="101" spans="1:9" x14ac:dyDescent="0.35">
      <c r="A101" s="265">
        <v>44712</v>
      </c>
      <c r="B101" s="307">
        <v>96.160000000000011</v>
      </c>
      <c r="C101" s="308">
        <v>6.0500000000000005E-2</v>
      </c>
      <c r="D101" s="307">
        <v>95.86</v>
      </c>
      <c r="E101" s="308">
        <v>6.9699999999999998E-2</v>
      </c>
      <c r="F101" s="307">
        <v>91.800000000000011</v>
      </c>
      <c r="G101" s="308">
        <v>7.2800000000000004E-2</v>
      </c>
      <c r="H101" s="307">
        <v>97.77000000000001</v>
      </c>
      <c r="I101" s="308">
        <v>7.3400000000000007E-2</v>
      </c>
    </row>
    <row r="102" spans="1:9" x14ac:dyDescent="0.35">
      <c r="A102" s="265">
        <v>44714</v>
      </c>
      <c r="B102" s="307">
        <v>96.2</v>
      </c>
      <c r="C102" s="308">
        <v>6.0400000000000002E-2</v>
      </c>
      <c r="D102" s="307">
        <v>95.9</v>
      </c>
      <c r="E102" s="308">
        <v>6.9600000000000009E-2</v>
      </c>
      <c r="F102" s="307">
        <v>91.78</v>
      </c>
      <c r="G102" s="308">
        <v>7.2800000000000004E-2</v>
      </c>
      <c r="H102" s="307">
        <v>97.92</v>
      </c>
      <c r="I102" s="308">
        <v>7.3300000000000004E-2</v>
      </c>
    </row>
    <row r="103" spans="1:9" x14ac:dyDescent="0.35">
      <c r="A103" s="265">
        <v>44715</v>
      </c>
      <c r="B103" s="307">
        <v>96.660000000000011</v>
      </c>
      <c r="C103" s="308">
        <v>5.9300000000000005E-2</v>
      </c>
      <c r="D103" s="307">
        <v>96.54</v>
      </c>
      <c r="E103" s="308">
        <v>6.8699999999999997E-2</v>
      </c>
      <c r="F103" s="307">
        <v>92.160000000000011</v>
      </c>
      <c r="G103" s="308">
        <v>7.2400000000000006E-2</v>
      </c>
      <c r="H103" s="307">
        <v>98.42</v>
      </c>
      <c r="I103" s="308">
        <v>7.2800000000000004E-2</v>
      </c>
    </row>
    <row r="104" spans="1:9" x14ac:dyDescent="0.35">
      <c r="A104" s="293">
        <v>44718</v>
      </c>
      <c r="B104" s="312">
        <v>96.570000000000007</v>
      </c>
      <c r="C104" s="313">
        <v>5.9500000000000004E-2</v>
      </c>
      <c r="D104" s="312">
        <v>96.600000000000009</v>
      </c>
      <c r="E104" s="313">
        <v>6.8600000000000008E-2</v>
      </c>
      <c r="F104" s="312">
        <v>92.92</v>
      </c>
      <c r="G104" s="313">
        <v>7.1500000000000008E-2</v>
      </c>
      <c r="H104" s="312">
        <v>98.72</v>
      </c>
      <c r="I104" s="313">
        <v>7.2500000000000009E-2</v>
      </c>
    </row>
    <row r="105" spans="1:9" x14ac:dyDescent="0.35">
      <c r="A105" s="293">
        <v>44719</v>
      </c>
      <c r="B105" s="312">
        <v>96.440000000000012</v>
      </c>
      <c r="C105" s="313">
        <v>5.9800000000000006E-2</v>
      </c>
      <c r="D105" s="312">
        <v>96.04</v>
      </c>
      <c r="E105" s="313">
        <v>6.9400000000000003E-2</v>
      </c>
      <c r="F105" s="312">
        <v>92.660000000000011</v>
      </c>
      <c r="G105" s="313">
        <v>7.1800000000000003E-2</v>
      </c>
      <c r="H105" s="312">
        <v>98.22</v>
      </c>
      <c r="I105" s="313">
        <v>7.3000000000000009E-2</v>
      </c>
    </row>
    <row r="106" spans="1:9" x14ac:dyDescent="0.35">
      <c r="A106" s="293">
        <v>44720</v>
      </c>
      <c r="B106" s="312">
        <v>96.26</v>
      </c>
      <c r="C106" s="313">
        <v>6.0299999999999999E-2</v>
      </c>
      <c r="D106" s="312">
        <v>95.740000000000009</v>
      </c>
      <c r="E106" s="313">
        <v>6.9800000000000001E-2</v>
      </c>
      <c r="F106" s="312">
        <v>92.460000000000008</v>
      </c>
      <c r="G106" s="313">
        <v>7.2099999999999997E-2</v>
      </c>
      <c r="H106" s="312">
        <v>98.12</v>
      </c>
      <c r="I106" s="313">
        <v>7.3099999999999998E-2</v>
      </c>
    </row>
    <row r="107" spans="1:9" x14ac:dyDescent="0.35">
      <c r="A107" s="293">
        <v>44721</v>
      </c>
      <c r="B107" s="312">
        <v>95.73</v>
      </c>
      <c r="C107" s="313">
        <v>6.1600000000000002E-2</v>
      </c>
      <c r="D107" s="312">
        <v>94.740000000000009</v>
      </c>
      <c r="E107" s="313">
        <v>7.1300000000000002E-2</v>
      </c>
      <c r="F107" s="312">
        <v>91.990000000000009</v>
      </c>
      <c r="G107" s="313">
        <v>7.2599999999999998E-2</v>
      </c>
      <c r="H107" s="312">
        <v>97.63000000000001</v>
      </c>
      <c r="I107" s="313">
        <v>7.3599999999999999E-2</v>
      </c>
    </row>
    <row r="108" spans="1:9" x14ac:dyDescent="0.35">
      <c r="A108" s="293">
        <v>44722</v>
      </c>
      <c r="B108" s="312">
        <v>95.710000000000008</v>
      </c>
      <c r="C108" s="313">
        <v>6.1700000000000005E-2</v>
      </c>
      <c r="D108" s="312">
        <v>94.990000000000009</v>
      </c>
      <c r="E108" s="313">
        <v>7.0900000000000005E-2</v>
      </c>
      <c r="F108" s="312">
        <v>91.75</v>
      </c>
      <c r="G108" s="313">
        <v>7.2900000000000006E-2</v>
      </c>
      <c r="H108" s="312">
        <v>97.940000000000012</v>
      </c>
      <c r="I108" s="313">
        <v>7.3300000000000004E-2</v>
      </c>
    </row>
    <row r="109" spans="1:9" x14ac:dyDescent="0.35">
      <c r="A109" s="265">
        <v>44725</v>
      </c>
      <c r="B109" s="282">
        <v>94.78</v>
      </c>
      <c r="C109" s="283">
        <v>6.4000000000000001E-2</v>
      </c>
      <c r="D109" s="282">
        <v>94.43</v>
      </c>
      <c r="E109" s="283">
        <v>7.1800000000000003E-2</v>
      </c>
      <c r="F109" s="282">
        <v>91.58</v>
      </c>
      <c r="G109" s="283">
        <v>7.3099999999999998E-2</v>
      </c>
      <c r="H109" s="282">
        <v>97.01</v>
      </c>
      <c r="I109" s="283">
        <v>7.4200000000000002E-2</v>
      </c>
    </row>
    <row r="110" spans="1:9" x14ac:dyDescent="0.35">
      <c r="A110" s="265">
        <v>44726</v>
      </c>
      <c r="B110" s="282">
        <v>94.13000000000001</v>
      </c>
      <c r="C110" s="283">
        <v>6.5700000000000008E-2</v>
      </c>
      <c r="D110" s="282">
        <v>93.490000000000009</v>
      </c>
      <c r="E110" s="283">
        <v>7.3200000000000001E-2</v>
      </c>
      <c r="F110" s="282">
        <v>89.39</v>
      </c>
      <c r="G110" s="283">
        <v>7.5700000000000003E-2</v>
      </c>
      <c r="H110" s="282">
        <v>96.690000000000012</v>
      </c>
      <c r="I110" s="283">
        <v>7.4499999999999997E-2</v>
      </c>
    </row>
    <row r="111" spans="1:9" x14ac:dyDescent="0.35">
      <c r="A111" s="265">
        <v>44727</v>
      </c>
      <c r="B111" s="282">
        <v>94.45</v>
      </c>
      <c r="C111" s="283">
        <v>6.4799999999999996E-2</v>
      </c>
      <c r="D111" s="282">
        <v>93.84</v>
      </c>
      <c r="E111" s="283">
        <v>7.2700000000000001E-2</v>
      </c>
      <c r="F111" s="282">
        <v>89.83</v>
      </c>
      <c r="G111" s="283">
        <v>7.5200000000000003E-2</v>
      </c>
      <c r="H111" s="282">
        <v>97.25</v>
      </c>
      <c r="I111" s="283">
        <v>7.3999999999999996E-2</v>
      </c>
    </row>
    <row r="112" spans="1:9" x14ac:dyDescent="0.35">
      <c r="A112" s="265">
        <v>44728</v>
      </c>
      <c r="B112" s="282">
        <v>95</v>
      </c>
      <c r="C112" s="283">
        <v>6.3500000000000001E-2</v>
      </c>
      <c r="D112" s="282">
        <v>94.4</v>
      </c>
      <c r="E112" s="283">
        <v>7.1800000000000003E-2</v>
      </c>
      <c r="F112" s="282">
        <v>90.68</v>
      </c>
      <c r="G112" s="283">
        <v>7.4200000000000002E-2</v>
      </c>
      <c r="H112" s="282">
        <v>97.45</v>
      </c>
      <c r="I112" s="283">
        <v>7.3800000000000004E-2</v>
      </c>
    </row>
    <row r="113" spans="1:9" x14ac:dyDescent="0.35">
      <c r="A113" s="265">
        <v>44729</v>
      </c>
      <c r="B113" s="282">
        <v>94.61</v>
      </c>
      <c r="C113" s="283">
        <v>6.4500000000000002E-2</v>
      </c>
      <c r="D113" s="282">
        <v>93.79</v>
      </c>
      <c r="E113" s="283">
        <v>7.2700000000000001E-2</v>
      </c>
      <c r="F113" s="282">
        <v>90.690000000000012</v>
      </c>
      <c r="G113" s="283">
        <v>7.4200000000000002E-2</v>
      </c>
      <c r="H113" s="282">
        <v>97.72</v>
      </c>
      <c r="I113" s="283">
        <v>7.350000000000001E-2</v>
      </c>
    </row>
    <row r="114" spans="1:9" x14ac:dyDescent="0.35">
      <c r="A114" s="293">
        <v>44732</v>
      </c>
      <c r="B114" s="312">
        <v>94.440000000000012</v>
      </c>
      <c r="C114" s="313">
        <v>6.4899999999999999E-2</v>
      </c>
      <c r="D114" s="312">
        <v>93.570000000000007</v>
      </c>
      <c r="E114" s="313">
        <v>7.3099999999999998E-2</v>
      </c>
      <c r="F114" s="312">
        <v>90.800000000000011</v>
      </c>
      <c r="G114" s="313">
        <v>7.3999999999999996E-2</v>
      </c>
      <c r="H114" s="312">
        <v>97.4</v>
      </c>
      <c r="I114" s="313">
        <v>7.3800000000000004E-2</v>
      </c>
    </row>
    <row r="115" spans="1:9" x14ac:dyDescent="0.35">
      <c r="A115" s="293">
        <v>44733</v>
      </c>
      <c r="B115" s="312">
        <v>94.06</v>
      </c>
      <c r="C115" s="313">
        <v>6.59E-2</v>
      </c>
      <c r="D115" s="312">
        <v>93.29</v>
      </c>
      <c r="E115" s="313">
        <v>7.350000000000001E-2</v>
      </c>
      <c r="F115" s="312">
        <v>90.210000000000008</v>
      </c>
      <c r="G115" s="313">
        <v>7.4700000000000003E-2</v>
      </c>
      <c r="H115" s="312">
        <v>96.67</v>
      </c>
      <c r="I115" s="313">
        <v>7.4499999999999997E-2</v>
      </c>
    </row>
    <row r="116" spans="1:9" x14ac:dyDescent="0.35">
      <c r="A116" s="293">
        <v>44734</v>
      </c>
      <c r="B116" s="312">
        <v>94.23</v>
      </c>
      <c r="C116" s="313">
        <v>6.5500000000000003E-2</v>
      </c>
      <c r="D116" s="312">
        <v>93.55</v>
      </c>
      <c r="E116" s="313">
        <v>7.3099999999999998E-2</v>
      </c>
      <c r="F116" s="312">
        <v>91.4</v>
      </c>
      <c r="G116" s="313">
        <v>7.3300000000000004E-2</v>
      </c>
      <c r="H116" s="312">
        <v>98.4</v>
      </c>
      <c r="I116" s="313">
        <v>7.2800000000000004E-2</v>
      </c>
    </row>
    <row r="117" spans="1:9" x14ac:dyDescent="0.35">
      <c r="A117" s="293">
        <v>44735</v>
      </c>
      <c r="B117" s="312">
        <v>94.72</v>
      </c>
      <c r="C117" s="313">
        <v>6.4200000000000007E-2</v>
      </c>
      <c r="D117" s="312">
        <v>93.88000000000001</v>
      </c>
      <c r="E117" s="313">
        <v>7.2599999999999998E-2</v>
      </c>
      <c r="F117" s="312">
        <v>91.98</v>
      </c>
      <c r="G117" s="313">
        <v>7.2599999999999998E-2</v>
      </c>
      <c r="H117" s="312">
        <v>98.58</v>
      </c>
      <c r="I117" s="313">
        <v>7.2700000000000001E-2</v>
      </c>
    </row>
    <row r="118" spans="1:9" x14ac:dyDescent="0.35">
      <c r="A118" s="293">
        <v>44736</v>
      </c>
      <c r="B118" s="312">
        <v>95.070000000000007</v>
      </c>
      <c r="C118" s="313">
        <v>6.3300000000000009E-2</v>
      </c>
      <c r="D118" s="312">
        <v>94.36</v>
      </c>
      <c r="E118" s="313">
        <v>7.1900000000000006E-2</v>
      </c>
      <c r="F118" s="312">
        <v>92.15</v>
      </c>
      <c r="G118" s="313">
        <v>7.2400000000000006E-2</v>
      </c>
      <c r="H118" s="312">
        <v>98.73</v>
      </c>
      <c r="I118" s="313">
        <v>7.2500000000000009E-2</v>
      </c>
    </row>
    <row r="119" spans="1:9" x14ac:dyDescent="0.35">
      <c r="A119" s="265">
        <v>44739</v>
      </c>
      <c r="B119" s="307">
        <v>95.34</v>
      </c>
      <c r="C119" s="308">
        <v>6.2700000000000006E-2</v>
      </c>
      <c r="D119" s="307">
        <v>94.800000000000011</v>
      </c>
      <c r="E119" s="308">
        <v>7.1199999999999999E-2</v>
      </c>
      <c r="F119" s="307">
        <v>92.56</v>
      </c>
      <c r="G119" s="308">
        <v>7.2000000000000008E-2</v>
      </c>
      <c r="H119" s="307">
        <v>98.56</v>
      </c>
      <c r="I119" s="308">
        <v>7.2700000000000001E-2</v>
      </c>
    </row>
    <row r="120" spans="1:9" x14ac:dyDescent="0.35">
      <c r="A120" s="265">
        <v>44740</v>
      </c>
      <c r="B120" s="307">
        <v>95.52000000000001</v>
      </c>
      <c r="C120" s="308">
        <v>6.2200000000000005E-2</v>
      </c>
      <c r="D120" s="307">
        <v>94.570000000000007</v>
      </c>
      <c r="E120" s="308">
        <v>7.1599999999999997E-2</v>
      </c>
      <c r="F120" s="307">
        <v>92.160000000000011</v>
      </c>
      <c r="G120" s="308">
        <v>7.2400000000000006E-2</v>
      </c>
      <c r="H120" s="307">
        <v>98.660000000000011</v>
      </c>
      <c r="I120" s="308">
        <v>7.2599999999999998E-2</v>
      </c>
    </row>
    <row r="121" spans="1:9" x14ac:dyDescent="0.35">
      <c r="A121" s="265">
        <v>44741</v>
      </c>
      <c r="B121" s="307">
        <v>95.990000000000009</v>
      </c>
      <c r="C121" s="308">
        <v>6.1100000000000002E-2</v>
      </c>
      <c r="D121" s="307">
        <v>94.51</v>
      </c>
      <c r="E121" s="308">
        <v>7.17E-2</v>
      </c>
      <c r="F121" s="307">
        <v>91.79</v>
      </c>
      <c r="G121" s="308">
        <v>7.2900000000000006E-2</v>
      </c>
      <c r="H121" s="307">
        <v>98.65</v>
      </c>
      <c r="I121" s="308">
        <v>7.2599999999999998E-2</v>
      </c>
    </row>
    <row r="122" spans="1:9" x14ac:dyDescent="0.35">
      <c r="A122" s="265">
        <v>44742</v>
      </c>
      <c r="B122" s="307">
        <v>96.300000000000011</v>
      </c>
      <c r="C122" s="308">
        <v>6.0299999999999999E-2</v>
      </c>
      <c r="D122" s="307">
        <v>95</v>
      </c>
      <c r="E122" s="308">
        <v>7.1000000000000008E-2</v>
      </c>
      <c r="F122" s="307">
        <v>91.910000000000011</v>
      </c>
      <c r="G122" s="308">
        <v>7.2700000000000001E-2</v>
      </c>
      <c r="H122" s="307">
        <v>98.89</v>
      </c>
      <c r="I122" s="308">
        <v>7.2400000000000006E-2</v>
      </c>
    </row>
    <row r="123" spans="1:9" x14ac:dyDescent="0.35">
      <c r="A123" s="265">
        <v>44743</v>
      </c>
      <c r="B123" s="307">
        <v>96.27000000000001</v>
      </c>
      <c r="C123" s="308">
        <v>6.0400000000000002E-2</v>
      </c>
      <c r="D123" s="307">
        <v>94.990000000000009</v>
      </c>
      <c r="E123" s="308">
        <v>7.1000000000000008E-2</v>
      </c>
      <c r="F123" s="307">
        <v>91.89</v>
      </c>
      <c r="G123" s="308">
        <v>7.2800000000000004E-2</v>
      </c>
      <c r="H123" s="307">
        <v>98.84</v>
      </c>
      <c r="I123" s="308">
        <v>7.2400000000000006E-2</v>
      </c>
    </row>
    <row r="124" spans="1:9" x14ac:dyDescent="0.35">
      <c r="A124" s="293">
        <v>44746</v>
      </c>
      <c r="B124" s="312">
        <v>96.26</v>
      </c>
      <c r="C124" s="313">
        <v>6.0400000000000002E-2</v>
      </c>
      <c r="D124" s="312">
        <v>94.78</v>
      </c>
      <c r="E124" s="313">
        <v>7.1300000000000002E-2</v>
      </c>
      <c r="F124" s="312">
        <v>91.92</v>
      </c>
      <c r="G124" s="313">
        <v>7.2700000000000001E-2</v>
      </c>
      <c r="H124" s="312">
        <v>98.660000000000011</v>
      </c>
      <c r="I124" s="313">
        <v>7.2599999999999998E-2</v>
      </c>
    </row>
    <row r="125" spans="1:9" x14ac:dyDescent="0.35">
      <c r="A125" s="293">
        <v>44747</v>
      </c>
      <c r="B125" s="312">
        <v>96.01</v>
      </c>
      <c r="C125" s="313">
        <v>6.1000000000000006E-2</v>
      </c>
      <c r="D125" s="312">
        <v>94.490000000000009</v>
      </c>
      <c r="E125" s="313">
        <v>7.17E-2</v>
      </c>
      <c r="F125" s="312">
        <v>91.81</v>
      </c>
      <c r="G125" s="313">
        <v>7.2900000000000006E-2</v>
      </c>
      <c r="H125" s="312">
        <v>98.58</v>
      </c>
      <c r="I125" s="313">
        <v>7.2700000000000001E-2</v>
      </c>
    </row>
    <row r="126" spans="1:9" x14ac:dyDescent="0.35">
      <c r="A126" s="293">
        <v>44748</v>
      </c>
      <c r="B126" s="312">
        <v>96.03</v>
      </c>
      <c r="C126" s="313">
        <v>6.1000000000000006E-2</v>
      </c>
      <c r="D126" s="312">
        <v>94.4</v>
      </c>
      <c r="E126" s="313">
        <v>7.1900000000000006E-2</v>
      </c>
      <c r="F126" s="312">
        <v>91.5</v>
      </c>
      <c r="G126" s="313">
        <v>7.3200000000000001E-2</v>
      </c>
      <c r="H126" s="312">
        <v>98.01</v>
      </c>
      <c r="I126" s="313">
        <v>7.3200000000000001E-2</v>
      </c>
    </row>
    <row r="127" spans="1:9" x14ac:dyDescent="0.35">
      <c r="A127" s="293">
        <v>44749</v>
      </c>
      <c r="B127" s="312">
        <v>96.03</v>
      </c>
      <c r="C127" s="313">
        <v>6.1000000000000006E-2</v>
      </c>
      <c r="D127" s="312">
        <v>94.4</v>
      </c>
      <c r="E127" s="313">
        <v>7.1900000000000006E-2</v>
      </c>
      <c r="F127" s="312">
        <v>91.5</v>
      </c>
      <c r="G127" s="313">
        <v>7.3200000000000001E-2</v>
      </c>
      <c r="H127" s="312">
        <v>98.01</v>
      </c>
      <c r="I127" s="313">
        <v>7.3200000000000001E-2</v>
      </c>
    </row>
    <row r="128" spans="1:9" x14ac:dyDescent="0.35">
      <c r="A128" s="293">
        <v>44750</v>
      </c>
      <c r="B128" s="312">
        <v>96.03</v>
      </c>
      <c r="C128" s="313">
        <v>6.1000000000000006E-2</v>
      </c>
      <c r="D128" s="312">
        <v>94.4</v>
      </c>
      <c r="E128" s="313">
        <v>7.1900000000000006E-2</v>
      </c>
      <c r="F128" s="312">
        <v>91.5</v>
      </c>
      <c r="G128" s="313">
        <v>7.3200000000000001E-2</v>
      </c>
      <c r="H128" s="312">
        <v>98.01</v>
      </c>
      <c r="I128" s="313">
        <v>7.3200000000000001E-2</v>
      </c>
    </row>
    <row r="129" spans="1:9" x14ac:dyDescent="0.35">
      <c r="A129" s="265">
        <v>44753</v>
      </c>
      <c r="B129" s="307">
        <v>95.98</v>
      </c>
      <c r="C129" s="308">
        <v>6.1100000000000002E-2</v>
      </c>
      <c r="D129" s="307">
        <v>94.59</v>
      </c>
      <c r="E129" s="308">
        <v>7.1599999999999997E-2</v>
      </c>
      <c r="F129" s="307">
        <v>91.910000000000011</v>
      </c>
      <c r="G129" s="308">
        <v>7.2700000000000001E-2</v>
      </c>
      <c r="H129" s="307">
        <v>97.440000000000012</v>
      </c>
      <c r="I129" s="308">
        <v>7.3800000000000004E-2</v>
      </c>
    </row>
    <row r="130" spans="1:9" x14ac:dyDescent="0.35">
      <c r="A130" s="265">
        <v>44754</v>
      </c>
      <c r="B130" s="307">
        <v>95.910000000000011</v>
      </c>
      <c r="C130" s="308">
        <v>6.13E-2</v>
      </c>
      <c r="D130" s="307">
        <v>94.550000000000011</v>
      </c>
      <c r="E130" s="308">
        <v>7.1599999999999997E-2</v>
      </c>
      <c r="F130" s="307">
        <v>91.88000000000001</v>
      </c>
      <c r="G130" s="308">
        <v>7.2800000000000004E-2</v>
      </c>
      <c r="H130" s="307">
        <v>97.600000000000009</v>
      </c>
      <c r="I130" s="308">
        <v>7.3599999999999999E-2</v>
      </c>
    </row>
    <row r="131" spans="1:9" x14ac:dyDescent="0.35">
      <c r="A131" s="265">
        <v>44755</v>
      </c>
      <c r="B131" s="307">
        <v>96.02000000000001</v>
      </c>
      <c r="C131" s="308">
        <v>6.1100000000000002E-2</v>
      </c>
      <c r="D131" s="307">
        <v>94.990000000000009</v>
      </c>
      <c r="E131" s="308">
        <v>7.1000000000000008E-2</v>
      </c>
      <c r="F131" s="307">
        <v>92.2</v>
      </c>
      <c r="G131" s="308">
        <v>7.2400000000000006E-2</v>
      </c>
      <c r="H131" s="307">
        <v>97.740000000000009</v>
      </c>
      <c r="I131" s="308">
        <v>7.350000000000001E-2</v>
      </c>
    </row>
    <row r="132" spans="1:9" x14ac:dyDescent="0.35">
      <c r="A132" s="265">
        <v>44756</v>
      </c>
      <c r="B132" s="307">
        <v>95.76</v>
      </c>
      <c r="C132" s="308">
        <v>6.1700000000000005E-2</v>
      </c>
      <c r="D132" s="307">
        <v>94.58</v>
      </c>
      <c r="E132" s="308">
        <v>7.1599999999999997E-2</v>
      </c>
      <c r="F132" s="307">
        <v>92.01</v>
      </c>
      <c r="G132" s="308">
        <v>7.2599999999999998E-2</v>
      </c>
      <c r="H132" s="307">
        <v>97.570000000000007</v>
      </c>
      <c r="I132" s="308">
        <v>7.3599999999999999E-2</v>
      </c>
    </row>
    <row r="133" spans="1:9" x14ac:dyDescent="0.35">
      <c r="A133" s="265">
        <v>44757</v>
      </c>
      <c r="B133" s="307">
        <v>95.38000000000001</v>
      </c>
      <c r="C133" s="308">
        <v>6.2700000000000006E-2</v>
      </c>
      <c r="D133" s="307">
        <v>94.12</v>
      </c>
      <c r="E133" s="308">
        <v>7.2300000000000003E-2</v>
      </c>
      <c r="F133" s="307">
        <v>91.75</v>
      </c>
      <c r="G133" s="308">
        <v>7.2900000000000006E-2</v>
      </c>
      <c r="H133" s="307">
        <v>96.910000000000011</v>
      </c>
      <c r="I133" s="308">
        <v>7.4300000000000005E-2</v>
      </c>
    </row>
    <row r="134" spans="1:9" x14ac:dyDescent="0.35">
      <c r="A134" s="293">
        <v>44760</v>
      </c>
      <c r="B134" s="312">
        <v>95.1</v>
      </c>
      <c r="C134" s="313">
        <v>6.3399999999999998E-2</v>
      </c>
      <c r="D134" s="312">
        <v>94.17</v>
      </c>
      <c r="E134" s="313">
        <v>7.22E-2</v>
      </c>
      <c r="F134" s="312">
        <v>91.72</v>
      </c>
      <c r="G134" s="313">
        <v>7.2999999999999995E-2</v>
      </c>
      <c r="H134" s="312">
        <v>96.39</v>
      </c>
      <c r="I134" s="313">
        <v>7.4800000000000005E-2</v>
      </c>
    </row>
    <row r="135" spans="1:9" x14ac:dyDescent="0.35">
      <c r="A135" s="293">
        <v>44761</v>
      </c>
      <c r="B135" s="312">
        <v>94.89</v>
      </c>
      <c r="C135" s="313">
        <v>6.4000000000000001E-2</v>
      </c>
      <c r="D135" s="312">
        <v>93.86</v>
      </c>
      <c r="E135" s="313">
        <v>7.2700000000000001E-2</v>
      </c>
      <c r="F135" s="312">
        <v>91.72</v>
      </c>
      <c r="G135" s="313">
        <v>7.3000000000000009E-2</v>
      </c>
      <c r="H135" s="312">
        <v>95.910000000000011</v>
      </c>
      <c r="I135" s="313">
        <v>7.5300000000000006E-2</v>
      </c>
    </row>
    <row r="136" spans="1:9" x14ac:dyDescent="0.35">
      <c r="A136" s="293">
        <v>44762</v>
      </c>
      <c r="B136" s="312">
        <v>94.320000000000007</v>
      </c>
      <c r="C136" s="313">
        <v>6.54E-2</v>
      </c>
      <c r="D136" s="312">
        <v>93.660000000000011</v>
      </c>
      <c r="E136" s="313">
        <v>7.3000000000000009E-2</v>
      </c>
      <c r="F136" s="312">
        <v>91.52000000000001</v>
      </c>
      <c r="G136" s="313">
        <v>7.3200000000000001E-2</v>
      </c>
      <c r="H136" s="312">
        <v>95.27000000000001</v>
      </c>
      <c r="I136" s="313">
        <v>7.5900000000000009E-2</v>
      </c>
    </row>
    <row r="137" spans="1:9" x14ac:dyDescent="0.35">
      <c r="A137" s="293">
        <v>44763</v>
      </c>
      <c r="B137" s="312">
        <v>94.18</v>
      </c>
      <c r="C137" s="313">
        <v>6.5799999999999997E-2</v>
      </c>
      <c r="D137" s="312">
        <v>93.64</v>
      </c>
      <c r="E137" s="313">
        <v>7.3000000000000009E-2</v>
      </c>
      <c r="F137" s="312">
        <v>91.800000000000011</v>
      </c>
      <c r="G137" s="313">
        <v>7.2900000000000006E-2</v>
      </c>
      <c r="H137" s="312">
        <v>95.22</v>
      </c>
      <c r="I137" s="313">
        <v>7.5999999999999998E-2</v>
      </c>
    </row>
    <row r="138" spans="1:9" x14ac:dyDescent="0.35">
      <c r="A138" s="293">
        <v>44764</v>
      </c>
      <c r="B138" s="312">
        <v>94.04</v>
      </c>
      <c r="C138" s="313">
        <v>6.6200000000000009E-2</v>
      </c>
      <c r="D138" s="312">
        <v>93.59</v>
      </c>
      <c r="E138" s="313">
        <v>7.3099999999999998E-2</v>
      </c>
      <c r="F138" s="312">
        <v>92.15</v>
      </c>
      <c r="G138" s="313">
        <v>7.2500000000000009E-2</v>
      </c>
      <c r="H138" s="312">
        <v>95.050000000000011</v>
      </c>
      <c r="I138" s="313">
        <v>7.6200000000000004E-2</v>
      </c>
    </row>
    <row r="139" spans="1:9" x14ac:dyDescent="0.35">
      <c r="A139" s="265">
        <v>44767</v>
      </c>
      <c r="B139" s="307">
        <v>94.09</v>
      </c>
      <c r="C139" s="308">
        <v>6.6100000000000006E-2</v>
      </c>
      <c r="D139" s="307">
        <v>93.87</v>
      </c>
      <c r="E139" s="308">
        <v>7.2700000000000001E-2</v>
      </c>
      <c r="F139" s="307">
        <v>92.06</v>
      </c>
      <c r="G139" s="308">
        <v>7.2599999999999998E-2</v>
      </c>
      <c r="H139" s="307">
        <v>95.43</v>
      </c>
      <c r="I139" s="308">
        <v>7.5800000000000006E-2</v>
      </c>
    </row>
    <row r="140" spans="1:9" x14ac:dyDescent="0.35">
      <c r="A140" s="265">
        <v>44768</v>
      </c>
      <c r="B140" s="307">
        <v>94.320000000000007</v>
      </c>
      <c r="C140" s="308">
        <v>6.5500000000000003E-2</v>
      </c>
      <c r="D140" s="307">
        <v>94.17</v>
      </c>
      <c r="E140" s="308">
        <v>7.22E-2</v>
      </c>
      <c r="F140" s="307">
        <v>92.62</v>
      </c>
      <c r="G140" s="308">
        <v>7.1900000000000006E-2</v>
      </c>
      <c r="H140" s="307">
        <v>96.070000000000007</v>
      </c>
      <c r="I140" s="308">
        <v>7.51E-2</v>
      </c>
    </row>
    <row r="141" spans="1:9" x14ac:dyDescent="0.35">
      <c r="A141" s="265">
        <v>44769</v>
      </c>
      <c r="B141" s="307">
        <v>94.28</v>
      </c>
      <c r="C141" s="308">
        <v>6.5600000000000006E-2</v>
      </c>
      <c r="D141" s="307">
        <v>93.98</v>
      </c>
      <c r="E141" s="308">
        <v>7.2500000000000009E-2</v>
      </c>
      <c r="F141" s="307">
        <v>92.86</v>
      </c>
      <c r="G141" s="308">
        <v>7.1599999999999997E-2</v>
      </c>
      <c r="H141" s="307">
        <v>96.36</v>
      </c>
      <c r="I141" s="308">
        <v>7.4800000000000005E-2</v>
      </c>
    </row>
    <row r="142" spans="1:9" x14ac:dyDescent="0.35">
      <c r="A142" s="265">
        <v>44770</v>
      </c>
      <c r="B142" s="307">
        <v>94.53</v>
      </c>
      <c r="C142" s="308">
        <v>6.4899999999999999E-2</v>
      </c>
      <c r="D142" s="307">
        <v>94.73</v>
      </c>
      <c r="E142" s="308">
        <v>7.1400000000000005E-2</v>
      </c>
      <c r="F142" s="307">
        <v>95.2</v>
      </c>
      <c r="G142" s="308">
        <v>6.9000000000000006E-2</v>
      </c>
      <c r="H142" s="307">
        <v>97.14</v>
      </c>
      <c r="I142" s="308">
        <v>7.4099999999999999E-2</v>
      </c>
    </row>
    <row r="143" spans="1:9" x14ac:dyDescent="0.35">
      <c r="A143" s="265">
        <v>44771</v>
      </c>
      <c r="B143" s="307">
        <v>94.97</v>
      </c>
      <c r="C143" s="308">
        <v>6.3800000000000009E-2</v>
      </c>
      <c r="D143" s="307">
        <v>95.490000000000009</v>
      </c>
      <c r="E143" s="308">
        <v>7.0300000000000001E-2</v>
      </c>
      <c r="F143" s="307">
        <v>96.23</v>
      </c>
      <c r="G143" s="308">
        <v>6.7799999999999999E-2</v>
      </c>
      <c r="H143" s="307">
        <v>99.800000000000011</v>
      </c>
      <c r="I143" s="308">
        <v>7.1500000000000008E-2</v>
      </c>
    </row>
    <row r="144" spans="1:9" x14ac:dyDescent="0.35">
      <c r="A144" s="293">
        <v>44774</v>
      </c>
      <c r="B144" s="312">
        <v>95.460000000000008</v>
      </c>
      <c r="C144" s="313">
        <v>6.2600000000000003E-2</v>
      </c>
      <c r="D144" s="312">
        <v>95.570000000000007</v>
      </c>
      <c r="E144" s="313">
        <v>7.0199999999999999E-2</v>
      </c>
      <c r="F144" s="312">
        <v>96.5</v>
      </c>
      <c r="G144" s="313">
        <v>6.7500000000000004E-2</v>
      </c>
      <c r="H144" s="312">
        <v>99.61</v>
      </c>
      <c r="I144" s="313">
        <v>7.17E-2</v>
      </c>
    </row>
    <row r="145" spans="1:9" x14ac:dyDescent="0.35">
      <c r="A145" s="293">
        <v>44775</v>
      </c>
      <c r="B145" s="312">
        <v>95.37</v>
      </c>
      <c r="C145" s="313">
        <v>6.2800000000000009E-2</v>
      </c>
      <c r="D145" s="312">
        <v>95.490000000000009</v>
      </c>
      <c r="E145" s="313">
        <v>7.0300000000000001E-2</v>
      </c>
      <c r="F145" s="312">
        <v>95.15</v>
      </c>
      <c r="G145" s="313">
        <v>6.9000000000000006E-2</v>
      </c>
      <c r="H145" s="312">
        <v>99.070000000000007</v>
      </c>
      <c r="I145" s="313">
        <v>7.22E-2</v>
      </c>
    </row>
    <row r="146" spans="1:9" x14ac:dyDescent="0.35">
      <c r="A146" s="293">
        <v>44776</v>
      </c>
      <c r="B146" s="312">
        <v>95.03</v>
      </c>
      <c r="C146" s="313">
        <v>6.3700000000000007E-2</v>
      </c>
      <c r="D146" s="312">
        <v>94.940000000000012</v>
      </c>
      <c r="E146" s="313">
        <v>7.1099999999999997E-2</v>
      </c>
      <c r="F146" s="312">
        <v>94.240000000000009</v>
      </c>
      <c r="G146" s="313">
        <v>7.010000000000001E-2</v>
      </c>
      <c r="H146" s="312">
        <v>98.59</v>
      </c>
      <c r="I146" s="313">
        <v>7.2599999999999998E-2</v>
      </c>
    </row>
    <row r="147" spans="1:9" x14ac:dyDescent="0.35">
      <c r="A147" s="293">
        <v>44777</v>
      </c>
      <c r="B147" s="312">
        <v>95.160000000000011</v>
      </c>
      <c r="C147" s="313">
        <v>6.3399999999999998E-2</v>
      </c>
      <c r="D147" s="312">
        <v>95.15</v>
      </c>
      <c r="E147" s="313">
        <v>7.0800000000000002E-2</v>
      </c>
      <c r="F147" s="312">
        <v>94.67</v>
      </c>
      <c r="G147" s="313">
        <v>6.9600000000000009E-2</v>
      </c>
      <c r="H147" s="312">
        <v>99.11</v>
      </c>
      <c r="I147" s="313">
        <v>7.2099999999999997E-2</v>
      </c>
    </row>
    <row r="148" spans="1:9" x14ac:dyDescent="0.35">
      <c r="A148" s="293">
        <v>44778</v>
      </c>
      <c r="B148" s="312">
        <v>95.320000000000007</v>
      </c>
      <c r="C148" s="313">
        <v>6.3E-2</v>
      </c>
      <c r="D148" s="312">
        <v>95.45</v>
      </c>
      <c r="E148" s="313">
        <v>7.0300000000000001E-2</v>
      </c>
      <c r="F148" s="312">
        <v>94.77000000000001</v>
      </c>
      <c r="G148" s="313">
        <v>6.9500000000000006E-2</v>
      </c>
      <c r="H148" s="312">
        <v>99.35</v>
      </c>
      <c r="I148" s="313">
        <v>7.1900000000000006E-2</v>
      </c>
    </row>
    <row r="149" spans="1:9" s="314" customFormat="1" x14ac:dyDescent="0.35">
      <c r="A149" s="265">
        <v>44781</v>
      </c>
      <c r="B149" s="282">
        <v>95.22</v>
      </c>
      <c r="C149" s="283">
        <v>6.3200000000000006E-2</v>
      </c>
      <c r="D149" s="282">
        <v>95.43</v>
      </c>
      <c r="E149" s="283">
        <v>7.0400000000000004E-2</v>
      </c>
      <c r="F149" s="282">
        <v>94.52000000000001</v>
      </c>
      <c r="G149" s="283">
        <v>6.9800000000000001E-2</v>
      </c>
      <c r="H149" s="282">
        <v>99.37</v>
      </c>
      <c r="I149" s="283">
        <v>7.1900000000000006E-2</v>
      </c>
    </row>
    <row r="150" spans="1:9" s="314" customFormat="1" x14ac:dyDescent="0.35">
      <c r="A150" s="265">
        <v>44782</v>
      </c>
      <c r="B150" s="282">
        <v>95.5</v>
      </c>
      <c r="C150" s="283">
        <v>6.25E-2</v>
      </c>
      <c r="D150" s="282">
        <v>95.88000000000001</v>
      </c>
      <c r="E150" s="283">
        <v>6.9699999999999998E-2</v>
      </c>
      <c r="F150" s="282">
        <v>94.660000000000011</v>
      </c>
      <c r="G150" s="283">
        <v>6.9600000000000009E-2</v>
      </c>
      <c r="H150" s="282">
        <v>99.73</v>
      </c>
      <c r="I150" s="283">
        <v>7.1500000000000008E-2</v>
      </c>
    </row>
    <row r="151" spans="1:9" s="314" customFormat="1" x14ac:dyDescent="0.35">
      <c r="A151" s="265">
        <v>44783</v>
      </c>
      <c r="B151" s="282">
        <v>95.5</v>
      </c>
      <c r="C151" s="283">
        <v>6.25E-2</v>
      </c>
      <c r="D151" s="282">
        <v>95.7</v>
      </c>
      <c r="E151" s="283">
        <v>7.0000000000000007E-2</v>
      </c>
      <c r="F151" s="282">
        <v>94.660000000000011</v>
      </c>
      <c r="G151" s="283">
        <v>6.9600000000000009E-2</v>
      </c>
      <c r="H151" s="282">
        <v>99.660000000000011</v>
      </c>
      <c r="I151" s="283">
        <v>7.1599999999999997E-2</v>
      </c>
    </row>
    <row r="152" spans="1:9" s="314" customFormat="1" x14ac:dyDescent="0.35">
      <c r="A152" s="265">
        <v>44784</v>
      </c>
      <c r="B152" s="282">
        <v>95.690000000000012</v>
      </c>
      <c r="C152" s="283">
        <v>6.2E-2</v>
      </c>
      <c r="D152" s="282">
        <v>96.25</v>
      </c>
      <c r="E152" s="283">
        <v>6.9199999999999998E-2</v>
      </c>
      <c r="F152" s="282">
        <v>95.440000000000012</v>
      </c>
      <c r="G152" s="283">
        <v>6.8699999999999997E-2</v>
      </c>
      <c r="H152" s="282">
        <v>100.06</v>
      </c>
      <c r="I152" s="283">
        <v>7.1199999999999999E-2</v>
      </c>
    </row>
    <row r="153" spans="1:9" s="314" customFormat="1" x14ac:dyDescent="0.35">
      <c r="A153" s="265">
        <v>44785</v>
      </c>
      <c r="B153" s="282">
        <v>96.050000000000011</v>
      </c>
      <c r="C153" s="283">
        <v>6.1100000000000002E-2</v>
      </c>
      <c r="D153" s="282">
        <v>96.63000000000001</v>
      </c>
      <c r="E153" s="283">
        <v>6.8600000000000008E-2</v>
      </c>
      <c r="F153" s="282">
        <v>95.17</v>
      </c>
      <c r="G153" s="283">
        <v>6.9000000000000006E-2</v>
      </c>
      <c r="H153" s="282">
        <v>100.42</v>
      </c>
      <c r="I153" s="283">
        <v>7.0900000000000005E-2</v>
      </c>
    </row>
    <row r="154" spans="1:9" x14ac:dyDescent="0.35">
      <c r="A154" s="293">
        <v>44788</v>
      </c>
      <c r="B154" s="312">
        <v>95.65</v>
      </c>
      <c r="C154" s="313">
        <v>6.2200000000000005E-2</v>
      </c>
      <c r="D154" s="312">
        <v>95.940000000000012</v>
      </c>
      <c r="E154" s="313">
        <v>6.9600000000000009E-2</v>
      </c>
      <c r="F154" s="312">
        <v>94.92</v>
      </c>
      <c r="G154" s="313">
        <v>6.93E-2</v>
      </c>
      <c r="H154" s="312">
        <v>99.78</v>
      </c>
      <c r="I154" s="313">
        <v>7.1500000000000008E-2</v>
      </c>
    </row>
    <row r="155" spans="1:9" x14ac:dyDescent="0.35">
      <c r="A155" s="293">
        <v>44789</v>
      </c>
      <c r="B155" s="312">
        <v>95.65</v>
      </c>
      <c r="C155" s="313">
        <v>6.2200000000000005E-2</v>
      </c>
      <c r="D155" s="312">
        <v>95.78</v>
      </c>
      <c r="E155" s="313">
        <v>6.9900000000000004E-2</v>
      </c>
      <c r="F155" s="312">
        <v>94.64</v>
      </c>
      <c r="G155" s="313">
        <v>6.9600000000000009E-2</v>
      </c>
      <c r="H155" s="312">
        <v>99.65</v>
      </c>
      <c r="I155" s="313">
        <v>7.1599999999999997E-2</v>
      </c>
    </row>
    <row r="156" spans="1:9" x14ac:dyDescent="0.35">
      <c r="A156" s="293">
        <v>44791</v>
      </c>
      <c r="B156" s="312">
        <v>95.68</v>
      </c>
      <c r="C156" s="313">
        <v>6.2100000000000002E-2</v>
      </c>
      <c r="D156" s="312">
        <v>96.11</v>
      </c>
      <c r="E156" s="313">
        <v>6.9400000000000003E-2</v>
      </c>
      <c r="F156" s="312">
        <v>94.37</v>
      </c>
      <c r="G156" s="313">
        <v>6.9900000000000004E-2</v>
      </c>
      <c r="H156" s="312">
        <v>100.30000000000001</v>
      </c>
      <c r="I156" s="313">
        <v>7.1000000000000008E-2</v>
      </c>
    </row>
    <row r="157" spans="1:9" x14ac:dyDescent="0.35">
      <c r="A157" s="293">
        <v>44792</v>
      </c>
      <c r="B157" s="312">
        <v>95.64</v>
      </c>
      <c r="C157" s="313">
        <v>6.2200000000000005E-2</v>
      </c>
      <c r="D157" s="312">
        <v>95.910000000000011</v>
      </c>
      <c r="E157" s="313">
        <v>6.9699999999999998E-2</v>
      </c>
      <c r="F157" s="312">
        <v>94.320000000000007</v>
      </c>
      <c r="G157" s="313">
        <v>7.0000000000000007E-2</v>
      </c>
      <c r="H157" s="312">
        <v>100.09</v>
      </c>
      <c r="I157" s="313">
        <v>7.1199999999999999E-2</v>
      </c>
    </row>
    <row r="158" spans="1:9" s="47" customFormat="1" x14ac:dyDescent="0.35">
      <c r="A158" s="265">
        <v>44795</v>
      </c>
      <c r="B158" s="282">
        <v>95.240000000000009</v>
      </c>
      <c r="C158" s="283">
        <v>6.3300000000000009E-2</v>
      </c>
      <c r="D158" s="282">
        <v>95.36</v>
      </c>
      <c r="E158" s="283">
        <v>7.0500000000000007E-2</v>
      </c>
      <c r="F158" s="282">
        <v>94.15</v>
      </c>
      <c r="G158" s="283">
        <v>7.0199999999999999E-2</v>
      </c>
      <c r="H158" s="282">
        <v>99.52000000000001</v>
      </c>
      <c r="I158" s="283">
        <v>7.17E-2</v>
      </c>
    </row>
    <row r="159" spans="1:9" s="47" customFormat="1" x14ac:dyDescent="0.35">
      <c r="A159" s="265">
        <v>44796</v>
      </c>
      <c r="B159" s="282">
        <v>94.960000000000008</v>
      </c>
      <c r="C159" s="283">
        <v>6.4000000000000001E-2</v>
      </c>
      <c r="D159" s="282">
        <v>95.29</v>
      </c>
      <c r="E159" s="283">
        <v>7.0599999999999996E-2</v>
      </c>
      <c r="F159" s="282">
        <v>94.03</v>
      </c>
      <c r="G159" s="283">
        <v>7.0300000000000001E-2</v>
      </c>
      <c r="H159" s="282">
        <v>99.28</v>
      </c>
      <c r="I159" s="283">
        <v>7.2000000000000008E-2</v>
      </c>
    </row>
    <row r="160" spans="1:9" s="47" customFormat="1" x14ac:dyDescent="0.35">
      <c r="A160" s="265">
        <v>44797</v>
      </c>
      <c r="B160" s="282">
        <v>94.93</v>
      </c>
      <c r="C160" s="283">
        <v>6.4100000000000004E-2</v>
      </c>
      <c r="D160" s="282">
        <v>95.940000000000012</v>
      </c>
      <c r="E160" s="283">
        <v>6.9600000000000009E-2</v>
      </c>
      <c r="F160" s="282">
        <v>94.4</v>
      </c>
      <c r="G160" s="283">
        <v>6.9900000000000004E-2</v>
      </c>
      <c r="H160" s="282">
        <v>99.850000000000009</v>
      </c>
      <c r="I160" s="283">
        <v>7.1400000000000005E-2</v>
      </c>
    </row>
    <row r="161" spans="1:9" s="47" customFormat="1" x14ac:dyDescent="0.35">
      <c r="A161" s="265">
        <v>44798</v>
      </c>
      <c r="B161" s="282">
        <v>94.9</v>
      </c>
      <c r="C161" s="283">
        <v>6.4200000000000007E-2</v>
      </c>
      <c r="D161" s="282">
        <v>96.17</v>
      </c>
      <c r="E161" s="283">
        <v>6.93E-2</v>
      </c>
      <c r="F161" s="282">
        <v>94.2</v>
      </c>
      <c r="G161" s="283">
        <v>7.010000000000001E-2</v>
      </c>
      <c r="H161" s="282">
        <v>100.15</v>
      </c>
      <c r="I161" s="283">
        <v>7.1099999999999997E-2</v>
      </c>
    </row>
    <row r="162" spans="1:9" s="47" customFormat="1" x14ac:dyDescent="0.35">
      <c r="A162" s="265">
        <v>44799</v>
      </c>
      <c r="B162" s="282">
        <v>94.820000000000007</v>
      </c>
      <c r="C162" s="283">
        <v>6.4399999999999999E-2</v>
      </c>
      <c r="D162" s="282">
        <v>96.01</v>
      </c>
      <c r="E162" s="283">
        <v>6.9500000000000006E-2</v>
      </c>
      <c r="F162" s="282">
        <v>94.13000000000001</v>
      </c>
      <c r="G162" s="283">
        <v>7.0199999999999999E-2</v>
      </c>
      <c r="H162" s="282">
        <v>99.95</v>
      </c>
      <c r="I162" s="283">
        <v>7.1300000000000002E-2</v>
      </c>
    </row>
    <row r="163" spans="1:9" x14ac:dyDescent="0.35">
      <c r="A163" s="293">
        <v>44802</v>
      </c>
      <c r="B163" s="312">
        <v>94.550000000000011</v>
      </c>
      <c r="C163" s="313">
        <v>6.5100000000000005E-2</v>
      </c>
      <c r="D163" s="312">
        <v>95.38000000000001</v>
      </c>
      <c r="E163" s="313">
        <v>7.0500000000000007E-2</v>
      </c>
      <c r="F163" s="312">
        <v>93.72</v>
      </c>
      <c r="G163" s="313">
        <v>7.0699999999999999E-2</v>
      </c>
      <c r="H163" s="312">
        <v>99.27000000000001</v>
      </c>
      <c r="I163" s="313">
        <v>7.2000000000000008E-2</v>
      </c>
    </row>
    <row r="164" spans="1:9" x14ac:dyDescent="0.35">
      <c r="A164" s="293">
        <v>44803</v>
      </c>
      <c r="B164" s="312">
        <v>94.710000000000008</v>
      </c>
      <c r="C164" s="313">
        <v>6.4700000000000008E-2</v>
      </c>
      <c r="D164" s="312">
        <v>95.490000000000009</v>
      </c>
      <c r="E164" s="313">
        <v>7.0300000000000001E-2</v>
      </c>
      <c r="F164" s="312">
        <v>93.63000000000001</v>
      </c>
      <c r="G164" s="313">
        <v>7.0800000000000002E-2</v>
      </c>
      <c r="H164" s="312">
        <v>98.95</v>
      </c>
      <c r="I164" s="313">
        <v>7.2300000000000003E-2</v>
      </c>
    </row>
    <row r="165" spans="1:9" x14ac:dyDescent="0.35">
      <c r="A165" s="293">
        <v>44804</v>
      </c>
      <c r="B165" s="312">
        <v>94.79</v>
      </c>
      <c r="C165" s="313">
        <v>6.4500000000000002E-2</v>
      </c>
      <c r="D165" s="312">
        <v>95.690000000000012</v>
      </c>
      <c r="E165" s="313">
        <v>7.0000000000000007E-2</v>
      </c>
      <c r="F165" s="312">
        <v>93.23</v>
      </c>
      <c r="G165" s="313">
        <v>7.1199999999999999E-2</v>
      </c>
      <c r="H165" s="312">
        <v>100.47</v>
      </c>
      <c r="I165" s="313">
        <v>7.0800000000000002E-2</v>
      </c>
    </row>
    <row r="166" spans="1:9" x14ac:dyDescent="0.35">
      <c r="A166" s="293">
        <v>44805</v>
      </c>
      <c r="B166" s="312">
        <v>94.690000000000012</v>
      </c>
      <c r="C166" s="313">
        <v>6.4799999999999996E-2</v>
      </c>
      <c r="D166" s="312">
        <v>95.490000000000009</v>
      </c>
      <c r="E166" s="313">
        <v>7.0300000000000001E-2</v>
      </c>
      <c r="F166" s="312">
        <v>93.93</v>
      </c>
      <c r="G166" s="313">
        <v>7.0400000000000004E-2</v>
      </c>
      <c r="H166" s="312">
        <v>100.37</v>
      </c>
      <c r="I166" s="313">
        <v>7.0900000000000005E-2</v>
      </c>
    </row>
    <row r="167" spans="1:9" x14ac:dyDescent="0.35">
      <c r="A167" s="293">
        <v>44806</v>
      </c>
      <c r="B167" s="312">
        <v>94.84</v>
      </c>
      <c r="C167" s="313">
        <v>6.4399999999999999E-2</v>
      </c>
      <c r="D167" s="312">
        <v>95.490000000000009</v>
      </c>
      <c r="E167" s="313">
        <v>7.0300000000000001E-2</v>
      </c>
      <c r="F167" s="312">
        <v>93.910000000000011</v>
      </c>
      <c r="G167" s="313">
        <v>7.0500000000000007E-2</v>
      </c>
      <c r="H167" s="312">
        <v>100.28</v>
      </c>
      <c r="I167" s="313">
        <v>7.1000000000000008E-2</v>
      </c>
    </row>
    <row r="168" spans="1:9" x14ac:dyDescent="0.35">
      <c r="A168" s="265">
        <v>44809</v>
      </c>
      <c r="B168" s="282">
        <v>94.6</v>
      </c>
      <c r="C168" s="283">
        <v>6.5100000000000005E-2</v>
      </c>
      <c r="D168" s="282">
        <v>95.36</v>
      </c>
      <c r="E168" s="283">
        <v>7.0499999999999993E-2</v>
      </c>
      <c r="F168" s="282">
        <v>93.64</v>
      </c>
      <c r="G168" s="283">
        <v>7.0800000000000002E-2</v>
      </c>
      <c r="H168" s="282">
        <v>93.64</v>
      </c>
      <c r="I168" s="283">
        <v>7.1300000000000002E-2</v>
      </c>
    </row>
    <row r="169" spans="1:9" x14ac:dyDescent="0.35">
      <c r="A169" s="265">
        <v>44810</v>
      </c>
      <c r="B169" s="282">
        <v>84.53</v>
      </c>
      <c r="C169" s="283">
        <v>6.5199999999999994E-2</v>
      </c>
      <c r="D169" s="282">
        <v>95.47</v>
      </c>
      <c r="E169" s="283">
        <v>7.0400000000000004E-2</v>
      </c>
      <c r="F169" s="282">
        <v>93.75</v>
      </c>
      <c r="G169" s="283">
        <v>7.0599999999999996E-2</v>
      </c>
      <c r="H169" s="282">
        <v>93.75</v>
      </c>
      <c r="I169" s="283">
        <v>7.1599999999999997E-2</v>
      </c>
    </row>
    <row r="170" spans="1:9" x14ac:dyDescent="0.35">
      <c r="A170" s="265">
        <v>44811</v>
      </c>
      <c r="B170" s="282">
        <v>94.33</v>
      </c>
      <c r="C170" s="283">
        <v>6.5799999999999997E-2</v>
      </c>
      <c r="D170" s="282">
        <v>95.160000000000011</v>
      </c>
      <c r="E170" s="283">
        <v>7.0800000000000002E-2</v>
      </c>
      <c r="F170" s="282">
        <v>93.29</v>
      </c>
      <c r="G170" s="283">
        <v>7.1199999999999999E-2</v>
      </c>
      <c r="H170" s="282">
        <v>93.29</v>
      </c>
      <c r="I170" s="283">
        <v>7.2000000000000008E-2</v>
      </c>
    </row>
    <row r="171" spans="1:9" x14ac:dyDescent="0.35">
      <c r="A171" s="265">
        <v>44812</v>
      </c>
      <c r="B171" s="282">
        <v>94.45</v>
      </c>
      <c r="C171" s="283">
        <v>6.5500000000000003E-2</v>
      </c>
      <c r="D171" s="282">
        <v>95.29</v>
      </c>
      <c r="E171" s="283">
        <v>7.0599999999999996E-2</v>
      </c>
      <c r="F171" s="282">
        <v>93.490000000000009</v>
      </c>
      <c r="G171" s="283">
        <v>7.0900000000000005E-2</v>
      </c>
      <c r="H171" s="282">
        <v>93.490000000000009</v>
      </c>
      <c r="I171" s="283">
        <v>7.1800000000000003E-2</v>
      </c>
    </row>
    <row r="172" spans="1:9" x14ac:dyDescent="0.35">
      <c r="A172" s="265">
        <v>44813</v>
      </c>
      <c r="B172" s="282">
        <v>94.83</v>
      </c>
      <c r="C172" s="283">
        <v>6.4500000000000002E-2</v>
      </c>
      <c r="D172" s="282">
        <v>95.35</v>
      </c>
      <c r="E172" s="283">
        <v>7.0499999999999993E-2</v>
      </c>
      <c r="F172" s="282">
        <v>93.75</v>
      </c>
      <c r="G172" s="283">
        <v>7.0699999999999999E-2</v>
      </c>
      <c r="H172" s="282">
        <v>93.75</v>
      </c>
      <c r="I172" s="283">
        <v>7.17E-2</v>
      </c>
    </row>
    <row r="173" spans="1:9" x14ac:dyDescent="0.35">
      <c r="A173" s="293">
        <v>44816</v>
      </c>
      <c r="B173" s="312">
        <v>95.26</v>
      </c>
      <c r="C173" s="313">
        <v>6.3399999999999998E-2</v>
      </c>
      <c r="D173" s="312">
        <v>95.58</v>
      </c>
      <c r="E173" s="313">
        <v>7.0199999999999999E-2</v>
      </c>
      <c r="F173" s="312">
        <v>95.34</v>
      </c>
      <c r="G173" s="313">
        <v>6.88E-2</v>
      </c>
      <c r="H173" s="312">
        <v>99.690000000000012</v>
      </c>
      <c r="I173" s="313">
        <v>7.1599999999999997E-2</v>
      </c>
    </row>
    <row r="174" spans="1:9" x14ac:dyDescent="0.35">
      <c r="A174" s="293">
        <v>44817</v>
      </c>
      <c r="B174" s="312">
        <v>95.39</v>
      </c>
      <c r="C174" s="313">
        <v>6.3E-2</v>
      </c>
      <c r="D174" s="312">
        <v>95.62</v>
      </c>
      <c r="E174" s="313">
        <v>7.010000000000001E-2</v>
      </c>
      <c r="F174" s="312">
        <v>96.28</v>
      </c>
      <c r="G174" s="313">
        <v>6.7799999999999999E-2</v>
      </c>
      <c r="H174" s="312">
        <v>100.16000000000001</v>
      </c>
      <c r="I174" s="313">
        <v>7.1099999999999997E-2</v>
      </c>
    </row>
    <row r="175" spans="1:9" x14ac:dyDescent="0.35">
      <c r="A175" s="293">
        <v>44818</v>
      </c>
      <c r="B175" s="312">
        <v>95.210000000000008</v>
      </c>
      <c r="C175" s="313">
        <v>6.3500000000000001E-2</v>
      </c>
      <c r="D175" s="312">
        <v>95.62</v>
      </c>
      <c r="E175" s="313">
        <v>7.010000000000001E-2</v>
      </c>
      <c r="F175" s="312">
        <v>95.47</v>
      </c>
      <c r="G175" s="313">
        <v>6.8699999999999997E-2</v>
      </c>
      <c r="H175" s="312">
        <v>99.79</v>
      </c>
      <c r="I175" s="313">
        <v>7.1500000000000008E-2</v>
      </c>
    </row>
    <row r="176" spans="1:9" x14ac:dyDescent="0.35">
      <c r="A176" s="293">
        <v>44819</v>
      </c>
      <c r="B176" s="312">
        <v>95.08</v>
      </c>
      <c r="C176" s="313">
        <v>6.3899999999999998E-2</v>
      </c>
      <c r="D176" s="312">
        <v>95.53</v>
      </c>
      <c r="E176" s="313">
        <v>7.0300000000000001E-2</v>
      </c>
      <c r="F176" s="312">
        <v>95.2</v>
      </c>
      <c r="G176" s="313">
        <v>6.9000000000000006E-2</v>
      </c>
      <c r="H176" s="312">
        <v>99.59</v>
      </c>
      <c r="I176" s="313">
        <v>7.17E-2</v>
      </c>
    </row>
    <row r="177" spans="1:9" x14ac:dyDescent="0.35">
      <c r="A177" s="293">
        <v>44820</v>
      </c>
      <c r="B177" s="312">
        <v>94.68</v>
      </c>
      <c r="C177" s="313">
        <v>6.4899999999999999E-2</v>
      </c>
      <c r="D177" s="312">
        <v>95.11</v>
      </c>
      <c r="E177" s="313">
        <v>7.0900000000000005E-2</v>
      </c>
      <c r="F177" s="312">
        <v>95.11</v>
      </c>
      <c r="G177" s="313">
        <v>6.9100000000000009E-2</v>
      </c>
      <c r="H177" s="312">
        <v>99</v>
      </c>
      <c r="I177" s="313">
        <v>7.22E-2</v>
      </c>
    </row>
    <row r="178" spans="1:9" x14ac:dyDescent="0.35">
      <c r="A178" s="265">
        <v>44823</v>
      </c>
      <c r="B178" s="282">
        <v>94.570000000000007</v>
      </c>
      <c r="C178" s="283">
        <v>6.5200000000000008E-2</v>
      </c>
      <c r="D178" s="282">
        <v>95.14</v>
      </c>
      <c r="E178" s="283">
        <v>7.0900000000000005E-2</v>
      </c>
      <c r="F178" s="282">
        <v>94.89</v>
      </c>
      <c r="G178" s="283">
        <v>6.9400000000000003E-2</v>
      </c>
      <c r="H178" s="282">
        <v>98.460000000000008</v>
      </c>
      <c r="I178" s="283">
        <v>7.2800000000000004E-2</v>
      </c>
    </row>
    <row r="179" spans="1:9" x14ac:dyDescent="0.35">
      <c r="A179" s="265">
        <v>44824</v>
      </c>
      <c r="B179" s="282">
        <v>94.73</v>
      </c>
      <c r="C179" s="283">
        <v>6.4799999999999996E-2</v>
      </c>
      <c r="D179" s="282">
        <v>95.26</v>
      </c>
      <c r="E179" s="283">
        <v>7.0699999999999999E-2</v>
      </c>
      <c r="F179" s="282">
        <v>94.77</v>
      </c>
      <c r="G179" s="283">
        <v>6.9500000000000006E-2</v>
      </c>
      <c r="H179" s="282">
        <v>98.38</v>
      </c>
      <c r="I179" s="283">
        <v>7.2800000000000004E-2</v>
      </c>
    </row>
    <row r="180" spans="1:9" x14ac:dyDescent="0.35">
      <c r="A180" s="265">
        <v>44825</v>
      </c>
      <c r="B180" s="282">
        <v>94.63000000000001</v>
      </c>
      <c r="C180" s="283">
        <v>6.5100000000000005E-2</v>
      </c>
      <c r="D180" s="282">
        <v>95.190000000000012</v>
      </c>
      <c r="E180" s="283">
        <v>7.0800000000000002E-2</v>
      </c>
      <c r="F180" s="282">
        <v>94.68</v>
      </c>
      <c r="G180" s="283">
        <v>6.9600000000000009E-2</v>
      </c>
      <c r="H180" s="282">
        <v>98.26</v>
      </c>
      <c r="I180" s="283">
        <v>7.3000000000000009E-2</v>
      </c>
    </row>
    <row r="181" spans="1:9" x14ac:dyDescent="0.35">
      <c r="A181" s="265">
        <v>44826</v>
      </c>
      <c r="B181" s="282">
        <v>94.45</v>
      </c>
      <c r="C181" s="283">
        <v>6.5600000000000006E-2</v>
      </c>
      <c r="D181" s="282">
        <v>95.05</v>
      </c>
      <c r="E181" s="283">
        <v>7.1000000000000008E-2</v>
      </c>
      <c r="F181" s="282">
        <v>94.5</v>
      </c>
      <c r="G181" s="283">
        <v>6.9800000000000001E-2</v>
      </c>
      <c r="H181" s="282">
        <v>97.83</v>
      </c>
      <c r="I181" s="283">
        <v>7.3400000000000007E-2</v>
      </c>
    </row>
    <row r="182" spans="1:9" x14ac:dyDescent="0.35">
      <c r="A182" s="265">
        <v>44827</v>
      </c>
      <c r="B182" s="282">
        <v>93.960000000000008</v>
      </c>
      <c r="C182" s="283">
        <v>6.6900000000000001E-2</v>
      </c>
      <c r="D182" s="282">
        <v>94.83</v>
      </c>
      <c r="E182" s="283">
        <v>7.1300000000000002E-2</v>
      </c>
      <c r="F182" s="282">
        <v>94.79</v>
      </c>
      <c r="G182" s="283">
        <v>6.9500000000000006E-2</v>
      </c>
      <c r="H182" s="282">
        <v>97.43</v>
      </c>
      <c r="I182" s="283">
        <v>7.3800000000000004E-2</v>
      </c>
    </row>
    <row r="183" spans="1:9" x14ac:dyDescent="0.35">
      <c r="A183" s="293">
        <v>44830</v>
      </c>
      <c r="B183" s="312">
        <v>93.68</v>
      </c>
      <c r="C183" s="313">
        <v>6.7699999999999996E-2</v>
      </c>
      <c r="D183" s="312">
        <v>94.320000000000007</v>
      </c>
      <c r="E183" s="313">
        <v>7.2099999999999997E-2</v>
      </c>
      <c r="F183" s="312">
        <v>93.4</v>
      </c>
      <c r="G183" s="313">
        <v>7.1099999999999997E-2</v>
      </c>
      <c r="H183" s="312">
        <v>97.050000000000011</v>
      </c>
      <c r="I183" s="313">
        <v>7.4200000000000002E-2</v>
      </c>
    </row>
    <row r="184" spans="1:9" x14ac:dyDescent="0.35">
      <c r="A184" s="293">
        <v>44831</v>
      </c>
      <c r="B184" s="312">
        <v>93.78</v>
      </c>
      <c r="C184" s="313">
        <v>6.7400000000000002E-2</v>
      </c>
      <c r="D184" s="312">
        <v>94.01</v>
      </c>
      <c r="E184" s="313">
        <v>7.2599999999999998E-2</v>
      </c>
      <c r="F184" s="312">
        <v>92.490000000000009</v>
      </c>
      <c r="G184" s="313">
        <v>7.2099999999999997E-2</v>
      </c>
      <c r="H184" s="312">
        <v>96.42</v>
      </c>
      <c r="I184" s="313">
        <v>7.4800000000000005E-2</v>
      </c>
    </row>
    <row r="185" spans="1:9" x14ac:dyDescent="0.35">
      <c r="A185" s="293">
        <v>44832</v>
      </c>
      <c r="B185" s="312">
        <v>94.02000000000001</v>
      </c>
      <c r="C185" s="313">
        <v>6.6799999999999998E-2</v>
      </c>
      <c r="D185" s="312">
        <v>94.11</v>
      </c>
      <c r="E185" s="313">
        <v>7.2400000000000006E-2</v>
      </c>
      <c r="F185" s="312">
        <v>92.350000000000009</v>
      </c>
      <c r="G185" s="313">
        <v>7.2300000000000003E-2</v>
      </c>
      <c r="H185" s="312">
        <v>96.3</v>
      </c>
      <c r="I185" s="313">
        <v>7.4900000000000008E-2</v>
      </c>
    </row>
    <row r="186" spans="1:9" x14ac:dyDescent="0.35">
      <c r="A186" s="293">
        <v>44833</v>
      </c>
      <c r="B186" s="312">
        <v>94.59</v>
      </c>
      <c r="C186" s="313">
        <v>6.5299999999999997E-2</v>
      </c>
      <c r="D186" s="312">
        <v>94.54</v>
      </c>
      <c r="E186" s="313">
        <v>7.1800000000000003E-2</v>
      </c>
      <c r="F186" s="312">
        <v>93.08</v>
      </c>
      <c r="G186" s="313">
        <v>7.1400000000000005E-2</v>
      </c>
      <c r="H186" s="312">
        <v>97.050000000000011</v>
      </c>
      <c r="I186" s="313">
        <v>7.4200000000000002E-2</v>
      </c>
    </row>
    <row r="187" spans="1:9" x14ac:dyDescent="0.35">
      <c r="A187" s="293">
        <v>44834</v>
      </c>
      <c r="B187" s="312">
        <v>94.51</v>
      </c>
      <c r="C187" s="313">
        <v>6.5500000000000003E-2</v>
      </c>
      <c r="D187" s="312">
        <v>94.12</v>
      </c>
      <c r="E187" s="313">
        <v>7.2400000000000006E-2</v>
      </c>
      <c r="F187" s="312">
        <v>92.87</v>
      </c>
      <c r="G187" s="313">
        <v>7.17E-2</v>
      </c>
      <c r="H187" s="312">
        <v>97.52000000000001</v>
      </c>
      <c r="I187" s="313">
        <v>7.3700000000000002E-2</v>
      </c>
    </row>
    <row r="188" spans="1:9" x14ac:dyDescent="0.35">
      <c r="A188" s="265">
        <v>44837</v>
      </c>
      <c r="B188" s="299">
        <v>94.83</v>
      </c>
      <c r="C188" s="315">
        <v>6.4600000000000005E-2</v>
      </c>
      <c r="D188" s="299">
        <v>94.56</v>
      </c>
      <c r="E188" s="315">
        <v>7.1800000000000003E-2</v>
      </c>
      <c r="F188" s="299">
        <v>93.11</v>
      </c>
      <c r="G188" s="315">
        <v>7.1400000000000005E-2</v>
      </c>
      <c r="H188" s="299">
        <v>97.78</v>
      </c>
      <c r="I188" s="315">
        <v>7.3400000000000007E-2</v>
      </c>
    </row>
    <row r="189" spans="1:9" x14ac:dyDescent="0.35">
      <c r="A189" s="265">
        <v>44838</v>
      </c>
      <c r="B189" s="299">
        <v>94.600000000000009</v>
      </c>
      <c r="C189" s="315">
        <v>6.5299999999999997E-2</v>
      </c>
      <c r="D189" s="299">
        <v>94.83</v>
      </c>
      <c r="E189" s="315">
        <v>7.1400000000000005E-2</v>
      </c>
      <c r="F189" s="299">
        <v>93.26</v>
      </c>
      <c r="G189" s="315">
        <v>7.1199999999999999E-2</v>
      </c>
      <c r="H189" s="299">
        <v>98.15</v>
      </c>
      <c r="I189" s="315">
        <v>7.3099999999999998E-2</v>
      </c>
    </row>
    <row r="190" spans="1:9" x14ac:dyDescent="0.35">
      <c r="A190" s="265">
        <v>44839</v>
      </c>
      <c r="B190" s="299">
        <v>94.86</v>
      </c>
      <c r="C190" s="315">
        <v>6.4600000000000005E-2</v>
      </c>
      <c r="D190" s="299">
        <v>95.41</v>
      </c>
      <c r="E190" s="315">
        <v>7.0499999999999993E-2</v>
      </c>
      <c r="F190" s="299">
        <v>93.47</v>
      </c>
      <c r="G190" s="315">
        <v>7.0999999999999994E-2</v>
      </c>
      <c r="H190" s="299">
        <v>98.65</v>
      </c>
      <c r="I190" s="315">
        <v>7.2599999999999998E-2</v>
      </c>
    </row>
    <row r="191" spans="1:9" x14ac:dyDescent="0.35">
      <c r="A191" s="265">
        <v>44840</v>
      </c>
      <c r="B191" s="299">
        <v>94.600000000000009</v>
      </c>
      <c r="C191" s="315">
        <v>6.5299999999999997E-2</v>
      </c>
      <c r="D191" s="299">
        <v>95.25</v>
      </c>
      <c r="E191" s="315">
        <v>7.0699999999999999E-2</v>
      </c>
      <c r="F191" s="299">
        <v>93.11</v>
      </c>
      <c r="G191" s="315">
        <v>7.1400000000000005E-2</v>
      </c>
      <c r="H191" s="299">
        <v>98.83</v>
      </c>
      <c r="I191" s="315">
        <v>7.2400000000000006E-2</v>
      </c>
    </row>
    <row r="192" spans="1:9" x14ac:dyDescent="0.35">
      <c r="A192" s="265">
        <v>44841</v>
      </c>
      <c r="B192" s="299">
        <v>94.58</v>
      </c>
      <c r="C192" s="315">
        <v>6.5299999999999997E-2</v>
      </c>
      <c r="D192" s="299">
        <v>95.11</v>
      </c>
      <c r="E192" s="315">
        <v>7.1000000000000008E-2</v>
      </c>
      <c r="F192" s="299">
        <v>92.960000000000008</v>
      </c>
      <c r="G192" s="315">
        <v>7.1599999999999997E-2</v>
      </c>
      <c r="H192" s="299">
        <v>98.660000000000011</v>
      </c>
      <c r="I192" s="315">
        <v>7.2599999999999998E-2</v>
      </c>
    </row>
    <row r="193" spans="1:9" x14ac:dyDescent="0.35">
      <c r="A193" s="316">
        <v>44844</v>
      </c>
      <c r="B193" s="312">
        <v>94.26</v>
      </c>
      <c r="C193" s="313">
        <v>6.6200000000000009E-2</v>
      </c>
      <c r="D193" s="312">
        <v>94.740000000000009</v>
      </c>
      <c r="E193" s="313">
        <v>7.1500000000000008E-2</v>
      </c>
      <c r="F193" s="312">
        <v>92.710000000000008</v>
      </c>
      <c r="G193" s="313">
        <v>7.1900000000000006E-2</v>
      </c>
      <c r="H193" s="312">
        <v>98.460000000000008</v>
      </c>
      <c r="I193" s="313">
        <v>7.2800000000000004E-2</v>
      </c>
    </row>
    <row r="194" spans="1:9" x14ac:dyDescent="0.35">
      <c r="A194" s="316">
        <v>44845</v>
      </c>
      <c r="B194" s="312">
        <v>94.050000000000011</v>
      </c>
      <c r="C194" s="313">
        <v>6.6799999999999998E-2</v>
      </c>
      <c r="D194" s="312">
        <v>94.440000000000012</v>
      </c>
      <c r="E194" s="313">
        <v>7.2000000000000008E-2</v>
      </c>
      <c r="F194" s="312">
        <v>92.68</v>
      </c>
      <c r="G194" s="313">
        <v>7.1900000000000006E-2</v>
      </c>
      <c r="H194" s="312">
        <v>98.350000000000009</v>
      </c>
      <c r="I194" s="313">
        <v>7.2900000000000006E-2</v>
      </c>
    </row>
    <row r="195" spans="1:9" x14ac:dyDescent="0.35">
      <c r="A195" s="316">
        <v>44846</v>
      </c>
      <c r="B195" s="312">
        <v>93.81</v>
      </c>
      <c r="C195" s="313">
        <v>6.7500000000000004E-2</v>
      </c>
      <c r="D195" s="312">
        <v>94.17</v>
      </c>
      <c r="E195" s="313">
        <v>7.2400000000000006E-2</v>
      </c>
      <c r="F195" s="312">
        <v>92.48</v>
      </c>
      <c r="G195" s="313">
        <v>7.2099999999999997E-2</v>
      </c>
      <c r="H195" s="312">
        <v>97.87</v>
      </c>
      <c r="I195" s="313">
        <v>7.3300000000000004E-2</v>
      </c>
    </row>
    <row r="196" spans="1:9" x14ac:dyDescent="0.35">
      <c r="A196" s="316">
        <v>44847</v>
      </c>
      <c r="B196" s="312">
        <v>93.88000000000001</v>
      </c>
      <c r="C196" s="313">
        <v>6.7299999999999999E-2</v>
      </c>
      <c r="D196" s="312">
        <v>94.47</v>
      </c>
      <c r="E196" s="313">
        <v>7.1900000000000006E-2</v>
      </c>
      <c r="F196" s="312">
        <v>92.910000000000011</v>
      </c>
      <c r="G196" s="313">
        <v>7.1599999999999997E-2</v>
      </c>
      <c r="H196" s="312">
        <v>98.160000000000011</v>
      </c>
      <c r="I196" s="313">
        <v>7.3099999999999998E-2</v>
      </c>
    </row>
    <row r="197" spans="1:9" x14ac:dyDescent="0.35">
      <c r="A197" s="316">
        <v>44848</v>
      </c>
      <c r="B197" s="312">
        <v>93.850000000000009</v>
      </c>
      <c r="C197" s="313">
        <v>6.7400000000000002E-2</v>
      </c>
      <c r="D197" s="312">
        <v>94.440000000000012</v>
      </c>
      <c r="E197" s="313">
        <v>7.2000000000000008E-2</v>
      </c>
      <c r="F197" s="312">
        <v>92.09</v>
      </c>
      <c r="G197" s="313">
        <v>7.2599999999999998E-2</v>
      </c>
      <c r="H197" s="312">
        <v>97.65</v>
      </c>
      <c r="I197" s="313">
        <v>7.3599999999999999E-2</v>
      </c>
    </row>
    <row r="198" spans="1:9" x14ac:dyDescent="0.35">
      <c r="A198" s="265">
        <v>44851</v>
      </c>
      <c r="B198" s="282">
        <v>93.45</v>
      </c>
      <c r="C198" s="283">
        <v>6.8500000000000005E-2</v>
      </c>
      <c r="D198" s="282">
        <v>94</v>
      </c>
      <c r="E198" s="283">
        <v>7.2700000000000001E-2</v>
      </c>
      <c r="F198" s="282">
        <v>91.42</v>
      </c>
      <c r="G198" s="283">
        <v>7.3400000000000007E-2</v>
      </c>
      <c r="H198" s="282">
        <v>97.04</v>
      </c>
      <c r="I198" s="283">
        <v>7.4200000000000002E-2</v>
      </c>
    </row>
    <row r="199" spans="1:9" x14ac:dyDescent="0.35">
      <c r="A199" s="265">
        <v>44852</v>
      </c>
      <c r="B199" s="282">
        <v>93.39</v>
      </c>
      <c r="C199" s="283">
        <v>6.8699999999999997E-2</v>
      </c>
      <c r="D199" s="282">
        <v>93.97</v>
      </c>
      <c r="E199" s="283">
        <v>7.2700000000000001E-2</v>
      </c>
      <c r="F199" s="282">
        <v>91</v>
      </c>
      <c r="G199" s="283">
        <v>7.3900000000000007E-2</v>
      </c>
      <c r="H199" s="282">
        <v>96.660000000000011</v>
      </c>
      <c r="I199" s="283">
        <v>7.4499999999999997E-2</v>
      </c>
    </row>
    <row r="200" spans="1:9" x14ac:dyDescent="0.35">
      <c r="A200" s="265">
        <v>44853</v>
      </c>
      <c r="B200" s="282">
        <v>93.490000000000009</v>
      </c>
      <c r="C200" s="283">
        <v>6.8400000000000002E-2</v>
      </c>
      <c r="D200" s="282">
        <v>94.09</v>
      </c>
      <c r="E200" s="283">
        <v>7.2500000000000009E-2</v>
      </c>
      <c r="F200" s="282">
        <v>91.070000000000007</v>
      </c>
      <c r="G200" s="283">
        <v>7.3800000000000004E-2</v>
      </c>
      <c r="H200" s="282">
        <v>96.65</v>
      </c>
      <c r="I200" s="283">
        <v>7.46E-2</v>
      </c>
    </row>
    <row r="201" spans="1:9" x14ac:dyDescent="0.35">
      <c r="A201" s="265">
        <v>44854</v>
      </c>
      <c r="B201" s="282">
        <v>92.92</v>
      </c>
      <c r="C201" s="283">
        <v>7.0000000000000007E-2</v>
      </c>
      <c r="D201" s="282">
        <v>93.28</v>
      </c>
      <c r="E201" s="283">
        <v>7.3800000000000004E-2</v>
      </c>
      <c r="F201" s="282">
        <v>90.29</v>
      </c>
      <c r="G201" s="283">
        <v>7.4800000000000005E-2</v>
      </c>
      <c r="H201" s="282">
        <v>95.72</v>
      </c>
      <c r="I201" s="283">
        <v>7.5499999999999998E-2</v>
      </c>
    </row>
    <row r="202" spans="1:9" x14ac:dyDescent="0.35">
      <c r="A202" s="265">
        <v>44855</v>
      </c>
      <c r="B202" s="282">
        <v>92.89</v>
      </c>
      <c r="C202" s="283">
        <v>7.0099999999999996E-2</v>
      </c>
      <c r="D202" s="282">
        <v>93.17</v>
      </c>
      <c r="E202" s="283">
        <v>7.3899999999999993E-2</v>
      </c>
      <c r="F202" s="282">
        <v>89.79</v>
      </c>
      <c r="G202" s="283">
        <v>7.5399999999999995E-2</v>
      </c>
      <c r="H202" s="282">
        <v>95.15</v>
      </c>
      <c r="I202" s="283">
        <v>7.6100000000000001E-2</v>
      </c>
    </row>
    <row r="203" spans="1:9" x14ac:dyDescent="0.35">
      <c r="A203" s="316">
        <v>44858</v>
      </c>
      <c r="B203" s="312">
        <v>92.550000000000011</v>
      </c>
      <c r="C203" s="313">
        <v>7.1000000000000008E-2</v>
      </c>
      <c r="D203" s="312">
        <v>92.98</v>
      </c>
      <c r="E203" s="313">
        <v>7.4200000000000002E-2</v>
      </c>
      <c r="F203" s="312">
        <v>89.31</v>
      </c>
      <c r="G203" s="313">
        <v>7.5999999999999998E-2</v>
      </c>
      <c r="H203" s="312">
        <v>94.690000000000012</v>
      </c>
      <c r="I203" s="313">
        <v>7.6600000000000001E-2</v>
      </c>
    </row>
    <row r="204" spans="1:9" x14ac:dyDescent="0.35">
      <c r="A204" s="316">
        <v>44859</v>
      </c>
      <c r="B204" s="312">
        <v>92.65</v>
      </c>
      <c r="C204" s="313">
        <v>7.0800000000000002E-2</v>
      </c>
      <c r="D204" s="312">
        <v>93.01</v>
      </c>
      <c r="E204" s="313">
        <v>7.4200000000000002E-2</v>
      </c>
      <c r="F204" s="312">
        <v>89.38</v>
      </c>
      <c r="G204" s="313">
        <v>7.5899999999999995E-2</v>
      </c>
      <c r="H204" s="312">
        <v>94.79</v>
      </c>
      <c r="I204" s="313">
        <v>7.6499999999999999E-2</v>
      </c>
    </row>
    <row r="205" spans="1:9" x14ac:dyDescent="0.35">
      <c r="A205" s="316">
        <v>44860</v>
      </c>
      <c r="B205" s="312">
        <v>92.73</v>
      </c>
      <c r="C205" s="313">
        <v>7.0599999999999996E-2</v>
      </c>
      <c r="D205" s="312">
        <v>93.09</v>
      </c>
      <c r="E205" s="313">
        <v>7.4099999999999999E-2</v>
      </c>
      <c r="F205" s="312">
        <v>89.34</v>
      </c>
      <c r="G205" s="313">
        <v>7.5900000000000009E-2</v>
      </c>
      <c r="H205" s="312">
        <v>94.72</v>
      </c>
      <c r="I205" s="313">
        <v>7.6499999999999999E-2</v>
      </c>
    </row>
    <row r="206" spans="1:9" x14ac:dyDescent="0.35">
      <c r="A206" s="316">
        <v>44861</v>
      </c>
      <c r="B206" s="312">
        <v>93.050000000000011</v>
      </c>
      <c r="C206" s="313">
        <v>6.9699999999999998E-2</v>
      </c>
      <c r="D206" s="312">
        <v>93.33</v>
      </c>
      <c r="E206" s="313">
        <v>7.3700000000000002E-2</v>
      </c>
      <c r="F206" s="312">
        <v>89.86</v>
      </c>
      <c r="G206" s="313">
        <v>7.5300000000000006E-2</v>
      </c>
      <c r="H206" s="312">
        <v>95.23</v>
      </c>
      <c r="I206" s="313">
        <v>7.5999999999999998E-2</v>
      </c>
    </row>
    <row r="207" spans="1:9" x14ac:dyDescent="0.35">
      <c r="A207" s="316">
        <v>44862</v>
      </c>
      <c r="B207" s="312">
        <v>93.27000000000001</v>
      </c>
      <c r="C207" s="313">
        <v>6.9100000000000009E-2</v>
      </c>
      <c r="D207" s="312">
        <v>93.62</v>
      </c>
      <c r="E207" s="313">
        <v>7.3300000000000004E-2</v>
      </c>
      <c r="F207" s="312">
        <v>90.490000000000009</v>
      </c>
      <c r="G207" s="313">
        <v>7.4499999999999997E-2</v>
      </c>
      <c r="H207" s="312">
        <v>95.570000000000007</v>
      </c>
      <c r="I207" s="313">
        <v>7.5700000000000003E-2</v>
      </c>
    </row>
    <row r="208" spans="1:9" x14ac:dyDescent="0.35">
      <c r="A208" s="265">
        <v>44865</v>
      </c>
      <c r="B208" s="282">
        <v>93.26</v>
      </c>
      <c r="C208" s="283">
        <v>6.9100000000000009E-2</v>
      </c>
      <c r="D208" s="282">
        <v>93.570000000000007</v>
      </c>
      <c r="E208" s="283">
        <v>7.3300000000000004E-2</v>
      </c>
      <c r="F208" s="282">
        <v>90.17</v>
      </c>
      <c r="G208" s="283">
        <v>7.4900000000000008E-2</v>
      </c>
      <c r="H208" s="282">
        <v>95.22</v>
      </c>
      <c r="I208" s="283">
        <v>7.5999999999999998E-2</v>
      </c>
    </row>
    <row r="209" spans="1:9" x14ac:dyDescent="0.35">
      <c r="A209" s="265">
        <v>44866</v>
      </c>
      <c r="B209" s="282">
        <v>93.4</v>
      </c>
      <c r="C209" s="283">
        <v>6.88E-2</v>
      </c>
      <c r="D209" s="282">
        <v>93.68</v>
      </c>
      <c r="E209" s="283">
        <v>7.3200000000000001E-2</v>
      </c>
      <c r="F209" s="282">
        <v>91.25</v>
      </c>
      <c r="G209" s="283">
        <v>7.3599999999999999E-2</v>
      </c>
      <c r="H209" s="282">
        <v>95.440000000000012</v>
      </c>
      <c r="I209" s="283">
        <v>7.5800000000000006E-2</v>
      </c>
    </row>
    <row r="210" spans="1:9" x14ac:dyDescent="0.35">
      <c r="A210" s="265">
        <v>44867</v>
      </c>
      <c r="B210" s="282">
        <v>93.4</v>
      </c>
      <c r="C210" s="283">
        <v>6.88E-2</v>
      </c>
      <c r="D210" s="282">
        <v>93.68</v>
      </c>
      <c r="E210" s="283">
        <v>7.3200000000000001E-2</v>
      </c>
      <c r="F210" s="282">
        <v>91.25</v>
      </c>
      <c r="G210" s="283">
        <v>7.3599999999999999E-2</v>
      </c>
      <c r="H210" s="282">
        <v>95.440000000000012</v>
      </c>
      <c r="I210" s="283">
        <v>7.5800000000000006E-2</v>
      </c>
    </row>
    <row r="211" spans="1:9" x14ac:dyDescent="0.35">
      <c r="A211" s="265">
        <v>44868</v>
      </c>
      <c r="B211" s="282">
        <v>93.660000000000011</v>
      </c>
      <c r="C211" s="283">
        <v>6.8100000000000008E-2</v>
      </c>
      <c r="D211" s="282">
        <v>94.17</v>
      </c>
      <c r="E211" s="283">
        <v>7.2400000000000006E-2</v>
      </c>
      <c r="F211" s="282">
        <v>94.67</v>
      </c>
      <c r="G211" s="283">
        <v>6.9600000000000009E-2</v>
      </c>
      <c r="H211" s="282">
        <v>97.42</v>
      </c>
      <c r="I211" s="283">
        <v>7.3800000000000004E-2</v>
      </c>
    </row>
    <row r="212" spans="1:9" x14ac:dyDescent="0.35">
      <c r="A212" s="265">
        <v>44869</v>
      </c>
      <c r="B212" s="282">
        <v>93.39</v>
      </c>
      <c r="C212" s="283">
        <v>6.88E-2</v>
      </c>
      <c r="D212" s="282">
        <v>93.83</v>
      </c>
      <c r="E212" s="283">
        <v>7.2900000000000006E-2</v>
      </c>
      <c r="F212" s="282">
        <v>93.710000000000008</v>
      </c>
      <c r="G212" s="283">
        <v>7.0699999999999999E-2</v>
      </c>
      <c r="H212" s="282">
        <v>97.28</v>
      </c>
      <c r="I212" s="283">
        <v>7.3900000000000007E-2</v>
      </c>
    </row>
    <row r="213" spans="1:9" x14ac:dyDescent="0.35">
      <c r="A213" s="316">
        <v>44872</v>
      </c>
      <c r="B213" s="312">
        <v>93.4</v>
      </c>
      <c r="C213" s="313">
        <v>6.88E-2</v>
      </c>
      <c r="D213" s="312">
        <v>93.95</v>
      </c>
      <c r="E213" s="313">
        <v>7.2800000000000004E-2</v>
      </c>
      <c r="F213" s="312">
        <v>93.61</v>
      </c>
      <c r="G213" s="313">
        <v>7.0900000000000005E-2</v>
      </c>
      <c r="H213" s="312">
        <v>97.460000000000008</v>
      </c>
      <c r="I213" s="313">
        <v>7.3800000000000004E-2</v>
      </c>
    </row>
    <row r="214" spans="1:9" x14ac:dyDescent="0.35">
      <c r="A214" s="316">
        <v>44873</v>
      </c>
      <c r="B214" s="312">
        <v>93.350000000000009</v>
      </c>
      <c r="C214" s="313">
        <v>6.9000000000000006E-2</v>
      </c>
      <c r="D214" s="312">
        <v>93.960000000000008</v>
      </c>
      <c r="E214" s="313">
        <v>7.2800000000000004E-2</v>
      </c>
      <c r="F214" s="312">
        <v>93.190000000000012</v>
      </c>
      <c r="G214" s="313">
        <v>7.1300000000000002E-2</v>
      </c>
      <c r="H214" s="312">
        <v>97.28</v>
      </c>
      <c r="I214" s="313">
        <v>7.3900000000000007E-2</v>
      </c>
    </row>
    <row r="215" spans="1:9" x14ac:dyDescent="0.35">
      <c r="A215" s="316">
        <v>44874</v>
      </c>
      <c r="B215" s="312">
        <v>93.27000000000001</v>
      </c>
      <c r="C215" s="313">
        <v>6.9199999999999998E-2</v>
      </c>
      <c r="D215" s="312">
        <v>94.350000000000009</v>
      </c>
      <c r="E215" s="313">
        <v>7.22E-2</v>
      </c>
      <c r="F215" s="312">
        <v>94.4</v>
      </c>
      <c r="G215" s="313">
        <v>6.9900000000000004E-2</v>
      </c>
      <c r="H215" s="312">
        <v>99</v>
      </c>
      <c r="I215" s="313">
        <v>7.2300000000000003E-2</v>
      </c>
    </row>
    <row r="216" spans="1:9" x14ac:dyDescent="0.35">
      <c r="A216" s="316">
        <v>44875</v>
      </c>
      <c r="B216" s="312">
        <v>93.44</v>
      </c>
      <c r="C216" s="313">
        <v>6.8699999999999997E-2</v>
      </c>
      <c r="D216" s="312">
        <v>94.96</v>
      </c>
      <c r="E216" s="313">
        <v>7.1199999999999999E-2</v>
      </c>
      <c r="F216" s="312">
        <v>94.42</v>
      </c>
      <c r="G216" s="313">
        <v>6.9900000000000004E-2</v>
      </c>
      <c r="H216" s="312">
        <v>99.16</v>
      </c>
      <c r="I216" s="313">
        <v>7.2099999999999997E-2</v>
      </c>
    </row>
    <row r="217" spans="1:9" x14ac:dyDescent="0.35">
      <c r="A217" s="316">
        <v>44876</v>
      </c>
      <c r="B217" s="312">
        <v>93.44</v>
      </c>
      <c r="C217" s="313">
        <v>6.8699999999999997E-2</v>
      </c>
      <c r="D217" s="312">
        <v>94.96</v>
      </c>
      <c r="E217" s="313">
        <v>7.1199999999999999E-2</v>
      </c>
      <c r="F217" s="312">
        <v>94.42</v>
      </c>
      <c r="G217" s="313">
        <v>6.9900000000000004E-2</v>
      </c>
      <c r="H217" s="312">
        <v>99.16</v>
      </c>
      <c r="I217" s="313">
        <v>7.2099999999999997E-2</v>
      </c>
    </row>
    <row r="218" spans="1:9" x14ac:dyDescent="0.35">
      <c r="A218" s="265">
        <v>44879</v>
      </c>
      <c r="B218" s="307">
        <v>94.35</v>
      </c>
      <c r="C218" s="308">
        <v>6.6299999999999998E-2</v>
      </c>
      <c r="D218" s="307">
        <v>96.23</v>
      </c>
      <c r="E218" s="308">
        <v>6.93E-2</v>
      </c>
      <c r="F218" s="307">
        <v>95</v>
      </c>
      <c r="G218" s="308">
        <v>6.93E-2</v>
      </c>
      <c r="H218" s="307">
        <v>100.58</v>
      </c>
      <c r="I218" s="308">
        <v>7.0699999999999999E-2</v>
      </c>
    </row>
    <row r="219" spans="1:9" x14ac:dyDescent="0.35">
      <c r="A219" s="265">
        <v>44880</v>
      </c>
      <c r="B219" s="307">
        <v>94.23</v>
      </c>
      <c r="C219" s="308">
        <v>6.6600000000000006E-2</v>
      </c>
      <c r="D219" s="307">
        <v>96.13000000000001</v>
      </c>
      <c r="E219" s="308">
        <v>6.9500000000000006E-2</v>
      </c>
      <c r="F219" s="307">
        <v>94.83</v>
      </c>
      <c r="G219" s="308">
        <v>6.9500000000000006E-2</v>
      </c>
      <c r="H219" s="307">
        <v>99.95</v>
      </c>
      <c r="I219" s="308">
        <v>7.1300000000000002E-2</v>
      </c>
    </row>
    <row r="220" spans="1:9" x14ac:dyDescent="0.35">
      <c r="A220" s="265">
        <v>44881</v>
      </c>
      <c r="B220" s="307">
        <v>94.5</v>
      </c>
      <c r="C220" s="308">
        <v>6.59E-2</v>
      </c>
      <c r="D220" s="307">
        <v>96.32</v>
      </c>
      <c r="E220" s="308">
        <v>6.9199999999999998E-2</v>
      </c>
      <c r="F220" s="307">
        <v>95.04</v>
      </c>
      <c r="G220" s="308">
        <v>6.9199999999999998E-2</v>
      </c>
      <c r="H220" s="307">
        <v>100.14</v>
      </c>
      <c r="I220" s="308">
        <v>7.1199999999999999E-2</v>
      </c>
    </row>
    <row r="221" spans="1:9" x14ac:dyDescent="0.35">
      <c r="A221" s="265">
        <v>44882</v>
      </c>
      <c r="B221" s="307">
        <v>94.61</v>
      </c>
      <c r="C221" s="308">
        <v>6.5600000000000006E-2</v>
      </c>
      <c r="D221" s="307">
        <v>96.460000000000008</v>
      </c>
      <c r="E221" s="308">
        <v>6.9000000000000006E-2</v>
      </c>
      <c r="F221" s="307">
        <v>94.68</v>
      </c>
      <c r="G221" s="308">
        <v>6.9600000000000009E-2</v>
      </c>
      <c r="H221" s="307">
        <v>99.820000000000007</v>
      </c>
      <c r="I221" s="308">
        <v>7.1500000000000008E-2</v>
      </c>
    </row>
    <row r="222" spans="1:9" x14ac:dyDescent="0.35">
      <c r="A222" s="265">
        <v>44883</v>
      </c>
      <c r="B222" s="307">
        <v>94.37</v>
      </c>
      <c r="C222" s="308">
        <v>6.6200000000000009E-2</v>
      </c>
      <c r="D222" s="307">
        <v>96.29</v>
      </c>
      <c r="E222" s="308">
        <v>6.9199999999999998E-2</v>
      </c>
      <c r="F222" s="307">
        <v>94.52000000000001</v>
      </c>
      <c r="G222" s="308">
        <v>6.9800000000000001E-2</v>
      </c>
      <c r="H222" s="307">
        <v>99.62</v>
      </c>
      <c r="I222" s="308">
        <v>7.17E-2</v>
      </c>
    </row>
    <row r="223" spans="1:9" x14ac:dyDescent="0.35">
      <c r="A223" s="293">
        <v>44886</v>
      </c>
      <c r="B223" s="312">
        <v>94.240000000000009</v>
      </c>
      <c r="C223" s="313">
        <v>6.6600000000000006E-2</v>
      </c>
      <c r="D223" s="312">
        <v>96.100000000000009</v>
      </c>
      <c r="E223" s="313">
        <v>6.9500000000000006E-2</v>
      </c>
      <c r="F223" s="312">
        <v>94.410000000000011</v>
      </c>
      <c r="G223" s="313">
        <v>6.9900000000000004E-2</v>
      </c>
      <c r="H223" s="312">
        <v>99.5</v>
      </c>
      <c r="I223" s="313">
        <v>7.1800000000000003E-2</v>
      </c>
    </row>
    <row r="224" spans="1:9" x14ac:dyDescent="0.35">
      <c r="A224" s="293">
        <v>44887</v>
      </c>
      <c r="B224" s="312">
        <v>94.410000000000011</v>
      </c>
      <c r="C224" s="313">
        <v>6.6200000000000009E-2</v>
      </c>
      <c r="D224" s="312">
        <v>96.15</v>
      </c>
      <c r="E224" s="313">
        <v>6.9400000000000003E-2</v>
      </c>
      <c r="F224" s="312">
        <v>94.34</v>
      </c>
      <c r="G224" s="313">
        <v>7.0000000000000007E-2</v>
      </c>
      <c r="H224" s="312">
        <v>99.54</v>
      </c>
      <c r="I224" s="313">
        <v>7.17E-2</v>
      </c>
    </row>
    <row r="225" spans="1:9" x14ac:dyDescent="0.35">
      <c r="A225" s="293">
        <v>44888</v>
      </c>
      <c r="B225" s="312">
        <v>95.050000000000011</v>
      </c>
      <c r="C225" s="313">
        <v>6.4399999999999999E-2</v>
      </c>
      <c r="D225" s="312">
        <v>96.62</v>
      </c>
      <c r="E225" s="313">
        <v>6.8699999999999997E-2</v>
      </c>
      <c r="F225" s="312">
        <v>94.800000000000011</v>
      </c>
      <c r="G225" s="313">
        <v>6.9500000000000006E-2</v>
      </c>
      <c r="H225" s="312">
        <v>100.25</v>
      </c>
      <c r="I225" s="313">
        <v>7.1099999999999997E-2</v>
      </c>
    </row>
    <row r="226" spans="1:9" x14ac:dyDescent="0.35">
      <c r="A226" s="293">
        <v>44889</v>
      </c>
      <c r="B226" s="312">
        <v>95.81</v>
      </c>
      <c r="C226" s="313">
        <v>6.2300000000000001E-2</v>
      </c>
      <c r="D226" s="312">
        <v>97.11</v>
      </c>
      <c r="E226" s="313">
        <v>6.8000000000000005E-2</v>
      </c>
      <c r="F226" s="312">
        <v>95.850000000000009</v>
      </c>
      <c r="G226" s="313">
        <v>6.83E-2</v>
      </c>
      <c r="H226" s="312">
        <v>100.96000000000001</v>
      </c>
      <c r="I226" s="313">
        <v>7.0400000000000004E-2</v>
      </c>
    </row>
    <row r="227" spans="1:9" x14ac:dyDescent="0.35">
      <c r="A227" s="293">
        <v>44890</v>
      </c>
      <c r="B227" s="312">
        <v>95.73</v>
      </c>
      <c r="C227" s="313">
        <v>6.2600000000000003E-2</v>
      </c>
      <c r="D227" s="312">
        <v>96.74</v>
      </c>
      <c r="E227" s="313">
        <v>6.8599999999999994E-2</v>
      </c>
      <c r="F227" s="312">
        <v>95.51</v>
      </c>
      <c r="G227" s="313">
        <v>6.8699999999999997E-2</v>
      </c>
      <c r="H227" s="312">
        <v>100.28</v>
      </c>
      <c r="I227" s="313">
        <v>7.0999999999999994E-2</v>
      </c>
    </row>
    <row r="228" spans="1:9" x14ac:dyDescent="0.35">
      <c r="A228" s="265">
        <v>44893</v>
      </c>
      <c r="B228" s="282">
        <v>95.47</v>
      </c>
      <c r="C228" s="283">
        <v>6.3300000000000009E-2</v>
      </c>
      <c r="D228" s="282">
        <v>96.600000000000009</v>
      </c>
      <c r="E228" s="283">
        <v>6.88E-2</v>
      </c>
      <c r="F228" s="282">
        <v>95.08</v>
      </c>
      <c r="G228" s="283">
        <v>6.9199999999999998E-2</v>
      </c>
      <c r="H228" s="282">
        <v>99.800000000000011</v>
      </c>
      <c r="I228" s="283">
        <v>7.1500000000000008E-2</v>
      </c>
    </row>
    <row r="229" spans="1:9" x14ac:dyDescent="0.35">
      <c r="A229" s="265">
        <v>44894</v>
      </c>
      <c r="B229" s="282">
        <v>95.72</v>
      </c>
      <c r="C229" s="283">
        <v>6.2600000000000003E-2</v>
      </c>
      <c r="D229" s="282">
        <v>96.68</v>
      </c>
      <c r="E229" s="283">
        <v>6.8600000000000008E-2</v>
      </c>
      <c r="F229" s="282">
        <v>95.17</v>
      </c>
      <c r="G229" s="283">
        <v>6.9100000000000009E-2</v>
      </c>
      <c r="H229" s="282">
        <v>100.16000000000001</v>
      </c>
      <c r="I229" s="283">
        <v>7.1099999999999997E-2</v>
      </c>
    </row>
    <row r="230" spans="1:9" x14ac:dyDescent="0.35">
      <c r="A230" s="265">
        <v>44895</v>
      </c>
      <c r="B230" s="282">
        <v>95.59</v>
      </c>
      <c r="C230" s="283">
        <v>6.3E-2</v>
      </c>
      <c r="D230" s="282">
        <v>96.690000000000012</v>
      </c>
      <c r="E230" s="283">
        <v>6.8600000000000008E-2</v>
      </c>
      <c r="F230" s="282">
        <v>95.43</v>
      </c>
      <c r="G230" s="283">
        <v>6.88E-2</v>
      </c>
      <c r="H230" s="282">
        <v>100.24000000000001</v>
      </c>
      <c r="I230" s="283">
        <v>7.1099999999999997E-2</v>
      </c>
    </row>
    <row r="231" spans="1:9" x14ac:dyDescent="0.35">
      <c r="A231" s="265">
        <v>44896</v>
      </c>
      <c r="B231" s="282">
        <v>96.54</v>
      </c>
      <c r="C231" s="283">
        <v>6.0400000000000002E-2</v>
      </c>
      <c r="D231" s="282">
        <v>97.37</v>
      </c>
      <c r="E231" s="283">
        <v>6.7600000000000007E-2</v>
      </c>
      <c r="F231" s="282">
        <v>96.77000000000001</v>
      </c>
      <c r="G231" s="283">
        <v>6.7299999999999999E-2</v>
      </c>
      <c r="H231" s="282">
        <v>101.94000000000001</v>
      </c>
      <c r="I231" s="283">
        <v>6.9500000000000006E-2</v>
      </c>
    </row>
    <row r="232" spans="1:9" x14ac:dyDescent="0.35">
      <c r="A232" s="265">
        <v>44897</v>
      </c>
      <c r="B232" s="282">
        <v>96.83</v>
      </c>
      <c r="C232" s="283">
        <v>5.96E-2</v>
      </c>
      <c r="D232" s="282">
        <v>97.710000000000008</v>
      </c>
      <c r="E232" s="283">
        <v>6.7100000000000007E-2</v>
      </c>
      <c r="F232" s="282">
        <v>97.01</v>
      </c>
      <c r="G232" s="283">
        <v>6.7000000000000004E-2</v>
      </c>
      <c r="H232" s="282">
        <v>101.5</v>
      </c>
      <c r="I232" s="283">
        <v>6.9900000000000004E-2</v>
      </c>
    </row>
    <row r="233" spans="1:9" x14ac:dyDescent="0.3">
      <c r="A233" s="317">
        <v>44900</v>
      </c>
      <c r="B233" s="318">
        <v>96.740000000000009</v>
      </c>
      <c r="C233" s="319">
        <v>5.9900000000000002E-2</v>
      </c>
      <c r="D233" s="318">
        <v>97.37</v>
      </c>
      <c r="E233" s="319">
        <v>6.7600000000000007E-2</v>
      </c>
      <c r="F233" s="318">
        <v>96.160000000000011</v>
      </c>
      <c r="G233" s="319">
        <v>6.8000000000000005E-2</v>
      </c>
      <c r="H233" s="318">
        <v>101.36</v>
      </c>
      <c r="I233" s="319">
        <v>7.0000000000000007E-2</v>
      </c>
    </row>
    <row r="234" spans="1:9" x14ac:dyDescent="0.3">
      <c r="A234" s="317">
        <v>44901</v>
      </c>
      <c r="B234" s="318">
        <v>96.490000000000009</v>
      </c>
      <c r="C234" s="319">
        <v>6.0600000000000001E-2</v>
      </c>
      <c r="D234" s="318">
        <v>96.8</v>
      </c>
      <c r="E234" s="319">
        <v>6.8500000000000005E-2</v>
      </c>
      <c r="F234" s="318">
        <v>95.39</v>
      </c>
      <c r="G234" s="319">
        <v>6.88E-2</v>
      </c>
      <c r="H234" s="318">
        <v>100.84</v>
      </c>
      <c r="I234" s="319">
        <v>7.0500000000000007E-2</v>
      </c>
    </row>
    <row r="235" spans="1:9" x14ac:dyDescent="0.3">
      <c r="A235" s="317">
        <v>44902</v>
      </c>
      <c r="B235" s="318">
        <v>96.440000000000012</v>
      </c>
      <c r="C235" s="319">
        <v>6.0700000000000004E-2</v>
      </c>
      <c r="D235" s="318">
        <v>96.48</v>
      </c>
      <c r="E235" s="319">
        <v>6.9000000000000006E-2</v>
      </c>
      <c r="F235" s="318">
        <v>95.31</v>
      </c>
      <c r="G235" s="319">
        <v>6.8900000000000003E-2</v>
      </c>
      <c r="H235" s="318">
        <v>100.43</v>
      </c>
      <c r="I235" s="319">
        <v>7.0900000000000005E-2</v>
      </c>
    </row>
    <row r="236" spans="1:9" x14ac:dyDescent="0.3">
      <c r="A236" s="317">
        <v>44903</v>
      </c>
      <c r="B236" s="318">
        <v>96.48</v>
      </c>
      <c r="C236" s="319">
        <v>6.0600000000000001E-2</v>
      </c>
      <c r="D236" s="318">
        <v>96.68</v>
      </c>
      <c r="E236" s="319">
        <v>6.8699999999999997E-2</v>
      </c>
      <c r="F236" s="318">
        <v>95.11</v>
      </c>
      <c r="G236" s="319">
        <v>6.9199999999999998E-2</v>
      </c>
      <c r="H236" s="318">
        <v>100.08</v>
      </c>
      <c r="I236" s="319">
        <v>7.1199999999999999E-2</v>
      </c>
    </row>
    <row r="237" spans="1:9" x14ac:dyDescent="0.3">
      <c r="A237" s="317">
        <v>44904</v>
      </c>
      <c r="B237" s="318">
        <v>96.58</v>
      </c>
      <c r="C237" s="319">
        <v>6.0299999999999999E-2</v>
      </c>
      <c r="D237" s="318">
        <v>96.820000000000007</v>
      </c>
      <c r="E237" s="319">
        <v>6.8400000000000002E-2</v>
      </c>
      <c r="F237" s="318">
        <v>95.210000000000008</v>
      </c>
      <c r="G237" s="319">
        <v>6.9000000000000006E-2</v>
      </c>
      <c r="H237" s="318">
        <v>100.22</v>
      </c>
      <c r="I237" s="319">
        <v>7.1099999999999997E-2</v>
      </c>
    </row>
    <row r="238" spans="1:9" x14ac:dyDescent="0.3">
      <c r="A238" s="320">
        <v>44907</v>
      </c>
      <c r="B238" s="321">
        <v>96.55</v>
      </c>
      <c r="C238" s="322">
        <v>6.0400000000000002E-2</v>
      </c>
      <c r="D238" s="321">
        <v>96.800000000000011</v>
      </c>
      <c r="E238" s="322">
        <v>6.8500000000000005E-2</v>
      </c>
      <c r="F238" s="321">
        <v>95.300000000000011</v>
      </c>
      <c r="G238" s="322">
        <v>6.9000000000000006E-2</v>
      </c>
      <c r="H238" s="321">
        <v>100.02000000000001</v>
      </c>
      <c r="I238" s="322">
        <v>7.1300000000000002E-2</v>
      </c>
    </row>
    <row r="239" spans="1:9" x14ac:dyDescent="0.3">
      <c r="A239" s="320">
        <v>44908</v>
      </c>
      <c r="B239" s="321">
        <v>96.4</v>
      </c>
      <c r="C239" s="322">
        <v>6.0900000000000003E-2</v>
      </c>
      <c r="D239" s="321">
        <v>96.62</v>
      </c>
      <c r="E239" s="322">
        <v>6.8699999999999997E-2</v>
      </c>
      <c r="F239" s="321">
        <v>96.16</v>
      </c>
      <c r="G239" s="322">
        <v>6.8000000000000005E-2</v>
      </c>
      <c r="H239" s="321">
        <v>99.99</v>
      </c>
      <c r="I239" s="322">
        <v>7.1300000000000002E-2</v>
      </c>
    </row>
    <row r="240" spans="1:9" x14ac:dyDescent="0.3">
      <c r="A240" s="320">
        <v>44909</v>
      </c>
      <c r="B240" s="321">
        <v>96.740000000000009</v>
      </c>
      <c r="C240" s="322">
        <v>5.9900000000000002E-2</v>
      </c>
      <c r="D240" s="321">
        <v>97.34</v>
      </c>
      <c r="E240" s="322">
        <v>6.7699999999999996E-2</v>
      </c>
      <c r="F240" s="321">
        <v>96.18</v>
      </c>
      <c r="G240" s="322">
        <v>6.8000000000000005E-2</v>
      </c>
      <c r="H240" s="321">
        <v>100.03</v>
      </c>
      <c r="I240" s="322">
        <v>7.1300000000000002E-2</v>
      </c>
    </row>
    <row r="241" spans="1:9" x14ac:dyDescent="0.3">
      <c r="A241" s="320">
        <v>44910</v>
      </c>
      <c r="B241" s="321">
        <v>96.62</v>
      </c>
      <c r="C241" s="322">
        <v>6.0299999999999999E-2</v>
      </c>
      <c r="D241" s="321">
        <v>97.09</v>
      </c>
      <c r="E241" s="322">
        <v>6.8000000000000005E-2</v>
      </c>
      <c r="F241" s="321">
        <v>96.7</v>
      </c>
      <c r="G241" s="322">
        <v>6.7400000000000002E-2</v>
      </c>
      <c r="H241" s="321">
        <v>99.93</v>
      </c>
      <c r="I241" s="322">
        <v>7.1400000000000005E-2</v>
      </c>
    </row>
    <row r="242" spans="1:9" x14ac:dyDescent="0.3">
      <c r="A242" s="320">
        <v>44911</v>
      </c>
      <c r="B242" s="321">
        <v>96.65</v>
      </c>
      <c r="C242" s="322">
        <v>6.0200000000000004E-2</v>
      </c>
      <c r="D242" s="321">
        <v>97.18</v>
      </c>
      <c r="E242" s="322">
        <v>6.7900000000000002E-2</v>
      </c>
      <c r="F242" s="321">
        <v>96.56</v>
      </c>
      <c r="G242" s="322">
        <v>6.7500000000000004E-2</v>
      </c>
      <c r="H242" s="321">
        <v>100.3</v>
      </c>
      <c r="I242" s="322">
        <v>7.1000000000000008E-2</v>
      </c>
    </row>
    <row r="243" spans="1:9" x14ac:dyDescent="0.3">
      <c r="A243" s="323">
        <v>44914</v>
      </c>
      <c r="B243" s="324">
        <v>96.59</v>
      </c>
      <c r="C243" s="325">
        <v>6.0400000000000002E-2</v>
      </c>
      <c r="D243" s="324">
        <v>97.210000000000008</v>
      </c>
      <c r="E243" s="325">
        <v>6.7900000000000002E-2</v>
      </c>
      <c r="F243" s="324">
        <v>96.48</v>
      </c>
      <c r="G243" s="325">
        <v>6.7600000000000007E-2</v>
      </c>
      <c r="H243" s="324">
        <v>100.24000000000001</v>
      </c>
      <c r="I243" s="325">
        <v>7.1099999999999997E-2</v>
      </c>
    </row>
    <row r="244" spans="1:9" x14ac:dyDescent="0.3">
      <c r="A244" s="323">
        <v>44915</v>
      </c>
      <c r="B244" s="324">
        <v>96.850000000000009</v>
      </c>
      <c r="C244" s="325">
        <v>5.9700000000000003E-2</v>
      </c>
      <c r="D244" s="324">
        <v>99.29</v>
      </c>
      <c r="E244" s="325">
        <v>6.4799999999999996E-2</v>
      </c>
      <c r="F244" s="324">
        <v>96.34</v>
      </c>
      <c r="G244" s="325">
        <v>6.7799999999999999E-2</v>
      </c>
      <c r="H244" s="324">
        <v>96.190000000000012</v>
      </c>
      <c r="I244" s="325">
        <v>7.4999999999999997E-2</v>
      </c>
    </row>
    <row r="245" spans="1:9" x14ac:dyDescent="0.3">
      <c r="A245" s="323">
        <v>44916</v>
      </c>
      <c r="B245" s="324">
        <v>96.350000000000009</v>
      </c>
      <c r="C245" s="325">
        <v>6.1000000000000006E-2</v>
      </c>
      <c r="D245" s="324">
        <v>96.75</v>
      </c>
      <c r="E245" s="325">
        <v>6.8600000000000008E-2</v>
      </c>
      <c r="F245" s="324">
        <v>96.62</v>
      </c>
      <c r="G245" s="325">
        <v>6.7500000000000004E-2</v>
      </c>
      <c r="H245" s="324">
        <v>100.2</v>
      </c>
      <c r="I245" s="325">
        <v>7.1099999999999997E-2</v>
      </c>
    </row>
    <row r="246" spans="1:9" x14ac:dyDescent="0.3">
      <c r="A246" s="323">
        <v>44917</v>
      </c>
      <c r="B246" s="324">
        <v>96.36</v>
      </c>
      <c r="C246" s="325">
        <v>6.1000000000000006E-2</v>
      </c>
      <c r="D246" s="324">
        <v>96.64</v>
      </c>
      <c r="E246" s="325">
        <v>6.8699999999999997E-2</v>
      </c>
      <c r="F246" s="324">
        <v>96.62</v>
      </c>
      <c r="G246" s="325">
        <v>6.7500000000000004E-2</v>
      </c>
      <c r="H246" s="324">
        <v>100.01</v>
      </c>
      <c r="I246" s="325">
        <v>7.1300000000000002E-2</v>
      </c>
    </row>
    <row r="247" spans="1:9" x14ac:dyDescent="0.3">
      <c r="A247" s="323">
        <v>44918</v>
      </c>
      <c r="B247" s="324">
        <v>96.41</v>
      </c>
      <c r="C247" s="325">
        <v>6.0900000000000003E-2</v>
      </c>
      <c r="D247" s="324">
        <v>96.63</v>
      </c>
      <c r="E247" s="325">
        <v>6.8699999999999997E-2</v>
      </c>
      <c r="F247" s="324">
        <v>96.96</v>
      </c>
      <c r="G247" s="325">
        <v>6.7100000000000007E-2</v>
      </c>
      <c r="H247" s="324">
        <v>100.13</v>
      </c>
      <c r="I247" s="325">
        <v>7.1199999999999999E-2</v>
      </c>
    </row>
    <row r="248" spans="1:9" x14ac:dyDescent="0.3">
      <c r="A248" s="320">
        <v>44921</v>
      </c>
      <c r="B248" s="326">
        <v>96.36</v>
      </c>
      <c r="C248" s="327">
        <v>6.1000000000000006E-2</v>
      </c>
      <c r="D248" s="326">
        <v>96.490000000000009</v>
      </c>
      <c r="E248" s="327">
        <v>6.9000000000000006E-2</v>
      </c>
      <c r="F248" s="326">
        <v>96.79</v>
      </c>
      <c r="G248" s="327">
        <v>6.7299999999999999E-2</v>
      </c>
      <c r="H248" s="326">
        <v>100.10000000000001</v>
      </c>
      <c r="I248" s="327">
        <v>7.1199999999999999E-2</v>
      </c>
    </row>
    <row r="249" spans="1:9" x14ac:dyDescent="0.3">
      <c r="A249" s="320">
        <v>44922</v>
      </c>
      <c r="B249" s="328">
        <v>96.42</v>
      </c>
      <c r="C249" s="327">
        <v>6.0900000000000003E-2</v>
      </c>
      <c r="D249" s="328">
        <v>96.550000000000011</v>
      </c>
      <c r="E249" s="327">
        <v>6.8900000000000003E-2</v>
      </c>
      <c r="F249" s="328">
        <v>96.81</v>
      </c>
      <c r="G249" s="327">
        <v>6.7299999999999999E-2</v>
      </c>
      <c r="H249" s="328">
        <v>100.25</v>
      </c>
      <c r="I249" s="327">
        <v>7.1099999999999997E-2</v>
      </c>
    </row>
    <row r="250" spans="1:9" x14ac:dyDescent="0.3">
      <c r="A250" s="320">
        <v>44923</v>
      </c>
      <c r="B250" s="329">
        <v>96.36</v>
      </c>
      <c r="C250" s="327">
        <v>6.1000000000000006E-2</v>
      </c>
      <c r="D250" s="329">
        <v>96.490000000000009</v>
      </c>
      <c r="E250" s="327">
        <v>6.9000000000000006E-2</v>
      </c>
      <c r="F250" s="329">
        <v>96.61</v>
      </c>
      <c r="G250" s="327">
        <v>6.7500000000000004E-2</v>
      </c>
      <c r="H250" s="329">
        <v>100.3</v>
      </c>
      <c r="I250" s="327">
        <v>7.1000000000000008E-2</v>
      </c>
    </row>
    <row r="251" spans="1:9" x14ac:dyDescent="0.3">
      <c r="A251" s="320">
        <v>44924</v>
      </c>
      <c r="B251" s="330">
        <v>96.36</v>
      </c>
      <c r="C251" s="327">
        <v>6.1000000000000006E-2</v>
      </c>
      <c r="D251" s="330">
        <v>96.5</v>
      </c>
      <c r="E251" s="327">
        <v>6.8900000000000003E-2</v>
      </c>
      <c r="F251" s="330">
        <v>96.67</v>
      </c>
      <c r="G251" s="327">
        <v>6.7400000000000002E-2</v>
      </c>
      <c r="H251" s="330">
        <v>100.30000000000001</v>
      </c>
      <c r="I251" s="327">
        <v>7.1000000000000008E-2</v>
      </c>
    </row>
    <row r="252" spans="1:9" x14ac:dyDescent="0.3">
      <c r="A252" s="320">
        <v>44925</v>
      </c>
      <c r="B252" s="331">
        <v>96.5</v>
      </c>
      <c r="C252" s="327">
        <v>6.0700000000000004E-2</v>
      </c>
      <c r="D252" s="331">
        <v>96.63000000000001</v>
      </c>
      <c r="E252" s="327">
        <v>6.8699999999999997E-2</v>
      </c>
      <c r="F252" s="331">
        <v>96.62</v>
      </c>
      <c r="G252" s="327">
        <v>6.7500000000000004E-2</v>
      </c>
      <c r="H252" s="331">
        <v>100.39</v>
      </c>
      <c r="I252" s="327">
        <v>7.0900000000000005E-2</v>
      </c>
    </row>
  </sheetData>
  <mergeCells count="17">
    <mergeCell ref="H4:I4"/>
    <mergeCell ref="B5:C5"/>
    <mergeCell ref="D5:E5"/>
    <mergeCell ref="F5:G5"/>
    <mergeCell ref="H5:I5"/>
    <mergeCell ref="A2:A6"/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  <mergeCell ref="F4:G4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0E47-5E2A-4111-B502-F006DBBA5776}">
  <dimension ref="A2:J247"/>
  <sheetViews>
    <sheetView zoomScale="90" zoomScaleNormal="90" workbookViewId="0">
      <pane ySplit="6" topLeftCell="A166" activePane="bottomLeft" state="frozen"/>
      <selection activeCell="K1" sqref="K1:XFD1048576"/>
      <selection pane="bottomLeft" activeCell="J180" sqref="J180"/>
    </sheetView>
  </sheetViews>
  <sheetFormatPr defaultColWidth="0" defaultRowHeight="14.5" x14ac:dyDescent="0.35"/>
  <cols>
    <col min="1" max="1" width="14.453125" style="253" customWidth="1"/>
    <col min="2" max="2" width="9.36328125" style="332" customWidth="1"/>
    <col min="3" max="3" width="10" style="333" customWidth="1"/>
    <col min="4" max="4" width="10.453125" style="332" customWidth="1"/>
    <col min="5" max="5" width="10" style="333" customWidth="1"/>
    <col min="6" max="6" width="11.36328125" style="332" customWidth="1"/>
    <col min="7" max="7" width="10" style="333" customWidth="1"/>
    <col min="8" max="8" width="10.453125" style="332" customWidth="1"/>
    <col min="9" max="9" width="10" style="333" customWidth="1"/>
    <col min="10" max="10" width="9.1796875" style="262" customWidth="1"/>
    <col min="11" max="16384" width="9.1796875" style="47" hidden="1"/>
  </cols>
  <sheetData>
    <row r="2" spans="1:9" s="262" customFormat="1" x14ac:dyDescent="0.35">
      <c r="A2" s="482" t="s">
        <v>73</v>
      </c>
      <c r="B2" s="485" t="s">
        <v>74</v>
      </c>
      <c r="C2" s="485"/>
      <c r="D2" s="485" t="s">
        <v>75</v>
      </c>
      <c r="E2" s="485"/>
      <c r="F2" s="485" t="s">
        <v>76</v>
      </c>
      <c r="G2" s="485"/>
      <c r="H2" s="485" t="s">
        <v>77</v>
      </c>
      <c r="I2" s="485"/>
    </row>
    <row r="3" spans="1:9" s="262" customFormat="1" x14ac:dyDescent="0.35">
      <c r="A3" s="483"/>
      <c r="B3" s="485" t="s">
        <v>124</v>
      </c>
      <c r="C3" s="485"/>
      <c r="D3" s="485" t="s">
        <v>125</v>
      </c>
      <c r="E3" s="485"/>
      <c r="F3" s="485" t="s">
        <v>126</v>
      </c>
      <c r="G3" s="485"/>
      <c r="H3" s="485" t="s">
        <v>127</v>
      </c>
      <c r="I3" s="485"/>
    </row>
    <row r="4" spans="1:9" s="262" customFormat="1" x14ac:dyDescent="0.35">
      <c r="A4" s="483"/>
      <c r="B4" s="486">
        <v>6.3750000000000001E-2</v>
      </c>
      <c r="C4" s="486"/>
      <c r="D4" s="486">
        <v>7.0000000000000007E-2</v>
      </c>
      <c r="E4" s="486"/>
      <c r="F4" s="486">
        <v>7.1249999999999994E-2</v>
      </c>
      <c r="G4" s="486"/>
      <c r="H4" s="486">
        <v>7.1249999999999994E-2</v>
      </c>
      <c r="I4" s="486"/>
    </row>
    <row r="5" spans="1:9" s="262" customFormat="1" x14ac:dyDescent="0.35">
      <c r="A5" s="483"/>
      <c r="B5" s="479">
        <v>46980</v>
      </c>
      <c r="C5" s="479"/>
      <c r="D5" s="479">
        <v>48625</v>
      </c>
      <c r="E5" s="479"/>
      <c r="F5" s="479">
        <v>50571</v>
      </c>
      <c r="G5" s="479"/>
      <c r="H5" s="479">
        <v>52397</v>
      </c>
      <c r="I5" s="479"/>
    </row>
    <row r="6" spans="1:9" s="262" customFormat="1" ht="29" x14ac:dyDescent="0.35">
      <c r="A6" s="483"/>
      <c r="B6" s="289" t="s">
        <v>82</v>
      </c>
      <c r="C6" s="290" t="s">
        <v>83</v>
      </c>
      <c r="D6" s="289" t="s">
        <v>82</v>
      </c>
      <c r="E6" s="290" t="s">
        <v>83</v>
      </c>
      <c r="F6" s="289" t="s">
        <v>82</v>
      </c>
      <c r="G6" s="290" t="s">
        <v>83</v>
      </c>
      <c r="H6" s="289" t="s">
        <v>82</v>
      </c>
      <c r="I6" s="290" t="s">
        <v>83</v>
      </c>
    </row>
    <row r="7" spans="1:9" s="262" customFormat="1" x14ac:dyDescent="0.35">
      <c r="A7" s="265">
        <v>44928</v>
      </c>
      <c r="B7" s="307">
        <v>99.18</v>
      </c>
      <c r="C7" s="308">
        <v>6.5500000000000003E-2</v>
      </c>
      <c r="D7" s="307">
        <v>100.26</v>
      </c>
      <c r="E7" s="308">
        <v>6.9699999999999998E-2</v>
      </c>
      <c r="F7" s="307">
        <v>100.89</v>
      </c>
      <c r="G7" s="308">
        <v>7.0300000000000001E-2</v>
      </c>
      <c r="H7" s="307">
        <v>100.4</v>
      </c>
      <c r="I7" s="308">
        <v>7.0900000000000005E-2</v>
      </c>
    </row>
    <row r="8" spans="1:9" s="262" customFormat="1" x14ac:dyDescent="0.35">
      <c r="A8" s="265">
        <v>44929</v>
      </c>
      <c r="B8" s="307">
        <v>98.990000000000009</v>
      </c>
      <c r="C8" s="308">
        <v>6.6000000000000003E-2</v>
      </c>
      <c r="D8" s="307">
        <v>99.850000000000009</v>
      </c>
      <c r="E8" s="308">
        <v>7.0199999999999999E-2</v>
      </c>
      <c r="F8" s="307">
        <v>100.37</v>
      </c>
      <c r="G8" s="308">
        <v>7.0900000000000005E-2</v>
      </c>
      <c r="H8" s="307">
        <v>100.02000000000001</v>
      </c>
      <c r="I8" s="308">
        <v>7.1300000000000002E-2</v>
      </c>
    </row>
    <row r="9" spans="1:9" s="262" customFormat="1" x14ac:dyDescent="0.35">
      <c r="A9" s="265">
        <v>44930</v>
      </c>
      <c r="B9" s="307">
        <v>98.79</v>
      </c>
      <c r="C9" s="308">
        <v>6.6400000000000001E-2</v>
      </c>
      <c r="D9" s="307">
        <v>99.570000000000007</v>
      </c>
      <c r="E9" s="308">
        <v>7.0599999999999996E-2</v>
      </c>
      <c r="F9" s="307">
        <v>99.820000000000007</v>
      </c>
      <c r="G9" s="308">
        <v>7.1500000000000008E-2</v>
      </c>
      <c r="H9" s="307">
        <v>99.59</v>
      </c>
      <c r="I9" s="308">
        <v>7.17E-2</v>
      </c>
    </row>
    <row r="10" spans="1:9" s="262" customFormat="1" x14ac:dyDescent="0.35">
      <c r="A10" s="265">
        <v>44931</v>
      </c>
      <c r="B10" s="307">
        <v>99.01</v>
      </c>
      <c r="C10" s="308">
        <v>6.59E-2</v>
      </c>
      <c r="D10" s="307">
        <v>99.9</v>
      </c>
      <c r="E10" s="308">
        <v>7.0199999999999999E-2</v>
      </c>
      <c r="F10" s="307">
        <v>100.2</v>
      </c>
      <c r="G10" s="308">
        <v>7.1099999999999997E-2</v>
      </c>
      <c r="H10" s="307">
        <v>100.12</v>
      </c>
      <c r="I10" s="308">
        <v>7.1199999999999999E-2</v>
      </c>
    </row>
    <row r="11" spans="1:9" s="262" customFormat="1" x14ac:dyDescent="0.35">
      <c r="A11" s="265">
        <v>44932</v>
      </c>
      <c r="B11" s="307">
        <v>99.05</v>
      </c>
      <c r="C11" s="308">
        <v>6.5799999999999997E-2</v>
      </c>
      <c r="D11" s="307">
        <v>100.06</v>
      </c>
      <c r="E11" s="308">
        <v>7.0000000000000007E-2</v>
      </c>
      <c r="F11" s="307">
        <v>100.16</v>
      </c>
      <c r="G11" s="308">
        <v>7.1099999999999997E-2</v>
      </c>
      <c r="H11" s="307">
        <v>100.1</v>
      </c>
      <c r="I11" s="308">
        <v>7.1199999999999999E-2</v>
      </c>
    </row>
    <row r="12" spans="1:9" s="262" customFormat="1" x14ac:dyDescent="0.35">
      <c r="A12" s="309">
        <v>44935</v>
      </c>
      <c r="B12" s="310">
        <v>99.36</v>
      </c>
      <c r="C12" s="311">
        <v>6.5200000000000008E-2</v>
      </c>
      <c r="D12" s="310">
        <v>100.54</v>
      </c>
      <c r="E12" s="311">
        <v>6.93E-2</v>
      </c>
      <c r="F12" s="310">
        <v>100.58</v>
      </c>
      <c r="G12" s="311">
        <v>7.0699999999999999E-2</v>
      </c>
      <c r="H12" s="310">
        <v>100.69000000000001</v>
      </c>
      <c r="I12" s="311">
        <v>7.0599999999999996E-2</v>
      </c>
    </row>
    <row r="13" spans="1:9" x14ac:dyDescent="0.35">
      <c r="A13" s="309">
        <v>44936</v>
      </c>
      <c r="B13" s="310">
        <v>99.550000000000011</v>
      </c>
      <c r="C13" s="311">
        <v>6.4799999999999996E-2</v>
      </c>
      <c r="D13" s="310">
        <v>100.84</v>
      </c>
      <c r="E13" s="311">
        <v>6.8900000000000003E-2</v>
      </c>
      <c r="F13" s="310">
        <v>100.80000000000001</v>
      </c>
      <c r="G13" s="311">
        <v>7.0400000000000004E-2</v>
      </c>
      <c r="H13" s="310">
        <v>100.71000000000001</v>
      </c>
      <c r="I13" s="311">
        <v>7.0599999999999996E-2</v>
      </c>
    </row>
    <row r="14" spans="1:9" x14ac:dyDescent="0.35">
      <c r="A14" s="309">
        <v>44937</v>
      </c>
      <c r="B14" s="310">
        <v>99.7</v>
      </c>
      <c r="C14" s="311">
        <v>6.4399999999999999E-2</v>
      </c>
      <c r="D14" s="310">
        <v>101.09</v>
      </c>
      <c r="E14" s="311">
        <v>6.8500000000000005E-2</v>
      </c>
      <c r="F14" s="310">
        <v>101.42</v>
      </c>
      <c r="G14" s="311">
        <v>6.9800000000000001E-2</v>
      </c>
      <c r="H14" s="310">
        <v>101.61</v>
      </c>
      <c r="I14" s="311">
        <v>6.9800000000000001E-2</v>
      </c>
    </row>
    <row r="15" spans="1:9" x14ac:dyDescent="0.35">
      <c r="A15" s="309">
        <v>44938</v>
      </c>
      <c r="B15" s="310">
        <v>99.92</v>
      </c>
      <c r="C15" s="311">
        <v>6.4000000000000001E-2</v>
      </c>
      <c r="D15" s="310">
        <v>101.59</v>
      </c>
      <c r="E15" s="311">
        <v>6.7799999999999999E-2</v>
      </c>
      <c r="F15" s="310">
        <v>102.55000000000001</v>
      </c>
      <c r="G15" s="311">
        <v>6.8600000000000008E-2</v>
      </c>
      <c r="H15" s="310">
        <v>102.9</v>
      </c>
      <c r="I15" s="311">
        <v>6.8600000000000008E-2</v>
      </c>
    </row>
    <row r="16" spans="1:9" x14ac:dyDescent="0.35">
      <c r="A16" s="309">
        <v>44939</v>
      </c>
      <c r="B16" s="310">
        <v>100.18</v>
      </c>
      <c r="C16" s="311">
        <v>6.3399999999999998E-2</v>
      </c>
      <c r="D16" s="310">
        <v>102.38</v>
      </c>
      <c r="E16" s="311">
        <v>6.6799999999999998E-2</v>
      </c>
      <c r="F16" s="310">
        <v>104.02</v>
      </c>
      <c r="G16" s="311">
        <v>6.7100000000000007E-2</v>
      </c>
      <c r="H16" s="310">
        <v>104.32</v>
      </c>
      <c r="I16" s="311">
        <v>6.7400000000000002E-2</v>
      </c>
    </row>
    <row r="17" spans="1:9" x14ac:dyDescent="0.35">
      <c r="A17" s="347">
        <v>44942</v>
      </c>
      <c r="B17" s="307">
        <v>99.86</v>
      </c>
      <c r="C17" s="308">
        <v>6.4100000000000004E-2</v>
      </c>
      <c r="D17" s="307">
        <v>101.7</v>
      </c>
      <c r="E17" s="308">
        <v>6.7699999999999996E-2</v>
      </c>
      <c r="F17" s="307">
        <v>103.46000000000001</v>
      </c>
      <c r="G17" s="308">
        <v>6.7600000000000007E-2</v>
      </c>
      <c r="H17" s="307">
        <v>103.75</v>
      </c>
      <c r="I17" s="308">
        <v>6.7900000000000002E-2</v>
      </c>
    </row>
    <row r="18" spans="1:9" x14ac:dyDescent="0.35">
      <c r="A18" s="347">
        <v>44943</v>
      </c>
      <c r="B18" s="307">
        <v>99.59</v>
      </c>
      <c r="C18" s="308">
        <v>6.4699999999999994E-2</v>
      </c>
      <c r="D18" s="307">
        <v>101.21</v>
      </c>
      <c r="E18" s="308">
        <v>6.8400000000000002E-2</v>
      </c>
      <c r="F18" s="307">
        <v>102.51</v>
      </c>
      <c r="G18" s="308">
        <v>6.8599999999999994E-2</v>
      </c>
      <c r="H18" s="307">
        <v>102.6</v>
      </c>
      <c r="I18" s="308">
        <v>6.8900000000000003E-2</v>
      </c>
    </row>
    <row r="19" spans="1:9" x14ac:dyDescent="0.35">
      <c r="A19" s="347">
        <v>44944</v>
      </c>
      <c r="B19" s="307">
        <v>99.86</v>
      </c>
      <c r="C19" s="308">
        <v>6.4100000000000004E-2</v>
      </c>
      <c r="D19" s="307">
        <v>101.56</v>
      </c>
      <c r="E19" s="308">
        <v>6.7900000000000002E-2</v>
      </c>
      <c r="F19" s="307">
        <v>102.92</v>
      </c>
      <c r="G19" s="308">
        <v>6.8199999999999997E-2</v>
      </c>
      <c r="H19" s="307">
        <v>102.9</v>
      </c>
      <c r="I19" s="308">
        <v>6.8600000000000008E-2</v>
      </c>
    </row>
    <row r="20" spans="1:9" x14ac:dyDescent="0.35">
      <c r="A20" s="347">
        <v>44945</v>
      </c>
      <c r="B20" s="307">
        <v>100.31</v>
      </c>
      <c r="C20" s="308">
        <v>6.3100000000000003E-2</v>
      </c>
      <c r="D20" s="307">
        <v>102.30000000000001</v>
      </c>
      <c r="E20" s="308">
        <v>6.6900000000000001E-2</v>
      </c>
      <c r="F20" s="307">
        <v>103.75</v>
      </c>
      <c r="G20" s="308">
        <v>6.7299999999999999E-2</v>
      </c>
      <c r="H20" s="307">
        <v>103.94000000000001</v>
      </c>
      <c r="I20" s="308">
        <v>6.7699999999999996E-2</v>
      </c>
    </row>
    <row r="21" spans="1:9" x14ac:dyDescent="0.35">
      <c r="A21" s="347">
        <v>44946</v>
      </c>
      <c r="B21" s="307">
        <v>100.09</v>
      </c>
      <c r="C21" s="308">
        <v>6.3600000000000004E-2</v>
      </c>
      <c r="D21" s="307">
        <v>102.12</v>
      </c>
      <c r="E21" s="308">
        <v>6.7100000000000007E-2</v>
      </c>
      <c r="F21" s="307">
        <v>103.25</v>
      </c>
      <c r="G21" s="308">
        <v>6.7900000000000002E-2</v>
      </c>
      <c r="H21" s="307">
        <v>103.48</v>
      </c>
      <c r="I21" s="308">
        <v>6.8100000000000008E-2</v>
      </c>
    </row>
    <row r="22" spans="1:9" x14ac:dyDescent="0.35">
      <c r="A22" s="309">
        <v>44950</v>
      </c>
      <c r="B22" s="310">
        <v>100.16000000000001</v>
      </c>
      <c r="C22" s="311">
        <v>6.3399999999999998E-2</v>
      </c>
      <c r="D22" s="310">
        <v>102.34</v>
      </c>
      <c r="E22" s="311">
        <v>6.6799999999999998E-2</v>
      </c>
      <c r="F22" s="310">
        <v>102.97</v>
      </c>
      <c r="G22" s="311">
        <v>6.8100000000000008E-2</v>
      </c>
      <c r="H22" s="310">
        <v>103.09</v>
      </c>
      <c r="I22" s="311">
        <v>6.8500000000000005E-2</v>
      </c>
    </row>
    <row r="23" spans="1:9" x14ac:dyDescent="0.35">
      <c r="A23" s="309">
        <v>44951</v>
      </c>
      <c r="B23" s="310">
        <v>100.06</v>
      </c>
      <c r="C23" s="311">
        <v>6.3700000000000007E-2</v>
      </c>
      <c r="D23" s="310">
        <v>102.17</v>
      </c>
      <c r="E23" s="311">
        <v>6.7000000000000004E-2</v>
      </c>
      <c r="F23" s="310">
        <v>102.94000000000001</v>
      </c>
      <c r="G23" s="311">
        <v>6.8199999999999997E-2</v>
      </c>
      <c r="H23" s="310">
        <v>103.01</v>
      </c>
      <c r="I23" s="311">
        <v>6.8500000000000005E-2</v>
      </c>
    </row>
    <row r="24" spans="1:9" x14ac:dyDescent="0.35">
      <c r="A24" s="309">
        <v>44952</v>
      </c>
      <c r="B24" s="310">
        <v>99.820000000000007</v>
      </c>
      <c r="C24" s="311">
        <v>6.4200000000000007E-2</v>
      </c>
      <c r="D24" s="310">
        <v>101.92</v>
      </c>
      <c r="E24" s="311">
        <v>6.7400000000000002E-2</v>
      </c>
      <c r="F24" s="310">
        <v>102.45</v>
      </c>
      <c r="G24" s="311">
        <v>6.8699999999999997E-2</v>
      </c>
      <c r="H24" s="310">
        <v>102.64</v>
      </c>
      <c r="I24" s="311">
        <v>6.8900000000000003E-2</v>
      </c>
    </row>
    <row r="25" spans="1:9" x14ac:dyDescent="0.35">
      <c r="A25" s="309">
        <v>44953</v>
      </c>
      <c r="B25" s="310">
        <v>99.83</v>
      </c>
      <c r="C25" s="311">
        <v>6.4200000000000007E-2</v>
      </c>
      <c r="D25" s="310">
        <v>101.73</v>
      </c>
      <c r="E25" s="311">
        <v>6.7600000000000007E-2</v>
      </c>
      <c r="F25" s="310">
        <v>102.35000000000001</v>
      </c>
      <c r="G25" s="311">
        <v>6.88E-2</v>
      </c>
      <c r="H25" s="310">
        <v>102.35000000000001</v>
      </c>
      <c r="I25" s="311">
        <v>6.9100000000000009E-2</v>
      </c>
    </row>
    <row r="26" spans="1:9" x14ac:dyDescent="0.35">
      <c r="A26" s="265">
        <v>44956</v>
      </c>
      <c r="B26" s="282">
        <v>99.79</v>
      </c>
      <c r="C26" s="283">
        <v>6.4199999999999993E-2</v>
      </c>
      <c r="D26" s="282">
        <v>101.39</v>
      </c>
      <c r="E26" s="283">
        <v>6.8099999999999994E-2</v>
      </c>
      <c r="F26" s="282">
        <v>102.2</v>
      </c>
      <c r="G26" s="283">
        <v>6.8900000000000003E-2</v>
      </c>
      <c r="H26" s="282">
        <v>102.43</v>
      </c>
      <c r="I26" s="283">
        <v>6.9099999999999995E-2</v>
      </c>
    </row>
    <row r="27" spans="1:9" x14ac:dyDescent="0.35">
      <c r="A27" s="265">
        <v>44957</v>
      </c>
      <c r="B27" s="282">
        <v>99.81</v>
      </c>
      <c r="C27" s="283">
        <v>6.4200000000000007E-2</v>
      </c>
      <c r="D27" s="282">
        <v>101.5</v>
      </c>
      <c r="E27" s="283">
        <v>6.8000000000000005E-2</v>
      </c>
      <c r="F27" s="282">
        <v>102.23</v>
      </c>
      <c r="G27" s="283">
        <v>6.8900000000000003E-2</v>
      </c>
      <c r="H27" s="282">
        <v>102.36</v>
      </c>
      <c r="I27" s="283">
        <v>6.9100000000000009E-2</v>
      </c>
    </row>
    <row r="28" spans="1:9" x14ac:dyDescent="0.35">
      <c r="A28" s="265">
        <v>44958</v>
      </c>
      <c r="B28" s="282">
        <v>100.27000000000001</v>
      </c>
      <c r="C28" s="283">
        <v>6.3200000000000006E-2</v>
      </c>
      <c r="D28" s="282">
        <v>101.99000000000001</v>
      </c>
      <c r="E28" s="283">
        <v>6.7299999999999999E-2</v>
      </c>
      <c r="F28" s="282">
        <v>102.36</v>
      </c>
      <c r="G28" s="283">
        <v>6.88E-2</v>
      </c>
      <c r="H28" s="282">
        <v>102.45</v>
      </c>
      <c r="I28" s="283">
        <v>6.9000000000000006E-2</v>
      </c>
    </row>
    <row r="29" spans="1:9" x14ac:dyDescent="0.35">
      <c r="A29" s="265">
        <v>44959</v>
      </c>
      <c r="B29" s="282">
        <v>100.51</v>
      </c>
      <c r="C29" s="283">
        <v>6.2700000000000006E-2</v>
      </c>
      <c r="D29" s="282">
        <v>102.56</v>
      </c>
      <c r="E29" s="283">
        <v>6.6500000000000004E-2</v>
      </c>
      <c r="F29" s="282">
        <v>102.75</v>
      </c>
      <c r="G29" s="283">
        <v>6.8400000000000002E-2</v>
      </c>
      <c r="H29" s="282">
        <v>102.9</v>
      </c>
      <c r="I29" s="283">
        <v>6.8600000000000008E-2</v>
      </c>
    </row>
    <row r="30" spans="1:9" x14ac:dyDescent="0.35">
      <c r="A30" s="265">
        <v>44960</v>
      </c>
      <c r="B30" s="282">
        <v>100.57000000000001</v>
      </c>
      <c r="C30" s="283">
        <v>6.2600000000000003E-2</v>
      </c>
      <c r="D30" s="282">
        <v>102.84</v>
      </c>
      <c r="E30" s="283">
        <v>6.6100000000000006E-2</v>
      </c>
      <c r="F30" s="282">
        <v>103.03</v>
      </c>
      <c r="G30" s="283">
        <v>6.8100000000000008E-2</v>
      </c>
      <c r="H30" s="282">
        <v>103.14</v>
      </c>
      <c r="I30" s="283">
        <v>6.8400000000000002E-2</v>
      </c>
    </row>
    <row r="31" spans="1:9" x14ac:dyDescent="0.35">
      <c r="A31" s="309">
        <v>44963</v>
      </c>
      <c r="B31" s="310">
        <v>100.18</v>
      </c>
      <c r="C31" s="311">
        <v>6.3399999999999998E-2</v>
      </c>
      <c r="D31" s="310">
        <v>102.12</v>
      </c>
      <c r="E31" s="311">
        <v>6.7100000000000007E-2</v>
      </c>
      <c r="F31" s="310">
        <v>101.95</v>
      </c>
      <c r="G31" s="311">
        <v>6.9199999999999998E-2</v>
      </c>
      <c r="H31" s="310">
        <v>102.08</v>
      </c>
      <c r="I31" s="311">
        <v>6.9400000000000003E-2</v>
      </c>
    </row>
    <row r="32" spans="1:9" x14ac:dyDescent="0.35">
      <c r="A32" s="309">
        <v>44964</v>
      </c>
      <c r="B32" s="310">
        <v>100.08</v>
      </c>
      <c r="C32" s="311">
        <v>6.3600000000000004E-2</v>
      </c>
      <c r="D32" s="310">
        <v>101.65</v>
      </c>
      <c r="E32" s="311">
        <v>6.7799999999999999E-2</v>
      </c>
      <c r="F32" s="310">
        <v>101.73</v>
      </c>
      <c r="G32" s="311">
        <v>6.9400000000000003E-2</v>
      </c>
      <c r="H32" s="310">
        <v>101.58</v>
      </c>
      <c r="I32" s="311">
        <v>6.9800000000000001E-2</v>
      </c>
    </row>
    <row r="33" spans="1:9" x14ac:dyDescent="0.35">
      <c r="A33" s="309">
        <v>44965</v>
      </c>
      <c r="B33" s="310">
        <v>100.27000000000001</v>
      </c>
      <c r="C33" s="311">
        <v>6.3200000000000006E-2</v>
      </c>
      <c r="D33" s="310">
        <v>101.93</v>
      </c>
      <c r="E33" s="311">
        <v>6.7400000000000002E-2</v>
      </c>
      <c r="F33" s="310">
        <v>101.78</v>
      </c>
      <c r="G33" s="311">
        <v>6.9400000000000003E-2</v>
      </c>
      <c r="H33" s="310">
        <v>101.51</v>
      </c>
      <c r="I33" s="311">
        <v>6.9900000000000004E-2</v>
      </c>
    </row>
    <row r="34" spans="1:9" x14ac:dyDescent="0.35">
      <c r="A34" s="309">
        <v>44966</v>
      </c>
      <c r="B34" s="310">
        <v>100.47</v>
      </c>
      <c r="C34" s="311">
        <v>6.2800000000000009E-2</v>
      </c>
      <c r="D34" s="310">
        <v>102.33</v>
      </c>
      <c r="E34" s="311">
        <v>6.6799999999999998E-2</v>
      </c>
      <c r="F34" s="310">
        <v>102.17</v>
      </c>
      <c r="G34" s="311">
        <v>6.9000000000000006E-2</v>
      </c>
      <c r="H34" s="310">
        <v>101.92</v>
      </c>
      <c r="I34" s="311">
        <v>6.9500000000000006E-2</v>
      </c>
    </row>
    <row r="35" spans="1:9" x14ac:dyDescent="0.35">
      <c r="A35" s="309">
        <v>44967</v>
      </c>
      <c r="B35" s="310">
        <v>100.36</v>
      </c>
      <c r="C35" s="311">
        <v>6.3E-2</v>
      </c>
      <c r="D35" s="310">
        <v>102.13000000000001</v>
      </c>
      <c r="E35" s="311">
        <v>6.7100000000000007E-2</v>
      </c>
      <c r="F35" s="310">
        <v>101.85000000000001</v>
      </c>
      <c r="G35" s="311">
        <v>6.93E-2</v>
      </c>
      <c r="H35" s="310">
        <v>101.81</v>
      </c>
      <c r="I35" s="311">
        <v>6.9600000000000009E-2</v>
      </c>
    </row>
    <row r="36" spans="1:9" x14ac:dyDescent="0.35">
      <c r="A36" s="265">
        <v>44970</v>
      </c>
      <c r="B36" s="282">
        <v>100.04</v>
      </c>
      <c r="C36" s="283">
        <v>6.3700000000000007E-2</v>
      </c>
      <c r="D36" s="282">
        <v>101.65</v>
      </c>
      <c r="E36" s="283">
        <v>6.7799999999999999E-2</v>
      </c>
      <c r="F36" s="282">
        <v>101.63000000000001</v>
      </c>
      <c r="G36" s="283">
        <v>6.9500000000000006E-2</v>
      </c>
      <c r="H36" s="282">
        <v>101.58</v>
      </c>
      <c r="I36" s="283">
        <v>6.9800000000000001E-2</v>
      </c>
    </row>
    <row r="37" spans="1:9" x14ac:dyDescent="0.35">
      <c r="A37" s="265">
        <v>44971</v>
      </c>
      <c r="B37" s="282">
        <v>100.07000000000001</v>
      </c>
      <c r="C37" s="283">
        <v>6.3600000000000004E-2</v>
      </c>
      <c r="D37" s="282">
        <v>101.71000000000001</v>
      </c>
      <c r="E37" s="283">
        <v>6.7699999999999996E-2</v>
      </c>
      <c r="F37" s="282">
        <v>101.32000000000001</v>
      </c>
      <c r="G37" s="283">
        <v>6.9900000000000004E-2</v>
      </c>
      <c r="H37" s="282">
        <v>101.31</v>
      </c>
      <c r="I37" s="283">
        <v>7.010000000000001E-2</v>
      </c>
    </row>
    <row r="38" spans="1:9" x14ac:dyDescent="0.35">
      <c r="A38" s="265">
        <v>44972</v>
      </c>
      <c r="B38" s="282">
        <v>99.960000000000008</v>
      </c>
      <c r="C38" s="283">
        <v>6.3899999999999998E-2</v>
      </c>
      <c r="D38" s="282">
        <v>101.54</v>
      </c>
      <c r="E38" s="283">
        <v>6.7900000000000002E-2</v>
      </c>
      <c r="F38" s="282">
        <v>101.09</v>
      </c>
      <c r="G38" s="283">
        <v>7.010000000000001E-2</v>
      </c>
      <c r="H38" s="282">
        <v>101.08</v>
      </c>
      <c r="I38" s="283">
        <v>7.0300000000000001E-2</v>
      </c>
    </row>
    <row r="39" spans="1:9" x14ac:dyDescent="0.35">
      <c r="A39" s="265">
        <v>44973</v>
      </c>
      <c r="B39" s="282">
        <v>99.83</v>
      </c>
      <c r="C39" s="283">
        <v>6.4200000000000007E-2</v>
      </c>
      <c r="D39" s="282">
        <v>101.4</v>
      </c>
      <c r="E39" s="283">
        <v>6.8100000000000008E-2</v>
      </c>
      <c r="F39" s="282">
        <v>100.75</v>
      </c>
      <c r="G39" s="283">
        <v>7.0500000000000007E-2</v>
      </c>
      <c r="H39" s="282">
        <v>100.81</v>
      </c>
      <c r="I39" s="283">
        <v>7.0500000000000007E-2</v>
      </c>
    </row>
    <row r="40" spans="1:9" x14ac:dyDescent="0.35">
      <c r="A40" s="265">
        <v>44974</v>
      </c>
      <c r="B40" s="282">
        <v>100.09</v>
      </c>
      <c r="C40" s="283">
        <v>6.3600000000000004E-2</v>
      </c>
      <c r="D40" s="282">
        <v>101.66000000000001</v>
      </c>
      <c r="E40" s="283">
        <v>6.7699999999999996E-2</v>
      </c>
      <c r="F40" s="282">
        <v>101.19000000000001</v>
      </c>
      <c r="G40" s="283">
        <v>7.0000000000000007E-2</v>
      </c>
      <c r="H40" s="282">
        <v>101.05000000000001</v>
      </c>
      <c r="I40" s="283">
        <v>7.0300000000000001E-2</v>
      </c>
    </row>
    <row r="41" spans="1:9" x14ac:dyDescent="0.35">
      <c r="A41" s="309">
        <v>44977</v>
      </c>
      <c r="B41" s="310">
        <v>100.07</v>
      </c>
      <c r="C41" s="311">
        <v>6.3600000000000004E-2</v>
      </c>
      <c r="D41" s="310">
        <v>101.74</v>
      </c>
      <c r="E41" s="311">
        <v>6.7599999999999993E-2</v>
      </c>
      <c r="F41" s="310">
        <v>101.27</v>
      </c>
      <c r="G41" s="311">
        <v>6.9900000000000004E-2</v>
      </c>
      <c r="H41" s="310">
        <v>101.07</v>
      </c>
      <c r="I41" s="311">
        <v>7.0300000000000001E-2</v>
      </c>
    </row>
    <row r="42" spans="1:9" x14ac:dyDescent="0.35">
      <c r="A42" s="309">
        <v>44978</v>
      </c>
      <c r="B42" s="310">
        <v>100.02000000000001</v>
      </c>
      <c r="C42" s="311">
        <v>6.3800000000000009E-2</v>
      </c>
      <c r="D42" s="310">
        <v>101.59</v>
      </c>
      <c r="E42" s="311">
        <v>6.7799999999999999E-2</v>
      </c>
      <c r="F42" s="310">
        <v>101.17</v>
      </c>
      <c r="G42" s="311">
        <v>7.0000000000000007E-2</v>
      </c>
      <c r="H42" s="310">
        <v>101.01</v>
      </c>
      <c r="I42" s="311">
        <v>7.0300000000000001E-2</v>
      </c>
    </row>
    <row r="43" spans="1:9" x14ac:dyDescent="0.35">
      <c r="A43" s="309">
        <v>44979</v>
      </c>
      <c r="B43" s="310">
        <v>99.68</v>
      </c>
      <c r="C43" s="311">
        <v>6.4500000000000002E-2</v>
      </c>
      <c r="D43" s="310">
        <v>101.22</v>
      </c>
      <c r="E43" s="311">
        <v>6.83E-2</v>
      </c>
      <c r="F43" s="310">
        <v>100.75</v>
      </c>
      <c r="G43" s="311">
        <v>7.0500000000000007E-2</v>
      </c>
      <c r="H43" s="310">
        <v>100.69000000000001</v>
      </c>
      <c r="I43" s="311">
        <v>7.0599999999999996E-2</v>
      </c>
    </row>
    <row r="44" spans="1:9" x14ac:dyDescent="0.35">
      <c r="A44" s="309">
        <v>44980</v>
      </c>
      <c r="B44" s="310">
        <v>99.64</v>
      </c>
      <c r="C44" s="311">
        <v>6.4600000000000005E-2</v>
      </c>
      <c r="D44" s="310">
        <v>101.29</v>
      </c>
      <c r="E44" s="311">
        <v>6.8199999999999997E-2</v>
      </c>
      <c r="F44" s="310">
        <v>100.63000000000001</v>
      </c>
      <c r="G44" s="311">
        <v>7.0599999999999996E-2</v>
      </c>
      <c r="H44" s="310">
        <v>100.72</v>
      </c>
      <c r="I44" s="311">
        <v>7.0599999999999996E-2</v>
      </c>
    </row>
    <row r="45" spans="1:9" x14ac:dyDescent="0.35">
      <c r="A45" s="309">
        <v>44981</v>
      </c>
      <c r="B45" s="310">
        <v>99.7</v>
      </c>
      <c r="C45" s="311">
        <v>6.4500000000000002E-2</v>
      </c>
      <c r="D45" s="310">
        <v>101.28</v>
      </c>
      <c r="E45" s="311">
        <v>6.83E-2</v>
      </c>
      <c r="F45" s="310">
        <v>100.46000000000001</v>
      </c>
      <c r="G45" s="311">
        <v>7.0800000000000002E-2</v>
      </c>
      <c r="H45" s="310">
        <v>100.46000000000001</v>
      </c>
      <c r="I45" s="311">
        <v>7.0900000000000005E-2</v>
      </c>
    </row>
    <row r="46" spans="1:9" x14ac:dyDescent="0.35">
      <c r="A46" s="265">
        <v>44984</v>
      </c>
      <c r="B46" s="282">
        <v>99.42</v>
      </c>
      <c r="C46" s="283">
        <v>6.5100000000000005E-2</v>
      </c>
      <c r="D46" s="282">
        <v>100.91000000000001</v>
      </c>
      <c r="E46" s="283">
        <v>6.88E-2</v>
      </c>
      <c r="F46" s="282">
        <v>100.25</v>
      </c>
      <c r="G46" s="283">
        <v>7.1000000000000008E-2</v>
      </c>
      <c r="H46" s="282">
        <v>100.25</v>
      </c>
      <c r="I46" s="283">
        <v>7.1099999999999997E-2</v>
      </c>
    </row>
    <row r="47" spans="1:9" x14ac:dyDescent="0.35">
      <c r="A47" s="265">
        <v>44985</v>
      </c>
      <c r="B47" s="282">
        <v>99.2</v>
      </c>
      <c r="C47" s="283">
        <v>6.5600000000000006E-2</v>
      </c>
      <c r="D47" s="282">
        <v>100.75</v>
      </c>
      <c r="E47" s="283">
        <v>6.9000000000000006E-2</v>
      </c>
      <c r="F47" s="282">
        <v>100.10000000000001</v>
      </c>
      <c r="G47" s="283">
        <v>7.1000000000000008E-2</v>
      </c>
      <c r="H47" s="282">
        <v>100.10000000000001</v>
      </c>
      <c r="I47" s="283">
        <v>7.1199999999999999E-2</v>
      </c>
    </row>
    <row r="48" spans="1:9" x14ac:dyDescent="0.35">
      <c r="A48" s="265">
        <v>44986</v>
      </c>
      <c r="B48" s="282">
        <v>99.23</v>
      </c>
      <c r="C48" s="283">
        <v>6.5500000000000003E-2</v>
      </c>
      <c r="D48" s="282">
        <v>100.69000000000001</v>
      </c>
      <c r="E48" s="283">
        <v>6.9100000000000009E-2</v>
      </c>
      <c r="F48" s="282">
        <v>100.04</v>
      </c>
      <c r="G48" s="283">
        <v>7.1099999999999997E-2</v>
      </c>
      <c r="H48" s="282">
        <v>100.04</v>
      </c>
      <c r="I48" s="283">
        <v>7.1199999999999999E-2</v>
      </c>
    </row>
    <row r="49" spans="1:10" x14ac:dyDescent="0.35">
      <c r="A49" s="265">
        <v>44987</v>
      </c>
      <c r="B49" s="282">
        <v>99.15</v>
      </c>
      <c r="C49" s="283">
        <v>6.5700000000000008E-2</v>
      </c>
      <c r="D49" s="282">
        <v>100.53</v>
      </c>
      <c r="E49" s="283">
        <v>6.93E-2</v>
      </c>
      <c r="F49" s="282">
        <v>99.990000000000009</v>
      </c>
      <c r="G49" s="283">
        <v>7.1400000000000005E-2</v>
      </c>
      <c r="H49" s="282">
        <v>99.990000000000009</v>
      </c>
      <c r="I49" s="283">
        <v>7.1300000000000002E-2</v>
      </c>
    </row>
    <row r="50" spans="1:10" x14ac:dyDescent="0.35">
      <c r="A50" s="265">
        <v>44988</v>
      </c>
      <c r="B50" s="282">
        <v>99.210000000000008</v>
      </c>
      <c r="C50" s="283">
        <v>6.5500000000000003E-2</v>
      </c>
      <c r="D50" s="282">
        <v>99.98</v>
      </c>
      <c r="E50" s="283">
        <v>7.010000000000001E-2</v>
      </c>
      <c r="F50" s="282">
        <v>99.68</v>
      </c>
      <c r="G50" s="283">
        <v>7.1500000000000008E-2</v>
      </c>
      <c r="H50" s="282">
        <v>99.68</v>
      </c>
      <c r="I50" s="283">
        <v>7.1599999999999997E-2</v>
      </c>
    </row>
    <row r="51" spans="1:10" x14ac:dyDescent="0.35">
      <c r="A51" s="348">
        <v>44991</v>
      </c>
      <c r="B51" s="349">
        <v>99.25</v>
      </c>
      <c r="C51" s="350">
        <v>6.54E-2</v>
      </c>
      <c r="D51" s="349">
        <v>100.06</v>
      </c>
      <c r="E51" s="350">
        <v>7.0000000000000007E-2</v>
      </c>
      <c r="F51" s="349">
        <v>99.9</v>
      </c>
      <c r="G51" s="350">
        <v>7.1400000000000005E-2</v>
      </c>
      <c r="H51" s="349">
        <v>99.710000000000008</v>
      </c>
      <c r="I51" s="350">
        <v>7.1599999999999997E-2</v>
      </c>
    </row>
    <row r="52" spans="1:10" x14ac:dyDescent="0.35">
      <c r="A52" s="348">
        <v>44992</v>
      </c>
      <c r="B52" s="349">
        <v>99.45</v>
      </c>
      <c r="C52" s="350">
        <v>6.5000000000000002E-2</v>
      </c>
      <c r="D52" s="349">
        <v>100.26</v>
      </c>
      <c r="E52" s="350">
        <v>6.9699999999999998E-2</v>
      </c>
      <c r="F52" s="349">
        <v>100.05000000000001</v>
      </c>
      <c r="G52" s="350">
        <v>7.1199999999999999E-2</v>
      </c>
      <c r="H52" s="349">
        <v>99.81</v>
      </c>
      <c r="I52" s="350">
        <v>7.1500000000000008E-2</v>
      </c>
    </row>
    <row r="53" spans="1:10" x14ac:dyDescent="0.35">
      <c r="A53" s="348">
        <v>44993</v>
      </c>
      <c r="B53" s="349">
        <v>99.190000000000012</v>
      </c>
      <c r="C53" s="350">
        <v>6.5600000000000006E-2</v>
      </c>
      <c r="D53" s="349">
        <v>99.77000000000001</v>
      </c>
      <c r="E53" s="350">
        <v>7.0400000000000004E-2</v>
      </c>
      <c r="F53" s="349">
        <v>99.81</v>
      </c>
      <c r="G53" s="350">
        <v>7.1500000000000008E-2</v>
      </c>
      <c r="H53" s="349">
        <v>99.37</v>
      </c>
      <c r="I53" s="350">
        <v>7.1900000000000006E-2</v>
      </c>
    </row>
    <row r="54" spans="1:10" x14ac:dyDescent="0.35">
      <c r="A54" s="348">
        <v>44994</v>
      </c>
      <c r="B54" s="349">
        <v>99.25</v>
      </c>
      <c r="C54" s="350">
        <v>6.54E-2</v>
      </c>
      <c r="D54" s="349">
        <v>99.910000000000011</v>
      </c>
      <c r="E54" s="350">
        <v>7.0199999999999999E-2</v>
      </c>
      <c r="F54" s="349">
        <v>99.910000000000011</v>
      </c>
      <c r="G54" s="350">
        <v>7.1400000000000005E-2</v>
      </c>
      <c r="H54" s="349">
        <v>99.86</v>
      </c>
      <c r="I54" s="350">
        <v>7.1400000000000005E-2</v>
      </c>
    </row>
    <row r="55" spans="1:10" x14ac:dyDescent="0.35">
      <c r="A55" s="348">
        <v>44995</v>
      </c>
      <c r="B55" s="349">
        <v>99.38000000000001</v>
      </c>
      <c r="C55" s="350">
        <v>6.5200000000000008E-2</v>
      </c>
      <c r="D55" s="349">
        <v>100.33</v>
      </c>
      <c r="E55" s="350">
        <v>6.9600000000000009E-2</v>
      </c>
      <c r="F55" s="349">
        <v>100.28</v>
      </c>
      <c r="G55" s="350">
        <v>7.1000000000000008E-2</v>
      </c>
      <c r="H55" s="349">
        <v>100.16000000000001</v>
      </c>
      <c r="I55" s="350">
        <v>7.1099999999999997E-2</v>
      </c>
    </row>
    <row r="56" spans="1:10" x14ac:dyDescent="0.35">
      <c r="A56" s="265">
        <v>44998</v>
      </c>
      <c r="B56" s="282">
        <v>99.67</v>
      </c>
      <c r="C56" s="283">
        <v>6.4500000000000002E-2</v>
      </c>
      <c r="D56" s="282">
        <v>100.95</v>
      </c>
      <c r="E56" s="283">
        <v>6.8699999999999997E-2</v>
      </c>
      <c r="F56" s="282">
        <v>101.24000000000001</v>
      </c>
      <c r="G56" s="283">
        <v>6.9900000000000004E-2</v>
      </c>
      <c r="H56" s="282">
        <v>101.01</v>
      </c>
      <c r="I56" s="283">
        <v>7.0300000000000001E-2</v>
      </c>
    </row>
    <row r="57" spans="1:10" x14ac:dyDescent="0.35">
      <c r="A57" s="265">
        <v>44999</v>
      </c>
      <c r="B57" s="282">
        <v>99.850000000000009</v>
      </c>
      <c r="C57" s="283">
        <v>6.4100000000000004E-2</v>
      </c>
      <c r="D57" s="282">
        <v>101.31</v>
      </c>
      <c r="E57" s="283">
        <v>6.8199999999999997E-2</v>
      </c>
      <c r="F57" s="282">
        <v>101.82000000000001</v>
      </c>
      <c r="G57" s="283">
        <v>6.93E-2</v>
      </c>
      <c r="H57" s="282">
        <v>101.62</v>
      </c>
      <c r="I57" s="283">
        <v>6.9800000000000001E-2</v>
      </c>
    </row>
    <row r="58" spans="1:10" x14ac:dyDescent="0.35">
      <c r="A58" s="265">
        <v>45000</v>
      </c>
      <c r="B58" s="282">
        <v>99.95</v>
      </c>
      <c r="C58" s="283">
        <v>6.3899999999999998E-2</v>
      </c>
      <c r="D58" s="282">
        <v>101.44000000000001</v>
      </c>
      <c r="E58" s="283">
        <v>6.8000000000000005E-2</v>
      </c>
      <c r="F58" s="282">
        <v>101.43</v>
      </c>
      <c r="G58" s="283">
        <v>6.9699999999999998E-2</v>
      </c>
      <c r="H58" s="282">
        <v>101.36</v>
      </c>
      <c r="I58" s="283">
        <v>7.0000000000000007E-2</v>
      </c>
    </row>
    <row r="59" spans="1:10" x14ac:dyDescent="0.35">
      <c r="A59" s="265">
        <v>45001</v>
      </c>
      <c r="B59" s="282">
        <v>99.990000000000009</v>
      </c>
      <c r="C59" s="283">
        <v>6.3800000000000009E-2</v>
      </c>
      <c r="D59" s="282">
        <v>101.57000000000001</v>
      </c>
      <c r="E59" s="283">
        <v>6.7799999999999999E-2</v>
      </c>
      <c r="F59" s="282">
        <v>101.15</v>
      </c>
      <c r="G59" s="283">
        <v>7.0000000000000007E-2</v>
      </c>
      <c r="H59" s="282">
        <v>101.2</v>
      </c>
      <c r="I59" s="283">
        <v>7.0199999999999999E-2</v>
      </c>
    </row>
    <row r="60" spans="1:10" x14ac:dyDescent="0.35">
      <c r="A60" s="265">
        <v>45002</v>
      </c>
      <c r="B60" s="282">
        <v>99.67</v>
      </c>
      <c r="C60" s="283">
        <v>6.4500000000000002E-2</v>
      </c>
      <c r="D60" s="282">
        <v>100.47</v>
      </c>
      <c r="E60" s="283">
        <v>6.9400000000000003E-2</v>
      </c>
      <c r="F60" s="282">
        <v>100.21000000000001</v>
      </c>
      <c r="G60" s="283">
        <v>7.1099999999999997E-2</v>
      </c>
      <c r="H60" s="282">
        <v>100.12</v>
      </c>
      <c r="I60" s="283">
        <v>7.1199999999999999E-2</v>
      </c>
    </row>
    <row r="61" spans="1:10" x14ac:dyDescent="0.35">
      <c r="A61" s="309">
        <v>45005</v>
      </c>
      <c r="B61" s="310">
        <v>99.73</v>
      </c>
      <c r="C61" s="311">
        <v>6.4399999999999999E-2</v>
      </c>
      <c r="D61" s="310">
        <v>100.76</v>
      </c>
      <c r="E61" s="311">
        <v>6.9000000000000006E-2</v>
      </c>
      <c r="F61" s="310">
        <v>100.21000000000001</v>
      </c>
      <c r="G61" s="311">
        <v>7.1099999999999997E-2</v>
      </c>
      <c r="H61" s="310">
        <v>99.9</v>
      </c>
      <c r="I61" s="311">
        <v>7.1400000000000005E-2</v>
      </c>
      <c r="J61" s="47"/>
    </row>
    <row r="62" spans="1:10" x14ac:dyDescent="0.35">
      <c r="A62" s="309">
        <v>45006</v>
      </c>
      <c r="B62" s="310">
        <v>99.550000000000011</v>
      </c>
      <c r="C62" s="311">
        <v>6.4799999999999996E-2</v>
      </c>
      <c r="D62" s="310">
        <v>100.62</v>
      </c>
      <c r="E62" s="311">
        <v>6.9199999999999998E-2</v>
      </c>
      <c r="F62" s="310">
        <v>100.39</v>
      </c>
      <c r="G62" s="311">
        <v>7.0900000000000005E-2</v>
      </c>
      <c r="H62" s="310">
        <v>100.25</v>
      </c>
      <c r="I62" s="311">
        <v>7.1099999999999997E-2</v>
      </c>
      <c r="J62" s="47"/>
    </row>
    <row r="63" spans="1:10" x14ac:dyDescent="0.35">
      <c r="A63" s="309">
        <v>45009</v>
      </c>
      <c r="B63" s="310">
        <v>99.97</v>
      </c>
      <c r="C63" s="311">
        <v>6.3800000000000009E-2</v>
      </c>
      <c r="D63" s="310">
        <v>101.21000000000001</v>
      </c>
      <c r="E63" s="311">
        <v>6.83E-2</v>
      </c>
      <c r="F63" s="310">
        <v>101.44000000000001</v>
      </c>
      <c r="G63" s="311">
        <v>6.9699999999999998E-2</v>
      </c>
      <c r="H63" s="310">
        <v>101.62</v>
      </c>
      <c r="I63" s="311">
        <v>6.9800000000000001E-2</v>
      </c>
      <c r="J63" s="47"/>
    </row>
    <row r="64" spans="1:10" x14ac:dyDescent="0.35">
      <c r="A64" s="265">
        <v>45012</v>
      </c>
      <c r="B64" s="282">
        <v>100.01</v>
      </c>
      <c r="C64" s="283">
        <v>6.3800000000000009E-2</v>
      </c>
      <c r="D64" s="282">
        <v>101.4</v>
      </c>
      <c r="E64" s="283">
        <v>6.8100000000000008E-2</v>
      </c>
      <c r="F64" s="282">
        <v>101.37</v>
      </c>
      <c r="G64" s="283">
        <v>6.9800000000000001E-2</v>
      </c>
      <c r="H64" s="282">
        <v>101.31</v>
      </c>
      <c r="I64" s="283">
        <v>7.010000000000001E-2</v>
      </c>
      <c r="J64" s="47"/>
    </row>
    <row r="65" spans="1:10" x14ac:dyDescent="0.35">
      <c r="A65" s="265">
        <v>45013</v>
      </c>
      <c r="B65" s="282">
        <v>100.04</v>
      </c>
      <c r="C65" s="283">
        <v>6.3700000000000007E-2</v>
      </c>
      <c r="D65" s="282">
        <v>101.37</v>
      </c>
      <c r="E65" s="283">
        <v>6.8100000000000008E-2</v>
      </c>
      <c r="F65" s="282">
        <v>101.28</v>
      </c>
      <c r="G65" s="283">
        <v>6.9900000000000004E-2</v>
      </c>
      <c r="H65" s="282">
        <v>101.33</v>
      </c>
      <c r="I65" s="283">
        <v>7.0000000000000007E-2</v>
      </c>
      <c r="J65" s="47"/>
    </row>
    <row r="66" spans="1:10" x14ac:dyDescent="0.35">
      <c r="A66" s="265">
        <v>45014</v>
      </c>
      <c r="B66" s="282">
        <v>99.87</v>
      </c>
      <c r="C66" s="283">
        <v>6.4100000000000004E-2</v>
      </c>
      <c r="D66" s="282">
        <v>101.06</v>
      </c>
      <c r="E66" s="283">
        <v>6.8500000000000005E-2</v>
      </c>
      <c r="F66" s="282">
        <v>100.83</v>
      </c>
      <c r="G66" s="283">
        <v>7.0400000000000004E-2</v>
      </c>
      <c r="H66" s="282">
        <v>100.81</v>
      </c>
      <c r="I66" s="283">
        <v>7.0500000000000007E-2</v>
      </c>
      <c r="J66" s="47"/>
    </row>
    <row r="67" spans="1:10" x14ac:dyDescent="0.35">
      <c r="A67" s="265">
        <v>45015</v>
      </c>
      <c r="B67" s="282">
        <v>99.79</v>
      </c>
      <c r="C67" s="283">
        <v>6.4200000000000007E-2</v>
      </c>
      <c r="D67" s="282">
        <v>100.93</v>
      </c>
      <c r="E67" s="283">
        <v>6.8699999999999997E-2</v>
      </c>
      <c r="F67" s="282">
        <v>100.8</v>
      </c>
      <c r="G67" s="283">
        <v>7.0400000000000004E-2</v>
      </c>
      <c r="H67" s="282">
        <v>100.81</v>
      </c>
      <c r="I67" s="283">
        <v>7.0500000000000007E-2</v>
      </c>
      <c r="J67" s="47"/>
    </row>
    <row r="68" spans="1:10" x14ac:dyDescent="0.35">
      <c r="A68" s="265">
        <v>45016</v>
      </c>
      <c r="B68" s="282">
        <v>100.04</v>
      </c>
      <c r="C68" s="283">
        <v>6.3700000000000007E-2</v>
      </c>
      <c r="D68" s="282">
        <v>101.29</v>
      </c>
      <c r="E68" s="283">
        <v>6.8199999999999997E-2</v>
      </c>
      <c r="F68" s="282">
        <v>101.4</v>
      </c>
      <c r="G68" s="283">
        <v>6.9800000000000001E-2</v>
      </c>
      <c r="H68" s="282">
        <v>101.37</v>
      </c>
      <c r="I68" s="283">
        <v>7.0000000000000007E-2</v>
      </c>
      <c r="J68" s="47"/>
    </row>
    <row r="69" spans="1:10" x14ac:dyDescent="0.35">
      <c r="A69" s="293">
        <v>45019</v>
      </c>
      <c r="B69" s="312">
        <v>100.02000000000001</v>
      </c>
      <c r="C69" s="313">
        <v>6.3700000000000007E-2</v>
      </c>
      <c r="D69" s="312">
        <v>101.33</v>
      </c>
      <c r="E69" s="313">
        <v>6.8199999999999997E-2</v>
      </c>
      <c r="F69" s="312">
        <v>101.32000000000001</v>
      </c>
      <c r="G69" s="313">
        <v>6.9900000000000004E-2</v>
      </c>
      <c r="H69" s="312">
        <v>101.21000000000001</v>
      </c>
      <c r="I69" s="313">
        <v>7.0199999999999999E-2</v>
      </c>
      <c r="J69" s="47"/>
    </row>
    <row r="70" spans="1:10" x14ac:dyDescent="0.35">
      <c r="A70" s="293">
        <v>45020</v>
      </c>
      <c r="B70" s="312">
        <v>100.24000000000001</v>
      </c>
      <c r="C70" s="313">
        <v>6.3200000000000006E-2</v>
      </c>
      <c r="D70" s="312">
        <v>101.68</v>
      </c>
      <c r="E70" s="313">
        <v>6.7699999999999996E-2</v>
      </c>
      <c r="F70" s="312">
        <v>101.74000000000001</v>
      </c>
      <c r="G70" s="313">
        <v>6.9400000000000003E-2</v>
      </c>
      <c r="H70" s="312">
        <v>101.88000000000001</v>
      </c>
      <c r="I70" s="313">
        <v>6.9500000000000006E-2</v>
      </c>
      <c r="J70" s="47"/>
    </row>
    <row r="71" spans="1:10" x14ac:dyDescent="0.35">
      <c r="A71" s="293">
        <v>45021</v>
      </c>
      <c r="B71" s="312">
        <v>100.13000000000001</v>
      </c>
      <c r="C71" s="313">
        <v>6.3500000000000001E-2</v>
      </c>
      <c r="D71" s="312">
        <v>101.79</v>
      </c>
      <c r="E71" s="313">
        <v>6.7500000000000004E-2</v>
      </c>
      <c r="F71" s="312">
        <v>101.88000000000001</v>
      </c>
      <c r="G71" s="313">
        <v>6.93E-2</v>
      </c>
      <c r="H71" s="312">
        <v>101.97</v>
      </c>
      <c r="I71" s="313">
        <v>6.9500000000000006E-2</v>
      </c>
      <c r="J71" s="47"/>
    </row>
    <row r="72" spans="1:10" x14ac:dyDescent="0.35">
      <c r="A72" s="293">
        <v>45022</v>
      </c>
      <c r="B72" s="312">
        <v>100.22</v>
      </c>
      <c r="C72" s="313">
        <v>6.3300000000000009E-2</v>
      </c>
      <c r="D72" s="312">
        <v>101.97</v>
      </c>
      <c r="E72" s="313">
        <v>6.7299999999999999E-2</v>
      </c>
      <c r="F72" s="312">
        <v>102</v>
      </c>
      <c r="G72" s="313">
        <v>6.9100000000000009E-2</v>
      </c>
      <c r="H72" s="312">
        <v>102.06</v>
      </c>
      <c r="I72" s="313">
        <v>6.9400000000000003E-2</v>
      </c>
      <c r="J72" s="47"/>
    </row>
    <row r="73" spans="1:10" x14ac:dyDescent="0.35">
      <c r="A73" s="265">
        <v>45026</v>
      </c>
      <c r="B73" s="282">
        <v>100.09</v>
      </c>
      <c r="C73" s="283">
        <v>6.3600000000000004E-2</v>
      </c>
      <c r="D73" s="282">
        <v>101.86</v>
      </c>
      <c r="E73" s="283">
        <v>6.7400000000000002E-2</v>
      </c>
      <c r="F73" s="282">
        <v>101.82000000000001</v>
      </c>
      <c r="G73" s="283">
        <v>6.93E-2</v>
      </c>
      <c r="H73" s="282">
        <v>101.84</v>
      </c>
      <c r="I73" s="283">
        <v>6.9600000000000009E-2</v>
      </c>
      <c r="J73" s="47"/>
    </row>
    <row r="74" spans="1:10" x14ac:dyDescent="0.35">
      <c r="A74" s="265">
        <v>45027</v>
      </c>
      <c r="B74" s="282">
        <v>100.06</v>
      </c>
      <c r="C74" s="283">
        <v>6.3600000000000004E-2</v>
      </c>
      <c r="D74" s="282">
        <v>101.97</v>
      </c>
      <c r="E74" s="283">
        <v>6.7299999999999999E-2</v>
      </c>
      <c r="F74" s="282">
        <v>102.03</v>
      </c>
      <c r="G74" s="283">
        <v>6.9100000000000009E-2</v>
      </c>
      <c r="H74" s="282">
        <v>101.89</v>
      </c>
      <c r="I74" s="283">
        <v>6.9500000000000006E-2</v>
      </c>
      <c r="J74" s="47"/>
    </row>
    <row r="75" spans="1:10" x14ac:dyDescent="0.35">
      <c r="A75" s="265">
        <v>45028</v>
      </c>
      <c r="B75" s="282">
        <v>100.15</v>
      </c>
      <c r="C75" s="283">
        <v>6.3399999999999998E-2</v>
      </c>
      <c r="D75" s="282">
        <v>102.08</v>
      </c>
      <c r="E75" s="283">
        <v>6.7100000000000007E-2</v>
      </c>
      <c r="F75" s="282">
        <v>102.09</v>
      </c>
      <c r="G75" s="283">
        <v>6.9000000000000006E-2</v>
      </c>
      <c r="H75" s="282">
        <v>102.17</v>
      </c>
      <c r="I75" s="283">
        <v>6.93E-2</v>
      </c>
      <c r="J75" s="47"/>
    </row>
    <row r="76" spans="1:10" x14ac:dyDescent="0.35">
      <c r="A76" s="265">
        <v>45029</v>
      </c>
      <c r="B76" s="282">
        <v>100.30000000000001</v>
      </c>
      <c r="C76" s="283">
        <v>6.3100000000000003E-2</v>
      </c>
      <c r="D76" s="282">
        <v>102.28</v>
      </c>
      <c r="E76" s="283">
        <v>6.6799999999999998E-2</v>
      </c>
      <c r="F76" s="282">
        <v>102.49000000000001</v>
      </c>
      <c r="G76" s="283">
        <v>6.8600000000000008E-2</v>
      </c>
      <c r="H76" s="282">
        <v>102.59</v>
      </c>
      <c r="I76" s="283">
        <v>6.8900000000000003E-2</v>
      </c>
      <c r="J76" s="47"/>
    </row>
    <row r="77" spans="1:10" x14ac:dyDescent="0.35">
      <c r="A77" s="265">
        <v>45030</v>
      </c>
      <c r="B77" s="282">
        <v>100.18</v>
      </c>
      <c r="C77" s="283">
        <v>6.3399999999999998E-2</v>
      </c>
      <c r="D77" s="282">
        <v>102.22</v>
      </c>
      <c r="E77" s="283">
        <v>6.6900000000000001E-2</v>
      </c>
      <c r="F77" s="282">
        <v>102.35000000000001</v>
      </c>
      <c r="G77" s="283">
        <v>6.88E-2</v>
      </c>
      <c r="H77" s="282">
        <v>102.22</v>
      </c>
      <c r="I77" s="283">
        <v>6.9199999999999998E-2</v>
      </c>
      <c r="J77" s="47"/>
    </row>
    <row r="78" spans="1:10" x14ac:dyDescent="0.35">
      <c r="A78" s="293">
        <v>45033</v>
      </c>
      <c r="B78" s="312">
        <v>100.02000000000001</v>
      </c>
      <c r="C78" s="313">
        <v>6.3700000000000007E-2</v>
      </c>
      <c r="D78" s="312">
        <v>101.95</v>
      </c>
      <c r="E78" s="313">
        <v>6.7299999999999999E-2</v>
      </c>
      <c r="F78" s="312">
        <v>101.97</v>
      </c>
      <c r="G78" s="313">
        <v>6.9199999999999998E-2</v>
      </c>
      <c r="H78" s="312">
        <v>101.96000000000001</v>
      </c>
      <c r="I78" s="313">
        <v>6.9500000000000006E-2</v>
      </c>
      <c r="J78" s="47"/>
    </row>
    <row r="79" spans="1:10" x14ac:dyDescent="0.35">
      <c r="A79" s="293">
        <v>45034</v>
      </c>
      <c r="B79" s="312">
        <v>100.02000000000001</v>
      </c>
      <c r="C79" s="313">
        <v>6.3700000000000007E-2</v>
      </c>
      <c r="D79" s="312">
        <v>101.94000000000001</v>
      </c>
      <c r="E79" s="313">
        <v>6.7299999999999999E-2</v>
      </c>
      <c r="F79" s="312">
        <v>101.96000000000001</v>
      </c>
      <c r="G79" s="313">
        <v>6.9199999999999998E-2</v>
      </c>
      <c r="H79" s="312">
        <v>101.96000000000001</v>
      </c>
      <c r="I79" s="313">
        <v>6.9500000000000006E-2</v>
      </c>
      <c r="J79" s="47"/>
    </row>
    <row r="80" spans="1:10" x14ac:dyDescent="0.35">
      <c r="A80" s="265">
        <v>45042</v>
      </c>
      <c r="B80" s="282">
        <v>100.21000000000001</v>
      </c>
      <c r="C80" s="283">
        <v>6.3300000000000009E-2</v>
      </c>
      <c r="D80" s="282">
        <v>102.43</v>
      </c>
      <c r="E80" s="283">
        <v>6.6600000000000006E-2</v>
      </c>
      <c r="F80" s="282">
        <v>102.46000000000001</v>
      </c>
      <c r="G80" s="283">
        <v>6.8600000000000008E-2</v>
      </c>
      <c r="H80" s="282">
        <v>102.62</v>
      </c>
      <c r="I80" s="283">
        <v>6.8900000000000003E-2</v>
      </c>
      <c r="J80" s="47"/>
    </row>
    <row r="81" spans="1:9" s="47" customFormat="1" x14ac:dyDescent="0.35">
      <c r="A81" s="265">
        <v>45043</v>
      </c>
      <c r="B81" s="282">
        <v>100.65</v>
      </c>
      <c r="C81" s="283">
        <v>6.2300000000000001E-2</v>
      </c>
      <c r="D81" s="282">
        <v>102.95</v>
      </c>
      <c r="E81" s="283">
        <v>6.59E-2</v>
      </c>
      <c r="F81" s="282">
        <v>102.66000000000001</v>
      </c>
      <c r="G81" s="283">
        <v>6.8400000000000002E-2</v>
      </c>
      <c r="H81" s="282">
        <v>103.07000000000001</v>
      </c>
      <c r="I81" s="283">
        <v>6.8500000000000005E-2</v>
      </c>
    </row>
    <row r="82" spans="1:9" s="47" customFormat="1" x14ac:dyDescent="0.35">
      <c r="A82" s="265">
        <v>45044</v>
      </c>
      <c r="B82" s="282">
        <v>100.39</v>
      </c>
      <c r="C82" s="283">
        <v>6.2899999999999998E-2</v>
      </c>
      <c r="D82" s="282">
        <v>102.75</v>
      </c>
      <c r="E82" s="283">
        <v>6.6200000000000009E-2</v>
      </c>
      <c r="F82" s="282">
        <v>102.15</v>
      </c>
      <c r="G82" s="283">
        <v>6.9000000000000006E-2</v>
      </c>
      <c r="H82" s="282">
        <v>102.43</v>
      </c>
      <c r="I82" s="283">
        <v>6.9000000000000006E-2</v>
      </c>
    </row>
    <row r="83" spans="1:9" s="351" customFormat="1" x14ac:dyDescent="0.35">
      <c r="A83" s="309">
        <v>45048</v>
      </c>
      <c r="B83" s="310">
        <v>100.52000000000001</v>
      </c>
      <c r="C83" s="311">
        <v>6.2600000000000003E-2</v>
      </c>
      <c r="D83" s="310">
        <v>102.85</v>
      </c>
      <c r="E83" s="311">
        <v>6.6000000000000003E-2</v>
      </c>
      <c r="F83" s="310">
        <v>102.4</v>
      </c>
      <c r="G83" s="311">
        <v>6.8699999999999997E-2</v>
      </c>
      <c r="H83" s="310">
        <v>102.41000000000001</v>
      </c>
      <c r="I83" s="311">
        <v>6.9100000000000009E-2</v>
      </c>
    </row>
    <row r="84" spans="1:9" s="351" customFormat="1" x14ac:dyDescent="0.35">
      <c r="A84" s="309">
        <v>45049</v>
      </c>
      <c r="B84" s="310">
        <v>100.67</v>
      </c>
      <c r="C84" s="311">
        <v>6.2300000000000001E-2</v>
      </c>
      <c r="D84" s="310">
        <v>103.10000000000001</v>
      </c>
      <c r="E84" s="311">
        <v>6.5700000000000008E-2</v>
      </c>
      <c r="F84" s="310">
        <v>102.72</v>
      </c>
      <c r="G84" s="311">
        <v>6.8400000000000002E-2</v>
      </c>
      <c r="H84" s="310">
        <v>103.07000000000001</v>
      </c>
      <c r="I84" s="311">
        <v>6.8500000000000005E-2</v>
      </c>
    </row>
    <row r="85" spans="1:9" s="351" customFormat="1" x14ac:dyDescent="0.35">
      <c r="A85" s="309">
        <v>45050</v>
      </c>
      <c r="B85" s="310">
        <v>101.04</v>
      </c>
      <c r="C85" s="311">
        <v>6.1400000000000003E-2</v>
      </c>
      <c r="D85" s="310">
        <v>103.56</v>
      </c>
      <c r="E85" s="311">
        <v>6.5100000000000005E-2</v>
      </c>
      <c r="F85" s="310">
        <v>103.31</v>
      </c>
      <c r="G85" s="311">
        <v>6.7799999999999999E-2</v>
      </c>
      <c r="H85" s="310">
        <v>103.44</v>
      </c>
      <c r="I85" s="311">
        <v>6.8099999999999994E-2</v>
      </c>
    </row>
    <row r="86" spans="1:9" s="351" customFormat="1" x14ac:dyDescent="0.35">
      <c r="A86" s="309">
        <v>45051</v>
      </c>
      <c r="B86" s="310">
        <v>100.88</v>
      </c>
      <c r="C86" s="311">
        <v>6.1800000000000001E-2</v>
      </c>
      <c r="D86" s="310">
        <v>103.45</v>
      </c>
      <c r="E86" s="311">
        <v>6.5199999999999994E-2</v>
      </c>
      <c r="F86" s="310">
        <v>103.14</v>
      </c>
      <c r="G86" s="311">
        <v>6.7900000000000002E-2</v>
      </c>
      <c r="H86" s="310">
        <v>103.19</v>
      </c>
      <c r="I86" s="311">
        <v>6.83E-2</v>
      </c>
    </row>
    <row r="87" spans="1:9" s="47" customFormat="1" x14ac:dyDescent="0.35">
      <c r="A87" s="265">
        <v>45054</v>
      </c>
      <c r="B87" s="282">
        <v>100.9</v>
      </c>
      <c r="C87" s="283">
        <v>6.1700000000000005E-2</v>
      </c>
      <c r="D87" s="282">
        <v>103.80000000000001</v>
      </c>
      <c r="E87" s="283">
        <v>6.4700000000000008E-2</v>
      </c>
      <c r="F87" s="282">
        <v>103.07</v>
      </c>
      <c r="G87" s="283">
        <v>6.8000000000000005E-2</v>
      </c>
      <c r="H87" s="282">
        <v>102.95</v>
      </c>
      <c r="I87" s="283">
        <v>6.8600000000000008E-2</v>
      </c>
    </row>
    <row r="88" spans="1:9" s="47" customFormat="1" x14ac:dyDescent="0.35">
      <c r="A88" s="265">
        <v>45055</v>
      </c>
      <c r="B88" s="282">
        <v>100.91000000000001</v>
      </c>
      <c r="C88" s="283">
        <v>6.1700000000000005E-2</v>
      </c>
      <c r="D88" s="282">
        <v>103.84</v>
      </c>
      <c r="E88" s="283">
        <v>6.4700000000000008E-2</v>
      </c>
      <c r="F88" s="282">
        <v>103.27000000000001</v>
      </c>
      <c r="G88" s="283">
        <v>6.7799999999999999E-2</v>
      </c>
      <c r="H88" s="282">
        <v>102.98</v>
      </c>
      <c r="I88" s="283">
        <v>6.8500000000000005E-2</v>
      </c>
    </row>
    <row r="89" spans="1:9" s="47" customFormat="1" x14ac:dyDescent="0.35">
      <c r="A89" s="265">
        <v>45056</v>
      </c>
      <c r="B89" s="282">
        <v>100.96000000000001</v>
      </c>
      <c r="C89" s="283">
        <v>6.1600000000000002E-2</v>
      </c>
      <c r="D89" s="282">
        <v>103.86</v>
      </c>
      <c r="E89" s="283">
        <v>6.4600000000000005E-2</v>
      </c>
      <c r="F89" s="282">
        <v>103.42</v>
      </c>
      <c r="G89" s="283">
        <v>6.7600000000000007E-2</v>
      </c>
      <c r="H89" s="282">
        <v>103.07000000000001</v>
      </c>
      <c r="I89" s="283">
        <v>6.8500000000000005E-2</v>
      </c>
    </row>
    <row r="90" spans="1:9" s="47" customFormat="1" x14ac:dyDescent="0.35">
      <c r="A90" s="265">
        <v>45057</v>
      </c>
      <c r="B90" s="282">
        <v>101.26</v>
      </c>
      <c r="C90" s="283">
        <v>6.0900000000000003E-2</v>
      </c>
      <c r="D90" s="282">
        <v>104.44000000000001</v>
      </c>
      <c r="E90" s="283">
        <v>6.3800000000000009E-2</v>
      </c>
      <c r="F90" s="282">
        <v>104.11</v>
      </c>
      <c r="G90" s="283">
        <v>6.6900000000000001E-2</v>
      </c>
      <c r="H90" s="282">
        <v>103.76</v>
      </c>
      <c r="I90" s="283">
        <v>6.7799999999999999E-2</v>
      </c>
    </row>
    <row r="91" spans="1:9" s="47" customFormat="1" x14ac:dyDescent="0.35">
      <c r="A91" s="265">
        <v>45058</v>
      </c>
      <c r="B91" s="282">
        <v>101.47</v>
      </c>
      <c r="C91" s="283">
        <v>6.0500000000000005E-2</v>
      </c>
      <c r="D91" s="282">
        <v>104.66000000000001</v>
      </c>
      <c r="E91" s="283">
        <v>6.3600000000000004E-2</v>
      </c>
      <c r="F91" s="282">
        <v>104.76</v>
      </c>
      <c r="G91" s="283">
        <v>6.6299999999999998E-2</v>
      </c>
      <c r="H91" s="282">
        <v>104.52000000000001</v>
      </c>
      <c r="I91" s="283">
        <v>6.720000000000001E-2</v>
      </c>
    </row>
    <row r="92" spans="1:9" x14ac:dyDescent="0.35">
      <c r="A92" s="293">
        <v>45061</v>
      </c>
      <c r="B92" s="312">
        <v>101.18</v>
      </c>
      <c r="C92" s="313">
        <v>6.1100000000000002E-2</v>
      </c>
      <c r="D92" s="312">
        <v>104.13</v>
      </c>
      <c r="E92" s="313">
        <v>6.4299999999999996E-2</v>
      </c>
      <c r="F92" s="312">
        <v>104.36</v>
      </c>
      <c r="G92" s="313">
        <v>6.6700000000000009E-2</v>
      </c>
      <c r="H92" s="312">
        <v>104.32000000000001</v>
      </c>
      <c r="I92" s="313">
        <v>6.7299999999999999E-2</v>
      </c>
    </row>
    <row r="93" spans="1:9" x14ac:dyDescent="0.35">
      <c r="A93" s="293">
        <v>45062</v>
      </c>
      <c r="B93" s="312">
        <v>101.44000000000001</v>
      </c>
      <c r="C93" s="313">
        <v>6.0500000000000005E-2</v>
      </c>
      <c r="D93" s="312">
        <v>104.44000000000001</v>
      </c>
      <c r="E93" s="313">
        <v>6.3800000000000009E-2</v>
      </c>
      <c r="F93" s="312">
        <v>104.75</v>
      </c>
      <c r="G93" s="313">
        <v>6.6299999999999998E-2</v>
      </c>
      <c r="H93" s="312">
        <v>104.65</v>
      </c>
      <c r="I93" s="313">
        <v>6.7000000000000004E-2</v>
      </c>
    </row>
    <row r="94" spans="1:9" x14ac:dyDescent="0.35">
      <c r="A94" s="293">
        <v>45063</v>
      </c>
      <c r="B94" s="312">
        <v>101.47</v>
      </c>
      <c r="C94" s="313">
        <v>6.0500000000000005E-2</v>
      </c>
      <c r="D94" s="312">
        <v>104.7</v>
      </c>
      <c r="E94" s="313">
        <v>6.3500000000000001E-2</v>
      </c>
      <c r="F94" s="312">
        <v>104.74000000000001</v>
      </c>
      <c r="G94" s="313">
        <v>6.6299999999999998E-2</v>
      </c>
      <c r="H94" s="312">
        <v>104.67</v>
      </c>
      <c r="I94" s="313">
        <v>6.7000000000000004E-2</v>
      </c>
    </row>
    <row r="95" spans="1:9" x14ac:dyDescent="0.35">
      <c r="A95" s="293">
        <v>45065</v>
      </c>
      <c r="B95" s="312">
        <v>101.30000000000001</v>
      </c>
      <c r="C95" s="313">
        <v>6.08E-2</v>
      </c>
      <c r="D95" s="312">
        <v>104.31</v>
      </c>
      <c r="E95" s="313">
        <v>6.4000000000000001E-2</v>
      </c>
      <c r="F95" s="312">
        <v>104.41000000000001</v>
      </c>
      <c r="G95" s="313">
        <v>6.6600000000000006E-2</v>
      </c>
      <c r="H95" s="312">
        <v>104.37</v>
      </c>
      <c r="I95" s="313">
        <v>6.7299999999999999E-2</v>
      </c>
    </row>
    <row r="96" spans="1:9" s="47" customFormat="1" x14ac:dyDescent="0.35">
      <c r="A96" s="265">
        <v>45068</v>
      </c>
      <c r="B96" s="282">
        <v>101.30000000000001</v>
      </c>
      <c r="C96" s="283">
        <v>6.08E-2</v>
      </c>
      <c r="D96" s="282">
        <v>104.21000000000001</v>
      </c>
      <c r="E96" s="283">
        <v>6.4100000000000004E-2</v>
      </c>
      <c r="F96" s="282">
        <v>104.19000000000001</v>
      </c>
      <c r="G96" s="283">
        <v>6.6799999999999998E-2</v>
      </c>
      <c r="H96" s="282">
        <v>104.04</v>
      </c>
      <c r="I96" s="283">
        <v>6.7600000000000007E-2</v>
      </c>
    </row>
    <row r="97" spans="1:9" s="47" customFormat="1" x14ac:dyDescent="0.35">
      <c r="A97" s="265">
        <v>45069</v>
      </c>
      <c r="B97" s="282">
        <v>101.33</v>
      </c>
      <c r="C97" s="283">
        <v>6.08E-2</v>
      </c>
      <c r="D97" s="282">
        <v>104.23</v>
      </c>
      <c r="E97" s="283">
        <v>6.4100000000000004E-2</v>
      </c>
      <c r="F97" s="282">
        <v>104.17</v>
      </c>
      <c r="G97" s="283">
        <v>6.6900000000000001E-2</v>
      </c>
      <c r="H97" s="282">
        <v>104.07000000000001</v>
      </c>
      <c r="I97" s="283">
        <v>6.7600000000000007E-2</v>
      </c>
    </row>
    <row r="98" spans="1:9" s="47" customFormat="1" x14ac:dyDescent="0.35">
      <c r="A98" s="265">
        <v>45070</v>
      </c>
      <c r="B98" s="282">
        <v>101.39</v>
      </c>
      <c r="C98" s="283">
        <v>6.0600000000000001E-2</v>
      </c>
      <c r="D98" s="282">
        <v>104.23</v>
      </c>
      <c r="E98" s="283">
        <v>6.4100000000000004E-2</v>
      </c>
      <c r="F98" s="282">
        <v>104.04</v>
      </c>
      <c r="G98" s="283">
        <v>6.7000000000000004E-2</v>
      </c>
      <c r="H98" s="282">
        <v>104.03</v>
      </c>
      <c r="I98" s="283">
        <v>6.7600000000000007E-2</v>
      </c>
    </row>
    <row r="99" spans="1:9" s="47" customFormat="1" x14ac:dyDescent="0.35">
      <c r="A99" s="265">
        <v>45071</v>
      </c>
      <c r="B99" s="282">
        <v>101.34</v>
      </c>
      <c r="C99" s="283">
        <v>6.0700000000000004E-2</v>
      </c>
      <c r="D99" s="282">
        <v>104.2</v>
      </c>
      <c r="E99" s="283">
        <v>6.4200000000000007E-2</v>
      </c>
      <c r="F99" s="282">
        <v>104.07000000000001</v>
      </c>
      <c r="G99" s="283">
        <v>6.7000000000000004E-2</v>
      </c>
      <c r="H99" s="282">
        <v>104.03</v>
      </c>
      <c r="I99" s="283">
        <v>6.7600000000000007E-2</v>
      </c>
    </row>
    <row r="100" spans="1:9" s="47" customFormat="1" x14ac:dyDescent="0.35">
      <c r="A100" s="265">
        <v>45072</v>
      </c>
      <c r="B100" s="282">
        <v>101.36</v>
      </c>
      <c r="C100" s="283">
        <v>6.0700000000000004E-2</v>
      </c>
      <c r="D100" s="282">
        <v>104.09</v>
      </c>
      <c r="E100" s="283">
        <v>6.4299999999999996E-2</v>
      </c>
      <c r="F100" s="282">
        <v>103.92</v>
      </c>
      <c r="G100" s="283">
        <v>6.7100000000000007E-2</v>
      </c>
      <c r="H100" s="282">
        <v>103.89</v>
      </c>
      <c r="I100" s="283">
        <v>6.7699999999999996E-2</v>
      </c>
    </row>
    <row r="101" spans="1:9" x14ac:dyDescent="0.35">
      <c r="A101" s="293">
        <v>45075</v>
      </c>
      <c r="B101" s="312">
        <v>101.45</v>
      </c>
      <c r="C101" s="313">
        <v>6.0500000000000005E-2</v>
      </c>
      <c r="D101" s="312">
        <v>104.17</v>
      </c>
      <c r="E101" s="313">
        <v>6.3899999999999998E-2</v>
      </c>
      <c r="F101" s="312">
        <v>104.17</v>
      </c>
      <c r="G101" s="313">
        <v>6.6900000000000001E-2</v>
      </c>
      <c r="H101" s="312">
        <v>104.21000000000001</v>
      </c>
      <c r="I101" s="313">
        <v>6.7400000000000002E-2</v>
      </c>
    </row>
    <row r="102" spans="1:9" x14ac:dyDescent="0.35">
      <c r="A102" s="293">
        <v>45076</v>
      </c>
      <c r="B102" s="312">
        <v>101.61</v>
      </c>
      <c r="C102" s="313">
        <v>6.0100000000000001E-2</v>
      </c>
      <c r="D102" s="312">
        <v>104.73</v>
      </c>
      <c r="E102" s="313">
        <v>6.3700000000000007E-2</v>
      </c>
      <c r="F102" s="312">
        <v>104.73</v>
      </c>
      <c r="G102" s="313">
        <v>6.6299999999999998E-2</v>
      </c>
      <c r="H102" s="312">
        <v>104.85000000000001</v>
      </c>
      <c r="I102" s="313">
        <v>6.6900000000000001E-2</v>
      </c>
    </row>
    <row r="103" spans="1:9" x14ac:dyDescent="0.35">
      <c r="A103" s="293">
        <v>45077</v>
      </c>
      <c r="B103" s="312">
        <v>101.66000000000001</v>
      </c>
      <c r="C103" s="313">
        <v>6.0000000000000005E-2</v>
      </c>
      <c r="D103" s="312">
        <v>105.14</v>
      </c>
      <c r="E103" s="313">
        <v>6.3600000000000004E-2</v>
      </c>
      <c r="F103" s="312">
        <v>105.14</v>
      </c>
      <c r="G103" s="313">
        <v>6.59E-2</v>
      </c>
      <c r="H103" s="312">
        <v>105.09</v>
      </c>
      <c r="I103" s="313">
        <v>6.6700000000000009E-2</v>
      </c>
    </row>
    <row r="104" spans="1:9" s="47" customFormat="1" x14ac:dyDescent="0.35">
      <c r="A104" s="265">
        <v>45082</v>
      </c>
      <c r="B104" s="307">
        <v>101.56</v>
      </c>
      <c r="C104" s="308">
        <v>6.0200000000000004E-2</v>
      </c>
      <c r="D104" s="307">
        <v>104.5</v>
      </c>
      <c r="E104" s="308">
        <v>6.3700000000000007E-2</v>
      </c>
      <c r="F104" s="307">
        <v>105.17</v>
      </c>
      <c r="G104" s="308">
        <v>6.5799999999999997E-2</v>
      </c>
      <c r="H104" s="307">
        <v>105.11</v>
      </c>
      <c r="I104" s="308">
        <v>6.6600000000000006E-2</v>
      </c>
    </row>
    <row r="105" spans="1:9" s="47" customFormat="1" x14ac:dyDescent="0.35">
      <c r="A105" s="265">
        <v>45083</v>
      </c>
      <c r="B105" s="307">
        <v>101.61</v>
      </c>
      <c r="C105" s="308">
        <v>6.0100000000000001E-2</v>
      </c>
      <c r="D105" s="307">
        <v>104.60000000000001</v>
      </c>
      <c r="E105" s="308">
        <v>6.3600000000000004E-2</v>
      </c>
      <c r="F105" s="307">
        <v>105.33</v>
      </c>
      <c r="G105" s="308">
        <v>6.5700000000000008E-2</v>
      </c>
      <c r="H105" s="307">
        <v>105.22</v>
      </c>
      <c r="I105" s="308">
        <v>6.6500000000000004E-2</v>
      </c>
    </row>
    <row r="106" spans="1:9" s="47" customFormat="1" x14ac:dyDescent="0.35">
      <c r="A106" s="265">
        <v>45084</v>
      </c>
      <c r="B106" s="307">
        <v>101.77000000000001</v>
      </c>
      <c r="C106" s="308">
        <v>5.9800000000000006E-2</v>
      </c>
      <c r="D106" s="307">
        <v>104.9</v>
      </c>
      <c r="E106" s="308">
        <v>6.3200000000000006E-2</v>
      </c>
      <c r="F106" s="307">
        <v>105.25</v>
      </c>
      <c r="G106" s="308">
        <v>6.5700000000000008E-2</v>
      </c>
      <c r="H106" s="307">
        <v>105.17</v>
      </c>
      <c r="I106" s="308">
        <v>6.6600000000000006E-2</v>
      </c>
    </row>
    <row r="107" spans="1:9" s="47" customFormat="1" x14ac:dyDescent="0.35">
      <c r="A107" s="265">
        <v>45085</v>
      </c>
      <c r="B107" s="307">
        <v>101.67</v>
      </c>
      <c r="C107" s="308">
        <v>6.0000000000000005E-2</v>
      </c>
      <c r="D107" s="307">
        <v>104.61</v>
      </c>
      <c r="E107" s="308">
        <v>6.3600000000000004E-2</v>
      </c>
      <c r="F107" s="307">
        <v>104.99000000000001</v>
      </c>
      <c r="G107" s="308">
        <v>6.6000000000000003E-2</v>
      </c>
      <c r="H107" s="307">
        <v>105.02000000000001</v>
      </c>
      <c r="I107" s="308">
        <v>6.6700000000000009E-2</v>
      </c>
    </row>
    <row r="108" spans="1:9" s="47" customFormat="1" x14ac:dyDescent="0.35">
      <c r="A108" s="265">
        <v>45086</v>
      </c>
      <c r="B108" s="307">
        <v>102.01</v>
      </c>
      <c r="C108" s="308">
        <v>5.9200000000000003E-2</v>
      </c>
      <c r="D108" s="307">
        <v>104.89</v>
      </c>
      <c r="E108" s="308">
        <v>6.3200000000000006E-2</v>
      </c>
      <c r="F108" s="307">
        <v>105.3</v>
      </c>
      <c r="G108" s="308">
        <v>6.5700000000000008E-2</v>
      </c>
      <c r="H108" s="307">
        <v>105.31</v>
      </c>
      <c r="I108" s="308">
        <v>6.6500000000000004E-2</v>
      </c>
    </row>
    <row r="109" spans="1:9" x14ac:dyDescent="0.35">
      <c r="A109" s="293">
        <v>45089</v>
      </c>
      <c r="B109" s="312">
        <v>102.07000000000001</v>
      </c>
      <c r="C109" s="313">
        <v>5.91E-2</v>
      </c>
      <c r="D109" s="312">
        <v>104.98</v>
      </c>
      <c r="E109" s="313">
        <v>6.3100000000000003E-2</v>
      </c>
      <c r="F109" s="312">
        <v>105.38000000000001</v>
      </c>
      <c r="G109" s="313">
        <v>6.5600000000000006E-2</v>
      </c>
      <c r="H109" s="312">
        <v>105.32000000000001</v>
      </c>
      <c r="I109" s="313">
        <v>6.6500000000000004E-2</v>
      </c>
    </row>
    <row r="110" spans="1:9" x14ac:dyDescent="0.35">
      <c r="A110" s="293">
        <v>45090</v>
      </c>
      <c r="B110" s="312">
        <v>102.21000000000001</v>
      </c>
      <c r="C110" s="313">
        <v>5.8800000000000005E-2</v>
      </c>
      <c r="D110" s="312">
        <v>105.15</v>
      </c>
      <c r="E110" s="313">
        <v>6.2800000000000009E-2</v>
      </c>
      <c r="F110" s="312">
        <v>105.71000000000001</v>
      </c>
      <c r="G110" s="313">
        <v>6.5299999999999997E-2</v>
      </c>
      <c r="H110" s="312">
        <v>105.67</v>
      </c>
      <c r="I110" s="313">
        <v>6.6100000000000006E-2</v>
      </c>
    </row>
    <row r="111" spans="1:9" x14ac:dyDescent="0.35">
      <c r="A111" s="293">
        <v>45091</v>
      </c>
      <c r="B111" s="312">
        <v>102.29</v>
      </c>
      <c r="C111" s="313">
        <v>5.8600000000000006E-2</v>
      </c>
      <c r="D111" s="312">
        <v>105.60000000000001</v>
      </c>
      <c r="E111" s="313">
        <v>6.2200000000000005E-2</v>
      </c>
      <c r="F111" s="312">
        <v>106.64</v>
      </c>
      <c r="G111" s="313">
        <v>6.4299999999999996E-2</v>
      </c>
      <c r="H111" s="312">
        <v>106.86</v>
      </c>
      <c r="I111" s="313">
        <v>6.5100000000000005E-2</v>
      </c>
    </row>
    <row r="112" spans="1:9" x14ac:dyDescent="0.35">
      <c r="A112" s="293">
        <v>45092</v>
      </c>
      <c r="B112" s="312">
        <v>102.29</v>
      </c>
      <c r="C112" s="313">
        <v>5.8599999999999999E-2</v>
      </c>
      <c r="D112" s="312">
        <v>105.33</v>
      </c>
      <c r="E112" s="313">
        <v>6.2600000000000003E-2</v>
      </c>
      <c r="F112" s="312">
        <v>106.39</v>
      </c>
      <c r="G112" s="313">
        <v>6.4600000000000005E-2</v>
      </c>
      <c r="H112" s="312">
        <v>106.72</v>
      </c>
      <c r="I112" s="313">
        <v>6.5199999999999994E-2</v>
      </c>
    </row>
    <row r="113" spans="1:9" x14ac:dyDescent="0.35">
      <c r="A113" s="293">
        <v>45093</v>
      </c>
      <c r="B113" s="312">
        <v>102.32000000000001</v>
      </c>
      <c r="C113" s="313">
        <v>5.8500000000000003E-2</v>
      </c>
      <c r="D113" s="312">
        <v>105.26</v>
      </c>
      <c r="E113" s="313">
        <v>6.2700000000000006E-2</v>
      </c>
      <c r="F113" s="312">
        <v>106.29</v>
      </c>
      <c r="G113" s="313">
        <v>6.4700000000000008E-2</v>
      </c>
      <c r="H113" s="312">
        <v>106.59</v>
      </c>
      <c r="I113" s="313">
        <v>6.5299999999999997E-2</v>
      </c>
    </row>
    <row r="114" spans="1:9" s="47" customFormat="1" x14ac:dyDescent="0.35">
      <c r="A114" s="352">
        <v>45096</v>
      </c>
      <c r="B114" s="307">
        <v>102.17</v>
      </c>
      <c r="C114" s="308">
        <v>5.8800000000000005E-2</v>
      </c>
      <c r="D114" s="307">
        <v>105.04</v>
      </c>
      <c r="E114" s="308">
        <v>6.3E-2</v>
      </c>
      <c r="F114" s="307">
        <v>106.02000000000001</v>
      </c>
      <c r="G114" s="308">
        <v>6.5000000000000002E-2</v>
      </c>
      <c r="H114" s="307">
        <v>106.45</v>
      </c>
      <c r="I114" s="308">
        <v>6.5500000000000003E-2</v>
      </c>
    </row>
    <row r="115" spans="1:9" s="47" customFormat="1" x14ac:dyDescent="0.35">
      <c r="A115" s="352">
        <v>45097</v>
      </c>
      <c r="B115" s="307">
        <v>101.99000000000001</v>
      </c>
      <c r="C115" s="308">
        <v>5.9200000000000003E-2</v>
      </c>
      <c r="D115" s="307">
        <v>104.7</v>
      </c>
      <c r="E115" s="308">
        <v>6.3399999999999998E-2</v>
      </c>
      <c r="F115" s="307">
        <v>105.58</v>
      </c>
      <c r="G115" s="308">
        <v>6.54E-2</v>
      </c>
      <c r="H115" s="307">
        <v>105.62</v>
      </c>
      <c r="I115" s="308">
        <v>6.6200000000000009E-2</v>
      </c>
    </row>
    <row r="116" spans="1:9" s="47" customFormat="1" x14ac:dyDescent="0.35">
      <c r="A116" s="352">
        <v>45098</v>
      </c>
      <c r="B116" s="307">
        <v>102.05000000000001</v>
      </c>
      <c r="C116" s="308">
        <v>5.91E-2</v>
      </c>
      <c r="D116" s="307">
        <v>105.14</v>
      </c>
      <c r="E116" s="308">
        <v>6.2800000000000009E-2</v>
      </c>
      <c r="F116" s="307">
        <v>105.96000000000001</v>
      </c>
      <c r="G116" s="308">
        <v>6.5000000000000002E-2</v>
      </c>
      <c r="H116" s="307">
        <v>105.9</v>
      </c>
      <c r="I116" s="308">
        <v>6.59E-2</v>
      </c>
    </row>
    <row r="117" spans="1:9" s="47" customFormat="1" x14ac:dyDescent="0.35">
      <c r="A117" s="352">
        <v>45099</v>
      </c>
      <c r="B117" s="307">
        <v>102.05000000000001</v>
      </c>
      <c r="C117" s="308">
        <v>5.91E-2</v>
      </c>
      <c r="D117" s="307">
        <v>105.27000000000001</v>
      </c>
      <c r="E117" s="308">
        <v>6.2700000000000006E-2</v>
      </c>
      <c r="F117" s="307">
        <v>106.02000000000001</v>
      </c>
      <c r="G117" s="308">
        <v>6.5000000000000002E-2</v>
      </c>
      <c r="H117" s="307">
        <v>105.88000000000001</v>
      </c>
      <c r="I117" s="308">
        <v>6.6000000000000003E-2</v>
      </c>
    </row>
    <row r="118" spans="1:9" s="47" customFormat="1" x14ac:dyDescent="0.35">
      <c r="A118" s="352">
        <v>45100</v>
      </c>
      <c r="B118" s="307">
        <v>102.06</v>
      </c>
      <c r="C118" s="308">
        <v>5.91E-2</v>
      </c>
      <c r="D118" s="307">
        <v>105.12</v>
      </c>
      <c r="E118" s="308">
        <v>6.2899999999999998E-2</v>
      </c>
      <c r="F118" s="307">
        <v>105.95</v>
      </c>
      <c r="G118" s="308">
        <v>6.5000000000000002E-2</v>
      </c>
      <c r="H118" s="307">
        <v>105.77000000000001</v>
      </c>
      <c r="I118" s="308">
        <v>6.6100000000000006E-2</v>
      </c>
    </row>
    <row r="119" spans="1:9" s="47" customFormat="1" x14ac:dyDescent="0.35">
      <c r="A119" s="309">
        <v>45103</v>
      </c>
      <c r="B119" s="310">
        <v>102.06</v>
      </c>
      <c r="C119" s="311">
        <v>5.91E-2</v>
      </c>
      <c r="D119" s="310">
        <v>105.12</v>
      </c>
      <c r="E119" s="311">
        <v>6.2899999999999998E-2</v>
      </c>
      <c r="F119" s="310">
        <v>105.95</v>
      </c>
      <c r="G119" s="311">
        <v>6.5000000000000002E-2</v>
      </c>
      <c r="H119" s="310">
        <v>105.77000000000001</v>
      </c>
      <c r="I119" s="311">
        <v>6.6100000000000006E-2</v>
      </c>
    </row>
    <row r="120" spans="1:9" x14ac:dyDescent="0.35">
      <c r="A120" s="309">
        <v>45104</v>
      </c>
      <c r="B120" s="310">
        <v>102.09</v>
      </c>
      <c r="C120" s="311">
        <v>5.9000000000000004E-2</v>
      </c>
      <c r="D120" s="310">
        <v>105.29</v>
      </c>
      <c r="E120" s="311">
        <v>6.2600000000000003E-2</v>
      </c>
      <c r="F120" s="310">
        <v>106.02000000000001</v>
      </c>
      <c r="G120" s="311">
        <v>6.4899999999999999E-2</v>
      </c>
      <c r="H120" s="310">
        <v>105.98</v>
      </c>
      <c r="I120" s="311">
        <v>6.59E-2</v>
      </c>
    </row>
    <row r="121" spans="1:9" s="47" customFormat="1" x14ac:dyDescent="0.35">
      <c r="A121" s="265">
        <v>45110</v>
      </c>
      <c r="B121" s="282">
        <v>102.07000000000001</v>
      </c>
      <c r="C121" s="283">
        <v>5.9000000000000004E-2</v>
      </c>
      <c r="D121" s="282">
        <v>105.47</v>
      </c>
      <c r="E121" s="283">
        <v>6.2400000000000004E-2</v>
      </c>
      <c r="F121" s="282">
        <v>106.4</v>
      </c>
      <c r="G121" s="283">
        <v>6.4600000000000005E-2</v>
      </c>
      <c r="H121" s="282">
        <v>106.15</v>
      </c>
      <c r="I121" s="283">
        <v>6.5700000000000008E-2</v>
      </c>
    </row>
    <row r="122" spans="1:9" s="47" customFormat="1" x14ac:dyDescent="0.35">
      <c r="A122" s="265">
        <v>45111</v>
      </c>
      <c r="B122" s="282">
        <v>102.3</v>
      </c>
      <c r="C122" s="283">
        <v>5.8500000000000003E-2</v>
      </c>
      <c r="D122" s="282">
        <v>105.75</v>
      </c>
      <c r="E122" s="283">
        <v>6.2E-2</v>
      </c>
      <c r="F122" s="282">
        <v>107.19000000000001</v>
      </c>
      <c r="G122" s="283">
        <v>6.3800000000000009E-2</v>
      </c>
      <c r="H122" s="282">
        <v>107.05000000000001</v>
      </c>
      <c r="I122" s="283">
        <v>6.4899999999999999E-2</v>
      </c>
    </row>
    <row r="123" spans="1:9" s="47" customFormat="1" x14ac:dyDescent="0.35">
      <c r="A123" s="265">
        <v>45112</v>
      </c>
      <c r="B123" s="282">
        <v>102.26</v>
      </c>
      <c r="C123" s="283">
        <v>5.8600000000000006E-2</v>
      </c>
      <c r="D123" s="282">
        <v>105.96000000000001</v>
      </c>
      <c r="E123" s="283">
        <v>6.1700000000000005E-2</v>
      </c>
      <c r="F123" s="282">
        <v>107.88000000000001</v>
      </c>
      <c r="G123" s="283">
        <v>6.3100000000000003E-2</v>
      </c>
      <c r="H123" s="282">
        <v>107.9</v>
      </c>
      <c r="I123" s="283">
        <v>6.4200000000000007E-2</v>
      </c>
    </row>
    <row r="124" spans="1:9" s="47" customFormat="1" x14ac:dyDescent="0.35">
      <c r="A124" s="265">
        <v>45113</v>
      </c>
      <c r="B124" s="282">
        <v>102.10000000000001</v>
      </c>
      <c r="C124" s="283">
        <v>5.9000000000000004E-2</v>
      </c>
      <c r="D124" s="282">
        <v>105.87</v>
      </c>
      <c r="E124" s="283">
        <v>6.1800000000000001E-2</v>
      </c>
      <c r="F124" s="282">
        <v>107.79</v>
      </c>
      <c r="G124" s="283">
        <v>6.3200000000000006E-2</v>
      </c>
      <c r="H124" s="282">
        <v>107.74000000000001</v>
      </c>
      <c r="I124" s="283">
        <v>6.4399999999999999E-2</v>
      </c>
    </row>
    <row r="125" spans="1:9" s="47" customFormat="1" x14ac:dyDescent="0.35">
      <c r="A125" s="265">
        <v>45114</v>
      </c>
      <c r="B125" s="282">
        <v>101.92</v>
      </c>
      <c r="C125" s="283">
        <v>5.9400000000000001E-2</v>
      </c>
      <c r="D125" s="282">
        <v>105.59</v>
      </c>
      <c r="E125" s="283">
        <v>6.2200000000000005E-2</v>
      </c>
      <c r="F125" s="282">
        <v>107.5</v>
      </c>
      <c r="G125" s="283">
        <v>6.3500000000000001E-2</v>
      </c>
      <c r="H125" s="282">
        <v>107.44000000000001</v>
      </c>
      <c r="I125" s="283">
        <v>6.4600000000000005E-2</v>
      </c>
    </row>
    <row r="126" spans="1:9" x14ac:dyDescent="0.35">
      <c r="A126" s="309">
        <v>45117</v>
      </c>
      <c r="B126" s="310">
        <v>101.71</v>
      </c>
      <c r="C126" s="311">
        <v>5.9799999999999999E-2</v>
      </c>
      <c r="D126" s="310">
        <v>105.35</v>
      </c>
      <c r="E126" s="311">
        <v>6.25E-2</v>
      </c>
      <c r="F126" s="310">
        <v>106.79</v>
      </c>
      <c r="G126" s="311">
        <v>6.4199999999999993E-2</v>
      </c>
      <c r="H126" s="310">
        <v>107.11</v>
      </c>
      <c r="I126" s="311">
        <v>6.4899999999999999E-2</v>
      </c>
    </row>
    <row r="127" spans="1:9" x14ac:dyDescent="0.35">
      <c r="A127" s="309">
        <v>45118</v>
      </c>
      <c r="B127" s="310">
        <v>101.74000000000001</v>
      </c>
      <c r="C127" s="311">
        <v>5.9800000000000006E-2</v>
      </c>
      <c r="D127" s="310">
        <v>105.59</v>
      </c>
      <c r="E127" s="311">
        <v>6.2200000000000005E-2</v>
      </c>
      <c r="F127" s="310">
        <v>106.8</v>
      </c>
      <c r="G127" s="311">
        <v>6.4100000000000004E-2</v>
      </c>
      <c r="H127" s="310">
        <v>106.87</v>
      </c>
      <c r="I127" s="311">
        <v>6.5100000000000005E-2</v>
      </c>
    </row>
    <row r="128" spans="1:9" x14ac:dyDescent="0.35">
      <c r="A128" s="309">
        <v>45119</v>
      </c>
      <c r="B128" s="310">
        <v>102.21000000000001</v>
      </c>
      <c r="C128" s="311">
        <v>5.8700000000000002E-2</v>
      </c>
      <c r="D128" s="310">
        <v>105.84</v>
      </c>
      <c r="E128" s="311">
        <v>6.1900000000000004E-2</v>
      </c>
      <c r="F128" s="310">
        <v>107.42</v>
      </c>
      <c r="G128" s="311">
        <v>6.3500000000000001E-2</v>
      </c>
      <c r="H128" s="310">
        <v>107.35</v>
      </c>
      <c r="I128" s="311">
        <v>6.4700000000000008E-2</v>
      </c>
    </row>
    <row r="129" spans="1:9" x14ac:dyDescent="0.35">
      <c r="A129" s="309">
        <v>45120</v>
      </c>
      <c r="B129" s="310">
        <v>102.41000000000001</v>
      </c>
      <c r="C129" s="311">
        <v>5.8200000000000002E-2</v>
      </c>
      <c r="D129" s="310">
        <v>106.21000000000001</v>
      </c>
      <c r="E129" s="311">
        <v>6.1400000000000003E-2</v>
      </c>
      <c r="F129" s="310">
        <v>108.19000000000001</v>
      </c>
      <c r="G129" s="311">
        <v>6.2800000000000009E-2</v>
      </c>
      <c r="H129" s="310">
        <v>108.29</v>
      </c>
      <c r="I129" s="311">
        <v>6.3899999999999998E-2</v>
      </c>
    </row>
    <row r="130" spans="1:9" x14ac:dyDescent="0.35">
      <c r="A130" s="309">
        <v>45121</v>
      </c>
      <c r="B130" s="310">
        <v>102.45</v>
      </c>
      <c r="C130" s="311">
        <v>5.8100000000000006E-2</v>
      </c>
      <c r="D130" s="310">
        <v>106.18</v>
      </c>
      <c r="E130" s="311">
        <v>6.1400000000000003E-2</v>
      </c>
      <c r="F130" s="310">
        <v>108.25</v>
      </c>
      <c r="G130" s="311">
        <v>6.2700000000000006E-2</v>
      </c>
      <c r="H130" s="310">
        <v>108.10000000000001</v>
      </c>
      <c r="I130" s="311">
        <v>6.4000000000000001E-2</v>
      </c>
    </row>
    <row r="131" spans="1:9" x14ac:dyDescent="0.35">
      <c r="A131" s="265">
        <v>45124</v>
      </c>
      <c r="B131" s="282">
        <v>102.18</v>
      </c>
      <c r="C131" s="283">
        <v>5.8800000000000005E-2</v>
      </c>
      <c r="D131" s="282">
        <v>105.78</v>
      </c>
      <c r="E131" s="283">
        <v>6.1900000000000004E-2</v>
      </c>
      <c r="F131" s="282">
        <v>107.7</v>
      </c>
      <c r="G131" s="283">
        <v>6.3200000000000006E-2</v>
      </c>
      <c r="H131" s="282">
        <v>107.6</v>
      </c>
      <c r="I131" s="283">
        <v>6.4500000000000002E-2</v>
      </c>
    </row>
    <row r="132" spans="1:9" x14ac:dyDescent="0.35">
      <c r="A132" s="265">
        <v>45125</v>
      </c>
      <c r="B132" s="282">
        <v>102.19000000000001</v>
      </c>
      <c r="C132" s="283">
        <v>5.8700000000000002E-2</v>
      </c>
      <c r="D132" s="282">
        <v>105.73</v>
      </c>
      <c r="E132" s="283">
        <v>6.2E-2</v>
      </c>
      <c r="F132" s="282">
        <v>107.63000000000001</v>
      </c>
      <c r="G132" s="283">
        <v>6.3300000000000009E-2</v>
      </c>
      <c r="H132" s="282">
        <v>107.72</v>
      </c>
      <c r="I132" s="283">
        <v>6.4399999999999999E-2</v>
      </c>
    </row>
    <row r="133" spans="1:9" x14ac:dyDescent="0.35">
      <c r="A133" s="265">
        <v>45127</v>
      </c>
      <c r="B133" s="282">
        <v>102.26</v>
      </c>
      <c r="C133" s="283">
        <v>5.8600000000000006E-2</v>
      </c>
      <c r="D133" s="282">
        <v>105.82000000000001</v>
      </c>
      <c r="E133" s="283">
        <v>6.1900000000000004E-2</v>
      </c>
      <c r="F133" s="282">
        <v>107.66000000000001</v>
      </c>
      <c r="G133" s="283">
        <v>6.3300000000000009E-2</v>
      </c>
      <c r="H133" s="282">
        <v>107.85000000000001</v>
      </c>
      <c r="I133" s="283">
        <v>6.4200000000000007E-2</v>
      </c>
    </row>
    <row r="134" spans="1:9" x14ac:dyDescent="0.35">
      <c r="A134" s="265">
        <v>45128</v>
      </c>
      <c r="B134" s="282">
        <v>102.08</v>
      </c>
      <c r="C134" s="283">
        <v>5.9000000000000004E-2</v>
      </c>
      <c r="D134" s="282">
        <v>105.54</v>
      </c>
      <c r="E134" s="283">
        <v>6.2300000000000001E-2</v>
      </c>
      <c r="F134" s="282">
        <v>107.45</v>
      </c>
      <c r="G134" s="283">
        <v>6.3500000000000001E-2</v>
      </c>
      <c r="H134" s="282">
        <v>107.69000000000001</v>
      </c>
      <c r="I134" s="283">
        <v>6.4399999999999999E-2</v>
      </c>
    </row>
    <row r="135" spans="1:9" x14ac:dyDescent="0.35">
      <c r="A135" s="348">
        <v>45131</v>
      </c>
      <c r="B135" s="349">
        <v>102.02000000000001</v>
      </c>
      <c r="C135" s="350">
        <v>5.91E-2</v>
      </c>
      <c r="D135" s="349">
        <v>105.52000000000001</v>
      </c>
      <c r="E135" s="350">
        <v>6.2300000000000001E-2</v>
      </c>
      <c r="F135" s="349">
        <v>107.3</v>
      </c>
      <c r="G135" s="350">
        <v>6.3600000000000004E-2</v>
      </c>
      <c r="H135" s="349">
        <v>107.60000000000001</v>
      </c>
      <c r="I135" s="350">
        <v>6.4500000000000002E-2</v>
      </c>
    </row>
    <row r="136" spans="1:9" x14ac:dyDescent="0.35">
      <c r="A136" s="348">
        <v>45132</v>
      </c>
      <c r="B136" s="349">
        <v>102.09</v>
      </c>
      <c r="C136" s="350">
        <v>5.8900000000000001E-2</v>
      </c>
      <c r="D136" s="349">
        <v>105.57000000000001</v>
      </c>
      <c r="E136" s="350">
        <v>6.2200000000000005E-2</v>
      </c>
      <c r="F136" s="349">
        <v>107.4</v>
      </c>
      <c r="G136" s="350">
        <v>6.3500000000000001E-2</v>
      </c>
      <c r="H136" s="349">
        <v>107.65</v>
      </c>
      <c r="I136" s="350">
        <v>6.4399999999999999E-2</v>
      </c>
    </row>
    <row r="137" spans="1:9" x14ac:dyDescent="0.35">
      <c r="A137" s="348">
        <v>45133</v>
      </c>
      <c r="B137" s="349">
        <v>101.94000000000001</v>
      </c>
      <c r="C137" s="350">
        <v>5.9300000000000005E-2</v>
      </c>
      <c r="D137" s="349">
        <v>105.28</v>
      </c>
      <c r="E137" s="350">
        <v>6.2600000000000003E-2</v>
      </c>
      <c r="F137" s="349">
        <v>107.08</v>
      </c>
      <c r="G137" s="350">
        <v>6.3899999999999998E-2</v>
      </c>
      <c r="H137" s="349">
        <v>107.41</v>
      </c>
      <c r="I137" s="350">
        <v>6.4600000000000005E-2</v>
      </c>
    </row>
    <row r="138" spans="1:9" x14ac:dyDescent="0.35">
      <c r="A138" s="348">
        <v>45134</v>
      </c>
      <c r="B138" s="349">
        <v>101.99000000000001</v>
      </c>
      <c r="C138" s="350">
        <v>5.9200000000000003E-2</v>
      </c>
      <c r="D138" s="349">
        <v>105.54</v>
      </c>
      <c r="E138" s="350">
        <v>6.2300000000000001E-2</v>
      </c>
      <c r="F138" s="349">
        <v>107.12</v>
      </c>
      <c r="G138" s="350">
        <v>6.3800000000000009E-2</v>
      </c>
      <c r="H138" s="349">
        <v>107.67</v>
      </c>
      <c r="I138" s="350">
        <v>6.4399999999999999E-2</v>
      </c>
    </row>
    <row r="139" spans="1:9" x14ac:dyDescent="0.35">
      <c r="A139" s="348">
        <v>45135</v>
      </c>
      <c r="B139" s="349">
        <v>101.71000000000001</v>
      </c>
      <c r="C139" s="350">
        <v>5.9800000000000006E-2</v>
      </c>
      <c r="D139" s="349">
        <v>104.62</v>
      </c>
      <c r="E139" s="350">
        <v>6.3500000000000001E-2</v>
      </c>
      <c r="F139" s="349">
        <v>106.95</v>
      </c>
      <c r="G139" s="350">
        <v>6.4000000000000001E-2</v>
      </c>
      <c r="H139" s="349">
        <v>106.57000000000001</v>
      </c>
      <c r="I139" s="350">
        <v>6.5299999999999997E-2</v>
      </c>
    </row>
    <row r="140" spans="1:9" s="47" customFormat="1" x14ac:dyDescent="0.35">
      <c r="A140" s="265">
        <v>45138</v>
      </c>
      <c r="B140" s="282">
        <v>101.81</v>
      </c>
      <c r="C140" s="283">
        <v>5.96E-2</v>
      </c>
      <c r="D140" s="282">
        <v>105.35000000000001</v>
      </c>
      <c r="E140" s="283">
        <v>6.25E-2</v>
      </c>
      <c r="F140" s="282">
        <v>106.64</v>
      </c>
      <c r="G140" s="283">
        <v>6.4299999999999996E-2</v>
      </c>
      <c r="H140" s="282">
        <v>107.07000000000001</v>
      </c>
      <c r="I140" s="283">
        <v>6.4899999999999999E-2</v>
      </c>
    </row>
    <row r="141" spans="1:9" s="47" customFormat="1" x14ac:dyDescent="0.35">
      <c r="A141" s="265">
        <v>45139</v>
      </c>
      <c r="B141" s="282">
        <v>101.84</v>
      </c>
      <c r="C141" s="283">
        <v>5.9500000000000004E-2</v>
      </c>
      <c r="D141" s="282">
        <v>105.48</v>
      </c>
      <c r="E141" s="283">
        <v>6.2300000000000001E-2</v>
      </c>
      <c r="F141" s="282">
        <v>106.79</v>
      </c>
      <c r="G141" s="283">
        <v>6.4100000000000004E-2</v>
      </c>
      <c r="H141" s="282">
        <v>107.17</v>
      </c>
      <c r="I141" s="283">
        <v>6.4799999999999996E-2</v>
      </c>
    </row>
    <row r="142" spans="1:9" s="47" customFormat="1" x14ac:dyDescent="0.35">
      <c r="A142" s="265">
        <v>45140</v>
      </c>
      <c r="B142" s="282">
        <v>101.82000000000001</v>
      </c>
      <c r="C142" s="283">
        <v>5.96E-2</v>
      </c>
      <c r="D142" s="282">
        <v>105.33</v>
      </c>
      <c r="E142" s="283">
        <v>6.25E-2</v>
      </c>
      <c r="F142" s="282">
        <v>106.67</v>
      </c>
      <c r="G142" s="283">
        <v>6.4299999999999996E-2</v>
      </c>
      <c r="H142" s="282">
        <v>106.98</v>
      </c>
      <c r="I142" s="283">
        <v>6.5000000000000002E-2</v>
      </c>
    </row>
    <row r="143" spans="1:9" s="47" customFormat="1" x14ac:dyDescent="0.35">
      <c r="A143" s="265">
        <v>45141</v>
      </c>
      <c r="B143" s="282">
        <v>101.67</v>
      </c>
      <c r="C143" s="283">
        <v>5.9900000000000002E-2</v>
      </c>
      <c r="D143" s="282">
        <v>105.08</v>
      </c>
      <c r="E143" s="283">
        <v>6.2899999999999998E-2</v>
      </c>
      <c r="F143" s="282">
        <v>106.54</v>
      </c>
      <c r="G143" s="283">
        <v>6.4399999999999999E-2</v>
      </c>
      <c r="H143" s="282">
        <v>107.03</v>
      </c>
      <c r="I143" s="283">
        <v>6.4899999999999999E-2</v>
      </c>
    </row>
    <row r="144" spans="1:9" s="47" customFormat="1" x14ac:dyDescent="0.35">
      <c r="A144" s="265">
        <v>45142</v>
      </c>
      <c r="B144" s="282">
        <v>101.7</v>
      </c>
      <c r="C144" s="283">
        <v>5.9800000000000006E-2</v>
      </c>
      <c r="D144" s="282">
        <v>104.96000000000001</v>
      </c>
      <c r="E144" s="283">
        <v>6.3E-2</v>
      </c>
      <c r="F144" s="282">
        <v>106.57000000000001</v>
      </c>
      <c r="G144" s="283">
        <v>6.4399999999999999E-2</v>
      </c>
      <c r="H144" s="282">
        <v>106.95</v>
      </c>
      <c r="I144" s="283">
        <v>6.5000000000000002E-2</v>
      </c>
    </row>
    <row r="145" spans="1:9" s="262" customFormat="1" x14ac:dyDescent="0.35">
      <c r="A145" s="309">
        <v>45145</v>
      </c>
      <c r="B145" s="310">
        <v>101.63000000000001</v>
      </c>
      <c r="C145" s="311">
        <v>6.0000000000000005E-2</v>
      </c>
      <c r="D145" s="310">
        <v>104.83</v>
      </c>
      <c r="E145" s="311">
        <v>6.3200000000000006E-2</v>
      </c>
      <c r="F145" s="310">
        <v>106.18</v>
      </c>
      <c r="G145" s="311">
        <v>6.4700000000000008E-2</v>
      </c>
      <c r="H145" s="310">
        <v>106.26</v>
      </c>
      <c r="I145" s="311">
        <v>6.5600000000000006E-2</v>
      </c>
    </row>
    <row r="146" spans="1:9" s="262" customFormat="1" x14ac:dyDescent="0.35">
      <c r="A146" s="309">
        <v>45146</v>
      </c>
      <c r="B146" s="310">
        <v>101.42</v>
      </c>
      <c r="C146" s="311">
        <v>6.0500000000000005E-2</v>
      </c>
      <c r="D146" s="310">
        <v>104.62</v>
      </c>
      <c r="E146" s="311">
        <v>6.3500000000000001E-2</v>
      </c>
      <c r="F146" s="310">
        <v>105.93</v>
      </c>
      <c r="G146" s="311">
        <v>6.5000000000000002E-2</v>
      </c>
      <c r="H146" s="310">
        <v>105.84</v>
      </c>
      <c r="I146" s="311">
        <v>6.6000000000000003E-2</v>
      </c>
    </row>
    <row r="147" spans="1:9" s="262" customFormat="1" x14ac:dyDescent="0.35">
      <c r="A147" s="309">
        <v>45147</v>
      </c>
      <c r="B147" s="310">
        <v>101.51</v>
      </c>
      <c r="C147" s="311">
        <v>6.0299999999999999E-2</v>
      </c>
      <c r="D147" s="310">
        <v>104.92</v>
      </c>
      <c r="E147" s="311">
        <v>6.3100000000000003E-2</v>
      </c>
      <c r="F147" s="310">
        <v>106.26</v>
      </c>
      <c r="G147" s="311">
        <v>6.4700000000000008E-2</v>
      </c>
      <c r="H147" s="310">
        <v>106.13000000000001</v>
      </c>
      <c r="I147" s="311">
        <v>6.5700000000000008E-2</v>
      </c>
    </row>
    <row r="148" spans="1:9" s="262" customFormat="1" x14ac:dyDescent="0.35">
      <c r="A148" s="309">
        <v>45148</v>
      </c>
      <c r="B148" s="310">
        <v>101.45</v>
      </c>
      <c r="C148" s="311">
        <v>6.0400000000000002E-2</v>
      </c>
      <c r="D148" s="310">
        <v>104.81</v>
      </c>
      <c r="E148" s="311">
        <v>6.3200000000000006E-2</v>
      </c>
      <c r="F148" s="310">
        <v>106.13000000000001</v>
      </c>
      <c r="G148" s="311">
        <v>6.4799999999999996E-2</v>
      </c>
      <c r="H148" s="310">
        <v>106.09</v>
      </c>
      <c r="I148" s="311">
        <v>6.5799999999999997E-2</v>
      </c>
    </row>
    <row r="149" spans="1:9" s="262" customFormat="1" x14ac:dyDescent="0.35">
      <c r="A149" s="309">
        <v>45149</v>
      </c>
      <c r="B149" s="310">
        <v>101.56</v>
      </c>
      <c r="C149" s="311">
        <v>6.0100000000000001E-2</v>
      </c>
      <c r="D149" s="310">
        <v>104.79</v>
      </c>
      <c r="E149" s="311">
        <v>6.3300000000000009E-2</v>
      </c>
      <c r="F149" s="310">
        <v>106.08</v>
      </c>
      <c r="G149" s="311">
        <v>6.4799999999999996E-2</v>
      </c>
      <c r="H149" s="310">
        <v>106.05000000000001</v>
      </c>
      <c r="I149" s="311">
        <v>6.5799999999999997E-2</v>
      </c>
    </row>
    <row r="150" spans="1:9" s="47" customFormat="1" x14ac:dyDescent="0.35">
      <c r="A150" s="265">
        <v>45152</v>
      </c>
      <c r="B150" s="307">
        <v>101.33</v>
      </c>
      <c r="C150" s="308">
        <v>6.0700000000000004E-2</v>
      </c>
      <c r="D150" s="307">
        <v>104.39</v>
      </c>
      <c r="E150" s="308">
        <v>6.3800000000000009E-2</v>
      </c>
      <c r="F150" s="307">
        <v>105.71000000000001</v>
      </c>
      <c r="G150" s="308">
        <v>6.5200000000000008E-2</v>
      </c>
      <c r="H150" s="307">
        <v>105.69000000000001</v>
      </c>
      <c r="I150" s="308">
        <v>6.6100000000000006E-2</v>
      </c>
    </row>
    <row r="151" spans="1:9" s="47" customFormat="1" x14ac:dyDescent="0.35">
      <c r="A151" s="265">
        <v>45153</v>
      </c>
      <c r="B151" s="307">
        <v>101.26</v>
      </c>
      <c r="C151" s="308">
        <v>6.08E-2</v>
      </c>
      <c r="D151" s="307">
        <v>104.22</v>
      </c>
      <c r="E151" s="308">
        <v>6.4000000000000001E-2</v>
      </c>
      <c r="F151" s="307">
        <v>105.48</v>
      </c>
      <c r="G151" s="308">
        <v>6.5500000000000003E-2</v>
      </c>
      <c r="H151" s="307">
        <v>105.5</v>
      </c>
      <c r="I151" s="308">
        <v>6.6299999999999998E-2</v>
      </c>
    </row>
    <row r="152" spans="1:9" s="47" customFormat="1" x14ac:dyDescent="0.35">
      <c r="A152" s="265">
        <v>45154</v>
      </c>
      <c r="B152" s="307">
        <v>101.2</v>
      </c>
      <c r="C152" s="308">
        <v>6.1000000000000006E-2</v>
      </c>
      <c r="D152" s="307">
        <v>104.08</v>
      </c>
      <c r="E152" s="308">
        <v>6.4200000000000007E-2</v>
      </c>
      <c r="F152" s="307">
        <v>105.28</v>
      </c>
      <c r="G152" s="308">
        <v>6.5700000000000008E-2</v>
      </c>
      <c r="H152" s="307">
        <v>105.22</v>
      </c>
      <c r="I152" s="308">
        <v>6.6500000000000004E-2</v>
      </c>
    </row>
    <row r="153" spans="1:9" s="47" customFormat="1" x14ac:dyDescent="0.35">
      <c r="A153" s="265">
        <v>45156</v>
      </c>
      <c r="B153" s="307">
        <v>100.96000000000001</v>
      </c>
      <c r="C153" s="308">
        <v>6.1500000000000006E-2</v>
      </c>
      <c r="D153" s="307">
        <v>103.64</v>
      </c>
      <c r="E153" s="308">
        <v>6.4899999999999999E-2</v>
      </c>
      <c r="F153" s="307">
        <v>104.55000000000001</v>
      </c>
      <c r="G153" s="308">
        <v>6.6400000000000001E-2</v>
      </c>
      <c r="H153" s="307">
        <v>104.48</v>
      </c>
      <c r="I153" s="308">
        <v>6.720000000000001E-2</v>
      </c>
    </row>
    <row r="154" spans="1:9" x14ac:dyDescent="0.35">
      <c r="A154" s="293">
        <v>45159</v>
      </c>
      <c r="B154" s="312">
        <v>100.57</v>
      </c>
      <c r="C154" s="313">
        <v>6.2400000000000004E-2</v>
      </c>
      <c r="D154" s="312">
        <v>103.06</v>
      </c>
      <c r="E154" s="313">
        <v>6.5700000000000008E-2</v>
      </c>
      <c r="F154" s="312">
        <v>103.81</v>
      </c>
      <c r="G154" s="313">
        <v>6.720000000000001E-2</v>
      </c>
      <c r="H154" s="312">
        <v>103.82000000000001</v>
      </c>
      <c r="I154" s="313">
        <v>6.7799999999999999E-2</v>
      </c>
    </row>
    <row r="155" spans="1:9" x14ac:dyDescent="0.35">
      <c r="A155" s="293">
        <v>45160</v>
      </c>
      <c r="B155" s="312">
        <v>100.17</v>
      </c>
      <c r="C155" s="313">
        <v>6.3399999999999998E-2</v>
      </c>
      <c r="D155" s="312">
        <v>102.13</v>
      </c>
      <c r="E155" s="313">
        <v>6.7000000000000004E-2</v>
      </c>
      <c r="F155" s="312">
        <v>102.92</v>
      </c>
      <c r="G155" s="313">
        <v>6.8100000000000008E-2</v>
      </c>
      <c r="H155" s="312">
        <v>102.96000000000001</v>
      </c>
      <c r="I155" s="313">
        <v>6.8500000000000005E-2</v>
      </c>
    </row>
    <row r="156" spans="1:9" x14ac:dyDescent="0.35">
      <c r="A156" s="293">
        <v>45161</v>
      </c>
      <c r="B156" s="312">
        <v>100.35000000000001</v>
      </c>
      <c r="C156" s="313">
        <v>6.3E-2</v>
      </c>
      <c r="D156" s="312">
        <v>102.57000000000001</v>
      </c>
      <c r="E156" s="313">
        <v>6.6299999999999998E-2</v>
      </c>
      <c r="F156" s="312">
        <v>103.33</v>
      </c>
      <c r="G156" s="313">
        <v>6.7699999999999996E-2</v>
      </c>
      <c r="H156" s="312">
        <v>103.16</v>
      </c>
      <c r="I156" s="313">
        <v>6.8400000000000002E-2</v>
      </c>
    </row>
    <row r="157" spans="1:9" x14ac:dyDescent="0.35">
      <c r="A157" s="293">
        <v>45162</v>
      </c>
      <c r="B157" s="312">
        <v>100.48</v>
      </c>
      <c r="C157" s="313">
        <v>6.2700000000000006E-2</v>
      </c>
      <c r="D157" s="312">
        <v>103.4</v>
      </c>
      <c r="E157" s="313">
        <v>6.5200000000000008E-2</v>
      </c>
      <c r="F157" s="312">
        <v>104.17</v>
      </c>
      <c r="G157" s="313">
        <v>6.6799999999999998E-2</v>
      </c>
      <c r="H157" s="312">
        <v>104.16000000000001</v>
      </c>
      <c r="I157" s="313">
        <v>6.7500000000000004E-2</v>
      </c>
    </row>
    <row r="158" spans="1:9" x14ac:dyDescent="0.35">
      <c r="A158" s="293">
        <v>45163</v>
      </c>
      <c r="B158" s="312">
        <v>100.19000000000001</v>
      </c>
      <c r="C158" s="313">
        <v>6.3300000000000009E-2</v>
      </c>
      <c r="D158" s="312">
        <v>103.29</v>
      </c>
      <c r="E158" s="313">
        <v>6.5299999999999997E-2</v>
      </c>
      <c r="F158" s="312">
        <v>103.45</v>
      </c>
      <c r="G158" s="313">
        <v>6.7600000000000007E-2</v>
      </c>
      <c r="H158" s="312">
        <v>103.58</v>
      </c>
      <c r="I158" s="313">
        <v>6.8000000000000005E-2</v>
      </c>
    </row>
    <row r="159" spans="1:9" x14ac:dyDescent="0.35">
      <c r="A159" s="265">
        <v>45166</v>
      </c>
      <c r="B159" s="307">
        <v>100.34</v>
      </c>
      <c r="C159" s="315">
        <v>6.3E-2</v>
      </c>
      <c r="D159" s="353">
        <v>103.68</v>
      </c>
      <c r="E159" s="315">
        <v>6.4799999999999996E-2</v>
      </c>
      <c r="F159" s="307">
        <v>104.16000000000001</v>
      </c>
      <c r="G159" s="315">
        <v>6.6799999999999998E-2</v>
      </c>
      <c r="H159" s="307">
        <v>103.89</v>
      </c>
      <c r="I159" s="315">
        <v>6.7699999999999996E-2</v>
      </c>
    </row>
    <row r="160" spans="1:9" x14ac:dyDescent="0.35">
      <c r="A160" s="265">
        <v>45167</v>
      </c>
      <c r="B160" s="307">
        <v>100.41000000000001</v>
      </c>
      <c r="C160" s="315">
        <v>6.2800000000000009E-2</v>
      </c>
      <c r="D160" s="353">
        <v>104.36</v>
      </c>
      <c r="E160" s="315">
        <v>6.3800000000000009E-2</v>
      </c>
      <c r="F160" s="307">
        <v>105.53</v>
      </c>
      <c r="G160" s="315">
        <v>6.54E-2</v>
      </c>
      <c r="H160" s="307">
        <v>104.83</v>
      </c>
      <c r="I160" s="315">
        <v>6.6900000000000001E-2</v>
      </c>
    </row>
    <row r="161" spans="1:10" x14ac:dyDescent="0.35">
      <c r="A161" s="265">
        <v>45168</v>
      </c>
      <c r="B161" s="307">
        <v>100.61</v>
      </c>
      <c r="C161" s="315">
        <v>6.2300000000000001E-2</v>
      </c>
      <c r="D161" s="353">
        <v>104.7</v>
      </c>
      <c r="E161" s="315">
        <v>6.3399999999999998E-2</v>
      </c>
      <c r="F161" s="307">
        <v>106.13000000000001</v>
      </c>
      <c r="G161" s="315">
        <v>6.4799999999999996E-2</v>
      </c>
      <c r="H161" s="307">
        <v>105.30000000000001</v>
      </c>
      <c r="I161" s="315">
        <v>6.6400000000000001E-2</v>
      </c>
    </row>
    <row r="162" spans="1:10" x14ac:dyDescent="0.35">
      <c r="A162" s="265">
        <v>45169</v>
      </c>
      <c r="B162" s="307">
        <v>100.66000000000001</v>
      </c>
      <c r="C162" s="315">
        <v>6.2200000000000005E-2</v>
      </c>
      <c r="D162" s="353">
        <v>104.43</v>
      </c>
      <c r="E162" s="315">
        <v>6.3700000000000007E-2</v>
      </c>
      <c r="F162" s="307">
        <v>106.14</v>
      </c>
      <c r="G162" s="315">
        <v>6.4799999999999996E-2</v>
      </c>
      <c r="H162" s="307">
        <v>105.19000000000001</v>
      </c>
      <c r="I162" s="315">
        <v>6.6500000000000004E-2</v>
      </c>
    </row>
    <row r="163" spans="1:10" x14ac:dyDescent="0.35">
      <c r="A163" s="265">
        <v>45170</v>
      </c>
      <c r="B163" s="307">
        <v>101.09</v>
      </c>
      <c r="C163" s="315">
        <v>6.1200000000000004E-2</v>
      </c>
      <c r="D163" s="353">
        <v>104.49000000000001</v>
      </c>
      <c r="E163" s="315">
        <v>6.3600000000000004E-2</v>
      </c>
      <c r="F163" s="307">
        <v>106.06</v>
      </c>
      <c r="G163" s="315">
        <v>6.4899999999999999E-2</v>
      </c>
      <c r="H163" s="307">
        <v>105.77000000000001</v>
      </c>
      <c r="I163" s="315">
        <v>6.6000000000000003E-2</v>
      </c>
    </row>
    <row r="164" spans="1:10" s="262" customFormat="1" x14ac:dyDescent="0.35">
      <c r="A164" s="293">
        <v>45173</v>
      </c>
      <c r="B164" s="354">
        <v>101.31</v>
      </c>
      <c r="C164" s="313">
        <v>6.0700000000000004E-2</v>
      </c>
      <c r="D164" s="354">
        <v>104.48</v>
      </c>
      <c r="E164" s="313">
        <v>6.3700000000000007E-2</v>
      </c>
      <c r="F164" s="354">
        <v>106.19000000000001</v>
      </c>
      <c r="G164" s="313">
        <v>6.4700000000000008E-2</v>
      </c>
      <c r="H164" s="354">
        <v>105.72</v>
      </c>
      <c r="I164" s="313">
        <v>6.6100000000000006E-2</v>
      </c>
    </row>
    <row r="165" spans="1:10" s="262" customFormat="1" x14ac:dyDescent="0.35">
      <c r="A165" s="293">
        <v>45174</v>
      </c>
      <c r="B165" s="354">
        <v>101.17</v>
      </c>
      <c r="C165" s="313">
        <v>6.1000000000000006E-2</v>
      </c>
      <c r="D165" s="354">
        <v>104.25</v>
      </c>
      <c r="E165" s="313">
        <v>6.4000000000000001E-2</v>
      </c>
      <c r="F165" s="354">
        <v>106.17</v>
      </c>
      <c r="G165" s="313">
        <v>6.4700000000000008E-2</v>
      </c>
      <c r="H165" s="354">
        <v>105.60000000000001</v>
      </c>
      <c r="I165" s="313">
        <v>6.6200000000000009E-2</v>
      </c>
    </row>
    <row r="166" spans="1:10" s="262" customFormat="1" x14ac:dyDescent="0.35">
      <c r="A166" s="293">
        <v>45175</v>
      </c>
      <c r="B166" s="354">
        <v>100.57000000000001</v>
      </c>
      <c r="C166" s="313">
        <v>6.2400000000000004E-2</v>
      </c>
      <c r="D166" s="354">
        <v>103.37</v>
      </c>
      <c r="E166" s="313">
        <v>6.5200000000000008E-2</v>
      </c>
      <c r="F166" s="354">
        <v>104.94000000000001</v>
      </c>
      <c r="G166" s="313">
        <v>6.6000000000000003E-2</v>
      </c>
      <c r="H166" s="354">
        <v>104.67</v>
      </c>
      <c r="I166" s="313">
        <v>6.7000000000000004E-2</v>
      </c>
    </row>
    <row r="167" spans="1:10" s="262" customFormat="1" x14ac:dyDescent="0.35">
      <c r="A167" s="293">
        <v>45176</v>
      </c>
      <c r="B167" s="354">
        <v>100.61</v>
      </c>
      <c r="C167" s="313">
        <v>6.2300000000000001E-2</v>
      </c>
      <c r="D167" s="354">
        <v>103.09</v>
      </c>
      <c r="E167" s="313">
        <v>6.5600000000000006E-2</v>
      </c>
      <c r="F167" s="354">
        <v>104.66000000000001</v>
      </c>
      <c r="G167" s="313">
        <v>6.6299999999999998E-2</v>
      </c>
      <c r="H167" s="354">
        <v>104.51</v>
      </c>
      <c r="I167" s="313">
        <v>6.7100000000000007E-2</v>
      </c>
    </row>
    <row r="168" spans="1:10" s="262" customFormat="1" x14ac:dyDescent="0.35">
      <c r="A168" s="293">
        <v>45177</v>
      </c>
      <c r="B168" s="354">
        <v>100.61</v>
      </c>
      <c r="C168" s="313">
        <v>6.2300000000000001E-2</v>
      </c>
      <c r="D168" s="354">
        <v>103.14</v>
      </c>
      <c r="E168" s="313">
        <v>6.5500000000000003E-2</v>
      </c>
      <c r="F168" s="354">
        <v>104.69000000000001</v>
      </c>
      <c r="G168" s="313">
        <v>6.6299999999999998E-2</v>
      </c>
      <c r="H168" s="354">
        <v>104.57</v>
      </c>
      <c r="I168" s="313">
        <v>6.7100000000000007E-2</v>
      </c>
    </row>
    <row r="169" spans="1:10" s="262" customFormat="1" x14ac:dyDescent="0.35">
      <c r="A169" s="265">
        <v>45180</v>
      </c>
      <c r="B169" s="355">
        <v>100.54</v>
      </c>
      <c r="C169" s="283">
        <v>6.25E-2</v>
      </c>
      <c r="D169" s="355">
        <v>103.08</v>
      </c>
      <c r="E169" s="283">
        <v>6.5600000000000006E-2</v>
      </c>
      <c r="F169" s="355">
        <v>104.38000000000001</v>
      </c>
      <c r="G169" s="283">
        <v>6.6600000000000006E-2</v>
      </c>
      <c r="H169" s="355">
        <v>104.2</v>
      </c>
      <c r="I169" s="283">
        <v>6.7400000000000002E-2</v>
      </c>
    </row>
    <row r="170" spans="1:10" s="262" customFormat="1" x14ac:dyDescent="0.35">
      <c r="A170" s="265">
        <v>45181</v>
      </c>
      <c r="B170" s="355">
        <v>100.39</v>
      </c>
      <c r="C170" s="283">
        <v>6.2800000000000009E-2</v>
      </c>
      <c r="D170" s="355">
        <v>102.79</v>
      </c>
      <c r="E170" s="283">
        <v>6.6000000000000003E-2</v>
      </c>
      <c r="F170" s="355">
        <v>103.7</v>
      </c>
      <c r="G170" s="283">
        <v>6.7299999999999999E-2</v>
      </c>
      <c r="H170" s="355">
        <v>103.65</v>
      </c>
      <c r="I170" s="283">
        <v>6.7900000000000002E-2</v>
      </c>
    </row>
    <row r="171" spans="1:10" s="262" customFormat="1" x14ac:dyDescent="0.35">
      <c r="A171" s="265">
        <v>45182</v>
      </c>
      <c r="B171" s="355">
        <v>100.35000000000001</v>
      </c>
      <c r="C171" s="283">
        <v>6.2899999999999998E-2</v>
      </c>
      <c r="D171" s="355">
        <v>102.42</v>
      </c>
      <c r="E171" s="283">
        <v>6.6500000000000004E-2</v>
      </c>
      <c r="F171" s="355">
        <v>103.23</v>
      </c>
      <c r="G171" s="283">
        <v>6.7799999999999999E-2</v>
      </c>
      <c r="H171" s="355">
        <v>103.09</v>
      </c>
      <c r="I171" s="283">
        <v>6.8400000000000002E-2</v>
      </c>
    </row>
    <row r="172" spans="1:10" s="262" customFormat="1" x14ac:dyDescent="0.35">
      <c r="A172" s="265">
        <v>45183</v>
      </c>
      <c r="B172" s="355">
        <v>100.47</v>
      </c>
      <c r="C172" s="283">
        <v>6.2700000000000006E-2</v>
      </c>
      <c r="D172" s="355">
        <v>102.68</v>
      </c>
      <c r="E172" s="283">
        <v>6.6200000000000009E-2</v>
      </c>
      <c r="F172" s="355">
        <v>103.48</v>
      </c>
      <c r="G172" s="283">
        <v>6.7500000000000004E-2</v>
      </c>
      <c r="H172" s="355">
        <v>103.24000000000001</v>
      </c>
      <c r="I172" s="283">
        <v>6.83E-2</v>
      </c>
    </row>
    <row r="173" spans="1:10" s="262" customFormat="1" x14ac:dyDescent="0.35">
      <c r="A173" s="265">
        <v>45184</v>
      </c>
      <c r="B173" s="355">
        <v>100.47</v>
      </c>
      <c r="C173" s="283">
        <v>6.2700000000000006E-2</v>
      </c>
      <c r="D173" s="355">
        <v>102.68</v>
      </c>
      <c r="E173" s="283">
        <v>6.6200000000000009E-2</v>
      </c>
      <c r="F173" s="355">
        <v>103.48</v>
      </c>
      <c r="G173" s="283">
        <v>6.7500000000000004E-2</v>
      </c>
      <c r="H173" s="355">
        <v>103.24000000000001</v>
      </c>
      <c r="I173" s="283">
        <v>6.83E-2</v>
      </c>
    </row>
    <row r="174" spans="1:10" s="262" customFormat="1" x14ac:dyDescent="0.35">
      <c r="A174" s="293">
        <v>45187</v>
      </c>
      <c r="B174" s="312">
        <v>100.17</v>
      </c>
      <c r="C174" s="313">
        <v>6.3399999999999998E-2</v>
      </c>
      <c r="D174" s="312">
        <v>102.14</v>
      </c>
      <c r="E174" s="313">
        <v>6.6900000000000001E-2</v>
      </c>
      <c r="F174" s="312">
        <v>102.19000000000001</v>
      </c>
      <c r="G174" s="313">
        <v>6.8900000000000003E-2</v>
      </c>
      <c r="H174" s="312">
        <v>102.14</v>
      </c>
      <c r="I174" s="313">
        <v>6.93E-2</v>
      </c>
      <c r="J174" s="418"/>
    </row>
    <row r="175" spans="1:10" s="262" customFormat="1" x14ac:dyDescent="0.35">
      <c r="A175" s="293">
        <v>45188</v>
      </c>
      <c r="B175" s="312">
        <v>100.08</v>
      </c>
      <c r="C175" s="313">
        <v>6.3600000000000004E-2</v>
      </c>
      <c r="D175" s="312">
        <v>102.01</v>
      </c>
      <c r="E175" s="313">
        <v>6.7100000000000007E-2</v>
      </c>
      <c r="F175" s="312">
        <v>101.96000000000001</v>
      </c>
      <c r="G175" s="313">
        <v>6.9100000000000009E-2</v>
      </c>
      <c r="H175" s="312">
        <v>101.60000000000001</v>
      </c>
      <c r="I175" s="313">
        <v>6.9800000000000001E-2</v>
      </c>
    </row>
    <row r="176" spans="1:10" s="262" customFormat="1" x14ac:dyDescent="0.35">
      <c r="A176" s="293">
        <v>45189</v>
      </c>
      <c r="B176" s="312">
        <v>99.850000000000009</v>
      </c>
      <c r="C176" s="313">
        <v>6.4100000000000004E-2</v>
      </c>
      <c r="D176" s="312">
        <v>101.35000000000001</v>
      </c>
      <c r="E176" s="313">
        <v>6.8100000000000008E-2</v>
      </c>
      <c r="F176" s="312">
        <v>101.28</v>
      </c>
      <c r="G176" s="313">
        <v>6.9900000000000004E-2</v>
      </c>
      <c r="H176" s="312">
        <v>101.09</v>
      </c>
      <c r="I176" s="313">
        <v>7.0300000000000001E-2</v>
      </c>
    </row>
    <row r="177" spans="1:10" s="262" customFormat="1" x14ac:dyDescent="0.35">
      <c r="A177" s="293">
        <v>45190</v>
      </c>
      <c r="B177" s="312">
        <v>99.850000000000009</v>
      </c>
      <c r="C177" s="313">
        <v>6.4100000000000004E-2</v>
      </c>
      <c r="D177" s="312">
        <v>101.48</v>
      </c>
      <c r="E177" s="313">
        <v>6.7900000000000002E-2</v>
      </c>
      <c r="F177" s="312">
        <v>101.65</v>
      </c>
      <c r="G177" s="313">
        <v>6.9500000000000006E-2</v>
      </c>
      <c r="H177" s="312">
        <v>101.25</v>
      </c>
      <c r="I177" s="313">
        <v>7.010000000000001E-2</v>
      </c>
    </row>
    <row r="178" spans="1:10" s="262" customFormat="1" x14ac:dyDescent="0.35">
      <c r="A178" s="293">
        <v>45191</v>
      </c>
      <c r="B178" s="312">
        <v>99.89</v>
      </c>
      <c r="C178" s="313">
        <v>6.4000000000000001E-2</v>
      </c>
      <c r="D178" s="312">
        <v>101.68</v>
      </c>
      <c r="E178" s="313">
        <v>6.7600000000000007E-2</v>
      </c>
      <c r="F178" s="312">
        <v>101.94000000000001</v>
      </c>
      <c r="G178" s="313">
        <v>6.9199999999999998E-2</v>
      </c>
      <c r="H178" s="312">
        <v>101.48</v>
      </c>
      <c r="I178" s="313">
        <v>6.9900000000000004E-2</v>
      </c>
    </row>
    <row r="179" spans="1:10" s="262" customFormat="1" x14ac:dyDescent="0.35">
      <c r="A179" s="265">
        <v>45194</v>
      </c>
      <c r="B179" s="282">
        <v>100.07000000000001</v>
      </c>
      <c r="C179" s="283">
        <v>6.3600000000000004E-2</v>
      </c>
      <c r="D179" s="282">
        <v>102</v>
      </c>
      <c r="E179" s="283">
        <v>6.7100000000000007E-2</v>
      </c>
      <c r="F179" s="282">
        <v>102.82000000000001</v>
      </c>
      <c r="G179" s="283">
        <v>6.8199999999999997E-2</v>
      </c>
      <c r="H179" s="282">
        <v>102.65</v>
      </c>
      <c r="I179" s="420">
        <v>6.8900000000000003E-2</v>
      </c>
      <c r="J179" s="419">
        <f>AVERAGE(I174,I155)</f>
        <v>6.8900000000000003E-2</v>
      </c>
    </row>
    <row r="180" spans="1:10" s="262" customFormat="1" x14ac:dyDescent="0.35">
      <c r="A180" s="265">
        <v>45195</v>
      </c>
      <c r="B180" s="282">
        <v>99.78</v>
      </c>
      <c r="C180" s="283">
        <v>6.4299999999999996E-2</v>
      </c>
      <c r="D180" s="282">
        <v>101.37</v>
      </c>
      <c r="E180" s="283">
        <v>6.8000000000000005E-2</v>
      </c>
      <c r="F180" s="282">
        <v>101.53</v>
      </c>
      <c r="G180" s="283">
        <v>6.9600000000000009E-2</v>
      </c>
      <c r="H180" s="282">
        <v>101.56</v>
      </c>
      <c r="I180" s="420">
        <v>6.9800000000000001E-2</v>
      </c>
      <c r="J180" s="419">
        <f>AVERAGE(I175,I178)</f>
        <v>6.9849999999999995E-2</v>
      </c>
    </row>
    <row r="181" spans="1:10" s="262" customFormat="1" x14ac:dyDescent="0.35">
      <c r="A181" s="265">
        <v>45196</v>
      </c>
      <c r="B181" s="282">
        <v>99.56</v>
      </c>
      <c r="C181" s="283">
        <v>6.4799999999999996E-2</v>
      </c>
      <c r="D181" s="282">
        <v>100.94000000000001</v>
      </c>
      <c r="E181" s="283">
        <v>6.8699999999999997E-2</v>
      </c>
      <c r="F181" s="282">
        <v>101.33</v>
      </c>
      <c r="G181" s="283">
        <v>6.9800000000000001E-2</v>
      </c>
      <c r="H181" s="282">
        <v>101.21000000000001</v>
      </c>
      <c r="I181" s="420">
        <v>7.010000000000001E-2</v>
      </c>
    </row>
    <row r="182" spans="1:10" s="262" customFormat="1" x14ac:dyDescent="0.35">
      <c r="A182" s="265">
        <v>45198</v>
      </c>
      <c r="B182" s="282">
        <v>99.460000000000008</v>
      </c>
      <c r="C182" s="283">
        <v>6.5100000000000005E-2</v>
      </c>
      <c r="D182" s="282">
        <v>100.83</v>
      </c>
      <c r="E182" s="283">
        <v>6.88E-2</v>
      </c>
      <c r="F182" s="282">
        <v>101.15</v>
      </c>
      <c r="G182" s="283">
        <v>7.0000000000000007E-2</v>
      </c>
      <c r="H182" s="282">
        <v>101.1</v>
      </c>
      <c r="I182" s="420">
        <v>7.0199999999999999E-2</v>
      </c>
    </row>
    <row r="183" spans="1:10" s="262" customFormat="1" x14ac:dyDescent="0.35">
      <c r="A183" s="293">
        <v>45201</v>
      </c>
      <c r="B183" s="312">
        <v>99.21</v>
      </c>
      <c r="C183" s="313">
        <v>6.5700000000000008E-2</v>
      </c>
      <c r="D183" s="312">
        <v>100.36</v>
      </c>
      <c r="E183" s="313">
        <v>6.9500000000000006E-2</v>
      </c>
      <c r="F183" s="312">
        <v>100.82000000000001</v>
      </c>
      <c r="G183" s="313">
        <v>7.0400000000000004E-2</v>
      </c>
      <c r="H183" s="312">
        <v>100.76</v>
      </c>
      <c r="I183" s="313">
        <v>7.0599999999999996E-2</v>
      </c>
    </row>
    <row r="184" spans="1:10" s="262" customFormat="1" x14ac:dyDescent="0.35">
      <c r="A184" s="293">
        <v>45202</v>
      </c>
      <c r="B184" s="312">
        <v>98.850000000000009</v>
      </c>
      <c r="C184" s="313">
        <v>6.6600000000000006E-2</v>
      </c>
      <c r="D184" s="312">
        <v>99.78</v>
      </c>
      <c r="E184" s="313">
        <v>7.0400000000000004E-2</v>
      </c>
      <c r="F184" s="312">
        <v>99.92</v>
      </c>
      <c r="G184" s="313">
        <v>7.1400000000000005E-2</v>
      </c>
      <c r="H184" s="312">
        <v>99.95</v>
      </c>
      <c r="I184" s="313">
        <v>7.1300000000000002E-2</v>
      </c>
    </row>
    <row r="185" spans="1:10" s="262" customFormat="1" x14ac:dyDescent="0.35">
      <c r="A185" s="293">
        <v>45203</v>
      </c>
      <c r="B185" s="312">
        <v>98.12</v>
      </c>
      <c r="C185" s="313">
        <v>6.8400000000000002E-2</v>
      </c>
      <c r="D185" s="312">
        <v>99.300000000000011</v>
      </c>
      <c r="E185" s="313">
        <v>7.1099999999999997E-2</v>
      </c>
      <c r="F185" s="312">
        <v>98.84</v>
      </c>
      <c r="G185" s="313">
        <v>7.2599999999999998E-2</v>
      </c>
      <c r="H185" s="312">
        <v>98.73</v>
      </c>
      <c r="I185" s="313">
        <v>7.2500000000000009E-2</v>
      </c>
    </row>
    <row r="186" spans="1:10" s="262" customFormat="1" x14ac:dyDescent="0.35">
      <c r="A186" s="293">
        <v>45204</v>
      </c>
      <c r="B186" s="312">
        <v>98.320000000000007</v>
      </c>
      <c r="C186" s="313">
        <v>6.7900000000000002E-2</v>
      </c>
      <c r="D186" s="312">
        <v>100.04</v>
      </c>
      <c r="E186" s="313">
        <v>7.0000000000000007E-2</v>
      </c>
      <c r="F186" s="312">
        <v>99.47</v>
      </c>
      <c r="G186" s="313">
        <v>7.1900000000000006E-2</v>
      </c>
      <c r="H186" s="312">
        <v>99.210000000000008</v>
      </c>
      <c r="I186" s="313">
        <v>7.2000000000000008E-2</v>
      </c>
    </row>
    <row r="187" spans="1:10" s="262" customFormat="1" x14ac:dyDescent="0.35">
      <c r="A187" s="293">
        <v>45205</v>
      </c>
      <c r="B187" s="312">
        <v>98.25</v>
      </c>
      <c r="C187" s="313">
        <v>6.8100000000000008E-2</v>
      </c>
      <c r="D187" s="312">
        <v>100.15</v>
      </c>
      <c r="E187" s="313">
        <v>6.9800000000000001E-2</v>
      </c>
      <c r="F187" s="312">
        <v>99.51</v>
      </c>
      <c r="G187" s="313">
        <v>7.1800000000000003E-2</v>
      </c>
      <c r="H187" s="312">
        <v>99.42</v>
      </c>
      <c r="I187" s="313">
        <v>7.1800000000000003E-2</v>
      </c>
    </row>
    <row r="188" spans="1:10" s="262" customFormat="1" x14ac:dyDescent="0.35">
      <c r="A188" s="356">
        <v>45208</v>
      </c>
      <c r="B188" s="357">
        <v>98.38000000000001</v>
      </c>
      <c r="C188" s="358">
        <v>6.7699999999999996E-2</v>
      </c>
      <c r="D188" s="357">
        <v>99.98</v>
      </c>
      <c r="E188" s="358">
        <v>7.010000000000001E-2</v>
      </c>
      <c r="F188" s="357">
        <v>99.34</v>
      </c>
      <c r="G188" s="358">
        <v>7.2000000000000008E-2</v>
      </c>
      <c r="H188" s="357">
        <v>100.3</v>
      </c>
      <c r="I188" s="358">
        <v>7.1000000000000008E-2</v>
      </c>
    </row>
    <row r="189" spans="1:10" s="262" customFormat="1" x14ac:dyDescent="0.35">
      <c r="A189" s="356">
        <v>45209</v>
      </c>
      <c r="B189" s="357">
        <v>98.660000000000011</v>
      </c>
      <c r="C189" s="358">
        <v>6.7100000000000007E-2</v>
      </c>
      <c r="D189" s="357">
        <v>100.54</v>
      </c>
      <c r="E189" s="358">
        <v>6.9199999999999998E-2</v>
      </c>
      <c r="F189" s="357">
        <v>100.36</v>
      </c>
      <c r="G189" s="358">
        <v>7.0900000000000005E-2</v>
      </c>
      <c r="H189" s="357">
        <v>101.17</v>
      </c>
      <c r="I189" s="358">
        <v>7.0199999999999999E-2</v>
      </c>
    </row>
    <row r="190" spans="1:10" s="262" customFormat="1" x14ac:dyDescent="0.35">
      <c r="A190" s="356">
        <v>45210</v>
      </c>
      <c r="B190" s="357">
        <v>98.800000000000011</v>
      </c>
      <c r="C190" s="358">
        <v>6.6700000000000009E-2</v>
      </c>
      <c r="D190" s="357">
        <v>100.94000000000001</v>
      </c>
      <c r="E190" s="358">
        <v>6.8699999999999997E-2</v>
      </c>
      <c r="F190" s="357">
        <v>100.43</v>
      </c>
      <c r="G190" s="358">
        <v>7.0800000000000002E-2</v>
      </c>
      <c r="H190" s="357">
        <v>100.99000000000001</v>
      </c>
      <c r="I190" s="358">
        <v>7.0400000000000004E-2</v>
      </c>
    </row>
    <row r="191" spans="1:10" s="262" customFormat="1" x14ac:dyDescent="0.35">
      <c r="A191" s="356">
        <v>45211</v>
      </c>
      <c r="B191" s="357">
        <v>99.26</v>
      </c>
      <c r="C191" s="358">
        <v>6.5600000000000006E-2</v>
      </c>
      <c r="D191" s="357">
        <v>101.67</v>
      </c>
      <c r="E191" s="358">
        <v>6.7600000000000007E-2</v>
      </c>
      <c r="F191" s="357">
        <v>101.44000000000001</v>
      </c>
      <c r="G191" s="358">
        <v>6.9699999999999998E-2</v>
      </c>
      <c r="H191" s="357">
        <v>101.18</v>
      </c>
      <c r="I191" s="358">
        <v>7.0199999999999999E-2</v>
      </c>
    </row>
    <row r="192" spans="1:10" s="262" customFormat="1" x14ac:dyDescent="0.35">
      <c r="A192" s="356">
        <v>45212</v>
      </c>
      <c r="B192" s="357">
        <v>99.01</v>
      </c>
      <c r="C192" s="358">
        <v>6.6200000000000009E-2</v>
      </c>
      <c r="D192" s="357">
        <v>101.34</v>
      </c>
      <c r="E192" s="358">
        <v>6.8100000000000008E-2</v>
      </c>
      <c r="F192" s="357">
        <v>100.81</v>
      </c>
      <c r="G192" s="358">
        <v>7.0400000000000004E-2</v>
      </c>
      <c r="H192" s="357">
        <v>100.81</v>
      </c>
      <c r="I192" s="358">
        <v>7.0500000000000007E-2</v>
      </c>
    </row>
    <row r="193" spans="1:9" s="262" customFormat="1" x14ac:dyDescent="0.35">
      <c r="A193" s="309">
        <v>45215</v>
      </c>
      <c r="B193" s="310">
        <v>99.12</v>
      </c>
      <c r="C193" s="311">
        <v>6.59E-2</v>
      </c>
      <c r="D193" s="310">
        <v>101.74000000000001</v>
      </c>
      <c r="E193" s="311">
        <v>6.7500000000000004E-2</v>
      </c>
      <c r="F193" s="310">
        <v>101.04</v>
      </c>
      <c r="G193" s="311">
        <v>7.010000000000001E-2</v>
      </c>
      <c r="H193" s="310">
        <v>100.99000000000001</v>
      </c>
      <c r="I193" s="311">
        <v>7.0400000000000004E-2</v>
      </c>
    </row>
    <row r="194" spans="1:9" s="262" customFormat="1" x14ac:dyDescent="0.35">
      <c r="A194" s="309">
        <v>45216</v>
      </c>
      <c r="B194" s="310">
        <v>98.940000000000012</v>
      </c>
      <c r="C194" s="311">
        <v>6.6400000000000001E-2</v>
      </c>
      <c r="D194" s="310">
        <v>101.56</v>
      </c>
      <c r="E194" s="311">
        <v>6.7699999999999996E-2</v>
      </c>
      <c r="F194" s="310">
        <v>100.83</v>
      </c>
      <c r="G194" s="311">
        <v>7.0400000000000004E-2</v>
      </c>
      <c r="H194" s="310">
        <v>100.81</v>
      </c>
      <c r="I194" s="311">
        <v>7.0500000000000007E-2</v>
      </c>
    </row>
    <row r="195" spans="1:9" s="262" customFormat="1" x14ac:dyDescent="0.35">
      <c r="A195" s="309">
        <v>45217</v>
      </c>
      <c r="B195" s="310">
        <v>98.600000000000009</v>
      </c>
      <c r="C195" s="311">
        <v>6.720000000000001E-2</v>
      </c>
      <c r="D195" s="310">
        <v>100.99000000000001</v>
      </c>
      <c r="E195" s="311">
        <v>6.8600000000000008E-2</v>
      </c>
      <c r="F195" s="310">
        <v>100.17</v>
      </c>
      <c r="G195" s="311">
        <v>7.1099999999999997E-2</v>
      </c>
      <c r="H195" s="310">
        <v>100.11</v>
      </c>
      <c r="I195" s="311">
        <v>7.1199999999999999E-2</v>
      </c>
    </row>
    <row r="196" spans="1:9" s="262" customFormat="1" x14ac:dyDescent="0.35">
      <c r="A196" s="309">
        <v>45218</v>
      </c>
      <c r="B196" s="310">
        <v>98.48</v>
      </c>
      <c r="C196" s="311">
        <v>6.7500000000000004E-2</v>
      </c>
      <c r="D196" s="310">
        <v>100.59</v>
      </c>
      <c r="E196" s="311">
        <v>6.9199999999999998E-2</v>
      </c>
      <c r="F196" s="310">
        <v>99.8</v>
      </c>
      <c r="G196" s="311">
        <v>7.1500000000000008E-2</v>
      </c>
      <c r="H196" s="310">
        <v>99.600000000000009</v>
      </c>
      <c r="I196" s="311">
        <v>7.17E-2</v>
      </c>
    </row>
    <row r="197" spans="1:9" s="262" customFormat="1" x14ac:dyDescent="0.35">
      <c r="A197" s="309">
        <v>45219</v>
      </c>
      <c r="B197" s="310">
        <v>97.910000000000011</v>
      </c>
      <c r="C197" s="311">
        <v>6.8900000000000003E-2</v>
      </c>
      <c r="D197" s="310">
        <v>99.37</v>
      </c>
      <c r="E197" s="311">
        <v>7.1000000000000008E-2</v>
      </c>
      <c r="F197" s="310">
        <v>98.800000000000011</v>
      </c>
      <c r="G197" s="311">
        <v>7.2599999999999998E-2</v>
      </c>
      <c r="H197" s="310">
        <v>98.850000000000009</v>
      </c>
      <c r="I197" s="311">
        <v>7.2400000000000006E-2</v>
      </c>
    </row>
    <row r="198" spans="1:9" s="262" customFormat="1" x14ac:dyDescent="0.35">
      <c r="A198" s="265">
        <v>45222</v>
      </c>
      <c r="B198" s="282">
        <v>97.31</v>
      </c>
      <c r="C198" s="283">
        <v>7.0500000000000007E-2</v>
      </c>
      <c r="D198" s="282">
        <v>98.68</v>
      </c>
      <c r="E198" s="283">
        <v>7.2000000000000008E-2</v>
      </c>
      <c r="F198" s="282">
        <v>98.25</v>
      </c>
      <c r="G198" s="283">
        <v>7.3300000000000004E-2</v>
      </c>
      <c r="H198" s="282">
        <v>98.34</v>
      </c>
      <c r="I198" s="283">
        <v>7.2900000000000006E-2</v>
      </c>
    </row>
    <row r="199" spans="1:9" s="262" customFormat="1" x14ac:dyDescent="0.35">
      <c r="A199" s="265">
        <v>45223</v>
      </c>
      <c r="B199" s="282">
        <v>97.01</v>
      </c>
      <c r="C199" s="283">
        <v>7.1199999999999999E-2</v>
      </c>
      <c r="D199" s="282">
        <v>98.820000000000007</v>
      </c>
      <c r="E199" s="283">
        <v>7.1800000000000003E-2</v>
      </c>
      <c r="F199" s="282">
        <v>98.2</v>
      </c>
      <c r="G199" s="283">
        <v>7.3300000000000004E-2</v>
      </c>
      <c r="H199" s="282">
        <v>98.28</v>
      </c>
      <c r="I199" s="283">
        <v>7.2900000000000006E-2</v>
      </c>
    </row>
    <row r="200" spans="1:9" s="262" customFormat="1" x14ac:dyDescent="0.35">
      <c r="A200" s="265">
        <v>45224</v>
      </c>
      <c r="B200" s="282">
        <v>97.2</v>
      </c>
      <c r="C200" s="283">
        <v>7.0699999999999999E-2</v>
      </c>
      <c r="D200" s="282">
        <v>98.800000000000011</v>
      </c>
      <c r="E200" s="283">
        <v>7.1800000000000003E-2</v>
      </c>
      <c r="F200" s="282">
        <v>99.410000000000011</v>
      </c>
      <c r="G200" s="283">
        <v>7.1900000000000006E-2</v>
      </c>
      <c r="H200" s="282">
        <v>99.440000000000012</v>
      </c>
      <c r="I200" s="283">
        <v>7.1800000000000003E-2</v>
      </c>
    </row>
    <row r="201" spans="1:9" s="262" customFormat="1" x14ac:dyDescent="0.35">
      <c r="A201" s="265">
        <v>45225</v>
      </c>
      <c r="B201" s="282">
        <v>96.97</v>
      </c>
      <c r="C201" s="283">
        <v>7.1300000000000002E-2</v>
      </c>
      <c r="D201" s="282">
        <v>98.43</v>
      </c>
      <c r="E201" s="283">
        <v>7.2400000000000006E-2</v>
      </c>
      <c r="F201" s="282">
        <v>99.31</v>
      </c>
      <c r="G201" s="283">
        <v>7.2099999999999997E-2</v>
      </c>
      <c r="H201" s="282">
        <v>99.350000000000009</v>
      </c>
      <c r="I201" s="283">
        <v>7.1900000000000006E-2</v>
      </c>
    </row>
    <row r="202" spans="1:9" s="262" customFormat="1" x14ac:dyDescent="0.35">
      <c r="A202" s="265">
        <v>45226</v>
      </c>
      <c r="B202" s="282">
        <v>97.29</v>
      </c>
      <c r="C202" s="283">
        <v>7.0500000000000007E-2</v>
      </c>
      <c r="D202" s="282">
        <v>99.240000000000009</v>
      </c>
      <c r="E202" s="283">
        <v>7.1199999999999999E-2</v>
      </c>
      <c r="F202" s="282">
        <v>100.02000000000001</v>
      </c>
      <c r="G202" s="283">
        <v>7.1300000000000002E-2</v>
      </c>
      <c r="H202" s="282">
        <v>99.940000000000012</v>
      </c>
      <c r="I202" s="283">
        <v>7.1300000000000002E-2</v>
      </c>
    </row>
    <row r="203" spans="1:9" s="262" customFormat="1" x14ac:dyDescent="0.35">
      <c r="A203" s="309">
        <v>45229</v>
      </c>
      <c r="B203" s="359">
        <v>97.4</v>
      </c>
      <c r="C203" s="360">
        <v>7.0300000000000001E-2</v>
      </c>
      <c r="D203" s="359">
        <v>99.31</v>
      </c>
      <c r="E203" s="360">
        <v>7.1099999999999997E-2</v>
      </c>
      <c r="F203" s="359">
        <v>99.64</v>
      </c>
      <c r="G203" s="360">
        <v>7.17E-2</v>
      </c>
      <c r="H203" s="359">
        <v>99.8</v>
      </c>
      <c r="I203" s="360">
        <v>7.1500000000000008E-2</v>
      </c>
    </row>
    <row r="204" spans="1:9" s="262" customFormat="1" x14ac:dyDescent="0.35">
      <c r="A204" s="309">
        <v>45230</v>
      </c>
      <c r="B204" s="359">
        <v>97.35</v>
      </c>
      <c r="C204" s="360">
        <v>7.0400000000000004E-2</v>
      </c>
      <c r="D204" s="359">
        <v>99.33</v>
      </c>
      <c r="E204" s="360">
        <v>7.1000000000000008E-2</v>
      </c>
      <c r="F204" s="359">
        <v>99.95</v>
      </c>
      <c r="G204" s="360">
        <v>7.1300000000000002E-2</v>
      </c>
      <c r="H204" s="359">
        <v>100.12</v>
      </c>
      <c r="I204" s="360">
        <v>7.1199999999999999E-2</v>
      </c>
    </row>
    <row r="205" spans="1:9" s="262" customFormat="1" x14ac:dyDescent="0.35">
      <c r="A205" s="309">
        <v>45231</v>
      </c>
      <c r="B205" s="359">
        <v>97.62</v>
      </c>
      <c r="C205" s="360">
        <v>6.9699999999999998E-2</v>
      </c>
      <c r="D205" s="359">
        <v>99.690000000000012</v>
      </c>
      <c r="E205" s="360">
        <v>7.0500000000000007E-2</v>
      </c>
      <c r="F205" s="359">
        <v>99.940000000000012</v>
      </c>
      <c r="G205" s="360">
        <v>7.1400000000000005E-2</v>
      </c>
      <c r="H205" s="359">
        <v>99.89</v>
      </c>
      <c r="I205" s="360">
        <v>7.1400000000000005E-2</v>
      </c>
    </row>
    <row r="206" spans="1:9" s="262" customFormat="1" x14ac:dyDescent="0.35">
      <c r="A206" s="309">
        <v>45232</v>
      </c>
      <c r="B206" s="359">
        <v>98.06</v>
      </c>
      <c r="C206" s="360">
        <v>6.8600000000000008E-2</v>
      </c>
      <c r="D206" s="359">
        <v>100.45</v>
      </c>
      <c r="E206" s="360">
        <v>6.9400000000000003E-2</v>
      </c>
      <c r="F206" s="359">
        <v>100.88000000000001</v>
      </c>
      <c r="G206" s="360">
        <v>7.0300000000000001E-2</v>
      </c>
      <c r="H206" s="359">
        <v>100.84</v>
      </c>
      <c r="I206" s="360">
        <v>7.0500000000000007E-2</v>
      </c>
    </row>
    <row r="207" spans="1:9" s="262" customFormat="1" x14ac:dyDescent="0.35">
      <c r="A207" s="309">
        <v>45233</v>
      </c>
      <c r="B207" s="359">
        <v>98.24</v>
      </c>
      <c r="C207" s="360">
        <v>6.8100000000000008E-2</v>
      </c>
      <c r="D207" s="359">
        <v>100.99000000000001</v>
      </c>
      <c r="E207" s="360">
        <v>6.8600000000000008E-2</v>
      </c>
      <c r="F207" s="359">
        <v>101.51</v>
      </c>
      <c r="G207" s="360">
        <v>6.9600000000000009E-2</v>
      </c>
      <c r="H207" s="359">
        <v>101.27000000000001</v>
      </c>
      <c r="I207" s="360">
        <v>7.010000000000001E-2</v>
      </c>
    </row>
    <row r="208" spans="1:9" s="262" customFormat="1" x14ac:dyDescent="0.35">
      <c r="A208" s="352">
        <v>45236</v>
      </c>
      <c r="B208" s="361">
        <v>98.79</v>
      </c>
      <c r="C208" s="362">
        <v>6.6799999999999998E-2</v>
      </c>
      <c r="D208" s="361">
        <v>102.16000000000001</v>
      </c>
      <c r="E208" s="362">
        <v>6.6900000000000001E-2</v>
      </c>
      <c r="F208" s="361">
        <v>102.32000000000001</v>
      </c>
      <c r="G208" s="362">
        <v>6.8699999999999997E-2</v>
      </c>
      <c r="H208" s="361">
        <v>102.04</v>
      </c>
      <c r="I208" s="362">
        <v>6.9400000000000003E-2</v>
      </c>
    </row>
    <row r="209" spans="1:10" s="262" customFormat="1" x14ac:dyDescent="0.35">
      <c r="A209" s="352">
        <v>45237</v>
      </c>
      <c r="B209" s="361">
        <v>98.9</v>
      </c>
      <c r="C209" s="362">
        <v>6.6500000000000004E-2</v>
      </c>
      <c r="D209" s="361">
        <v>102.04</v>
      </c>
      <c r="E209" s="362">
        <v>6.7000000000000004E-2</v>
      </c>
      <c r="F209" s="361">
        <v>102.45</v>
      </c>
      <c r="G209" s="362">
        <v>6.8600000000000008E-2</v>
      </c>
      <c r="H209" s="361">
        <v>101.5</v>
      </c>
      <c r="I209" s="362">
        <v>6.9900000000000004E-2</v>
      </c>
    </row>
    <row r="210" spans="1:10" s="262" customFormat="1" x14ac:dyDescent="0.35">
      <c r="A210" s="352">
        <v>45238</v>
      </c>
      <c r="B210" s="361">
        <v>98.89</v>
      </c>
      <c r="C210" s="362">
        <v>6.6500000000000004E-2</v>
      </c>
      <c r="D210" s="361">
        <v>101.85</v>
      </c>
      <c r="E210" s="362">
        <v>6.7299999999999999E-2</v>
      </c>
      <c r="F210" s="361">
        <v>102.27000000000001</v>
      </c>
      <c r="G210" s="362">
        <v>6.88E-2</v>
      </c>
      <c r="H210" s="361">
        <v>101.3</v>
      </c>
      <c r="I210" s="362">
        <v>7.010000000000001E-2</v>
      </c>
    </row>
    <row r="211" spans="1:10" s="262" customFormat="1" x14ac:dyDescent="0.35">
      <c r="A211" s="352">
        <v>45239</v>
      </c>
      <c r="B211" s="361">
        <v>98.84</v>
      </c>
      <c r="C211" s="362">
        <v>6.6700000000000009E-2</v>
      </c>
      <c r="D211" s="361">
        <v>101.83</v>
      </c>
      <c r="E211" s="362">
        <v>6.7299999999999999E-2</v>
      </c>
      <c r="F211" s="361">
        <v>102.29</v>
      </c>
      <c r="G211" s="362">
        <v>6.88E-2</v>
      </c>
      <c r="H211" s="361">
        <v>101.15</v>
      </c>
      <c r="I211" s="362">
        <v>7.0199999999999999E-2</v>
      </c>
    </row>
    <row r="212" spans="1:10" s="262" customFormat="1" x14ac:dyDescent="0.35">
      <c r="A212" s="352">
        <v>45240</v>
      </c>
      <c r="B212" s="361">
        <v>98.36</v>
      </c>
      <c r="C212" s="362">
        <v>6.7900000000000002E-2</v>
      </c>
      <c r="D212" s="361">
        <v>101.25</v>
      </c>
      <c r="E212" s="362">
        <v>6.8199999999999997E-2</v>
      </c>
      <c r="F212" s="361">
        <v>101.66000000000001</v>
      </c>
      <c r="G212" s="362">
        <v>6.9500000000000006E-2</v>
      </c>
      <c r="H212" s="361">
        <v>100.83</v>
      </c>
      <c r="I212" s="362">
        <v>7.0500000000000007E-2</v>
      </c>
    </row>
    <row r="213" spans="1:10" s="262" customFormat="1" x14ac:dyDescent="0.35">
      <c r="A213" s="293">
        <v>45243</v>
      </c>
      <c r="B213" s="312">
        <v>98.15</v>
      </c>
      <c r="C213" s="313">
        <v>6.8400000000000002E-2</v>
      </c>
      <c r="D213" s="312">
        <v>100.98</v>
      </c>
      <c r="E213" s="313">
        <v>6.8600000000000008E-2</v>
      </c>
      <c r="F213" s="312">
        <v>101.32000000000001</v>
      </c>
      <c r="G213" s="313">
        <v>6.9800000000000001E-2</v>
      </c>
      <c r="H213" s="312">
        <v>100.52000000000001</v>
      </c>
      <c r="I213" s="313">
        <v>7.0800000000000002E-2</v>
      </c>
    </row>
    <row r="214" spans="1:10" s="262" customFormat="1" x14ac:dyDescent="0.35">
      <c r="A214" s="293">
        <v>45244</v>
      </c>
      <c r="B214" s="312">
        <v>97.990000000000009</v>
      </c>
      <c r="C214" s="313">
        <v>6.88E-2</v>
      </c>
      <c r="D214" s="312">
        <v>100.60000000000001</v>
      </c>
      <c r="E214" s="313">
        <v>6.9100000000000009E-2</v>
      </c>
      <c r="F214" s="312">
        <v>101.18</v>
      </c>
      <c r="G214" s="313">
        <v>7.0000000000000007E-2</v>
      </c>
      <c r="H214" s="312">
        <v>100.31</v>
      </c>
      <c r="I214" s="313">
        <v>7.1000000000000008E-2</v>
      </c>
    </row>
    <row r="215" spans="1:10" s="262" customFormat="1" x14ac:dyDescent="0.35">
      <c r="A215" s="293">
        <v>45245</v>
      </c>
      <c r="B215" s="312">
        <v>98.76</v>
      </c>
      <c r="C215" s="313">
        <v>6.6900000000000001E-2</v>
      </c>
      <c r="D215" s="312">
        <v>101.97</v>
      </c>
      <c r="E215" s="313">
        <v>6.7100000000000007E-2</v>
      </c>
      <c r="F215" s="312">
        <v>102.12</v>
      </c>
      <c r="G215" s="313">
        <v>6.9000000000000006E-2</v>
      </c>
      <c r="H215" s="312">
        <v>102.07000000000001</v>
      </c>
      <c r="I215" s="313">
        <v>6.93E-2</v>
      </c>
    </row>
    <row r="216" spans="1:10" s="262" customFormat="1" x14ac:dyDescent="0.35">
      <c r="A216" s="293">
        <v>45246</v>
      </c>
      <c r="B216" s="312">
        <v>98.550000000000011</v>
      </c>
      <c r="C216" s="313">
        <v>6.7400000000000002E-2</v>
      </c>
      <c r="D216" s="312">
        <v>101.73</v>
      </c>
      <c r="E216" s="313">
        <v>6.7500000000000004E-2</v>
      </c>
      <c r="F216" s="312">
        <v>102.03</v>
      </c>
      <c r="G216" s="313">
        <v>6.9100000000000009E-2</v>
      </c>
      <c r="H216" s="312">
        <v>101.94000000000001</v>
      </c>
      <c r="I216" s="313">
        <v>6.9500000000000006E-2</v>
      </c>
    </row>
    <row r="217" spans="1:10" s="262" customFormat="1" x14ac:dyDescent="0.35">
      <c r="A217" s="293">
        <v>45247</v>
      </c>
      <c r="B217" s="312">
        <v>99.190000000000012</v>
      </c>
      <c r="C217" s="313">
        <v>6.5799999999999997E-2</v>
      </c>
      <c r="D217" s="312">
        <v>102.4</v>
      </c>
      <c r="E217" s="313">
        <v>6.6500000000000004E-2</v>
      </c>
      <c r="F217" s="312">
        <v>103.2</v>
      </c>
      <c r="G217" s="313">
        <v>6.7799999999999999E-2</v>
      </c>
      <c r="H217" s="312">
        <v>103.02000000000001</v>
      </c>
      <c r="I217" s="313">
        <v>6.8500000000000005E-2</v>
      </c>
    </row>
    <row r="218" spans="1:10" x14ac:dyDescent="0.35">
      <c r="A218" s="265">
        <v>45250</v>
      </c>
      <c r="B218" s="282">
        <v>99.300000000000011</v>
      </c>
      <c r="C218" s="283">
        <v>6.5500000000000003E-2</v>
      </c>
      <c r="D218" s="282">
        <v>102.71000000000001</v>
      </c>
      <c r="E218" s="283">
        <v>6.6100000000000006E-2</v>
      </c>
      <c r="F218" s="282">
        <v>103.53</v>
      </c>
      <c r="G218" s="283">
        <v>6.7500000000000004E-2</v>
      </c>
      <c r="H218" s="282">
        <v>103.53</v>
      </c>
      <c r="I218" s="283">
        <v>6.8000000000000005E-2</v>
      </c>
      <c r="J218" s="47"/>
    </row>
    <row r="219" spans="1:10" x14ac:dyDescent="0.35">
      <c r="A219" s="265">
        <v>45251</v>
      </c>
      <c r="B219" s="282">
        <v>99.300000000000011</v>
      </c>
      <c r="C219" s="283">
        <v>6.5500000000000003E-2</v>
      </c>
      <c r="D219" s="282">
        <v>102.71000000000001</v>
      </c>
      <c r="E219" s="283">
        <v>6.6100000000000006E-2</v>
      </c>
      <c r="F219" s="282">
        <v>103.53</v>
      </c>
      <c r="G219" s="283">
        <v>6.7500000000000004E-2</v>
      </c>
      <c r="H219" s="282">
        <v>103.53</v>
      </c>
      <c r="I219" s="283">
        <v>6.8000000000000005E-2</v>
      </c>
      <c r="J219" s="47"/>
    </row>
    <row r="220" spans="1:10" x14ac:dyDescent="0.35">
      <c r="A220" s="265">
        <v>45252</v>
      </c>
      <c r="B220" s="282">
        <v>98.98</v>
      </c>
      <c r="C220" s="283">
        <v>6.6299999999999998E-2</v>
      </c>
      <c r="D220" s="282">
        <v>102.34</v>
      </c>
      <c r="E220" s="283">
        <v>6.6600000000000006E-2</v>
      </c>
      <c r="F220" s="282">
        <v>102.22</v>
      </c>
      <c r="G220" s="283">
        <v>6.8900000000000003E-2</v>
      </c>
      <c r="H220" s="282">
        <v>102.02000000000001</v>
      </c>
      <c r="I220" s="283">
        <v>6.9400000000000003E-2</v>
      </c>
      <c r="J220" s="47"/>
    </row>
    <row r="221" spans="1:10" x14ac:dyDescent="0.35">
      <c r="A221" s="265">
        <v>45253</v>
      </c>
      <c r="B221" s="282">
        <v>98.97</v>
      </c>
      <c r="C221" s="283">
        <v>6.6299999999999998E-2</v>
      </c>
      <c r="D221" s="282">
        <v>102.58</v>
      </c>
      <c r="E221" s="283">
        <v>6.6200000000000009E-2</v>
      </c>
      <c r="F221" s="282">
        <v>102.58</v>
      </c>
      <c r="G221" s="283">
        <v>6.8500000000000005E-2</v>
      </c>
      <c r="H221" s="282">
        <v>102.24000000000001</v>
      </c>
      <c r="I221" s="283">
        <v>6.9199999999999998E-2</v>
      </c>
      <c r="J221" s="47"/>
    </row>
    <row r="222" spans="1:10" x14ac:dyDescent="0.35">
      <c r="A222" s="265">
        <v>45254</v>
      </c>
      <c r="B222" s="282">
        <v>98.960000000000008</v>
      </c>
      <c r="C222" s="283">
        <v>6.6400000000000001E-2</v>
      </c>
      <c r="D222" s="282">
        <v>102.56</v>
      </c>
      <c r="E222" s="283">
        <v>6.6299999999999998E-2</v>
      </c>
      <c r="F222" s="282">
        <v>102.55000000000001</v>
      </c>
      <c r="G222" s="283">
        <v>6.8500000000000005E-2</v>
      </c>
      <c r="H222" s="282">
        <v>102.27000000000001</v>
      </c>
      <c r="I222" s="283">
        <v>6.9199999999999998E-2</v>
      </c>
      <c r="J222" s="47"/>
    </row>
    <row r="223" spans="1:10" s="262" customFormat="1" ht="13" x14ac:dyDescent="0.3">
      <c r="A223" s="363">
        <v>45257</v>
      </c>
      <c r="B223" s="364">
        <v>98.820000000000007</v>
      </c>
      <c r="C223" s="365">
        <v>6.6700000000000009E-2</v>
      </c>
      <c r="D223" s="364">
        <v>102.46000000000001</v>
      </c>
      <c r="E223" s="365">
        <v>6.6400000000000001E-2</v>
      </c>
      <c r="F223" s="364">
        <v>102.49000000000001</v>
      </c>
      <c r="G223" s="365">
        <v>6.8600000000000008E-2</v>
      </c>
      <c r="H223" s="364">
        <v>101.93</v>
      </c>
      <c r="I223" s="365">
        <v>6.9500000000000006E-2</v>
      </c>
    </row>
    <row r="224" spans="1:10" s="262" customFormat="1" ht="13" x14ac:dyDescent="0.3">
      <c r="A224" s="363">
        <v>45258</v>
      </c>
      <c r="B224" s="364">
        <v>98.95</v>
      </c>
      <c r="C224" s="365">
        <v>6.6400000000000001E-2</v>
      </c>
      <c r="D224" s="364">
        <v>102.27000000000001</v>
      </c>
      <c r="E224" s="365">
        <v>6.6700000000000009E-2</v>
      </c>
      <c r="F224" s="364">
        <v>102.39</v>
      </c>
      <c r="G224" s="365">
        <v>6.8699999999999997E-2</v>
      </c>
      <c r="H224" s="364">
        <v>102.1</v>
      </c>
      <c r="I224" s="365">
        <v>6.93E-2</v>
      </c>
    </row>
    <row r="225" spans="1:9" s="262" customFormat="1" ht="13" x14ac:dyDescent="0.3">
      <c r="A225" s="363">
        <v>45259</v>
      </c>
      <c r="B225" s="364">
        <v>99.17</v>
      </c>
      <c r="C225" s="365">
        <v>6.5799999999999997E-2</v>
      </c>
      <c r="D225" s="364">
        <v>102.80000000000001</v>
      </c>
      <c r="E225" s="365">
        <v>6.59E-2</v>
      </c>
      <c r="F225" s="364">
        <v>103.09</v>
      </c>
      <c r="G225" s="365">
        <v>6.7900000000000002E-2</v>
      </c>
      <c r="H225" s="364">
        <v>102.81</v>
      </c>
      <c r="I225" s="365">
        <v>6.8699999999999997E-2</v>
      </c>
    </row>
    <row r="226" spans="1:9" s="262" customFormat="1" ht="13" x14ac:dyDescent="0.3">
      <c r="A226" s="363">
        <v>45260</v>
      </c>
      <c r="B226" s="364">
        <v>99.100000000000009</v>
      </c>
      <c r="C226" s="365">
        <v>6.6000000000000003E-2</v>
      </c>
      <c r="D226" s="364">
        <v>102.72</v>
      </c>
      <c r="E226" s="365">
        <v>6.6000000000000003E-2</v>
      </c>
      <c r="F226" s="364">
        <v>103.36</v>
      </c>
      <c r="G226" s="365">
        <v>6.7600000000000007E-2</v>
      </c>
      <c r="H226" s="364">
        <v>102.68</v>
      </c>
      <c r="I226" s="365">
        <v>6.88E-2</v>
      </c>
    </row>
    <row r="227" spans="1:9" s="262" customFormat="1" ht="13" x14ac:dyDescent="0.3">
      <c r="A227" s="363">
        <v>45261</v>
      </c>
      <c r="B227" s="364">
        <v>98.940000000000012</v>
      </c>
      <c r="C227" s="365">
        <v>6.6400000000000001E-2</v>
      </c>
      <c r="D227" s="364">
        <v>102.60000000000001</v>
      </c>
      <c r="E227" s="365">
        <v>6.6200000000000009E-2</v>
      </c>
      <c r="F227" s="364">
        <v>103.06</v>
      </c>
      <c r="G227" s="365">
        <v>6.8000000000000005E-2</v>
      </c>
      <c r="H227" s="364">
        <v>102.47</v>
      </c>
      <c r="I227" s="365">
        <v>6.9000000000000006E-2</v>
      </c>
    </row>
    <row r="228" spans="1:9" s="262" customFormat="1" ht="15.75" customHeight="1" x14ac:dyDescent="0.3">
      <c r="A228" s="366">
        <v>45264</v>
      </c>
      <c r="B228" s="367">
        <v>99.31</v>
      </c>
      <c r="C228" s="368">
        <v>6.5500000000000003E-2</v>
      </c>
      <c r="D228" s="367">
        <v>103.09</v>
      </c>
      <c r="E228" s="368">
        <v>6.5500000000000003E-2</v>
      </c>
      <c r="F228" s="367">
        <v>103.63000000000001</v>
      </c>
      <c r="G228" s="368">
        <v>6.7299999999999999E-2</v>
      </c>
      <c r="H228" s="367">
        <v>103.01</v>
      </c>
      <c r="I228" s="368">
        <v>6.8500000000000005E-2</v>
      </c>
    </row>
    <row r="229" spans="1:9" s="262" customFormat="1" ht="15.75" customHeight="1" x14ac:dyDescent="0.3">
      <c r="A229" s="366">
        <v>45265</v>
      </c>
      <c r="B229" s="367">
        <v>99.350000000000009</v>
      </c>
      <c r="C229" s="368">
        <v>6.54E-2</v>
      </c>
      <c r="D229" s="367">
        <v>102.87</v>
      </c>
      <c r="E229" s="368">
        <v>6.5799999999999997E-2</v>
      </c>
      <c r="F229" s="367">
        <v>103.63000000000001</v>
      </c>
      <c r="G229" s="368">
        <v>6.7299999999999999E-2</v>
      </c>
      <c r="H229" s="367">
        <v>103.01</v>
      </c>
      <c r="I229" s="368">
        <v>6.8500000000000005E-2</v>
      </c>
    </row>
    <row r="230" spans="1:9" s="262" customFormat="1" ht="15.75" customHeight="1" x14ac:dyDescent="0.3">
      <c r="A230" s="366">
        <v>45266</v>
      </c>
      <c r="B230" s="367">
        <v>99.490000000000009</v>
      </c>
      <c r="C230" s="368">
        <v>6.5000000000000002E-2</v>
      </c>
      <c r="D230" s="367">
        <v>103.12</v>
      </c>
      <c r="E230" s="368">
        <v>6.5500000000000003E-2</v>
      </c>
      <c r="F230" s="367">
        <v>103.69000000000001</v>
      </c>
      <c r="G230" s="368">
        <v>6.7299999999999999E-2</v>
      </c>
      <c r="H230" s="367">
        <v>103.59</v>
      </c>
      <c r="I230" s="368">
        <v>6.8000000000000005E-2</v>
      </c>
    </row>
    <row r="231" spans="1:9" s="262" customFormat="1" ht="15.75" customHeight="1" x14ac:dyDescent="0.3">
      <c r="A231" s="366">
        <v>45267</v>
      </c>
      <c r="B231" s="367">
        <v>99.490000000000009</v>
      </c>
      <c r="C231" s="368">
        <v>6.5100000000000005E-2</v>
      </c>
      <c r="D231" s="367">
        <v>103.12</v>
      </c>
      <c r="E231" s="368">
        <v>6.5600000000000006E-2</v>
      </c>
      <c r="F231" s="367">
        <v>103.69000000000001</v>
      </c>
      <c r="G231" s="368">
        <v>6.7299999999999999E-2</v>
      </c>
      <c r="H231" s="367">
        <v>103.59</v>
      </c>
      <c r="I231" s="368">
        <v>6.7900000000000002E-2</v>
      </c>
    </row>
    <row r="232" spans="1:9" s="262" customFormat="1" ht="15.75" customHeight="1" x14ac:dyDescent="0.3">
      <c r="A232" s="366">
        <v>45268</v>
      </c>
      <c r="B232" s="367">
        <v>99.410000000000011</v>
      </c>
      <c r="C232" s="368">
        <v>6.5299999999999997E-2</v>
      </c>
      <c r="D232" s="367">
        <v>102.80000000000001</v>
      </c>
      <c r="E232" s="368">
        <v>6.59E-2</v>
      </c>
      <c r="F232" s="367">
        <v>103.32000000000001</v>
      </c>
      <c r="G232" s="368">
        <v>6.7699999999999996E-2</v>
      </c>
      <c r="H232" s="367">
        <v>103.35</v>
      </c>
      <c r="I232" s="368">
        <v>6.8199999999999997E-2</v>
      </c>
    </row>
    <row r="233" spans="1:9" s="262" customFormat="1" ht="13" x14ac:dyDescent="0.3">
      <c r="A233" s="363">
        <v>45271</v>
      </c>
      <c r="B233" s="364">
        <v>99.26</v>
      </c>
      <c r="C233" s="365">
        <v>6.5600000000000006E-2</v>
      </c>
      <c r="D233" s="364">
        <v>102.64</v>
      </c>
      <c r="E233" s="365">
        <v>6.6100000000000006E-2</v>
      </c>
      <c r="F233" s="364">
        <v>103.4</v>
      </c>
      <c r="G233" s="365">
        <v>6.7600000000000007E-2</v>
      </c>
      <c r="H233" s="364">
        <v>103.43</v>
      </c>
      <c r="I233" s="365">
        <v>6.8100000000000008E-2</v>
      </c>
    </row>
    <row r="234" spans="1:9" x14ac:dyDescent="0.3">
      <c r="A234" s="363">
        <v>45272</v>
      </c>
      <c r="B234" s="364">
        <v>98.940000000000012</v>
      </c>
      <c r="C234" s="365">
        <v>6.6400000000000001E-2</v>
      </c>
      <c r="D234" s="364">
        <v>102.32000000000001</v>
      </c>
      <c r="E234" s="365">
        <v>6.6600000000000006E-2</v>
      </c>
      <c r="F234" s="364">
        <v>102.98</v>
      </c>
      <c r="G234" s="365">
        <v>6.8000000000000005E-2</v>
      </c>
      <c r="H234" s="364">
        <v>103.22</v>
      </c>
      <c r="I234" s="365">
        <v>6.83E-2</v>
      </c>
    </row>
    <row r="235" spans="1:9" x14ac:dyDescent="0.3">
      <c r="A235" s="363">
        <v>45273</v>
      </c>
      <c r="B235" s="364">
        <v>99.03</v>
      </c>
      <c r="C235" s="365">
        <v>6.6199999999999995E-2</v>
      </c>
      <c r="D235" s="364">
        <v>102.19</v>
      </c>
      <c r="E235" s="365">
        <v>6.6799999999999998E-2</v>
      </c>
      <c r="F235" s="364">
        <v>103.3</v>
      </c>
      <c r="G235" s="365">
        <v>6.7699999999999996E-2</v>
      </c>
      <c r="H235" s="364">
        <v>102.77</v>
      </c>
      <c r="I235" s="365">
        <v>6.8699999999999997E-2</v>
      </c>
    </row>
    <row r="236" spans="1:9" x14ac:dyDescent="0.3">
      <c r="A236" s="363">
        <v>45274</v>
      </c>
      <c r="B236" s="364">
        <v>99.550000000000011</v>
      </c>
      <c r="C236" s="365">
        <v>6.4899999999999999E-2</v>
      </c>
      <c r="D236" s="364">
        <v>102.75</v>
      </c>
      <c r="E236" s="365">
        <v>6.6000000000000003E-2</v>
      </c>
      <c r="F236" s="364">
        <v>103.99000000000001</v>
      </c>
      <c r="G236" s="365">
        <v>6.7000000000000004E-2</v>
      </c>
      <c r="H236" s="364">
        <v>103.79</v>
      </c>
      <c r="I236" s="365">
        <v>6.7799999999999999E-2</v>
      </c>
    </row>
    <row r="237" spans="1:9" x14ac:dyDescent="0.3">
      <c r="A237" s="363">
        <v>45275</v>
      </c>
      <c r="B237" s="364">
        <v>99.570000000000007</v>
      </c>
      <c r="C237" s="365">
        <v>6.4899999999999999E-2</v>
      </c>
      <c r="D237" s="364">
        <v>102.9</v>
      </c>
      <c r="E237" s="365">
        <v>6.5799999999999997E-2</v>
      </c>
      <c r="F237" s="364">
        <v>104.71000000000001</v>
      </c>
      <c r="G237" s="365">
        <v>6.6200000000000009E-2</v>
      </c>
      <c r="H237" s="364">
        <v>103.99000000000001</v>
      </c>
      <c r="I237" s="365">
        <v>6.7600000000000007E-2</v>
      </c>
    </row>
    <row r="238" spans="1:9" s="262" customFormat="1" ht="15.75" customHeight="1" x14ac:dyDescent="0.3">
      <c r="A238" s="366">
        <v>45278</v>
      </c>
      <c r="B238" s="367">
        <v>99.570000000000007</v>
      </c>
      <c r="C238" s="368">
        <v>6.4899999999999999E-2</v>
      </c>
      <c r="D238" s="367">
        <v>103.22</v>
      </c>
      <c r="E238" s="368">
        <v>6.5299999999999997E-2</v>
      </c>
      <c r="F238" s="367">
        <v>104.9</v>
      </c>
      <c r="G238" s="368">
        <v>6.6000000000000003E-2</v>
      </c>
      <c r="H238" s="367">
        <v>104.01</v>
      </c>
      <c r="I238" s="368">
        <v>6.7600000000000007E-2</v>
      </c>
    </row>
    <row r="239" spans="1:9" s="262" customFormat="1" ht="15.75" customHeight="1" x14ac:dyDescent="0.3">
      <c r="A239" s="366">
        <v>45279</v>
      </c>
      <c r="B239" s="367">
        <v>99.5</v>
      </c>
      <c r="C239" s="368">
        <v>6.5000000000000002E-2</v>
      </c>
      <c r="D239" s="367">
        <v>103.51</v>
      </c>
      <c r="E239" s="368">
        <v>6.4899999999999999E-2</v>
      </c>
      <c r="F239" s="367">
        <v>104.83</v>
      </c>
      <c r="G239" s="368">
        <v>6.6100000000000006E-2</v>
      </c>
      <c r="H239" s="367">
        <v>103.95</v>
      </c>
      <c r="I239" s="368">
        <v>6.7600000000000007E-2</v>
      </c>
    </row>
    <row r="240" spans="1:9" s="262" customFormat="1" ht="15.75" customHeight="1" x14ac:dyDescent="0.3">
      <c r="A240" s="366">
        <v>45280</v>
      </c>
      <c r="B240" s="367">
        <v>99.52000000000001</v>
      </c>
      <c r="C240" s="368">
        <v>6.5000000000000002E-2</v>
      </c>
      <c r="D240" s="367">
        <v>103.54</v>
      </c>
      <c r="E240" s="368">
        <v>6.4799999999999996E-2</v>
      </c>
      <c r="F240" s="367">
        <v>104.74000000000001</v>
      </c>
      <c r="G240" s="368">
        <v>6.6200000000000009E-2</v>
      </c>
      <c r="H240" s="367">
        <v>103.80000000000001</v>
      </c>
      <c r="I240" s="368">
        <v>6.7799999999999999E-2</v>
      </c>
    </row>
    <row r="241" spans="1:9" s="262" customFormat="1" ht="15.75" customHeight="1" x14ac:dyDescent="0.3">
      <c r="A241" s="366">
        <v>45281</v>
      </c>
      <c r="B241" s="367">
        <v>99.58</v>
      </c>
      <c r="C241" s="368">
        <v>6.4799999999999996E-2</v>
      </c>
      <c r="D241" s="367">
        <v>103.60000000000001</v>
      </c>
      <c r="E241" s="368">
        <v>6.4799999999999996E-2</v>
      </c>
      <c r="F241" s="367">
        <v>104.60000000000001</v>
      </c>
      <c r="G241" s="368">
        <v>6.6299999999999998E-2</v>
      </c>
      <c r="H241" s="367">
        <v>103.85000000000001</v>
      </c>
      <c r="I241" s="368">
        <v>6.7699999999999996E-2</v>
      </c>
    </row>
    <row r="242" spans="1:9" s="262" customFormat="1" ht="15.75" customHeight="1" x14ac:dyDescent="0.3">
      <c r="A242" s="366">
        <v>45282</v>
      </c>
      <c r="B242" s="367">
        <v>99.67</v>
      </c>
      <c r="C242" s="368">
        <v>6.4600000000000005E-2</v>
      </c>
      <c r="D242" s="367">
        <v>103.57000000000001</v>
      </c>
      <c r="E242" s="368">
        <v>6.4799999999999996E-2</v>
      </c>
      <c r="F242" s="367">
        <v>104.72</v>
      </c>
      <c r="G242" s="368">
        <v>6.6200000000000009E-2</v>
      </c>
      <c r="H242" s="367">
        <v>103.81</v>
      </c>
      <c r="I242" s="368">
        <v>6.7699999999999996E-2</v>
      </c>
    </row>
    <row r="243" spans="1:9" x14ac:dyDescent="0.3">
      <c r="A243" s="363">
        <v>45287</v>
      </c>
      <c r="B243" s="364">
        <v>99.68</v>
      </c>
      <c r="C243" s="365">
        <v>6.4600000000000005E-2</v>
      </c>
      <c r="D243" s="364">
        <v>103.7</v>
      </c>
      <c r="E243" s="365">
        <v>6.4600000000000005E-2</v>
      </c>
      <c r="F243" s="364">
        <v>104.63000000000001</v>
      </c>
      <c r="G243" s="365">
        <v>6.6299999999999998E-2</v>
      </c>
      <c r="H243" s="364">
        <v>103.76</v>
      </c>
      <c r="I243" s="365">
        <v>6.7799999999999999E-2</v>
      </c>
    </row>
    <row r="244" spans="1:9" x14ac:dyDescent="0.3">
      <c r="A244" s="363">
        <v>45288</v>
      </c>
      <c r="B244" s="364">
        <v>99.75</v>
      </c>
      <c r="C244" s="365">
        <v>6.4399999999999999E-2</v>
      </c>
      <c r="D244" s="364">
        <v>103.71000000000001</v>
      </c>
      <c r="E244" s="365">
        <v>6.4600000000000005E-2</v>
      </c>
      <c r="F244" s="364">
        <v>104.64</v>
      </c>
      <c r="G244" s="365">
        <v>6.6299999999999998E-2</v>
      </c>
      <c r="H244" s="364">
        <v>103.75</v>
      </c>
      <c r="I244" s="365">
        <v>6.7799999999999999E-2</v>
      </c>
    </row>
    <row r="245" spans="1:9" x14ac:dyDescent="0.3">
      <c r="A245" s="363">
        <v>45289</v>
      </c>
      <c r="B245" s="364">
        <v>99.83</v>
      </c>
      <c r="C245" s="365">
        <v>6.4200000000000007E-2</v>
      </c>
      <c r="D245" s="364">
        <v>103.71000000000001</v>
      </c>
      <c r="E245" s="365">
        <v>6.4600000000000005E-2</v>
      </c>
      <c r="F245" s="364">
        <v>104.72</v>
      </c>
      <c r="G245" s="365">
        <v>6.6200000000000009E-2</v>
      </c>
      <c r="H245" s="364">
        <v>103.86</v>
      </c>
      <c r="I245" s="365">
        <v>6.7699999999999996E-2</v>
      </c>
    </row>
    <row r="247" spans="1:9" x14ac:dyDescent="0.35">
      <c r="I247" s="333">
        <f>AVERAGE(I7:I245)</f>
        <v>6.852050209205017E-2</v>
      </c>
    </row>
  </sheetData>
  <mergeCells count="17">
    <mergeCell ref="F5:G5"/>
    <mergeCell ref="H5:I5"/>
    <mergeCell ref="A2:A6"/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9D32-43A5-48DB-9E1F-D0D77338AF9A}">
  <dimension ref="A2:J243"/>
  <sheetViews>
    <sheetView zoomScale="90" zoomScaleNormal="90" workbookViewId="0">
      <pane ySplit="6" topLeftCell="A257" activePane="bottomLeft" state="frozen"/>
      <selection activeCell="K1" sqref="K1:XFD1048576"/>
      <selection pane="bottomLeft" activeCell="I243" sqref="I243"/>
    </sheetView>
  </sheetViews>
  <sheetFormatPr defaultColWidth="0" defaultRowHeight="14.5" x14ac:dyDescent="0.35"/>
  <cols>
    <col min="1" max="1" width="14.453125" style="253" customWidth="1"/>
    <col min="2" max="2" width="9.36328125" style="332" customWidth="1"/>
    <col min="3" max="3" width="10" style="333" customWidth="1"/>
    <col min="4" max="4" width="10.453125" style="332" customWidth="1"/>
    <col min="5" max="5" width="10" style="333" customWidth="1"/>
    <col min="6" max="6" width="11.36328125" style="332" customWidth="1"/>
    <col min="7" max="7" width="10" style="333" customWidth="1"/>
    <col min="8" max="8" width="10.453125" style="332" customWidth="1"/>
    <col min="9" max="9" width="10" style="333" customWidth="1"/>
    <col min="10" max="10" width="9.1796875" style="262" customWidth="1"/>
    <col min="11" max="16384" width="9.1796875" style="47" hidden="1"/>
  </cols>
  <sheetData>
    <row r="2" spans="1:9" x14ac:dyDescent="0.35">
      <c r="A2" s="482" t="s">
        <v>73</v>
      </c>
      <c r="B2" s="485" t="s">
        <v>74</v>
      </c>
      <c r="C2" s="485"/>
      <c r="D2" s="485" t="s">
        <v>75</v>
      </c>
      <c r="E2" s="485"/>
      <c r="F2" s="485" t="s">
        <v>76</v>
      </c>
      <c r="G2" s="485"/>
      <c r="H2" s="485" t="s">
        <v>77</v>
      </c>
      <c r="I2" s="485"/>
    </row>
    <row r="3" spans="1:9" x14ac:dyDescent="0.35">
      <c r="A3" s="483"/>
      <c r="B3" s="485" t="s">
        <v>128</v>
      </c>
      <c r="C3" s="485"/>
      <c r="D3" s="485" t="s">
        <v>129</v>
      </c>
      <c r="E3" s="485"/>
      <c r="F3" s="485" t="s">
        <v>126</v>
      </c>
      <c r="G3" s="485"/>
      <c r="H3" s="485" t="s">
        <v>127</v>
      </c>
      <c r="I3" s="485"/>
    </row>
    <row r="4" spans="1:9" x14ac:dyDescent="0.35">
      <c r="A4" s="483"/>
      <c r="B4" s="486">
        <v>6.8750000000000006E-2</v>
      </c>
      <c r="C4" s="486"/>
      <c r="D4" s="486">
        <v>6.6250000000000003E-2</v>
      </c>
      <c r="E4" s="486"/>
      <c r="F4" s="486">
        <v>7.1249999999999994E-2</v>
      </c>
      <c r="G4" s="486"/>
      <c r="H4" s="486">
        <v>7.1249999999999994E-2</v>
      </c>
      <c r="I4" s="486"/>
    </row>
    <row r="5" spans="1:9" x14ac:dyDescent="0.35">
      <c r="A5" s="483"/>
      <c r="B5" s="479">
        <v>47223</v>
      </c>
      <c r="C5" s="479"/>
      <c r="D5" s="479">
        <v>48990</v>
      </c>
      <c r="E5" s="479"/>
      <c r="F5" s="479">
        <v>50571</v>
      </c>
      <c r="G5" s="479"/>
      <c r="H5" s="479">
        <v>52397</v>
      </c>
      <c r="I5" s="479"/>
    </row>
    <row r="6" spans="1:9" ht="29" x14ac:dyDescent="0.35">
      <c r="A6" s="483"/>
      <c r="B6" s="289" t="s">
        <v>82</v>
      </c>
      <c r="C6" s="290" t="s">
        <v>83</v>
      </c>
      <c r="D6" s="289" t="s">
        <v>82</v>
      </c>
      <c r="E6" s="290" t="s">
        <v>83</v>
      </c>
      <c r="F6" s="289" t="s">
        <v>82</v>
      </c>
      <c r="G6" s="290" t="s">
        <v>83</v>
      </c>
      <c r="H6" s="289" t="s">
        <v>82</v>
      </c>
      <c r="I6" s="290" t="s">
        <v>83</v>
      </c>
    </row>
    <row r="7" spans="1:9" x14ac:dyDescent="0.35">
      <c r="A7" s="265">
        <v>45293</v>
      </c>
      <c r="B7" s="369">
        <v>101.63000000000001</v>
      </c>
      <c r="C7" s="370">
        <v>6.5100000000000005E-2</v>
      </c>
      <c r="D7" s="369">
        <v>100.61</v>
      </c>
      <c r="E7" s="370">
        <v>6.5500000000000003E-2</v>
      </c>
      <c r="F7" s="369">
        <v>104.54</v>
      </c>
      <c r="G7" s="370">
        <v>6.6400000000000001E-2</v>
      </c>
      <c r="H7" s="369">
        <v>103.93</v>
      </c>
      <c r="I7" s="370">
        <v>6.7600000000000007E-2</v>
      </c>
    </row>
    <row r="8" spans="1:9" x14ac:dyDescent="0.35">
      <c r="A8" s="265">
        <v>45294</v>
      </c>
      <c r="B8" s="369">
        <v>101.33</v>
      </c>
      <c r="C8" s="370">
        <v>6.5700000000000008E-2</v>
      </c>
      <c r="D8" s="369">
        <v>100.15</v>
      </c>
      <c r="E8" s="370">
        <v>6.6100000000000006E-2</v>
      </c>
      <c r="F8" s="369">
        <v>104.24000000000001</v>
      </c>
      <c r="G8" s="370">
        <v>6.6700000000000009E-2</v>
      </c>
      <c r="H8" s="369">
        <v>103.25</v>
      </c>
      <c r="I8" s="370">
        <v>6.83E-2</v>
      </c>
    </row>
    <row r="9" spans="1:9" x14ac:dyDescent="0.35">
      <c r="A9" s="265">
        <v>45295</v>
      </c>
      <c r="B9" s="369">
        <v>101.16000000000001</v>
      </c>
      <c r="C9" s="370">
        <v>6.6100000000000006E-2</v>
      </c>
      <c r="D9" s="369">
        <v>99.74</v>
      </c>
      <c r="E9" s="370">
        <v>6.6700000000000009E-2</v>
      </c>
      <c r="F9" s="369">
        <v>103.60000000000001</v>
      </c>
      <c r="G9" s="370">
        <v>6.7400000000000002E-2</v>
      </c>
      <c r="H9" s="369">
        <v>102.76</v>
      </c>
      <c r="I9" s="370">
        <v>6.8699999999999997E-2</v>
      </c>
    </row>
    <row r="10" spans="1:9" x14ac:dyDescent="0.35">
      <c r="A10" s="265">
        <v>45296</v>
      </c>
      <c r="B10" s="371">
        <v>101.13000000000001</v>
      </c>
      <c r="C10" s="370">
        <v>6.6200000000000009E-2</v>
      </c>
      <c r="D10" s="369">
        <v>99.59</v>
      </c>
      <c r="E10" s="370">
        <v>6.6900000000000001E-2</v>
      </c>
      <c r="F10" s="369">
        <v>103.44000000000001</v>
      </c>
      <c r="G10" s="370">
        <v>6.7500000000000004E-2</v>
      </c>
      <c r="H10" s="369">
        <v>102.5</v>
      </c>
      <c r="I10" s="370">
        <v>6.8900000000000003E-2</v>
      </c>
    </row>
    <row r="11" spans="1:9" x14ac:dyDescent="0.35">
      <c r="A11" s="293">
        <v>45299</v>
      </c>
      <c r="B11" s="372">
        <v>101.10000000000001</v>
      </c>
      <c r="C11" s="296">
        <v>6.6299999999999998E-2</v>
      </c>
      <c r="D11" s="373">
        <v>99.5</v>
      </c>
      <c r="E11" s="296">
        <v>6.7000000000000004E-2</v>
      </c>
      <c r="F11" s="373">
        <v>103.14</v>
      </c>
      <c r="G11" s="296">
        <v>6.7799999999999999E-2</v>
      </c>
      <c r="H11" s="373">
        <v>102.39</v>
      </c>
      <c r="I11" s="296">
        <v>6.9000000000000006E-2</v>
      </c>
    </row>
    <row r="12" spans="1:9" x14ac:dyDescent="0.35">
      <c r="A12" s="293">
        <v>45300</v>
      </c>
      <c r="B12" s="372">
        <v>101.18</v>
      </c>
      <c r="C12" s="296">
        <v>6.6100000000000006E-2</v>
      </c>
      <c r="D12" s="373">
        <v>99.42</v>
      </c>
      <c r="E12" s="296">
        <v>6.7100000000000007E-2</v>
      </c>
      <c r="F12" s="373">
        <v>103.13000000000001</v>
      </c>
      <c r="G12" s="296">
        <v>6.7900000000000002E-2</v>
      </c>
      <c r="H12" s="373">
        <v>102.4</v>
      </c>
      <c r="I12" s="296">
        <v>6.9000000000000006E-2</v>
      </c>
    </row>
    <row r="13" spans="1:9" x14ac:dyDescent="0.35">
      <c r="A13" s="293">
        <v>45301</v>
      </c>
      <c r="B13" s="372">
        <v>101.21000000000001</v>
      </c>
      <c r="C13" s="296">
        <v>6.6000000000000003E-2</v>
      </c>
      <c r="D13" s="373">
        <v>99.34</v>
      </c>
      <c r="E13" s="296">
        <v>6.720000000000001E-2</v>
      </c>
      <c r="F13" s="373">
        <v>102.91000000000001</v>
      </c>
      <c r="G13" s="296">
        <v>6.8100000000000008E-2</v>
      </c>
      <c r="H13" s="373">
        <v>102.35000000000001</v>
      </c>
      <c r="I13" s="296">
        <v>6.9100000000000009E-2</v>
      </c>
    </row>
    <row r="14" spans="1:9" x14ac:dyDescent="0.35">
      <c r="A14" s="293">
        <v>45302</v>
      </c>
      <c r="B14" s="372">
        <v>101.42</v>
      </c>
      <c r="C14" s="296">
        <v>6.5500000000000003E-2</v>
      </c>
      <c r="D14" s="373">
        <v>99.54</v>
      </c>
      <c r="E14" s="296">
        <v>6.6900000000000001E-2</v>
      </c>
      <c r="F14" s="373">
        <v>103.29</v>
      </c>
      <c r="G14" s="296">
        <v>6.7699999999999996E-2</v>
      </c>
      <c r="H14" s="373">
        <v>102.56</v>
      </c>
      <c r="I14" s="296">
        <v>6.8900000000000003E-2</v>
      </c>
    </row>
    <row r="15" spans="1:9" x14ac:dyDescent="0.35">
      <c r="A15" s="293">
        <v>45303</v>
      </c>
      <c r="B15" s="372">
        <v>101.42</v>
      </c>
      <c r="C15" s="296">
        <v>6.5500000000000003E-2</v>
      </c>
      <c r="D15" s="373">
        <v>99.54</v>
      </c>
      <c r="E15" s="296">
        <v>6.6900000000000001E-2</v>
      </c>
      <c r="F15" s="373">
        <v>103.29</v>
      </c>
      <c r="G15" s="296">
        <v>6.7699999999999996E-2</v>
      </c>
      <c r="H15" s="373">
        <v>102.56</v>
      </c>
      <c r="I15" s="296">
        <v>6.8900000000000003E-2</v>
      </c>
    </row>
    <row r="16" spans="1:9" x14ac:dyDescent="0.35">
      <c r="A16" s="265">
        <v>45306</v>
      </c>
      <c r="B16" s="371">
        <v>101.74000000000001</v>
      </c>
      <c r="C16" s="370">
        <v>6.4799999999999996E-2</v>
      </c>
      <c r="D16" s="369">
        <v>99.990000000000009</v>
      </c>
      <c r="E16" s="370">
        <v>6.6299999999999998E-2</v>
      </c>
      <c r="F16" s="369">
        <v>103.53</v>
      </c>
      <c r="G16" s="370">
        <v>6.7400000000000002E-2</v>
      </c>
      <c r="H16" s="369">
        <v>102.68</v>
      </c>
      <c r="I16" s="370">
        <v>6.88E-2</v>
      </c>
    </row>
    <row r="17" spans="1:9" x14ac:dyDescent="0.35">
      <c r="A17" s="265">
        <v>45307</v>
      </c>
      <c r="B17" s="371">
        <v>101.54</v>
      </c>
      <c r="C17" s="370">
        <v>6.5299999999999997E-2</v>
      </c>
      <c r="D17" s="369">
        <v>99.67</v>
      </c>
      <c r="E17" s="370">
        <v>6.6799999999999998E-2</v>
      </c>
      <c r="F17" s="369">
        <v>103.26</v>
      </c>
      <c r="G17" s="370">
        <v>6.7699999999999996E-2</v>
      </c>
      <c r="H17" s="369">
        <v>102.61</v>
      </c>
      <c r="I17" s="370">
        <v>6.88E-2</v>
      </c>
    </row>
    <row r="18" spans="1:9" x14ac:dyDescent="0.35">
      <c r="A18" s="265">
        <v>45308</v>
      </c>
      <c r="B18" s="371">
        <v>101.61</v>
      </c>
      <c r="C18" s="370">
        <v>6.5100000000000005E-2</v>
      </c>
      <c r="D18" s="369">
        <v>99.52000000000001</v>
      </c>
      <c r="E18" s="370">
        <v>6.7000000000000004E-2</v>
      </c>
      <c r="F18" s="369">
        <v>103.08</v>
      </c>
      <c r="G18" s="370">
        <v>6.7900000000000002E-2</v>
      </c>
      <c r="H18" s="369">
        <v>102.48</v>
      </c>
      <c r="I18" s="370">
        <v>6.9000000000000006E-2</v>
      </c>
    </row>
    <row r="19" spans="1:9" x14ac:dyDescent="0.35">
      <c r="A19" s="265">
        <v>45309</v>
      </c>
      <c r="B19" s="371">
        <v>101.64</v>
      </c>
      <c r="C19" s="370">
        <v>6.5000000000000002E-2</v>
      </c>
      <c r="D19" s="369">
        <v>99.45</v>
      </c>
      <c r="E19" s="370">
        <v>6.7100000000000007E-2</v>
      </c>
      <c r="F19" s="369">
        <v>102.94000000000001</v>
      </c>
      <c r="G19" s="370">
        <v>6.8100000000000008E-2</v>
      </c>
      <c r="H19" s="369">
        <v>102.24000000000001</v>
      </c>
      <c r="I19" s="370">
        <v>6.9199999999999998E-2</v>
      </c>
    </row>
    <row r="20" spans="1:9" x14ac:dyDescent="0.35">
      <c r="A20" s="265">
        <v>45310</v>
      </c>
      <c r="B20" s="371">
        <v>101.76</v>
      </c>
      <c r="C20" s="370">
        <v>6.4799999999999996E-2</v>
      </c>
      <c r="D20" s="369">
        <v>99.990000000000009</v>
      </c>
      <c r="E20" s="370">
        <v>6.6299999999999998E-2</v>
      </c>
      <c r="F20" s="369">
        <v>103.5</v>
      </c>
      <c r="G20" s="370">
        <v>6.7500000000000004E-2</v>
      </c>
      <c r="H20" s="369">
        <v>102.89</v>
      </c>
      <c r="I20" s="370">
        <v>6.8600000000000008E-2</v>
      </c>
    </row>
    <row r="21" spans="1:9" x14ac:dyDescent="0.35">
      <c r="A21" s="293">
        <v>45313</v>
      </c>
      <c r="B21" s="372">
        <v>102</v>
      </c>
      <c r="C21" s="296">
        <v>6.4200000000000007E-2</v>
      </c>
      <c r="D21" s="373">
        <v>100.32000000000001</v>
      </c>
      <c r="E21" s="296">
        <v>6.59E-2</v>
      </c>
      <c r="F21" s="373">
        <v>103.86</v>
      </c>
      <c r="G21" s="296">
        <v>6.7100000000000007E-2</v>
      </c>
      <c r="H21" s="373">
        <v>103.01</v>
      </c>
      <c r="I21" s="296">
        <v>6.8500000000000005E-2</v>
      </c>
    </row>
    <row r="22" spans="1:9" x14ac:dyDescent="0.35">
      <c r="A22" s="293">
        <v>45314</v>
      </c>
      <c r="B22" s="372">
        <v>101.93</v>
      </c>
      <c r="C22" s="296">
        <v>6.4399999999999999E-2</v>
      </c>
      <c r="D22" s="373">
        <v>100.27</v>
      </c>
      <c r="E22" s="296">
        <v>6.59E-2</v>
      </c>
      <c r="F22" s="373">
        <v>103.85</v>
      </c>
      <c r="G22" s="296">
        <v>6.7100000000000007E-2</v>
      </c>
      <c r="H22" s="373">
        <v>102.87</v>
      </c>
      <c r="I22" s="296">
        <v>6.8600000000000008E-2</v>
      </c>
    </row>
    <row r="23" spans="1:9" x14ac:dyDescent="0.35">
      <c r="A23" s="293">
        <v>45315</v>
      </c>
      <c r="B23" s="372">
        <v>101.76</v>
      </c>
      <c r="C23" s="296">
        <v>6.4700000000000008E-2</v>
      </c>
      <c r="D23" s="373">
        <v>100.09</v>
      </c>
      <c r="E23" s="296">
        <v>6.6200000000000009E-2</v>
      </c>
      <c r="F23" s="373">
        <v>103.71000000000001</v>
      </c>
      <c r="G23" s="296">
        <v>6.720000000000001E-2</v>
      </c>
      <c r="H23" s="373">
        <v>102.69000000000001</v>
      </c>
      <c r="I23" s="296">
        <v>6.88E-2</v>
      </c>
    </row>
    <row r="24" spans="1:9" x14ac:dyDescent="0.35">
      <c r="A24" s="293">
        <v>45316</v>
      </c>
      <c r="B24" s="372">
        <v>101.58</v>
      </c>
      <c r="C24" s="296">
        <v>6.5100000000000005E-2</v>
      </c>
      <c r="D24" s="373">
        <v>99.98</v>
      </c>
      <c r="E24" s="296">
        <v>6.6299999999999998E-2</v>
      </c>
      <c r="F24" s="373">
        <v>103.35000000000001</v>
      </c>
      <c r="G24" s="296">
        <v>6.7600000000000007E-2</v>
      </c>
      <c r="H24" s="373">
        <v>102.4</v>
      </c>
      <c r="I24" s="296">
        <v>6.9000000000000006E-2</v>
      </c>
    </row>
    <row r="25" spans="1:9" x14ac:dyDescent="0.35">
      <c r="A25" s="293">
        <v>45317</v>
      </c>
      <c r="B25" s="372">
        <v>101.46</v>
      </c>
      <c r="C25" s="296">
        <v>6.54E-2</v>
      </c>
      <c r="D25" s="373">
        <v>99.97</v>
      </c>
      <c r="E25" s="296">
        <v>6.6299999999999998E-2</v>
      </c>
      <c r="F25" s="373">
        <v>103.30000000000001</v>
      </c>
      <c r="G25" s="296">
        <v>6.7699999999999996E-2</v>
      </c>
      <c r="H25" s="373">
        <v>102.30000000000001</v>
      </c>
      <c r="I25" s="296">
        <v>6.9100000000000009E-2</v>
      </c>
    </row>
    <row r="26" spans="1:9" x14ac:dyDescent="0.35">
      <c r="A26" s="265">
        <v>45320</v>
      </c>
      <c r="B26" s="374">
        <v>101.44000000000001</v>
      </c>
      <c r="C26" s="285">
        <v>6.5500000000000003E-2</v>
      </c>
      <c r="D26" s="375">
        <v>99.95</v>
      </c>
      <c r="E26" s="285">
        <v>6.6400000000000001E-2</v>
      </c>
      <c r="F26" s="375">
        <v>103.2</v>
      </c>
      <c r="G26" s="285">
        <v>6.7799999999999999E-2</v>
      </c>
      <c r="H26" s="375">
        <v>102.27000000000001</v>
      </c>
      <c r="I26" s="285">
        <v>6.9100000000000009E-2</v>
      </c>
    </row>
    <row r="27" spans="1:9" x14ac:dyDescent="0.35">
      <c r="A27" s="265">
        <v>45321</v>
      </c>
      <c r="B27" s="374">
        <v>101.63000000000001</v>
      </c>
      <c r="C27" s="285">
        <v>6.5000000000000002E-2</v>
      </c>
      <c r="D27" s="375">
        <v>100.08</v>
      </c>
      <c r="E27" s="285">
        <v>6.6200000000000009E-2</v>
      </c>
      <c r="F27" s="375">
        <v>103.39</v>
      </c>
      <c r="G27" s="285">
        <v>6.7600000000000007E-2</v>
      </c>
      <c r="H27" s="375">
        <v>102.58</v>
      </c>
      <c r="I27" s="285">
        <v>6.8900000000000003E-2</v>
      </c>
    </row>
    <row r="28" spans="1:9" x14ac:dyDescent="0.35">
      <c r="A28" s="265">
        <v>45322</v>
      </c>
      <c r="B28" s="374">
        <v>101.7</v>
      </c>
      <c r="C28" s="285">
        <v>6.4899999999999999E-2</v>
      </c>
      <c r="D28" s="375">
        <v>100.32000000000001</v>
      </c>
      <c r="E28" s="285">
        <v>6.59E-2</v>
      </c>
      <c r="F28" s="375">
        <v>103.51</v>
      </c>
      <c r="G28" s="285">
        <v>6.7400000000000002E-2</v>
      </c>
      <c r="H28" s="375">
        <v>102.97</v>
      </c>
      <c r="I28" s="285">
        <v>6.8500000000000005E-2</v>
      </c>
    </row>
    <row r="29" spans="1:9" x14ac:dyDescent="0.35">
      <c r="A29" s="265">
        <v>45323</v>
      </c>
      <c r="B29" s="374">
        <v>101.78</v>
      </c>
      <c r="C29" s="285">
        <v>6.4700000000000008E-2</v>
      </c>
      <c r="D29" s="375">
        <v>100.60000000000001</v>
      </c>
      <c r="E29" s="285">
        <v>6.5500000000000003E-2</v>
      </c>
      <c r="F29" s="375">
        <v>103.8</v>
      </c>
      <c r="G29" s="285">
        <v>6.7100000000000007E-2</v>
      </c>
      <c r="H29" s="375">
        <v>103.26</v>
      </c>
      <c r="I29" s="285">
        <v>6.8199999999999997E-2</v>
      </c>
    </row>
    <row r="30" spans="1:9" x14ac:dyDescent="0.35">
      <c r="A30" s="265">
        <v>45324</v>
      </c>
      <c r="B30" s="374">
        <v>101.99</v>
      </c>
      <c r="C30" s="285">
        <v>6.4200000000000007E-2</v>
      </c>
      <c r="D30" s="375">
        <v>100.99000000000001</v>
      </c>
      <c r="E30" s="285">
        <v>6.4899999999999999E-2</v>
      </c>
      <c r="F30" s="375">
        <v>104.13000000000001</v>
      </c>
      <c r="G30" s="285">
        <v>6.6799999999999998E-2</v>
      </c>
      <c r="H30" s="375">
        <v>103.74000000000001</v>
      </c>
      <c r="I30" s="285">
        <v>6.7799999999999999E-2</v>
      </c>
    </row>
    <row r="31" spans="1:9" x14ac:dyDescent="0.35">
      <c r="A31" s="293">
        <v>45327</v>
      </c>
      <c r="B31" s="372">
        <v>101.76</v>
      </c>
      <c r="C31" s="296">
        <v>6.4700000000000008E-2</v>
      </c>
      <c r="D31" s="373">
        <v>100.5</v>
      </c>
      <c r="E31" s="296">
        <v>6.5600000000000006E-2</v>
      </c>
      <c r="F31" s="373">
        <v>103.57000000000001</v>
      </c>
      <c r="G31" s="296">
        <v>6.7400000000000002E-2</v>
      </c>
      <c r="H31" s="373">
        <v>102.99000000000001</v>
      </c>
      <c r="I31" s="296">
        <v>6.8500000000000005E-2</v>
      </c>
    </row>
    <row r="32" spans="1:9" x14ac:dyDescent="0.35">
      <c r="A32" s="293">
        <v>45328</v>
      </c>
      <c r="B32" s="372">
        <v>101.45</v>
      </c>
      <c r="C32" s="296">
        <v>6.54E-2</v>
      </c>
      <c r="D32" s="373">
        <v>100.08</v>
      </c>
      <c r="E32" s="296">
        <v>6.6200000000000009E-2</v>
      </c>
      <c r="F32" s="373">
        <v>103.16000000000001</v>
      </c>
      <c r="G32" s="296">
        <v>6.7799999999999999E-2</v>
      </c>
      <c r="H32" s="373">
        <v>102.9</v>
      </c>
      <c r="I32" s="296">
        <v>6.8600000000000008E-2</v>
      </c>
    </row>
    <row r="33" spans="1:9" x14ac:dyDescent="0.35">
      <c r="A33" s="293">
        <v>45329</v>
      </c>
      <c r="B33" s="372">
        <v>101.73</v>
      </c>
      <c r="C33" s="296">
        <v>6.4799999999999996E-2</v>
      </c>
      <c r="D33" s="373">
        <v>100.34</v>
      </c>
      <c r="E33" s="296">
        <v>6.5799999999999997E-2</v>
      </c>
      <c r="F33" s="373">
        <v>103.48</v>
      </c>
      <c r="G33" s="296">
        <v>6.7500000000000004E-2</v>
      </c>
      <c r="H33" s="373">
        <v>103.04</v>
      </c>
      <c r="I33" s="296">
        <v>6.8400000000000002E-2</v>
      </c>
    </row>
    <row r="34" spans="1:9" s="47" customFormat="1" x14ac:dyDescent="0.35">
      <c r="A34" s="265">
        <v>45334</v>
      </c>
      <c r="B34" s="374">
        <v>101.5</v>
      </c>
      <c r="C34" s="285">
        <v>6.5299999999999997E-2</v>
      </c>
      <c r="D34" s="375">
        <v>99.86</v>
      </c>
      <c r="E34" s="285">
        <v>6.6500000000000004E-2</v>
      </c>
      <c r="F34" s="375">
        <v>103.12</v>
      </c>
      <c r="G34" s="285">
        <v>6.7799999999999999E-2</v>
      </c>
      <c r="H34" s="375">
        <v>102.89</v>
      </c>
      <c r="I34" s="285">
        <v>6.8600000000000008E-2</v>
      </c>
    </row>
    <row r="35" spans="1:9" s="47" customFormat="1" x14ac:dyDescent="0.35">
      <c r="A35" s="265">
        <v>45335</v>
      </c>
      <c r="B35" s="374">
        <v>101.65</v>
      </c>
      <c r="C35" s="285">
        <v>6.5000000000000002E-2</v>
      </c>
      <c r="D35" s="375">
        <v>100.02000000000001</v>
      </c>
      <c r="E35" s="285">
        <v>6.6299999999999998E-2</v>
      </c>
      <c r="F35" s="375">
        <v>103.09</v>
      </c>
      <c r="G35" s="285">
        <v>6.7900000000000002E-2</v>
      </c>
      <c r="H35" s="375">
        <v>102.93</v>
      </c>
      <c r="I35" s="285">
        <v>6.8500000000000005E-2</v>
      </c>
    </row>
    <row r="36" spans="1:9" s="47" customFormat="1" x14ac:dyDescent="0.35">
      <c r="A36" s="265">
        <v>45337</v>
      </c>
      <c r="B36" s="374">
        <v>101.68</v>
      </c>
      <c r="C36" s="285">
        <v>6.4899999999999999E-2</v>
      </c>
      <c r="D36" s="375">
        <v>100.07</v>
      </c>
      <c r="E36" s="285">
        <v>6.6200000000000009E-2</v>
      </c>
      <c r="F36" s="375">
        <v>103.02000000000001</v>
      </c>
      <c r="G36" s="285">
        <v>6.8000000000000005E-2</v>
      </c>
      <c r="H36" s="375">
        <v>102.94000000000001</v>
      </c>
      <c r="I36" s="285">
        <v>6.8500000000000005E-2</v>
      </c>
    </row>
    <row r="37" spans="1:9" s="47" customFormat="1" x14ac:dyDescent="0.35">
      <c r="A37" s="265">
        <v>45338</v>
      </c>
      <c r="B37" s="374">
        <v>101.62</v>
      </c>
      <c r="C37" s="285">
        <v>6.5000000000000002E-2</v>
      </c>
      <c r="D37" s="375">
        <v>100.09</v>
      </c>
      <c r="E37" s="285">
        <v>6.6200000000000009E-2</v>
      </c>
      <c r="F37" s="375">
        <v>103.03</v>
      </c>
      <c r="G37" s="285">
        <v>6.7900000000000002E-2</v>
      </c>
      <c r="H37" s="375">
        <v>102.79</v>
      </c>
      <c r="I37" s="285">
        <v>6.8699999999999997E-2</v>
      </c>
    </row>
    <row r="38" spans="1:9" x14ac:dyDescent="0.35">
      <c r="A38" s="293">
        <v>45341</v>
      </c>
      <c r="B38" s="372">
        <v>101.58</v>
      </c>
      <c r="C38" s="296">
        <v>6.5100000000000005E-2</v>
      </c>
      <c r="D38" s="373">
        <v>100.01</v>
      </c>
      <c r="E38" s="296">
        <v>6.6299999999999998E-2</v>
      </c>
      <c r="F38" s="373">
        <v>103.02000000000001</v>
      </c>
      <c r="G38" s="296">
        <v>6.8000000000000005E-2</v>
      </c>
      <c r="H38" s="373">
        <v>102.7</v>
      </c>
      <c r="I38" s="296">
        <v>6.8699999999999997E-2</v>
      </c>
    </row>
    <row r="39" spans="1:9" x14ac:dyDescent="0.35">
      <c r="A39" s="293">
        <v>45342</v>
      </c>
      <c r="B39" s="372">
        <v>101.56</v>
      </c>
      <c r="C39" s="296">
        <v>6.5200000000000008E-2</v>
      </c>
      <c r="D39" s="373">
        <v>100.08</v>
      </c>
      <c r="E39" s="296">
        <v>6.6200000000000009E-2</v>
      </c>
      <c r="F39" s="373">
        <v>102.94000000000001</v>
      </c>
      <c r="G39" s="296">
        <v>6.8000000000000005E-2</v>
      </c>
      <c r="H39" s="373">
        <v>102.69000000000001</v>
      </c>
      <c r="I39" s="296">
        <v>6.88E-2</v>
      </c>
    </row>
    <row r="40" spans="1:9" x14ac:dyDescent="0.35">
      <c r="A40" s="293">
        <v>45343</v>
      </c>
      <c r="B40" s="372">
        <v>101.62</v>
      </c>
      <c r="C40" s="296">
        <v>6.5000000000000002E-2</v>
      </c>
      <c r="D40" s="373">
        <v>100.2</v>
      </c>
      <c r="E40" s="296">
        <v>6.6000000000000003E-2</v>
      </c>
      <c r="F40" s="373">
        <v>103.09</v>
      </c>
      <c r="G40" s="296">
        <v>6.7900000000000002E-2</v>
      </c>
      <c r="H40" s="373">
        <v>102.84</v>
      </c>
      <c r="I40" s="296">
        <v>6.8600000000000008E-2</v>
      </c>
    </row>
    <row r="41" spans="1:9" x14ac:dyDescent="0.35">
      <c r="A41" s="293">
        <v>45344</v>
      </c>
      <c r="B41" s="372">
        <v>101.66000000000001</v>
      </c>
      <c r="C41" s="296">
        <v>6.4899999999999999E-2</v>
      </c>
      <c r="D41" s="373">
        <v>100.42</v>
      </c>
      <c r="E41" s="296">
        <v>6.5700000000000008E-2</v>
      </c>
      <c r="F41" s="373">
        <v>103.14</v>
      </c>
      <c r="G41" s="296">
        <v>6.7799999999999999E-2</v>
      </c>
      <c r="H41" s="373">
        <v>102.87</v>
      </c>
      <c r="I41" s="296">
        <v>6.8600000000000008E-2</v>
      </c>
    </row>
    <row r="42" spans="1:9" x14ac:dyDescent="0.35">
      <c r="A42" s="293">
        <v>45345</v>
      </c>
      <c r="B42" s="372">
        <v>101.76</v>
      </c>
      <c r="C42" s="296">
        <v>6.4700000000000008E-2</v>
      </c>
      <c r="D42" s="373">
        <v>100.73</v>
      </c>
      <c r="E42" s="296">
        <v>6.5299999999999997E-2</v>
      </c>
      <c r="F42" s="373">
        <v>103.12</v>
      </c>
      <c r="G42" s="296">
        <v>6.7799999999999999E-2</v>
      </c>
      <c r="H42" s="373">
        <v>103.08</v>
      </c>
      <c r="I42" s="296">
        <v>6.8400000000000002E-2</v>
      </c>
    </row>
    <row r="43" spans="1:9" x14ac:dyDescent="0.35">
      <c r="A43" s="265">
        <v>45348</v>
      </c>
      <c r="B43" s="374">
        <v>101.78</v>
      </c>
      <c r="C43" s="285">
        <v>6.4600000000000005E-2</v>
      </c>
      <c r="D43" s="375">
        <v>100.56</v>
      </c>
      <c r="E43" s="285">
        <v>6.5500000000000003E-2</v>
      </c>
      <c r="F43" s="375">
        <v>103.52000000000001</v>
      </c>
      <c r="G43" s="285">
        <v>6.7400000000000002E-2</v>
      </c>
      <c r="H43" s="375">
        <v>103.25</v>
      </c>
      <c r="I43" s="285">
        <v>6.8199999999999997E-2</v>
      </c>
    </row>
    <row r="44" spans="1:9" x14ac:dyDescent="0.35">
      <c r="A44" s="265">
        <v>45349</v>
      </c>
      <c r="B44" s="374">
        <v>101.59</v>
      </c>
      <c r="C44" s="285">
        <v>6.5100000000000005E-2</v>
      </c>
      <c r="D44" s="375">
        <v>100.39</v>
      </c>
      <c r="E44" s="285">
        <v>6.5799999999999997E-2</v>
      </c>
      <c r="F44" s="375">
        <v>103.41000000000001</v>
      </c>
      <c r="G44" s="285">
        <v>6.7500000000000004E-2</v>
      </c>
      <c r="H44" s="375">
        <v>103.24000000000001</v>
      </c>
      <c r="I44" s="285">
        <v>6.8199999999999997E-2</v>
      </c>
    </row>
    <row r="45" spans="1:9" x14ac:dyDescent="0.35">
      <c r="A45" s="265">
        <v>45350</v>
      </c>
      <c r="B45" s="374">
        <v>101.81</v>
      </c>
      <c r="C45" s="285">
        <v>6.4600000000000005E-2</v>
      </c>
      <c r="D45" s="375">
        <v>100.36</v>
      </c>
      <c r="E45" s="285">
        <v>6.5799999999999997E-2</v>
      </c>
      <c r="F45" s="375">
        <v>103.41000000000001</v>
      </c>
      <c r="G45" s="285">
        <v>6.7500000000000004E-2</v>
      </c>
      <c r="H45" s="375">
        <v>103.21000000000001</v>
      </c>
      <c r="I45" s="285">
        <v>6.83E-2</v>
      </c>
    </row>
    <row r="46" spans="1:9" x14ac:dyDescent="0.35">
      <c r="A46" s="265">
        <v>45351</v>
      </c>
      <c r="B46" s="374">
        <v>101.74</v>
      </c>
      <c r="C46" s="285">
        <v>6.4700000000000008E-2</v>
      </c>
      <c r="D46" s="375">
        <v>100.25</v>
      </c>
      <c r="E46" s="285">
        <v>6.6000000000000003E-2</v>
      </c>
      <c r="F46" s="375">
        <v>103.27000000000001</v>
      </c>
      <c r="G46" s="285">
        <v>6.7699999999999996E-2</v>
      </c>
      <c r="H46" s="375">
        <v>103.09</v>
      </c>
      <c r="I46" s="285">
        <v>6.8400000000000002E-2</v>
      </c>
    </row>
    <row r="47" spans="1:9" x14ac:dyDescent="0.35">
      <c r="A47" s="265">
        <v>45352</v>
      </c>
      <c r="B47" s="374">
        <v>101.7</v>
      </c>
      <c r="C47" s="285">
        <v>6.4799999999999996E-2</v>
      </c>
      <c r="D47" s="375">
        <v>100.10000000000001</v>
      </c>
      <c r="E47" s="285">
        <v>6.6200000000000009E-2</v>
      </c>
      <c r="F47" s="375">
        <v>103.16000000000001</v>
      </c>
      <c r="G47" s="285">
        <v>6.7799999999999999E-2</v>
      </c>
      <c r="H47" s="375">
        <v>103.04</v>
      </c>
      <c r="I47" s="285">
        <v>6.8400000000000002E-2</v>
      </c>
    </row>
    <row r="48" spans="1:9" x14ac:dyDescent="0.35">
      <c r="A48" s="293">
        <v>45355</v>
      </c>
      <c r="B48" s="372">
        <v>101.7</v>
      </c>
      <c r="C48" s="296">
        <v>6.4799999999999996E-2</v>
      </c>
      <c r="D48" s="373">
        <v>100.11</v>
      </c>
      <c r="E48" s="296">
        <v>6.6200000000000009E-2</v>
      </c>
      <c r="F48" s="373">
        <v>103.19000000000001</v>
      </c>
      <c r="G48" s="296">
        <v>6.7799999999999999E-2</v>
      </c>
      <c r="H48" s="373">
        <v>102.94000000000001</v>
      </c>
      <c r="I48" s="296">
        <v>6.8500000000000005E-2</v>
      </c>
    </row>
    <row r="49" spans="1:9" x14ac:dyDescent="0.35">
      <c r="A49" s="293">
        <v>45356</v>
      </c>
      <c r="B49" s="372">
        <v>101.62</v>
      </c>
      <c r="C49" s="296">
        <v>6.5000000000000002E-2</v>
      </c>
      <c r="D49" s="373">
        <v>99.86</v>
      </c>
      <c r="E49" s="296">
        <v>6.6500000000000004E-2</v>
      </c>
      <c r="F49" s="373">
        <v>102.79</v>
      </c>
      <c r="G49" s="296">
        <v>6.8199999999999997E-2</v>
      </c>
      <c r="H49" s="373">
        <v>102.76</v>
      </c>
      <c r="I49" s="296">
        <v>6.8699999999999997E-2</v>
      </c>
    </row>
    <row r="50" spans="1:9" x14ac:dyDescent="0.35">
      <c r="A50" s="293">
        <v>45357</v>
      </c>
      <c r="B50" s="372">
        <v>101.76</v>
      </c>
      <c r="C50" s="296">
        <v>6.4700000000000008E-2</v>
      </c>
      <c r="D50" s="373">
        <v>100.05000000000001</v>
      </c>
      <c r="E50" s="296">
        <v>6.6200000000000009E-2</v>
      </c>
      <c r="F50" s="373">
        <v>102.91000000000001</v>
      </c>
      <c r="G50" s="296">
        <v>6.8100000000000008E-2</v>
      </c>
      <c r="H50" s="373">
        <v>102.76</v>
      </c>
      <c r="I50" s="296">
        <v>6.8699999999999997E-2</v>
      </c>
    </row>
    <row r="51" spans="1:9" x14ac:dyDescent="0.35">
      <c r="A51" s="293">
        <v>45358</v>
      </c>
      <c r="B51" s="372">
        <v>101.75</v>
      </c>
      <c r="C51" s="296">
        <v>6.4700000000000008E-2</v>
      </c>
      <c r="D51" s="373">
        <v>100.09</v>
      </c>
      <c r="E51" s="296">
        <v>6.6200000000000009E-2</v>
      </c>
      <c r="F51" s="373">
        <v>103.11</v>
      </c>
      <c r="G51" s="296">
        <v>6.7799999999999999E-2</v>
      </c>
      <c r="H51" s="373">
        <v>102.87</v>
      </c>
      <c r="I51" s="296">
        <v>6.8600000000000008E-2</v>
      </c>
    </row>
    <row r="52" spans="1:9" x14ac:dyDescent="0.35">
      <c r="A52" s="293">
        <v>45359</v>
      </c>
      <c r="B52" s="372">
        <v>101.75</v>
      </c>
      <c r="C52" s="296">
        <v>6.4700000000000008E-2</v>
      </c>
      <c r="D52" s="373">
        <v>100.17</v>
      </c>
      <c r="E52" s="296">
        <v>6.6100000000000006E-2</v>
      </c>
      <c r="F52" s="373">
        <v>103.13000000000001</v>
      </c>
      <c r="G52" s="296">
        <v>6.7799999999999999E-2</v>
      </c>
      <c r="H52" s="373">
        <v>102.85000000000001</v>
      </c>
      <c r="I52" s="296">
        <v>6.8600000000000008E-2</v>
      </c>
    </row>
    <row r="53" spans="1:9" x14ac:dyDescent="0.35">
      <c r="A53" s="265">
        <v>45364</v>
      </c>
      <c r="B53" s="374">
        <v>101.77000000000001</v>
      </c>
      <c r="C53" s="285">
        <v>6.4600000000000005E-2</v>
      </c>
      <c r="D53" s="375">
        <v>100</v>
      </c>
      <c r="E53" s="285">
        <v>6.6299999999999998E-2</v>
      </c>
      <c r="F53" s="375">
        <v>103.02000000000001</v>
      </c>
      <c r="G53" s="285">
        <v>6.7900000000000002E-2</v>
      </c>
      <c r="H53" s="375">
        <v>102.78</v>
      </c>
      <c r="I53" s="285">
        <v>6.8699999999999997E-2</v>
      </c>
    </row>
    <row r="54" spans="1:9" x14ac:dyDescent="0.35">
      <c r="A54" s="265">
        <v>45365</v>
      </c>
      <c r="B54" s="374">
        <v>101.64</v>
      </c>
      <c r="C54" s="285">
        <v>6.4899999999999999E-2</v>
      </c>
      <c r="D54" s="375">
        <v>100</v>
      </c>
      <c r="E54" s="285">
        <v>6.6299999999999998E-2</v>
      </c>
      <c r="F54" s="375">
        <v>102.79</v>
      </c>
      <c r="G54" s="285">
        <v>6.8199999999999997E-2</v>
      </c>
      <c r="H54" s="375">
        <v>102.59</v>
      </c>
      <c r="I54" s="285">
        <v>6.88E-2</v>
      </c>
    </row>
    <row r="55" spans="1:9" x14ac:dyDescent="0.35">
      <c r="A55" s="265">
        <v>45366</v>
      </c>
      <c r="B55" s="374">
        <v>101.49000000000001</v>
      </c>
      <c r="C55" s="285">
        <v>6.5299999999999997E-2</v>
      </c>
      <c r="D55" s="375">
        <v>99.850000000000009</v>
      </c>
      <c r="E55" s="285">
        <v>6.6500000000000004E-2</v>
      </c>
      <c r="F55" s="375">
        <v>102.65</v>
      </c>
      <c r="G55" s="285">
        <v>6.83E-2</v>
      </c>
      <c r="H55" s="375">
        <v>102.33</v>
      </c>
      <c r="I55" s="285">
        <v>6.9100000000000009E-2</v>
      </c>
    </row>
    <row r="56" spans="1:9" x14ac:dyDescent="0.35">
      <c r="A56" s="293">
        <v>45369</v>
      </c>
      <c r="B56" s="372">
        <v>101.52000000000001</v>
      </c>
      <c r="C56" s="296">
        <v>6.5200000000000008E-2</v>
      </c>
      <c r="D56" s="373">
        <v>99.86</v>
      </c>
      <c r="E56" s="296">
        <v>6.6500000000000004E-2</v>
      </c>
      <c r="F56" s="373">
        <v>102.5</v>
      </c>
      <c r="G56" s="296">
        <v>6.8500000000000005E-2</v>
      </c>
      <c r="H56" s="373">
        <v>102.21000000000001</v>
      </c>
      <c r="I56" s="296">
        <v>6.9199999999999998E-2</v>
      </c>
    </row>
    <row r="57" spans="1:9" x14ac:dyDescent="0.35">
      <c r="A57" s="293">
        <v>45370</v>
      </c>
      <c r="B57" s="372">
        <v>101.55000000000001</v>
      </c>
      <c r="C57" s="296">
        <v>6.5100000000000005E-2</v>
      </c>
      <c r="D57" s="373">
        <v>99.960000000000008</v>
      </c>
      <c r="E57" s="296">
        <v>6.6400000000000001E-2</v>
      </c>
      <c r="F57" s="373">
        <v>102.49000000000001</v>
      </c>
      <c r="G57" s="296">
        <v>6.8500000000000005E-2</v>
      </c>
      <c r="H57" s="373">
        <v>102.19000000000001</v>
      </c>
      <c r="I57" s="296">
        <v>6.9199999999999998E-2</v>
      </c>
    </row>
    <row r="58" spans="1:9" x14ac:dyDescent="0.35">
      <c r="A58" s="293">
        <v>45371</v>
      </c>
      <c r="B58" s="372">
        <v>101.54</v>
      </c>
      <c r="C58" s="296">
        <v>6.5200000000000008E-2</v>
      </c>
      <c r="D58" s="373">
        <v>99.940000000000012</v>
      </c>
      <c r="E58" s="296">
        <v>6.6400000000000001E-2</v>
      </c>
      <c r="F58" s="373">
        <v>102.43</v>
      </c>
      <c r="G58" s="296">
        <v>6.8600000000000008E-2</v>
      </c>
      <c r="H58" s="373">
        <v>102.27000000000001</v>
      </c>
      <c r="I58" s="296">
        <v>6.9100000000000009E-2</v>
      </c>
    </row>
    <row r="59" spans="1:9" x14ac:dyDescent="0.35">
      <c r="A59" s="293">
        <v>45372</v>
      </c>
      <c r="B59" s="372">
        <v>101.62</v>
      </c>
      <c r="C59" s="296">
        <v>6.5000000000000002E-2</v>
      </c>
      <c r="D59" s="373">
        <v>100.09</v>
      </c>
      <c r="E59" s="296">
        <v>6.6200000000000009E-2</v>
      </c>
      <c r="F59" s="373">
        <v>102.84</v>
      </c>
      <c r="G59" s="296">
        <v>6.8100000000000008E-2</v>
      </c>
      <c r="H59" s="373">
        <v>102.55000000000001</v>
      </c>
      <c r="I59" s="296">
        <v>6.8900000000000003E-2</v>
      </c>
    </row>
    <row r="60" spans="1:9" x14ac:dyDescent="0.35">
      <c r="A60" s="293">
        <v>45373</v>
      </c>
      <c r="B60" s="372">
        <v>101.56</v>
      </c>
      <c r="C60" s="296">
        <v>6.5100000000000005E-2</v>
      </c>
      <c r="D60" s="373">
        <v>100</v>
      </c>
      <c r="E60" s="296">
        <v>6.6299999999999998E-2</v>
      </c>
      <c r="F60" s="373">
        <v>102.60000000000001</v>
      </c>
      <c r="G60" s="296">
        <v>6.8400000000000002E-2</v>
      </c>
      <c r="H60" s="373">
        <v>102.37</v>
      </c>
      <c r="I60" s="296">
        <v>6.9000000000000006E-2</v>
      </c>
    </row>
    <row r="61" spans="1:9" ht="15.5" x14ac:dyDescent="0.35">
      <c r="A61" s="265">
        <v>45376</v>
      </c>
      <c r="B61" s="376">
        <v>101.5</v>
      </c>
      <c r="C61" s="377">
        <v>6.5299999999999997E-2</v>
      </c>
      <c r="D61" s="378">
        <v>99.79</v>
      </c>
      <c r="E61" s="377">
        <v>6.6600000000000006E-2</v>
      </c>
      <c r="F61" s="378">
        <v>102.42</v>
      </c>
      <c r="G61" s="377">
        <v>6.8600000000000008E-2</v>
      </c>
      <c r="H61" s="378">
        <v>102.22</v>
      </c>
      <c r="I61" s="377">
        <v>6.9199999999999998E-2</v>
      </c>
    </row>
    <row r="62" spans="1:9" ht="15.5" x14ac:dyDescent="0.35">
      <c r="A62" s="265">
        <v>45377</v>
      </c>
      <c r="B62" s="376">
        <v>101.43</v>
      </c>
      <c r="C62" s="377">
        <v>6.54E-2</v>
      </c>
      <c r="D62" s="378">
        <v>99.72</v>
      </c>
      <c r="E62" s="377">
        <v>6.6700000000000009E-2</v>
      </c>
      <c r="F62" s="378">
        <v>102.32000000000001</v>
      </c>
      <c r="G62" s="377">
        <v>6.8699999999999997E-2</v>
      </c>
      <c r="H62" s="378">
        <v>102.2</v>
      </c>
      <c r="I62" s="377">
        <v>6.9199999999999998E-2</v>
      </c>
    </row>
    <row r="63" spans="1:9" ht="15.5" x14ac:dyDescent="0.35">
      <c r="A63" s="265">
        <v>45378</v>
      </c>
      <c r="B63" s="376">
        <v>101.19000000000001</v>
      </c>
      <c r="C63" s="377">
        <v>6.6000000000000003E-2</v>
      </c>
      <c r="D63" s="378">
        <v>99.460000000000008</v>
      </c>
      <c r="E63" s="377">
        <v>6.7100000000000007E-2</v>
      </c>
      <c r="F63" s="378">
        <v>101.82000000000001</v>
      </c>
      <c r="G63" s="377">
        <v>6.93E-2</v>
      </c>
      <c r="H63" s="378">
        <v>101.74000000000001</v>
      </c>
      <c r="I63" s="377">
        <v>6.9600000000000009E-2</v>
      </c>
    </row>
    <row r="64" spans="1:9" ht="15.5" x14ac:dyDescent="0.35">
      <c r="A64" s="265">
        <v>45379</v>
      </c>
      <c r="B64" s="376">
        <v>101.16</v>
      </c>
      <c r="C64" s="377">
        <v>6.6000000000000003E-2</v>
      </c>
      <c r="D64" s="378">
        <v>99.320000000000007</v>
      </c>
      <c r="E64" s="377">
        <v>6.720000000000001E-2</v>
      </c>
      <c r="F64" s="378">
        <v>101.79</v>
      </c>
      <c r="G64" s="377">
        <v>6.93E-2</v>
      </c>
      <c r="H64" s="378">
        <v>101.68</v>
      </c>
      <c r="I64" s="377">
        <v>6.9699999999999998E-2</v>
      </c>
    </row>
    <row r="65" spans="1:9" x14ac:dyDescent="0.35">
      <c r="A65" s="293">
        <v>45383</v>
      </c>
      <c r="B65" s="372">
        <v>101.16</v>
      </c>
      <c r="C65" s="296">
        <v>6.6000000000000003E-2</v>
      </c>
      <c r="D65" s="373">
        <v>99.320000000000007</v>
      </c>
      <c r="E65" s="296">
        <v>6.720000000000001E-2</v>
      </c>
      <c r="F65" s="373">
        <v>101.79</v>
      </c>
      <c r="G65" s="296">
        <v>6.93E-2</v>
      </c>
      <c r="H65" s="373">
        <v>101.68</v>
      </c>
      <c r="I65" s="296">
        <v>6.9699999999999998E-2</v>
      </c>
    </row>
    <row r="66" spans="1:9" x14ac:dyDescent="0.35">
      <c r="A66" s="293">
        <v>45384</v>
      </c>
      <c r="B66" s="372">
        <v>101.29</v>
      </c>
      <c r="C66" s="296">
        <v>6.5700000000000008E-2</v>
      </c>
      <c r="D66" s="373">
        <v>99.67</v>
      </c>
      <c r="E66" s="296">
        <v>6.6799999999999998E-2</v>
      </c>
      <c r="F66" s="373">
        <v>102.18</v>
      </c>
      <c r="G66" s="296">
        <v>6.8900000000000003E-2</v>
      </c>
      <c r="H66" s="373">
        <v>102.13000000000001</v>
      </c>
      <c r="I66" s="296">
        <v>6.93E-2</v>
      </c>
    </row>
    <row r="67" spans="1:9" x14ac:dyDescent="0.35">
      <c r="A67" s="293">
        <v>45385</v>
      </c>
      <c r="B67" s="372">
        <v>101.26</v>
      </c>
      <c r="C67" s="296">
        <v>6.5799999999999997E-2</v>
      </c>
      <c r="D67" s="373">
        <v>99.6</v>
      </c>
      <c r="E67" s="296">
        <v>6.6900000000000001E-2</v>
      </c>
      <c r="F67" s="373">
        <v>102.12</v>
      </c>
      <c r="G67" s="296">
        <v>6.8900000000000003E-2</v>
      </c>
      <c r="H67" s="373">
        <v>102.02000000000001</v>
      </c>
      <c r="I67" s="296">
        <v>6.9400000000000003E-2</v>
      </c>
    </row>
    <row r="68" spans="1:9" x14ac:dyDescent="0.35">
      <c r="A68" s="293">
        <v>45386</v>
      </c>
      <c r="B68" s="372">
        <v>101.28</v>
      </c>
      <c r="C68" s="296">
        <v>6.5799999999999997E-2</v>
      </c>
      <c r="D68" s="373">
        <v>99.740000000000009</v>
      </c>
      <c r="E68" s="296">
        <v>6.6700000000000009E-2</v>
      </c>
      <c r="F68" s="373">
        <v>102.33</v>
      </c>
      <c r="G68" s="296">
        <v>6.8699999999999997E-2</v>
      </c>
      <c r="H68" s="373">
        <v>102.21000000000001</v>
      </c>
      <c r="I68" s="296">
        <v>6.9199999999999998E-2</v>
      </c>
    </row>
    <row r="69" spans="1:9" x14ac:dyDescent="0.35">
      <c r="A69" s="293">
        <v>45387</v>
      </c>
      <c r="B69" s="372">
        <v>101.41000000000001</v>
      </c>
      <c r="C69" s="296">
        <v>6.5500000000000003E-2</v>
      </c>
      <c r="D69" s="373">
        <v>100.2</v>
      </c>
      <c r="E69" s="296">
        <v>6.6000000000000003E-2</v>
      </c>
      <c r="F69" s="373">
        <v>102.76</v>
      </c>
      <c r="G69" s="296">
        <v>6.8199999999999997E-2</v>
      </c>
      <c r="H69" s="373">
        <v>102.71000000000001</v>
      </c>
      <c r="I69" s="296">
        <v>6.8699999999999997E-2</v>
      </c>
    </row>
    <row r="70" spans="1:9" x14ac:dyDescent="0.35">
      <c r="A70" s="265">
        <v>45398</v>
      </c>
      <c r="B70" s="374">
        <v>100.57</v>
      </c>
      <c r="C70" s="285">
        <v>6.7400000000000002E-2</v>
      </c>
      <c r="D70" s="375">
        <v>98.77</v>
      </c>
      <c r="E70" s="285">
        <v>6.8000000000000005E-2</v>
      </c>
      <c r="F70" s="375">
        <v>101.2</v>
      </c>
      <c r="G70" s="285">
        <v>6.9900000000000004E-2</v>
      </c>
      <c r="H70" s="375">
        <v>101.05</v>
      </c>
      <c r="I70" s="285">
        <v>7.0300000000000001E-2</v>
      </c>
    </row>
    <row r="71" spans="1:9" x14ac:dyDescent="0.35">
      <c r="A71" s="265">
        <v>45399</v>
      </c>
      <c r="B71" s="374">
        <v>99.84</v>
      </c>
      <c r="C71" s="285">
        <v>6.9199999999999998E-2</v>
      </c>
      <c r="D71" s="375">
        <v>97.63000000000001</v>
      </c>
      <c r="E71" s="285">
        <v>6.9699999999999998E-2</v>
      </c>
      <c r="F71" s="375">
        <v>100.32000000000001</v>
      </c>
      <c r="G71" s="285">
        <v>7.0900000000000005E-2</v>
      </c>
      <c r="H71" s="375">
        <v>99.71</v>
      </c>
      <c r="I71" s="285">
        <v>7.1599999999999997E-2</v>
      </c>
    </row>
    <row r="72" spans="1:9" x14ac:dyDescent="0.35">
      <c r="A72" s="265">
        <v>45400</v>
      </c>
      <c r="B72" s="374">
        <v>100.15</v>
      </c>
      <c r="C72" s="285">
        <v>6.8400000000000002E-2</v>
      </c>
      <c r="D72" s="375">
        <v>98.2</v>
      </c>
      <c r="E72" s="285">
        <v>6.88E-2</v>
      </c>
      <c r="F72" s="375">
        <v>100.95</v>
      </c>
      <c r="G72" s="285">
        <v>7.0199999999999999E-2</v>
      </c>
      <c r="H72" s="375">
        <v>100.11</v>
      </c>
      <c r="I72" s="285">
        <v>7.1199999999999999E-2</v>
      </c>
    </row>
    <row r="73" spans="1:9" x14ac:dyDescent="0.35">
      <c r="A73" s="265">
        <v>45401</v>
      </c>
      <c r="B73" s="374">
        <v>99.740000000000009</v>
      </c>
      <c r="C73" s="285">
        <v>6.9400000000000003E-2</v>
      </c>
      <c r="D73" s="375">
        <v>97.62</v>
      </c>
      <c r="E73" s="285">
        <v>6.9699999999999998E-2</v>
      </c>
      <c r="F73" s="375">
        <v>100.73</v>
      </c>
      <c r="G73" s="285">
        <v>7.0500000000000007E-2</v>
      </c>
      <c r="H73" s="375">
        <v>100</v>
      </c>
      <c r="I73" s="285">
        <v>7.1300000000000002E-2</v>
      </c>
    </row>
    <row r="74" spans="1:9" x14ac:dyDescent="0.35">
      <c r="A74" s="293">
        <v>45404</v>
      </c>
      <c r="B74" s="372">
        <v>99.490000000000009</v>
      </c>
      <c r="C74" s="296">
        <v>7.0000000000000007E-2</v>
      </c>
      <c r="D74" s="373">
        <v>97.2</v>
      </c>
      <c r="E74" s="296">
        <v>7.0300000000000001E-2</v>
      </c>
      <c r="F74" s="373">
        <v>100.37</v>
      </c>
      <c r="G74" s="296">
        <v>7.0900000000000005E-2</v>
      </c>
      <c r="H74" s="373">
        <v>100.08</v>
      </c>
      <c r="I74" s="296">
        <v>7.1199999999999999E-2</v>
      </c>
    </row>
    <row r="75" spans="1:9" x14ac:dyDescent="0.35">
      <c r="A75" s="293">
        <v>45405</v>
      </c>
      <c r="B75" s="372">
        <v>99.46</v>
      </c>
      <c r="C75" s="296">
        <v>7.010000000000001E-2</v>
      </c>
      <c r="D75" s="373">
        <v>97.100000000000009</v>
      </c>
      <c r="E75" s="296">
        <v>7.0400000000000004E-2</v>
      </c>
      <c r="F75" s="373">
        <v>100.29</v>
      </c>
      <c r="G75" s="296">
        <v>7.1000000000000008E-2</v>
      </c>
      <c r="H75" s="373">
        <v>100.39</v>
      </c>
      <c r="I75" s="296">
        <v>7.0900000000000005E-2</v>
      </c>
    </row>
    <row r="76" spans="1:9" x14ac:dyDescent="0.35">
      <c r="A76" s="293">
        <v>45406</v>
      </c>
      <c r="B76" s="372">
        <v>99.86</v>
      </c>
      <c r="C76" s="296">
        <v>6.9100000000000009E-2</v>
      </c>
      <c r="D76" s="373">
        <v>97.58</v>
      </c>
      <c r="E76" s="296">
        <v>6.9699999999999998E-2</v>
      </c>
      <c r="F76" s="373">
        <v>100.82000000000001</v>
      </c>
      <c r="G76" s="296">
        <v>7.0400000000000004E-2</v>
      </c>
      <c r="H76" s="373">
        <v>101.26</v>
      </c>
      <c r="I76" s="296">
        <v>7.010000000000001E-2</v>
      </c>
    </row>
    <row r="77" spans="1:9" x14ac:dyDescent="0.35">
      <c r="A77" s="293">
        <v>45407</v>
      </c>
      <c r="B77" s="372">
        <v>99.34</v>
      </c>
      <c r="C77" s="296">
        <v>7.0400000000000004E-2</v>
      </c>
      <c r="D77" s="373">
        <v>96.800000000000011</v>
      </c>
      <c r="E77" s="296">
        <v>7.0900000000000005E-2</v>
      </c>
      <c r="F77" s="373">
        <v>100.17</v>
      </c>
      <c r="G77" s="296">
        <v>7.1099999999999997E-2</v>
      </c>
      <c r="H77" s="373">
        <v>100.7</v>
      </c>
      <c r="I77" s="296">
        <v>7.0599999999999996E-2</v>
      </c>
    </row>
    <row r="78" spans="1:9" x14ac:dyDescent="0.35">
      <c r="A78" s="293">
        <v>45408</v>
      </c>
      <c r="B78" s="372">
        <v>99.210000000000008</v>
      </c>
      <c r="C78" s="296">
        <v>7.0699999999999999E-2</v>
      </c>
      <c r="D78" s="373">
        <v>96.320000000000007</v>
      </c>
      <c r="E78" s="296">
        <v>7.1599999999999997E-2</v>
      </c>
      <c r="F78" s="373">
        <v>99.52000000000001</v>
      </c>
      <c r="G78" s="296">
        <v>7.1800000000000003E-2</v>
      </c>
      <c r="H78" s="373">
        <v>100.15</v>
      </c>
      <c r="I78" s="296">
        <v>7.1099999999999997E-2</v>
      </c>
    </row>
    <row r="79" spans="1:9" x14ac:dyDescent="0.35">
      <c r="A79" s="265">
        <v>45411</v>
      </c>
      <c r="B79" s="374">
        <v>99.08</v>
      </c>
      <c r="C79" s="285">
        <v>7.1000000000000008E-2</v>
      </c>
      <c r="D79" s="375">
        <v>95.990000000000009</v>
      </c>
      <c r="E79" s="285">
        <v>7.2099999999999997E-2</v>
      </c>
      <c r="F79" s="375">
        <v>99.29</v>
      </c>
      <c r="G79" s="285">
        <v>7.2099999999999997E-2</v>
      </c>
      <c r="H79" s="375">
        <v>99.940000000000012</v>
      </c>
      <c r="I79" s="285">
        <v>7.1300000000000002E-2</v>
      </c>
    </row>
    <row r="80" spans="1:9" x14ac:dyDescent="0.35">
      <c r="A80" s="265">
        <v>45412</v>
      </c>
      <c r="B80" s="374">
        <v>98.97</v>
      </c>
      <c r="C80" s="285">
        <v>7.1300000000000002E-2</v>
      </c>
      <c r="D80" s="375">
        <v>95.9</v>
      </c>
      <c r="E80" s="285">
        <v>7.22E-2</v>
      </c>
      <c r="F80" s="375">
        <v>99.41</v>
      </c>
      <c r="G80" s="285">
        <v>7.2000000000000008E-2</v>
      </c>
      <c r="H80" s="375">
        <v>99.61</v>
      </c>
      <c r="I80" s="285">
        <v>7.17E-2</v>
      </c>
    </row>
    <row r="81" spans="1:10" x14ac:dyDescent="0.35">
      <c r="A81" s="265">
        <v>45414</v>
      </c>
      <c r="B81" s="374">
        <v>99.15</v>
      </c>
      <c r="C81" s="285">
        <v>7.0900000000000005E-2</v>
      </c>
      <c r="D81" s="375">
        <v>96.14</v>
      </c>
      <c r="E81" s="285">
        <v>7.1800000000000003E-2</v>
      </c>
      <c r="F81" s="375">
        <v>99.990000000000009</v>
      </c>
      <c r="G81" s="285">
        <v>7.1300000000000002E-2</v>
      </c>
      <c r="H81" s="375">
        <v>100.58</v>
      </c>
      <c r="I81" s="285">
        <v>7.0699999999999999E-2</v>
      </c>
    </row>
    <row r="82" spans="1:10" x14ac:dyDescent="0.35">
      <c r="A82" s="265">
        <v>45415</v>
      </c>
      <c r="B82" s="374">
        <v>99.75</v>
      </c>
      <c r="C82" s="285">
        <v>6.9400000000000003E-2</v>
      </c>
      <c r="D82" s="375">
        <v>97.04</v>
      </c>
      <c r="E82" s="285">
        <v>7.0500000000000007E-2</v>
      </c>
      <c r="F82" s="375">
        <v>101.27</v>
      </c>
      <c r="G82" s="285">
        <v>6.9900000000000004E-2</v>
      </c>
      <c r="H82" s="375">
        <v>102.04</v>
      </c>
      <c r="I82" s="285">
        <v>6.93E-2</v>
      </c>
    </row>
    <row r="83" spans="1:10" x14ac:dyDescent="0.35">
      <c r="A83" s="293">
        <v>45418</v>
      </c>
      <c r="B83" s="372">
        <v>100.22</v>
      </c>
      <c r="C83" s="296">
        <v>6.83E-2</v>
      </c>
      <c r="D83" s="373">
        <v>98.43</v>
      </c>
      <c r="E83" s="296">
        <v>6.8500000000000005E-2</v>
      </c>
      <c r="F83" s="373">
        <v>102.22</v>
      </c>
      <c r="G83" s="296">
        <v>6.88E-2</v>
      </c>
      <c r="H83" s="373">
        <v>103.12</v>
      </c>
      <c r="I83" s="296">
        <v>6.83E-2</v>
      </c>
    </row>
    <row r="84" spans="1:10" x14ac:dyDescent="0.35">
      <c r="A84" s="293">
        <v>45419</v>
      </c>
      <c r="B84" s="372">
        <v>99.960000000000008</v>
      </c>
      <c r="C84" s="296">
        <v>6.8900000000000003E-2</v>
      </c>
      <c r="D84" s="373">
        <v>98.13</v>
      </c>
      <c r="E84" s="296">
        <v>6.9000000000000006E-2</v>
      </c>
      <c r="F84" s="373">
        <v>101.91000000000001</v>
      </c>
      <c r="G84" s="296">
        <v>6.9100000000000009E-2</v>
      </c>
      <c r="H84" s="373">
        <v>102.65</v>
      </c>
      <c r="I84" s="296">
        <v>6.88E-2</v>
      </c>
    </row>
    <row r="85" spans="1:10" x14ac:dyDescent="0.35">
      <c r="A85" s="293">
        <v>45420</v>
      </c>
      <c r="B85" s="372">
        <v>99.79</v>
      </c>
      <c r="C85" s="296">
        <v>6.93E-2</v>
      </c>
      <c r="D85" s="373">
        <v>97.76</v>
      </c>
      <c r="E85" s="296">
        <v>6.9500000000000006E-2</v>
      </c>
      <c r="F85" s="373">
        <v>101.86</v>
      </c>
      <c r="G85" s="296">
        <v>6.9199999999999998E-2</v>
      </c>
      <c r="H85" s="373">
        <v>101.89</v>
      </c>
      <c r="I85" s="296">
        <v>6.9500000000000006E-2</v>
      </c>
    </row>
    <row r="86" spans="1:10" x14ac:dyDescent="0.35">
      <c r="A86" s="265">
        <v>45425</v>
      </c>
      <c r="B86" s="374">
        <v>99.73</v>
      </c>
      <c r="C86" s="285">
        <v>6.9400000000000003E-2</v>
      </c>
      <c r="D86" s="375">
        <v>97.58</v>
      </c>
      <c r="E86" s="285">
        <v>6.9800000000000001E-2</v>
      </c>
      <c r="F86" s="375">
        <v>101.64</v>
      </c>
      <c r="G86" s="285">
        <v>6.9400000000000003E-2</v>
      </c>
      <c r="H86" s="375">
        <v>101.53</v>
      </c>
      <c r="I86" s="285">
        <v>6.9800000000000001E-2</v>
      </c>
      <c r="J86" s="47"/>
    </row>
    <row r="87" spans="1:10" x14ac:dyDescent="0.35">
      <c r="A87" s="265">
        <v>45426</v>
      </c>
      <c r="B87" s="374">
        <v>99.62</v>
      </c>
      <c r="C87" s="285">
        <v>6.9699999999999998E-2</v>
      </c>
      <c r="D87" s="375">
        <v>97.2</v>
      </c>
      <c r="E87" s="285">
        <v>7.0300000000000001E-2</v>
      </c>
      <c r="F87" s="375">
        <v>101.13000000000001</v>
      </c>
      <c r="G87" s="285">
        <v>7.0000000000000007E-2</v>
      </c>
      <c r="H87" s="375">
        <v>100.97</v>
      </c>
      <c r="I87" s="285">
        <v>7.0400000000000004E-2</v>
      </c>
      <c r="J87" s="47"/>
    </row>
    <row r="88" spans="1:10" x14ac:dyDescent="0.35">
      <c r="A88" s="265">
        <v>45427</v>
      </c>
      <c r="B88" s="374">
        <v>99.84</v>
      </c>
      <c r="C88" s="285">
        <v>6.9199999999999998E-2</v>
      </c>
      <c r="D88" s="375">
        <v>98.09</v>
      </c>
      <c r="E88" s="285">
        <v>6.9000000000000006E-2</v>
      </c>
      <c r="F88" s="375">
        <v>101.65</v>
      </c>
      <c r="G88" s="285">
        <v>6.9400000000000003E-2</v>
      </c>
      <c r="H88" s="375">
        <v>101.25</v>
      </c>
      <c r="I88" s="285">
        <v>7.010000000000001E-2</v>
      </c>
      <c r="J88" s="47"/>
    </row>
    <row r="89" spans="1:10" x14ac:dyDescent="0.35">
      <c r="A89" s="265">
        <v>45428</v>
      </c>
      <c r="B89" s="374">
        <v>100.17</v>
      </c>
      <c r="C89" s="285">
        <v>6.8400000000000002E-2</v>
      </c>
      <c r="D89" s="375">
        <v>98.820000000000007</v>
      </c>
      <c r="E89" s="285">
        <v>6.8000000000000005E-2</v>
      </c>
      <c r="F89" s="375">
        <v>102.29</v>
      </c>
      <c r="G89" s="285">
        <v>6.8699999999999997E-2</v>
      </c>
      <c r="H89" s="375">
        <v>102.14</v>
      </c>
      <c r="I89" s="285">
        <v>6.93E-2</v>
      </c>
      <c r="J89" s="47"/>
    </row>
    <row r="90" spans="1:10" x14ac:dyDescent="0.35">
      <c r="A90" s="265">
        <v>45429</v>
      </c>
      <c r="B90" s="374">
        <v>100.19000000000001</v>
      </c>
      <c r="C90" s="285">
        <v>6.83E-2</v>
      </c>
      <c r="D90" s="375">
        <v>98.78</v>
      </c>
      <c r="E90" s="285">
        <v>6.8000000000000005E-2</v>
      </c>
      <c r="F90" s="375">
        <v>102.19000000000001</v>
      </c>
      <c r="G90" s="285">
        <v>6.88E-2</v>
      </c>
      <c r="H90" s="375">
        <v>101.93</v>
      </c>
      <c r="I90" s="285">
        <v>6.9500000000000006E-2</v>
      </c>
      <c r="J90" s="47"/>
    </row>
    <row r="91" spans="1:10" x14ac:dyDescent="0.35">
      <c r="A91" s="293">
        <v>45432</v>
      </c>
      <c r="B91" s="379">
        <v>100.13000000000001</v>
      </c>
      <c r="C91" s="380">
        <v>6.8500000000000005E-2</v>
      </c>
      <c r="D91" s="379">
        <v>98.61</v>
      </c>
      <c r="E91" s="380">
        <v>6.83E-2</v>
      </c>
      <c r="F91" s="379">
        <v>102.10000000000001</v>
      </c>
      <c r="G91" s="380">
        <v>6.8900000000000003E-2</v>
      </c>
      <c r="H91" s="379">
        <v>101.78</v>
      </c>
      <c r="I91" s="301">
        <v>6.9600000000000009E-2</v>
      </c>
    </row>
    <row r="92" spans="1:10" x14ac:dyDescent="0.35">
      <c r="A92" s="293">
        <v>45433</v>
      </c>
      <c r="B92" s="379">
        <v>100.06</v>
      </c>
      <c r="C92" s="380">
        <v>6.8600000000000008E-2</v>
      </c>
      <c r="D92" s="379">
        <v>98.2</v>
      </c>
      <c r="E92" s="380">
        <v>6.8900000000000003E-2</v>
      </c>
      <c r="F92" s="379">
        <v>101.74000000000001</v>
      </c>
      <c r="G92" s="380">
        <v>6.93E-2</v>
      </c>
      <c r="H92" s="379">
        <v>101.35000000000001</v>
      </c>
      <c r="I92" s="380">
        <v>7.0000000000000007E-2</v>
      </c>
    </row>
    <row r="93" spans="1:10" x14ac:dyDescent="0.35">
      <c r="A93" s="293">
        <v>45434</v>
      </c>
      <c r="B93" s="379">
        <v>100.26</v>
      </c>
      <c r="C93" s="380">
        <v>6.8100000000000008E-2</v>
      </c>
      <c r="D93" s="379">
        <v>98.7</v>
      </c>
      <c r="E93" s="380">
        <v>6.8100000000000008E-2</v>
      </c>
      <c r="F93" s="379">
        <v>102.01</v>
      </c>
      <c r="G93" s="380">
        <v>6.9000000000000006E-2</v>
      </c>
      <c r="H93" s="379">
        <v>101.88000000000001</v>
      </c>
      <c r="I93" s="380">
        <v>6.9500000000000006E-2</v>
      </c>
    </row>
    <row r="94" spans="1:10" x14ac:dyDescent="0.35">
      <c r="A94" s="265">
        <v>45439</v>
      </c>
      <c r="B94" s="299">
        <v>100.08</v>
      </c>
      <c r="C94" s="315">
        <v>6.8599999999999994E-2</v>
      </c>
      <c r="D94" s="299">
        <v>98.29</v>
      </c>
      <c r="E94" s="315">
        <v>6.8699999999999997E-2</v>
      </c>
      <c r="F94" s="299">
        <v>101.60000000000001</v>
      </c>
      <c r="G94" s="315">
        <v>6.9500000000000006E-2</v>
      </c>
      <c r="H94" s="299">
        <v>101.43</v>
      </c>
      <c r="I94" s="315">
        <v>6.9900000000000004E-2</v>
      </c>
    </row>
    <row r="95" spans="1:10" x14ac:dyDescent="0.35">
      <c r="A95" s="265">
        <v>45440</v>
      </c>
      <c r="B95" s="299">
        <v>100.06</v>
      </c>
      <c r="C95" s="315">
        <v>6.8600000000000008E-2</v>
      </c>
      <c r="D95" s="299">
        <v>98.23</v>
      </c>
      <c r="E95" s="315">
        <v>6.88E-2</v>
      </c>
      <c r="F95" s="299">
        <v>101.56</v>
      </c>
      <c r="G95" s="315">
        <v>6.9500000000000006E-2</v>
      </c>
      <c r="H95" s="299">
        <v>101.49000000000001</v>
      </c>
      <c r="I95" s="315">
        <v>6.9900000000000004E-2</v>
      </c>
    </row>
    <row r="96" spans="1:10" x14ac:dyDescent="0.35">
      <c r="A96" s="265">
        <v>45441</v>
      </c>
      <c r="B96" s="299">
        <v>99.9</v>
      </c>
      <c r="C96" s="315">
        <v>6.9000000000000006E-2</v>
      </c>
      <c r="D96" s="299">
        <v>97.86</v>
      </c>
      <c r="E96" s="315">
        <v>6.9400000000000003E-2</v>
      </c>
      <c r="F96" s="299">
        <v>101.33</v>
      </c>
      <c r="G96" s="315">
        <v>6.9800000000000001E-2</v>
      </c>
      <c r="H96" s="299">
        <v>101.24000000000001</v>
      </c>
      <c r="I96" s="315">
        <v>7.010000000000001E-2</v>
      </c>
    </row>
    <row r="97" spans="1:9" x14ac:dyDescent="0.35">
      <c r="A97" s="265">
        <v>45442</v>
      </c>
      <c r="B97" s="299">
        <v>99.79</v>
      </c>
      <c r="C97" s="315">
        <v>6.93E-2</v>
      </c>
      <c r="D97" s="299">
        <v>97.63000000000001</v>
      </c>
      <c r="E97" s="315">
        <v>6.9699999999999998E-2</v>
      </c>
      <c r="F97" s="299">
        <v>101.32000000000001</v>
      </c>
      <c r="G97" s="315">
        <v>6.9800000000000001E-2</v>
      </c>
      <c r="H97" s="299">
        <v>101.17</v>
      </c>
      <c r="I97" s="315">
        <v>7.0199999999999999E-2</v>
      </c>
    </row>
    <row r="98" spans="1:9" x14ac:dyDescent="0.35">
      <c r="A98" s="265">
        <v>45443</v>
      </c>
      <c r="B98" s="299">
        <v>100.05000000000001</v>
      </c>
      <c r="C98" s="315">
        <v>6.8699999999999997E-2</v>
      </c>
      <c r="D98" s="299">
        <v>98.04</v>
      </c>
      <c r="E98" s="315">
        <v>6.9100000000000009E-2</v>
      </c>
      <c r="F98" s="299">
        <v>101.47</v>
      </c>
      <c r="G98" s="315">
        <v>6.9600000000000009E-2</v>
      </c>
      <c r="H98" s="299">
        <v>101.44000000000001</v>
      </c>
      <c r="I98" s="315">
        <v>6.9900000000000004E-2</v>
      </c>
    </row>
    <row r="99" spans="1:9" x14ac:dyDescent="0.35">
      <c r="A99" s="381">
        <v>45446</v>
      </c>
      <c r="B99" s="382">
        <v>100.12</v>
      </c>
      <c r="C99" s="383">
        <v>6.8500000000000005E-2</v>
      </c>
      <c r="D99" s="384">
        <v>98.31</v>
      </c>
      <c r="E99" s="383">
        <v>6.8699999999999997E-2</v>
      </c>
      <c r="F99" s="384">
        <v>101.92</v>
      </c>
      <c r="G99" s="383">
        <v>6.9100000000000009E-2</v>
      </c>
      <c r="H99" s="384">
        <v>102.06</v>
      </c>
      <c r="I99" s="383">
        <v>6.93E-2</v>
      </c>
    </row>
    <row r="100" spans="1:9" x14ac:dyDescent="0.35">
      <c r="A100" s="381">
        <v>45447</v>
      </c>
      <c r="B100" s="382">
        <v>100.31</v>
      </c>
      <c r="C100" s="383">
        <v>6.8000000000000005E-2</v>
      </c>
      <c r="D100" s="384">
        <v>98.52000000000001</v>
      </c>
      <c r="E100" s="383">
        <v>6.8400000000000002E-2</v>
      </c>
      <c r="F100" s="384">
        <v>102.26</v>
      </c>
      <c r="G100" s="383">
        <v>6.88E-2</v>
      </c>
      <c r="H100" s="384">
        <v>102.17</v>
      </c>
      <c r="I100" s="383">
        <v>6.9199999999999998E-2</v>
      </c>
    </row>
    <row r="101" spans="1:9" x14ac:dyDescent="0.35">
      <c r="A101" s="381">
        <v>45448</v>
      </c>
      <c r="B101" s="382">
        <v>100.27000000000001</v>
      </c>
      <c r="C101" s="383">
        <v>6.8100000000000008E-2</v>
      </c>
      <c r="D101" s="384">
        <v>98.23</v>
      </c>
      <c r="E101" s="383">
        <v>6.88E-2</v>
      </c>
      <c r="F101" s="384">
        <v>101.96</v>
      </c>
      <c r="G101" s="383">
        <v>6.9100000000000009E-2</v>
      </c>
      <c r="H101" s="384">
        <v>101.93</v>
      </c>
      <c r="I101" s="383">
        <v>6.9500000000000006E-2</v>
      </c>
    </row>
    <row r="102" spans="1:9" x14ac:dyDescent="0.35">
      <c r="A102" s="381">
        <v>45449</v>
      </c>
      <c r="B102" s="382">
        <v>100.2</v>
      </c>
      <c r="C102" s="383">
        <v>6.83E-2</v>
      </c>
      <c r="D102" s="384">
        <v>98.1</v>
      </c>
      <c r="E102" s="383">
        <v>6.9000000000000006E-2</v>
      </c>
      <c r="F102" s="384">
        <v>101.88</v>
      </c>
      <c r="G102" s="383">
        <v>6.9199999999999998E-2</v>
      </c>
      <c r="H102" s="384">
        <v>101.60000000000001</v>
      </c>
      <c r="I102" s="383">
        <v>6.9800000000000001E-2</v>
      </c>
    </row>
    <row r="103" spans="1:9" x14ac:dyDescent="0.35">
      <c r="A103" s="381">
        <v>45450</v>
      </c>
      <c r="B103" s="382">
        <v>100.16000000000001</v>
      </c>
      <c r="C103" s="383">
        <v>6.8400000000000002E-2</v>
      </c>
      <c r="D103" s="384">
        <v>98.190000000000012</v>
      </c>
      <c r="E103" s="383">
        <v>6.8900000000000003E-2</v>
      </c>
      <c r="F103" s="384">
        <v>101.84</v>
      </c>
      <c r="G103" s="383">
        <v>6.9199999999999998E-2</v>
      </c>
      <c r="H103" s="384">
        <v>101.67</v>
      </c>
      <c r="I103" s="383">
        <v>6.9699999999999998E-2</v>
      </c>
    </row>
    <row r="104" spans="1:9" x14ac:dyDescent="0.35">
      <c r="A104" s="265">
        <v>45453</v>
      </c>
      <c r="B104" s="385">
        <v>99.97</v>
      </c>
      <c r="C104" s="283">
        <v>6.88E-2</v>
      </c>
      <c r="D104" s="386">
        <v>97.8</v>
      </c>
      <c r="E104" s="283">
        <v>6.9500000000000006E-2</v>
      </c>
      <c r="F104" s="386">
        <v>101.47</v>
      </c>
      <c r="G104" s="283">
        <v>6.9599999999999995E-2</v>
      </c>
      <c r="H104" s="386">
        <v>101.22</v>
      </c>
      <c r="I104" s="283">
        <v>7.0099999999999996E-2</v>
      </c>
    </row>
    <row r="105" spans="1:9" x14ac:dyDescent="0.35">
      <c r="A105" s="265">
        <v>45454</v>
      </c>
      <c r="B105" s="385">
        <v>99.78</v>
      </c>
      <c r="C105" s="283">
        <v>6.93E-2</v>
      </c>
      <c r="D105" s="386">
        <v>97.460000000000008</v>
      </c>
      <c r="E105" s="283">
        <v>6.9900000000000004E-2</v>
      </c>
      <c r="F105" s="386">
        <v>100.64</v>
      </c>
      <c r="G105" s="283">
        <v>7.0599999999999996E-2</v>
      </c>
      <c r="H105" s="386">
        <v>100.45</v>
      </c>
      <c r="I105" s="283">
        <v>7.0900000000000005E-2</v>
      </c>
    </row>
    <row r="106" spans="1:9" x14ac:dyDescent="0.35">
      <c r="A106" s="265">
        <v>45455</v>
      </c>
      <c r="B106" s="385">
        <v>99.73</v>
      </c>
      <c r="C106" s="283">
        <v>6.9400000000000003E-2</v>
      </c>
      <c r="D106" s="386">
        <v>97.36</v>
      </c>
      <c r="E106" s="283">
        <v>7.010000000000001E-2</v>
      </c>
      <c r="F106" s="386">
        <v>100.82000000000001</v>
      </c>
      <c r="G106" s="283">
        <v>7.0400000000000004E-2</v>
      </c>
      <c r="H106" s="386">
        <v>100.71000000000001</v>
      </c>
      <c r="I106" s="283">
        <v>7.0599999999999996E-2</v>
      </c>
    </row>
    <row r="107" spans="1:9" x14ac:dyDescent="0.35">
      <c r="A107" s="265">
        <v>45456</v>
      </c>
      <c r="B107" s="385">
        <v>99.79</v>
      </c>
      <c r="C107" s="283">
        <v>6.93E-2</v>
      </c>
      <c r="D107" s="386">
        <v>97.56</v>
      </c>
      <c r="E107" s="283">
        <v>6.9800000000000001E-2</v>
      </c>
      <c r="F107" s="386">
        <v>100.87</v>
      </c>
      <c r="G107" s="283">
        <v>7.0300000000000001E-2</v>
      </c>
      <c r="H107" s="386">
        <v>100.74000000000001</v>
      </c>
      <c r="I107" s="283">
        <v>7.0599999999999996E-2</v>
      </c>
    </row>
    <row r="108" spans="1:9" x14ac:dyDescent="0.35">
      <c r="A108" s="265">
        <v>45457</v>
      </c>
      <c r="B108" s="385">
        <v>99.78</v>
      </c>
      <c r="C108" s="283">
        <v>6.93E-2</v>
      </c>
      <c r="D108" s="386">
        <v>97.39</v>
      </c>
      <c r="E108" s="283">
        <v>7.010000000000001E-2</v>
      </c>
      <c r="F108" s="386">
        <v>100.65</v>
      </c>
      <c r="G108" s="283">
        <v>7.0599999999999996E-2</v>
      </c>
      <c r="H108" s="386">
        <v>100.41000000000001</v>
      </c>
      <c r="I108" s="283">
        <v>7.0900000000000005E-2</v>
      </c>
    </row>
    <row r="109" spans="1:9" x14ac:dyDescent="0.35">
      <c r="A109" s="381">
        <v>45462</v>
      </c>
      <c r="B109" s="387">
        <v>99.29</v>
      </c>
      <c r="C109" s="388">
        <v>7.0500000000000007E-2</v>
      </c>
      <c r="D109" s="389">
        <v>96.35</v>
      </c>
      <c r="E109" s="388">
        <v>7.1599999999999997E-2</v>
      </c>
      <c r="F109" s="389">
        <v>99.88000000000001</v>
      </c>
      <c r="G109" s="388">
        <v>7.1400000000000005E-2</v>
      </c>
      <c r="H109" s="389">
        <v>99.59</v>
      </c>
      <c r="I109" s="388">
        <v>7.17E-2</v>
      </c>
    </row>
    <row r="110" spans="1:9" x14ac:dyDescent="0.35">
      <c r="A110" s="381">
        <v>45463</v>
      </c>
      <c r="B110" s="387">
        <v>99.51</v>
      </c>
      <c r="C110" s="388">
        <v>7.0000000000000007E-2</v>
      </c>
      <c r="D110" s="389">
        <v>96.710000000000008</v>
      </c>
      <c r="E110" s="388">
        <v>7.1099999999999997E-2</v>
      </c>
      <c r="F110" s="389">
        <v>99.98</v>
      </c>
      <c r="G110" s="388">
        <v>7.1300000000000002E-2</v>
      </c>
      <c r="H110" s="389">
        <v>100.01</v>
      </c>
      <c r="I110" s="388">
        <v>7.1300000000000002E-2</v>
      </c>
    </row>
    <row r="111" spans="1:9" x14ac:dyDescent="0.35">
      <c r="A111" s="381">
        <v>45464</v>
      </c>
      <c r="B111" s="387">
        <v>99.31</v>
      </c>
      <c r="C111" s="388">
        <v>7.0500000000000007E-2</v>
      </c>
      <c r="D111" s="389">
        <v>96.43</v>
      </c>
      <c r="E111" s="388">
        <v>7.1500000000000008E-2</v>
      </c>
      <c r="F111" s="389">
        <v>99.63000000000001</v>
      </c>
      <c r="G111" s="388">
        <v>7.17E-2</v>
      </c>
      <c r="H111" s="389">
        <v>99.61</v>
      </c>
      <c r="I111" s="388">
        <v>7.17E-2</v>
      </c>
    </row>
    <row r="112" spans="1:9" x14ac:dyDescent="0.35">
      <c r="A112" s="265">
        <v>45467</v>
      </c>
      <c r="B112" s="385">
        <v>99.56</v>
      </c>
      <c r="C112" s="283">
        <v>6.9900000000000004E-2</v>
      </c>
      <c r="D112" s="386">
        <v>96.79</v>
      </c>
      <c r="E112" s="283">
        <v>7.0900000000000005E-2</v>
      </c>
      <c r="F112" s="386">
        <v>99.81</v>
      </c>
      <c r="G112" s="283">
        <v>7.1500000000000008E-2</v>
      </c>
      <c r="H112" s="386">
        <v>99.81</v>
      </c>
      <c r="I112" s="283">
        <v>7.1500000000000008E-2</v>
      </c>
    </row>
    <row r="113" spans="1:9" x14ac:dyDescent="0.35">
      <c r="A113" s="265">
        <v>45468</v>
      </c>
      <c r="B113" s="385">
        <v>99.52000000000001</v>
      </c>
      <c r="C113" s="283">
        <v>7.0000000000000007E-2</v>
      </c>
      <c r="D113" s="386">
        <v>96.8</v>
      </c>
      <c r="E113" s="283">
        <v>7.0900000000000005E-2</v>
      </c>
      <c r="F113" s="386">
        <v>99.8</v>
      </c>
      <c r="G113" s="283">
        <v>7.1500000000000008E-2</v>
      </c>
      <c r="H113" s="386">
        <v>99.86</v>
      </c>
      <c r="I113" s="283">
        <v>7.1400000000000005E-2</v>
      </c>
    </row>
    <row r="114" spans="1:9" x14ac:dyDescent="0.35">
      <c r="A114" s="265">
        <v>45469</v>
      </c>
      <c r="B114" s="385">
        <v>99.65</v>
      </c>
      <c r="C114" s="283">
        <v>6.9600000000000009E-2</v>
      </c>
      <c r="D114" s="386">
        <v>96.83</v>
      </c>
      <c r="E114" s="283">
        <v>7.0900000000000005E-2</v>
      </c>
      <c r="F114" s="386">
        <v>99.9</v>
      </c>
      <c r="G114" s="283">
        <v>7.1400000000000005E-2</v>
      </c>
      <c r="H114" s="386">
        <v>99.84</v>
      </c>
      <c r="I114" s="283">
        <v>7.1500000000000008E-2</v>
      </c>
    </row>
    <row r="115" spans="1:9" x14ac:dyDescent="0.35">
      <c r="A115" s="265">
        <v>45470</v>
      </c>
      <c r="B115" s="385">
        <v>99.81</v>
      </c>
      <c r="C115" s="283">
        <v>6.9199999999999998E-2</v>
      </c>
      <c r="D115" s="386">
        <v>97.03</v>
      </c>
      <c r="E115" s="283">
        <v>7.0599999999999996E-2</v>
      </c>
      <c r="F115" s="386">
        <v>100.22</v>
      </c>
      <c r="G115" s="283">
        <v>7.1000000000000008E-2</v>
      </c>
      <c r="H115" s="386">
        <v>100.18</v>
      </c>
      <c r="I115" s="283">
        <v>7.1099999999999997E-2</v>
      </c>
    </row>
    <row r="116" spans="1:9" x14ac:dyDescent="0.35">
      <c r="A116" s="265">
        <v>45471</v>
      </c>
      <c r="B116" s="385">
        <v>99.81</v>
      </c>
      <c r="C116" s="283">
        <v>6.9199999999999998E-2</v>
      </c>
      <c r="D116" s="386">
        <v>97.03</v>
      </c>
      <c r="E116" s="283">
        <v>7.0599999999999996E-2</v>
      </c>
      <c r="F116" s="386">
        <v>100.22</v>
      </c>
      <c r="G116" s="283">
        <v>7.1000000000000008E-2</v>
      </c>
      <c r="H116" s="386">
        <v>100.18</v>
      </c>
      <c r="I116" s="283">
        <v>7.1099999999999997E-2</v>
      </c>
    </row>
    <row r="117" spans="1:9" x14ac:dyDescent="0.35">
      <c r="A117" s="293">
        <v>45474</v>
      </c>
      <c r="B117" s="390">
        <v>99.7</v>
      </c>
      <c r="C117" s="391">
        <v>6.9500000000000006E-2</v>
      </c>
      <c r="D117" s="390">
        <v>97.03</v>
      </c>
      <c r="E117" s="391">
        <v>7.0599999999999996E-2</v>
      </c>
      <c r="F117" s="390">
        <v>100.57000000000001</v>
      </c>
      <c r="G117" s="391">
        <v>7.0599999999999996E-2</v>
      </c>
      <c r="H117" s="390">
        <v>100.41000000000001</v>
      </c>
      <c r="I117" s="391">
        <v>7.0900000000000005E-2</v>
      </c>
    </row>
    <row r="118" spans="1:9" x14ac:dyDescent="0.35">
      <c r="A118" s="293">
        <v>45475</v>
      </c>
      <c r="B118" s="390">
        <v>99.600000000000009</v>
      </c>
      <c r="C118" s="391">
        <v>6.9800000000000001E-2</v>
      </c>
      <c r="D118" s="390">
        <v>96.75</v>
      </c>
      <c r="E118" s="391">
        <v>7.1000000000000008E-2</v>
      </c>
      <c r="F118" s="390">
        <v>100.5</v>
      </c>
      <c r="G118" s="391">
        <v>7.0699999999999999E-2</v>
      </c>
      <c r="H118" s="390">
        <v>100.19000000000001</v>
      </c>
      <c r="I118" s="391">
        <v>7.1099999999999997E-2</v>
      </c>
    </row>
    <row r="119" spans="1:9" x14ac:dyDescent="0.35">
      <c r="A119" s="293">
        <v>45476</v>
      </c>
      <c r="B119" s="390">
        <v>99.73</v>
      </c>
      <c r="C119" s="391">
        <v>6.9400000000000003E-2</v>
      </c>
      <c r="D119" s="390">
        <v>96.86</v>
      </c>
      <c r="E119" s="391">
        <v>7.0900000000000005E-2</v>
      </c>
      <c r="F119" s="390">
        <v>100.49000000000001</v>
      </c>
      <c r="G119" s="391">
        <v>7.0699999999999999E-2</v>
      </c>
      <c r="H119" s="390">
        <v>100.17</v>
      </c>
      <c r="I119" s="391">
        <v>7.1099999999999997E-2</v>
      </c>
    </row>
    <row r="120" spans="1:9" x14ac:dyDescent="0.35">
      <c r="A120" s="293">
        <v>45477</v>
      </c>
      <c r="B120" s="390">
        <v>99.77000000000001</v>
      </c>
      <c r="C120" s="391">
        <v>6.93E-2</v>
      </c>
      <c r="D120" s="390">
        <v>96.960000000000008</v>
      </c>
      <c r="E120" s="391">
        <v>7.0699999999999999E-2</v>
      </c>
      <c r="F120" s="390">
        <v>100.5</v>
      </c>
      <c r="G120" s="391">
        <v>7.0699999999999999E-2</v>
      </c>
      <c r="H120" s="390">
        <v>100.08</v>
      </c>
      <c r="I120" s="391">
        <v>7.1199999999999999E-2</v>
      </c>
    </row>
    <row r="121" spans="1:9" x14ac:dyDescent="0.35">
      <c r="A121" s="293">
        <v>45478</v>
      </c>
      <c r="B121" s="390">
        <v>99.800000000000011</v>
      </c>
      <c r="C121" s="391">
        <v>6.93E-2</v>
      </c>
      <c r="D121" s="390">
        <v>97.01</v>
      </c>
      <c r="E121" s="391">
        <v>7.0599999999999996E-2</v>
      </c>
      <c r="F121" s="390">
        <v>100.42</v>
      </c>
      <c r="G121" s="391">
        <v>7.0800000000000002E-2</v>
      </c>
      <c r="H121" s="390">
        <v>100.07000000000001</v>
      </c>
      <c r="I121" s="391">
        <v>7.1199999999999999E-2</v>
      </c>
    </row>
    <row r="122" spans="1:9" ht="15.5" x14ac:dyDescent="0.35">
      <c r="A122" s="265">
        <v>45481</v>
      </c>
      <c r="B122" s="392">
        <v>99.97</v>
      </c>
      <c r="C122" s="393">
        <v>6.88E-2</v>
      </c>
      <c r="D122" s="394">
        <v>97.47</v>
      </c>
      <c r="E122" s="393">
        <v>7.0000000000000007E-2</v>
      </c>
      <c r="F122" s="394">
        <v>100.67</v>
      </c>
      <c r="G122" s="393">
        <v>7.0500000000000007E-2</v>
      </c>
      <c r="H122" s="394">
        <v>100.34</v>
      </c>
      <c r="I122" s="393">
        <v>7.1000000000000008E-2</v>
      </c>
    </row>
    <row r="123" spans="1:9" ht="15.5" x14ac:dyDescent="0.35">
      <c r="A123" s="265">
        <v>45482</v>
      </c>
      <c r="B123" s="392">
        <v>99.93</v>
      </c>
      <c r="C123" s="393">
        <v>6.8900000000000003E-2</v>
      </c>
      <c r="D123" s="394">
        <v>97.31</v>
      </c>
      <c r="E123" s="393">
        <v>7.0199999999999999E-2</v>
      </c>
      <c r="F123" s="394">
        <v>100.52000000000001</v>
      </c>
      <c r="G123" s="393">
        <v>7.0699999999999999E-2</v>
      </c>
      <c r="H123" s="394">
        <v>100.14</v>
      </c>
      <c r="I123" s="393">
        <v>7.1199999999999999E-2</v>
      </c>
    </row>
    <row r="124" spans="1:9" ht="15.5" x14ac:dyDescent="0.35">
      <c r="A124" s="265">
        <v>45483</v>
      </c>
      <c r="B124" s="392">
        <v>99.83</v>
      </c>
      <c r="C124" s="393">
        <v>6.9199999999999998E-2</v>
      </c>
      <c r="D124" s="394">
        <v>97.04</v>
      </c>
      <c r="E124" s="393">
        <v>7.0599999999999996E-2</v>
      </c>
      <c r="F124" s="394">
        <v>100.29</v>
      </c>
      <c r="G124" s="393">
        <v>7.1000000000000008E-2</v>
      </c>
      <c r="H124" s="394">
        <v>100</v>
      </c>
      <c r="I124" s="393">
        <v>7.1300000000000002E-2</v>
      </c>
    </row>
    <row r="125" spans="1:9" ht="15.5" x14ac:dyDescent="0.35">
      <c r="A125" s="265">
        <v>45484</v>
      </c>
      <c r="B125" s="392">
        <v>100.08</v>
      </c>
      <c r="C125" s="393">
        <v>6.8600000000000008E-2</v>
      </c>
      <c r="D125" s="394">
        <v>97.53</v>
      </c>
      <c r="E125" s="393">
        <v>6.9900000000000004E-2</v>
      </c>
      <c r="F125" s="394">
        <v>100.53</v>
      </c>
      <c r="G125" s="393">
        <v>7.0699999999999999E-2</v>
      </c>
      <c r="H125" s="394">
        <v>100.27</v>
      </c>
      <c r="I125" s="393">
        <v>7.1000000000000008E-2</v>
      </c>
    </row>
    <row r="126" spans="1:9" ht="15.5" x14ac:dyDescent="0.35">
      <c r="A126" s="265">
        <v>45485</v>
      </c>
      <c r="B126" s="392">
        <v>100.2</v>
      </c>
      <c r="C126" s="393">
        <v>6.83E-2</v>
      </c>
      <c r="D126" s="394">
        <v>97.990000000000009</v>
      </c>
      <c r="E126" s="393">
        <v>6.9199999999999998E-2</v>
      </c>
      <c r="F126" s="394">
        <v>100.91000000000001</v>
      </c>
      <c r="G126" s="393">
        <v>7.0300000000000001E-2</v>
      </c>
      <c r="H126" s="394">
        <v>100.76</v>
      </c>
      <c r="I126" s="393">
        <v>7.0599999999999996E-2</v>
      </c>
    </row>
    <row r="127" spans="1:9" ht="15.5" x14ac:dyDescent="0.35">
      <c r="A127" s="293">
        <v>45488</v>
      </c>
      <c r="B127" s="395">
        <v>99.97</v>
      </c>
      <c r="C127" s="396">
        <v>6.8400000000000002E-2</v>
      </c>
      <c r="D127" s="397">
        <v>97.61</v>
      </c>
      <c r="E127" s="396">
        <v>6.9400000000000003E-2</v>
      </c>
      <c r="F127" s="397">
        <v>100.32000000000001</v>
      </c>
      <c r="G127" s="396">
        <v>7.0599999999999996E-2</v>
      </c>
      <c r="H127" s="397">
        <v>100.08</v>
      </c>
      <c r="I127" s="396">
        <v>7.0900000000000005E-2</v>
      </c>
    </row>
    <row r="128" spans="1:9" ht="15.5" x14ac:dyDescent="0.35">
      <c r="A128" s="293">
        <v>45489</v>
      </c>
      <c r="B128" s="395">
        <v>100.11</v>
      </c>
      <c r="C128" s="396">
        <v>6.8500000000000005E-2</v>
      </c>
      <c r="D128" s="397">
        <v>97.7</v>
      </c>
      <c r="E128" s="396">
        <v>6.9600000000000009E-2</v>
      </c>
      <c r="F128" s="397">
        <v>100.31</v>
      </c>
      <c r="G128" s="396">
        <v>7.0900000000000005E-2</v>
      </c>
      <c r="H128" s="397">
        <v>100.22</v>
      </c>
      <c r="I128" s="396">
        <v>7.1099999999999997E-2</v>
      </c>
    </row>
    <row r="129" spans="1:9" ht="15.5" x14ac:dyDescent="0.35">
      <c r="A129" s="293">
        <v>45490</v>
      </c>
      <c r="B129" s="395">
        <v>100.29</v>
      </c>
      <c r="C129" s="396">
        <v>6.8000000000000005E-2</v>
      </c>
      <c r="D129" s="397">
        <v>98.100000000000009</v>
      </c>
      <c r="E129" s="396">
        <v>6.9000000000000006E-2</v>
      </c>
      <c r="F129" s="397">
        <v>100.66</v>
      </c>
      <c r="G129" s="396">
        <v>7.0500000000000007E-2</v>
      </c>
      <c r="H129" s="397">
        <v>100.47</v>
      </c>
      <c r="I129" s="396">
        <v>7.0800000000000002E-2</v>
      </c>
    </row>
    <row r="130" spans="1:9" ht="15.5" x14ac:dyDescent="0.35">
      <c r="A130" s="293">
        <v>45491</v>
      </c>
      <c r="B130" s="395">
        <v>100.27000000000001</v>
      </c>
      <c r="C130" s="396">
        <v>6.8100000000000008E-2</v>
      </c>
      <c r="D130" s="397">
        <v>98.02000000000001</v>
      </c>
      <c r="E130" s="396">
        <v>6.9199999999999998E-2</v>
      </c>
      <c r="F130" s="397">
        <v>101</v>
      </c>
      <c r="G130" s="396">
        <v>7.0199999999999999E-2</v>
      </c>
      <c r="H130" s="397">
        <v>100.56</v>
      </c>
      <c r="I130" s="396">
        <v>7.0699999999999999E-2</v>
      </c>
    </row>
    <row r="131" spans="1:9" ht="15.5" x14ac:dyDescent="0.35">
      <c r="A131" s="293">
        <v>45492</v>
      </c>
      <c r="B131" s="395">
        <v>100.27000000000001</v>
      </c>
      <c r="C131" s="396">
        <v>6.8100000000000008E-2</v>
      </c>
      <c r="D131" s="397">
        <v>98.02000000000001</v>
      </c>
      <c r="E131" s="396">
        <v>6.9199999999999998E-2</v>
      </c>
      <c r="F131" s="397">
        <v>101</v>
      </c>
      <c r="G131" s="396">
        <v>7.0199999999999999E-2</v>
      </c>
      <c r="H131" s="397">
        <v>100.56</v>
      </c>
      <c r="I131" s="396">
        <v>7.0699999999999999E-2</v>
      </c>
    </row>
    <row r="132" spans="1:9" x14ac:dyDescent="0.35">
      <c r="A132" s="265">
        <v>45495</v>
      </c>
      <c r="B132" s="385">
        <v>100.14</v>
      </c>
      <c r="C132" s="283">
        <v>6.8400000000000002E-2</v>
      </c>
      <c r="D132" s="386">
        <v>97.68</v>
      </c>
      <c r="E132" s="283">
        <v>6.9699999999999998E-2</v>
      </c>
      <c r="F132" s="386">
        <v>100.18</v>
      </c>
      <c r="G132" s="283">
        <v>7.1099999999999997E-2</v>
      </c>
      <c r="H132" s="386">
        <v>99.98</v>
      </c>
      <c r="I132" s="283">
        <v>7.1300000000000002E-2</v>
      </c>
    </row>
    <row r="133" spans="1:9" x14ac:dyDescent="0.35">
      <c r="A133" s="265">
        <v>45496</v>
      </c>
      <c r="B133" s="385">
        <v>99.98</v>
      </c>
      <c r="C133" s="283">
        <v>6.88E-2</v>
      </c>
      <c r="D133" s="386">
        <v>97.490000000000009</v>
      </c>
      <c r="E133" s="283">
        <v>6.9900000000000004E-2</v>
      </c>
      <c r="F133" s="386">
        <v>99.97</v>
      </c>
      <c r="G133" s="283">
        <v>7.1300000000000002E-2</v>
      </c>
      <c r="H133" s="386">
        <v>99.79</v>
      </c>
      <c r="I133" s="283">
        <v>7.1500000000000008E-2</v>
      </c>
    </row>
    <row r="134" spans="1:9" x14ac:dyDescent="0.35">
      <c r="A134" s="265">
        <v>45497</v>
      </c>
      <c r="B134" s="385">
        <v>100.12</v>
      </c>
      <c r="C134" s="283">
        <v>6.8500000000000005E-2</v>
      </c>
      <c r="D134" s="386">
        <v>97.37</v>
      </c>
      <c r="E134" s="283">
        <v>7.010000000000001E-2</v>
      </c>
      <c r="F134" s="386">
        <v>100.02000000000001</v>
      </c>
      <c r="G134" s="283">
        <v>7.1300000000000002E-2</v>
      </c>
      <c r="H134" s="386">
        <v>99.98</v>
      </c>
      <c r="I134" s="283">
        <v>7.1300000000000002E-2</v>
      </c>
    </row>
    <row r="135" spans="1:9" x14ac:dyDescent="0.35">
      <c r="A135" s="265">
        <v>45498</v>
      </c>
      <c r="B135" s="385">
        <v>100.25</v>
      </c>
      <c r="C135" s="283">
        <v>6.8100000000000008E-2</v>
      </c>
      <c r="D135" s="386">
        <v>97.4</v>
      </c>
      <c r="E135" s="283">
        <v>7.010000000000001E-2</v>
      </c>
      <c r="F135" s="386">
        <v>99.97</v>
      </c>
      <c r="G135" s="283">
        <v>7.1300000000000002E-2</v>
      </c>
      <c r="H135" s="386">
        <v>99.97</v>
      </c>
      <c r="I135" s="283">
        <v>7.1300000000000002E-2</v>
      </c>
    </row>
    <row r="136" spans="1:9" x14ac:dyDescent="0.35">
      <c r="A136" s="265">
        <v>45499</v>
      </c>
      <c r="B136" s="385">
        <v>100.4</v>
      </c>
      <c r="C136" s="283">
        <v>6.7799999999999999E-2</v>
      </c>
      <c r="D136" s="386">
        <v>97.48</v>
      </c>
      <c r="E136" s="283">
        <v>7.0000000000000007E-2</v>
      </c>
      <c r="F136" s="386">
        <v>100.11</v>
      </c>
      <c r="G136" s="283">
        <v>7.1199999999999999E-2</v>
      </c>
      <c r="H136" s="386">
        <v>100.06</v>
      </c>
      <c r="I136" s="283">
        <v>7.1199999999999999E-2</v>
      </c>
    </row>
    <row r="137" spans="1:9" ht="15.5" x14ac:dyDescent="0.35">
      <c r="A137" s="293">
        <v>45502</v>
      </c>
      <c r="B137" s="395">
        <v>100.53</v>
      </c>
      <c r="C137" s="396">
        <v>6.7400000000000002E-2</v>
      </c>
      <c r="D137" s="397">
        <v>97.95</v>
      </c>
      <c r="E137" s="396">
        <v>6.93E-2</v>
      </c>
      <c r="F137" s="397">
        <v>100.7</v>
      </c>
      <c r="G137" s="396">
        <v>7.0500000000000007E-2</v>
      </c>
      <c r="H137" s="397">
        <v>100.7</v>
      </c>
      <c r="I137" s="396">
        <v>7.0800000000000002E-2</v>
      </c>
    </row>
    <row r="138" spans="1:9" ht="15.5" x14ac:dyDescent="0.35">
      <c r="A138" s="293">
        <v>45503</v>
      </c>
      <c r="B138" s="395">
        <v>100.65</v>
      </c>
      <c r="C138" s="396">
        <v>6.7100000000000007E-2</v>
      </c>
      <c r="D138" s="397">
        <v>97.97</v>
      </c>
      <c r="E138" s="396">
        <v>6.9199999999999998E-2</v>
      </c>
      <c r="F138" s="397">
        <v>100.79</v>
      </c>
      <c r="G138" s="396">
        <v>7.0400000000000004E-2</v>
      </c>
      <c r="H138" s="397">
        <v>100.79</v>
      </c>
      <c r="I138" s="396">
        <v>7.0800000000000002E-2</v>
      </c>
    </row>
    <row r="139" spans="1:9" ht="15.5" x14ac:dyDescent="0.35">
      <c r="A139" s="293">
        <v>45504</v>
      </c>
      <c r="B139" s="395">
        <v>100.66000000000001</v>
      </c>
      <c r="C139" s="396">
        <v>6.7100000000000007E-2</v>
      </c>
      <c r="D139" s="397">
        <v>98.050000000000011</v>
      </c>
      <c r="E139" s="396">
        <v>6.9100000000000009E-2</v>
      </c>
      <c r="F139" s="397">
        <v>100.84</v>
      </c>
      <c r="G139" s="396">
        <v>7.0300000000000001E-2</v>
      </c>
      <c r="H139" s="397">
        <v>100.84</v>
      </c>
      <c r="I139" s="396">
        <v>7.0599999999999996E-2</v>
      </c>
    </row>
    <row r="140" spans="1:9" ht="15.5" x14ac:dyDescent="0.35">
      <c r="A140" s="293">
        <v>45505</v>
      </c>
      <c r="B140" s="395">
        <v>100.92</v>
      </c>
      <c r="C140" s="396">
        <v>6.6500000000000004E-2</v>
      </c>
      <c r="D140" s="397">
        <v>98.72</v>
      </c>
      <c r="E140" s="396">
        <v>6.8199999999999997E-2</v>
      </c>
      <c r="F140" s="397">
        <v>101.29</v>
      </c>
      <c r="G140" s="396">
        <v>6.9800000000000001E-2</v>
      </c>
      <c r="H140" s="397">
        <v>101.29</v>
      </c>
      <c r="I140" s="396">
        <v>7.010000000000001E-2</v>
      </c>
    </row>
    <row r="141" spans="1:9" ht="15.5" x14ac:dyDescent="0.35">
      <c r="A141" s="293">
        <v>45506</v>
      </c>
      <c r="B141" s="395">
        <v>100.8</v>
      </c>
      <c r="C141" s="396">
        <v>6.6799999999999998E-2</v>
      </c>
      <c r="D141" s="397">
        <v>98.64</v>
      </c>
      <c r="E141" s="396">
        <v>6.83E-2</v>
      </c>
      <c r="F141" s="397">
        <v>101.56</v>
      </c>
      <c r="G141" s="396">
        <v>6.9500000000000006E-2</v>
      </c>
      <c r="H141" s="397">
        <v>101.56</v>
      </c>
      <c r="I141" s="396">
        <v>7.010000000000001E-2</v>
      </c>
    </row>
    <row r="142" spans="1:9" ht="15.5" x14ac:dyDescent="0.35">
      <c r="A142" s="265">
        <v>45509</v>
      </c>
      <c r="B142" s="398">
        <v>101.21000000000001</v>
      </c>
      <c r="C142" s="399">
        <v>6.5700000000000008E-2</v>
      </c>
      <c r="D142" s="400">
        <v>99.15</v>
      </c>
      <c r="E142" s="399">
        <v>6.7500000000000004E-2</v>
      </c>
      <c r="F142" s="400">
        <v>102.09</v>
      </c>
      <c r="G142" s="399">
        <v>6.8900000000000003E-2</v>
      </c>
      <c r="H142" s="400">
        <v>101.82000000000001</v>
      </c>
      <c r="I142" s="399">
        <v>6.9500000000000006E-2</v>
      </c>
    </row>
    <row r="143" spans="1:9" ht="15.5" x14ac:dyDescent="0.35">
      <c r="A143" s="265">
        <v>45510</v>
      </c>
      <c r="B143" s="398">
        <v>100.89</v>
      </c>
      <c r="C143" s="399">
        <v>6.6500000000000004E-2</v>
      </c>
      <c r="D143" s="400">
        <v>98.67</v>
      </c>
      <c r="E143" s="399">
        <v>6.8199999999999997E-2</v>
      </c>
      <c r="F143" s="400">
        <v>101.52000000000001</v>
      </c>
      <c r="G143" s="399">
        <v>6.9600000000000009E-2</v>
      </c>
      <c r="H143" s="400">
        <v>101.48</v>
      </c>
      <c r="I143" s="399">
        <v>6.9900000000000004E-2</v>
      </c>
    </row>
    <row r="144" spans="1:9" ht="15.5" x14ac:dyDescent="0.35">
      <c r="A144" s="265">
        <v>45511</v>
      </c>
      <c r="B144" s="398">
        <v>100.87</v>
      </c>
      <c r="C144" s="399">
        <v>6.6600000000000006E-2</v>
      </c>
      <c r="D144" s="400">
        <v>98.75</v>
      </c>
      <c r="E144" s="399">
        <v>6.8100000000000008E-2</v>
      </c>
      <c r="F144" s="400">
        <v>101.54</v>
      </c>
      <c r="G144" s="399">
        <v>6.9500000000000006E-2</v>
      </c>
      <c r="H144" s="400">
        <v>101.36</v>
      </c>
      <c r="I144" s="399">
        <v>7.0000000000000007E-2</v>
      </c>
    </row>
    <row r="145" spans="1:9" ht="15.5" x14ac:dyDescent="0.35">
      <c r="A145" s="265">
        <v>45512</v>
      </c>
      <c r="B145" s="398">
        <v>100.96000000000001</v>
      </c>
      <c r="C145" s="399">
        <v>6.6299999999999998E-2</v>
      </c>
      <c r="D145" s="400">
        <v>98.93</v>
      </c>
      <c r="E145" s="399">
        <v>6.7900000000000002E-2</v>
      </c>
      <c r="F145" s="400">
        <v>101.95</v>
      </c>
      <c r="G145" s="399">
        <v>6.9100000000000009E-2</v>
      </c>
      <c r="H145" s="400">
        <v>101.67</v>
      </c>
      <c r="I145" s="399">
        <v>6.9699999999999998E-2</v>
      </c>
    </row>
    <row r="146" spans="1:9" ht="15.5" x14ac:dyDescent="0.35">
      <c r="A146" s="265">
        <v>45513</v>
      </c>
      <c r="B146" s="398">
        <v>101.11</v>
      </c>
      <c r="C146" s="399">
        <v>6.6000000000000003E-2</v>
      </c>
      <c r="D146" s="400">
        <v>99</v>
      </c>
      <c r="E146" s="399">
        <v>6.7799999999999999E-2</v>
      </c>
      <c r="F146" s="400">
        <v>102.26</v>
      </c>
      <c r="G146" s="399">
        <v>6.8699999999999997E-2</v>
      </c>
      <c r="H146" s="400">
        <v>102.19000000000001</v>
      </c>
      <c r="I146" s="399">
        <v>6.9199999999999998E-2</v>
      </c>
    </row>
    <row r="147" spans="1:9" ht="15.5" x14ac:dyDescent="0.35">
      <c r="A147" s="293">
        <v>45516</v>
      </c>
      <c r="B147" s="395">
        <v>101</v>
      </c>
      <c r="C147" s="396">
        <v>6.6200000000000009E-2</v>
      </c>
      <c r="D147" s="397">
        <v>98.93</v>
      </c>
      <c r="E147" s="396">
        <v>6.7900000000000002E-2</v>
      </c>
      <c r="F147" s="397">
        <v>102.17</v>
      </c>
      <c r="G147" s="396">
        <v>6.88E-2</v>
      </c>
      <c r="H147" s="397">
        <v>102.01</v>
      </c>
      <c r="I147" s="396">
        <v>6.9400000000000003E-2</v>
      </c>
    </row>
    <row r="148" spans="1:9" ht="15.5" x14ac:dyDescent="0.35">
      <c r="A148" s="293">
        <v>45517</v>
      </c>
      <c r="B148" s="395">
        <v>101</v>
      </c>
      <c r="C148" s="396">
        <v>6.6200000000000009E-2</v>
      </c>
      <c r="D148" s="397">
        <v>98.97</v>
      </c>
      <c r="E148" s="396">
        <v>6.7799999999999999E-2</v>
      </c>
      <c r="F148" s="397">
        <v>102.31</v>
      </c>
      <c r="G148" s="396">
        <v>6.8699999999999997E-2</v>
      </c>
      <c r="H148" s="397">
        <v>102.02000000000001</v>
      </c>
      <c r="I148" s="396">
        <v>6.9400000000000003E-2</v>
      </c>
    </row>
    <row r="149" spans="1:9" ht="15.5" x14ac:dyDescent="0.35">
      <c r="A149" s="293">
        <v>45518</v>
      </c>
      <c r="B149" s="395">
        <v>101.23</v>
      </c>
      <c r="C149" s="396">
        <v>6.5700000000000008E-2</v>
      </c>
      <c r="D149" s="397">
        <v>99.27000000000001</v>
      </c>
      <c r="E149" s="396">
        <v>6.7400000000000002E-2</v>
      </c>
      <c r="F149" s="397">
        <v>102.98</v>
      </c>
      <c r="G149" s="396">
        <v>6.7900000000000002E-2</v>
      </c>
      <c r="H149" s="397">
        <v>102.64</v>
      </c>
      <c r="I149" s="396">
        <v>6.88E-2</v>
      </c>
    </row>
    <row r="150" spans="1:9" ht="15.5" x14ac:dyDescent="0.35">
      <c r="A150" s="293">
        <v>45519</v>
      </c>
      <c r="B150" s="395">
        <v>101.24000000000001</v>
      </c>
      <c r="C150" s="396">
        <v>6.5600000000000006E-2</v>
      </c>
      <c r="D150" s="397">
        <v>99.34</v>
      </c>
      <c r="E150" s="396">
        <v>6.7299999999999999E-2</v>
      </c>
      <c r="F150" s="397">
        <v>103.30000000000001</v>
      </c>
      <c r="G150" s="396">
        <v>6.7600000000000007E-2</v>
      </c>
      <c r="H150" s="397">
        <v>102.61</v>
      </c>
      <c r="I150" s="396">
        <v>6.88E-2</v>
      </c>
    </row>
    <row r="151" spans="1:9" ht="15.5" x14ac:dyDescent="0.35">
      <c r="A151" s="293">
        <v>45520</v>
      </c>
      <c r="B151" s="395">
        <v>101.19000000000001</v>
      </c>
      <c r="C151" s="396">
        <v>6.5799999999999997E-2</v>
      </c>
      <c r="D151" s="397">
        <v>99.33</v>
      </c>
      <c r="E151" s="396">
        <v>6.7299999999999999E-2</v>
      </c>
      <c r="F151" s="397">
        <v>103.06</v>
      </c>
      <c r="G151" s="396">
        <v>6.7799999999999999E-2</v>
      </c>
      <c r="H151" s="397">
        <v>102.61</v>
      </c>
      <c r="I151" s="396">
        <v>6.88E-2</v>
      </c>
    </row>
    <row r="152" spans="1:9" ht="15.5" x14ac:dyDescent="0.35">
      <c r="A152" s="265">
        <v>45523</v>
      </c>
      <c r="B152" s="398">
        <v>101.26</v>
      </c>
      <c r="C152" s="399">
        <v>6.5600000000000006E-2</v>
      </c>
      <c r="D152" s="400">
        <v>99.65</v>
      </c>
      <c r="E152" s="399">
        <v>6.6799999999999998E-2</v>
      </c>
      <c r="F152" s="400">
        <v>103.25</v>
      </c>
      <c r="G152" s="399">
        <v>6.7600000000000007E-2</v>
      </c>
      <c r="H152" s="400">
        <v>102.79</v>
      </c>
      <c r="I152" s="399">
        <v>6.8600000000000008E-2</v>
      </c>
    </row>
    <row r="153" spans="1:9" ht="15.5" x14ac:dyDescent="0.35">
      <c r="A153" s="265">
        <v>45524</v>
      </c>
      <c r="B153" s="398">
        <v>101.55</v>
      </c>
      <c r="C153" s="399">
        <v>6.4899999999999999E-2</v>
      </c>
      <c r="D153" s="400">
        <v>99.81</v>
      </c>
      <c r="E153" s="399">
        <v>6.6600000000000006E-2</v>
      </c>
      <c r="F153" s="400">
        <v>103.46000000000001</v>
      </c>
      <c r="G153" s="399">
        <v>6.7400000000000002E-2</v>
      </c>
      <c r="H153" s="400">
        <v>102.96000000000001</v>
      </c>
      <c r="I153" s="399">
        <v>6.8500000000000005E-2</v>
      </c>
    </row>
    <row r="154" spans="1:9" ht="15.5" x14ac:dyDescent="0.35">
      <c r="A154" s="265">
        <v>45525</v>
      </c>
      <c r="B154" s="398">
        <v>101.59</v>
      </c>
      <c r="C154" s="399">
        <v>6.4799999999999996E-2</v>
      </c>
      <c r="D154" s="400">
        <v>100.13000000000001</v>
      </c>
      <c r="E154" s="399">
        <v>6.6100000000000006E-2</v>
      </c>
      <c r="F154" s="400">
        <v>103.56</v>
      </c>
      <c r="G154" s="399">
        <v>6.7299999999999999E-2</v>
      </c>
      <c r="H154" s="400">
        <v>103.25</v>
      </c>
      <c r="I154" s="399">
        <v>6.8199999999999997E-2</v>
      </c>
    </row>
    <row r="155" spans="1:9" ht="15.5" x14ac:dyDescent="0.35">
      <c r="A155" s="265">
        <v>45526</v>
      </c>
      <c r="B155" s="398">
        <v>101.5</v>
      </c>
      <c r="C155" s="399">
        <v>6.5000000000000002E-2</v>
      </c>
      <c r="D155" s="400">
        <v>100.06</v>
      </c>
      <c r="E155" s="399">
        <v>6.6200000000000009E-2</v>
      </c>
      <c r="F155" s="400">
        <v>103.38000000000001</v>
      </c>
      <c r="G155" s="399">
        <v>6.7500000000000004E-2</v>
      </c>
      <c r="H155" s="400">
        <v>102.98</v>
      </c>
      <c r="I155" s="399">
        <v>6.8400000000000002E-2</v>
      </c>
    </row>
    <row r="156" spans="1:9" ht="15.5" x14ac:dyDescent="0.35">
      <c r="A156" s="265">
        <v>45527</v>
      </c>
      <c r="B156" s="398">
        <v>101.34</v>
      </c>
      <c r="C156" s="399">
        <v>6.54E-2</v>
      </c>
      <c r="D156" s="400">
        <v>99.73</v>
      </c>
      <c r="E156" s="399">
        <v>6.6700000000000009E-2</v>
      </c>
      <c r="F156" s="400">
        <v>103.19000000000001</v>
      </c>
      <c r="G156" s="399">
        <v>6.7699999999999996E-2</v>
      </c>
      <c r="H156" s="400">
        <v>102.78</v>
      </c>
      <c r="I156" s="399">
        <v>6.8600000000000008E-2</v>
      </c>
    </row>
    <row r="157" spans="1:9" ht="15.5" x14ac:dyDescent="0.35">
      <c r="A157" s="293">
        <v>45530</v>
      </c>
      <c r="B157" s="395">
        <v>101.52000000000001</v>
      </c>
      <c r="C157" s="396">
        <v>6.4899999999999999E-2</v>
      </c>
      <c r="D157" s="397">
        <v>100.39</v>
      </c>
      <c r="E157" s="396">
        <v>6.5700000000000008E-2</v>
      </c>
      <c r="F157" s="397">
        <v>103.86</v>
      </c>
      <c r="G157" s="396">
        <v>6.7000000000000004E-2</v>
      </c>
      <c r="H157" s="397">
        <v>103.61</v>
      </c>
      <c r="I157" s="396">
        <v>6.7900000000000002E-2</v>
      </c>
    </row>
    <row r="158" spans="1:9" ht="15.5" x14ac:dyDescent="0.35">
      <c r="A158" s="293">
        <v>45531</v>
      </c>
      <c r="B158" s="395">
        <v>101.42</v>
      </c>
      <c r="C158" s="396">
        <v>6.5200000000000008E-2</v>
      </c>
      <c r="D158" s="397">
        <v>100.02</v>
      </c>
      <c r="E158" s="396">
        <v>6.6299999999999998E-2</v>
      </c>
      <c r="F158" s="397">
        <v>103.69</v>
      </c>
      <c r="G158" s="396">
        <v>6.7100000000000007E-2</v>
      </c>
      <c r="H158" s="397">
        <v>103.4</v>
      </c>
      <c r="I158" s="396">
        <v>6.8100000000000008E-2</v>
      </c>
    </row>
    <row r="159" spans="1:9" ht="15.5" x14ac:dyDescent="0.35">
      <c r="A159" s="293">
        <v>45532</v>
      </c>
      <c r="B159" s="395">
        <v>101.41000000000001</v>
      </c>
      <c r="C159" s="396">
        <v>6.5200000000000008E-2</v>
      </c>
      <c r="D159" s="397">
        <v>99.990000000000009</v>
      </c>
      <c r="E159" s="396">
        <v>6.6299999999999998E-2</v>
      </c>
      <c r="F159" s="397">
        <v>103.75</v>
      </c>
      <c r="G159" s="396">
        <v>6.7100000000000007E-2</v>
      </c>
      <c r="H159" s="397">
        <v>103.43</v>
      </c>
      <c r="I159" s="396">
        <v>6.8000000000000005E-2</v>
      </c>
    </row>
    <row r="160" spans="1:9" ht="15.5" x14ac:dyDescent="0.35">
      <c r="A160" s="293">
        <v>45533</v>
      </c>
      <c r="B160" s="395">
        <v>101.52000000000001</v>
      </c>
      <c r="C160" s="396">
        <v>6.4899999999999999E-2</v>
      </c>
      <c r="D160" s="397">
        <v>100.09</v>
      </c>
      <c r="E160" s="396">
        <v>6.6200000000000009E-2</v>
      </c>
      <c r="F160" s="397">
        <v>103.98</v>
      </c>
      <c r="G160" s="396">
        <v>6.6799999999999998E-2</v>
      </c>
      <c r="H160" s="397">
        <v>103.65</v>
      </c>
      <c r="I160" s="396">
        <v>6.7799999999999999E-2</v>
      </c>
    </row>
    <row r="161" spans="1:9" ht="15.5" x14ac:dyDescent="0.35">
      <c r="A161" s="293">
        <v>45534</v>
      </c>
      <c r="B161" s="395">
        <v>101.47</v>
      </c>
      <c r="C161" s="396">
        <v>6.5000000000000002E-2</v>
      </c>
      <c r="D161" s="397">
        <v>99.990000000000009</v>
      </c>
      <c r="E161" s="396">
        <v>6.6299999999999998E-2</v>
      </c>
      <c r="F161" s="397">
        <v>103.84</v>
      </c>
      <c r="G161" s="396">
        <v>6.7000000000000004E-2</v>
      </c>
      <c r="H161" s="397">
        <v>103.53</v>
      </c>
      <c r="I161" s="396">
        <v>6.7900000000000002E-2</v>
      </c>
    </row>
    <row r="162" spans="1:9" ht="15.5" x14ac:dyDescent="0.35">
      <c r="A162" s="265">
        <v>45537</v>
      </c>
      <c r="B162" s="401">
        <v>101.39</v>
      </c>
      <c r="C162" s="399">
        <v>6.5200000000000008E-2</v>
      </c>
      <c r="D162" s="401">
        <v>99.9</v>
      </c>
      <c r="E162" s="399">
        <v>6.6400000000000001E-2</v>
      </c>
      <c r="F162" s="401">
        <v>103.78</v>
      </c>
      <c r="G162" s="399">
        <v>6.7000000000000004E-2</v>
      </c>
      <c r="H162" s="401">
        <v>103.14</v>
      </c>
      <c r="I162" s="399">
        <v>6.83E-2</v>
      </c>
    </row>
    <row r="163" spans="1:9" ht="15.5" x14ac:dyDescent="0.35">
      <c r="A163" s="265">
        <v>45538</v>
      </c>
      <c r="B163" s="401">
        <v>101.33</v>
      </c>
      <c r="C163" s="399">
        <v>6.54E-2</v>
      </c>
      <c r="D163" s="401">
        <v>99.9</v>
      </c>
      <c r="E163" s="399">
        <v>6.6400000000000001E-2</v>
      </c>
      <c r="F163" s="401">
        <v>103.7</v>
      </c>
      <c r="G163" s="399">
        <v>6.7100000000000007E-2</v>
      </c>
      <c r="H163" s="401">
        <v>103.14</v>
      </c>
      <c r="I163" s="399">
        <v>6.83E-2</v>
      </c>
    </row>
    <row r="164" spans="1:9" ht="15.5" x14ac:dyDescent="0.35">
      <c r="A164" s="265">
        <v>45539</v>
      </c>
      <c r="B164" s="401">
        <v>101.33</v>
      </c>
      <c r="C164" s="399">
        <v>6.54E-2</v>
      </c>
      <c r="D164" s="401">
        <v>99.9</v>
      </c>
      <c r="E164" s="399">
        <v>6.6400000000000001E-2</v>
      </c>
      <c r="F164" s="401">
        <v>103.79</v>
      </c>
      <c r="G164" s="399">
        <v>6.7000000000000004E-2</v>
      </c>
      <c r="H164" s="401">
        <v>103.27000000000001</v>
      </c>
      <c r="I164" s="399">
        <v>6.8199999999999997E-2</v>
      </c>
    </row>
    <row r="165" spans="1:9" ht="15.5" x14ac:dyDescent="0.35">
      <c r="A165" s="265">
        <v>45540</v>
      </c>
      <c r="B165" s="401">
        <v>101.44000000000001</v>
      </c>
      <c r="C165" s="399">
        <v>6.5100000000000005E-2</v>
      </c>
      <c r="D165" s="401">
        <v>100.01</v>
      </c>
      <c r="E165" s="399">
        <v>6.6299999999999998E-2</v>
      </c>
      <c r="F165" s="401">
        <v>103.84</v>
      </c>
      <c r="G165" s="399">
        <v>6.7000000000000004E-2</v>
      </c>
      <c r="H165" s="401">
        <v>103.14</v>
      </c>
      <c r="I165" s="399">
        <v>6.83E-2</v>
      </c>
    </row>
    <row r="166" spans="1:9" ht="15.5" x14ac:dyDescent="0.35">
      <c r="A166" s="265">
        <v>45541</v>
      </c>
      <c r="B166" s="401">
        <v>101.44000000000001</v>
      </c>
      <c r="C166" s="399">
        <v>6.5100000000000005E-2</v>
      </c>
      <c r="D166" s="401">
        <v>100.01</v>
      </c>
      <c r="E166" s="399">
        <v>6.6299999999999998E-2</v>
      </c>
      <c r="F166" s="401">
        <v>103.84</v>
      </c>
      <c r="G166" s="399">
        <v>6.7000000000000004E-2</v>
      </c>
      <c r="H166" s="401">
        <v>103.14</v>
      </c>
      <c r="I166" s="399">
        <v>6.83E-2</v>
      </c>
    </row>
    <row r="167" spans="1:9" ht="15.5" x14ac:dyDescent="0.35">
      <c r="A167" s="265">
        <v>45544</v>
      </c>
      <c r="B167" s="401">
        <v>101.45</v>
      </c>
      <c r="C167" s="399">
        <v>6.5100000000000005E-2</v>
      </c>
      <c r="D167" s="401">
        <v>100.08</v>
      </c>
      <c r="E167" s="399">
        <v>6.6200000000000009E-2</v>
      </c>
      <c r="F167" s="401">
        <v>103.7</v>
      </c>
      <c r="G167" s="399">
        <v>6.7100000000000007E-2</v>
      </c>
      <c r="H167" s="401">
        <v>103.24000000000001</v>
      </c>
      <c r="I167" s="399">
        <v>6.8199999999999997E-2</v>
      </c>
    </row>
    <row r="168" spans="1:9" ht="15.5" x14ac:dyDescent="0.35">
      <c r="A168" s="265">
        <v>45545</v>
      </c>
      <c r="B168" s="401">
        <v>101.57000000000001</v>
      </c>
      <c r="C168" s="399">
        <v>6.4299999999999996E-2</v>
      </c>
      <c r="D168" s="401">
        <v>100.16000000000001</v>
      </c>
      <c r="E168" s="399">
        <v>6.5700000000000008E-2</v>
      </c>
      <c r="F168" s="401">
        <v>103.87</v>
      </c>
      <c r="G168" s="399">
        <v>6.6600000000000006E-2</v>
      </c>
      <c r="H168" s="401">
        <v>103.41000000000001</v>
      </c>
      <c r="I168" s="399">
        <v>6.7799999999999999E-2</v>
      </c>
    </row>
    <row r="169" spans="1:9" ht="15.5" x14ac:dyDescent="0.35">
      <c r="A169" s="265">
        <v>45546</v>
      </c>
      <c r="B169" s="401">
        <v>101.62</v>
      </c>
      <c r="C169" s="399">
        <v>6.4600000000000005E-2</v>
      </c>
      <c r="D169" s="401">
        <v>100.24000000000001</v>
      </c>
      <c r="E169" s="399">
        <v>6.6000000000000003E-2</v>
      </c>
      <c r="F169" s="401">
        <v>103.91000000000001</v>
      </c>
      <c r="G169" s="399">
        <v>6.6900000000000001E-2</v>
      </c>
      <c r="H169" s="401">
        <v>103.68</v>
      </c>
      <c r="I169" s="399">
        <v>6.7799999999999999E-2</v>
      </c>
    </row>
    <row r="170" spans="1:9" ht="15.5" x14ac:dyDescent="0.35">
      <c r="A170" s="265">
        <v>45547</v>
      </c>
      <c r="B170" s="401">
        <v>101.53</v>
      </c>
      <c r="C170" s="399">
        <v>6.4899999999999999E-2</v>
      </c>
      <c r="D170" s="401">
        <v>100.21000000000001</v>
      </c>
      <c r="E170" s="399">
        <v>6.6000000000000003E-2</v>
      </c>
      <c r="F170" s="401">
        <v>103.82000000000001</v>
      </c>
      <c r="G170" s="399">
        <v>6.7000000000000004E-2</v>
      </c>
      <c r="H170" s="401">
        <v>103.64</v>
      </c>
      <c r="I170" s="399">
        <v>6.7799999999999999E-2</v>
      </c>
    </row>
    <row r="171" spans="1:9" ht="15.5" x14ac:dyDescent="0.35">
      <c r="A171" s="265">
        <v>45548</v>
      </c>
      <c r="B171" s="401">
        <v>101.64</v>
      </c>
      <c r="C171" s="399">
        <v>6.4600000000000005E-2</v>
      </c>
      <c r="D171" s="401">
        <v>100.37</v>
      </c>
      <c r="E171" s="399">
        <v>6.5799999999999997E-2</v>
      </c>
      <c r="F171" s="401">
        <v>103.93</v>
      </c>
      <c r="G171" s="399">
        <v>6.6900000000000001E-2</v>
      </c>
      <c r="H171" s="401">
        <v>103.72</v>
      </c>
      <c r="I171" s="399">
        <v>6.7799999999999999E-2</v>
      </c>
    </row>
    <row r="172" spans="1:9" ht="15.5" x14ac:dyDescent="0.35">
      <c r="A172" s="293">
        <v>45552</v>
      </c>
      <c r="B172" s="402">
        <v>101.83</v>
      </c>
      <c r="C172" s="396">
        <v>6.4100000000000004E-2</v>
      </c>
      <c r="D172" s="402">
        <v>100.62</v>
      </c>
      <c r="E172" s="396">
        <v>6.54E-2</v>
      </c>
      <c r="F172" s="402">
        <v>104.19000000000001</v>
      </c>
      <c r="G172" s="396">
        <v>6.6600000000000006E-2</v>
      </c>
      <c r="H172" s="402">
        <v>103.85000000000001</v>
      </c>
      <c r="I172" s="396">
        <v>6.7600000000000007E-2</v>
      </c>
    </row>
    <row r="173" spans="1:9" ht="15.5" x14ac:dyDescent="0.35">
      <c r="A173" s="293">
        <v>45553</v>
      </c>
      <c r="B173" s="402">
        <v>101.82</v>
      </c>
      <c r="C173" s="396">
        <v>6.4100000000000004E-2</v>
      </c>
      <c r="D173" s="402">
        <v>100.57000000000001</v>
      </c>
      <c r="E173" s="396">
        <v>6.5500000000000003E-2</v>
      </c>
      <c r="F173" s="402">
        <v>104.09</v>
      </c>
      <c r="G173" s="396">
        <v>6.6700000000000009E-2</v>
      </c>
      <c r="H173" s="402">
        <v>103.84</v>
      </c>
      <c r="I173" s="396">
        <v>6.7600000000000007E-2</v>
      </c>
    </row>
    <row r="174" spans="1:9" ht="15.5" x14ac:dyDescent="0.35">
      <c r="A174" s="293">
        <v>45554</v>
      </c>
      <c r="B174" s="402">
        <v>102.03</v>
      </c>
      <c r="C174" s="396">
        <v>6.3600000000000004E-2</v>
      </c>
      <c r="D174" s="402">
        <v>100.74000000000001</v>
      </c>
      <c r="E174" s="396">
        <v>6.5200000000000008E-2</v>
      </c>
      <c r="F174" s="402">
        <v>104.12</v>
      </c>
      <c r="G174" s="396">
        <v>6.6700000000000009E-2</v>
      </c>
      <c r="H174" s="402">
        <v>103.96000000000001</v>
      </c>
      <c r="I174" s="396">
        <v>6.7500000000000004E-2</v>
      </c>
    </row>
    <row r="175" spans="1:9" ht="15.5" x14ac:dyDescent="0.35">
      <c r="A175" s="293">
        <v>45555</v>
      </c>
      <c r="B175" s="402">
        <v>102.83</v>
      </c>
      <c r="C175" s="396">
        <v>6.1600000000000002E-2</v>
      </c>
      <c r="D175" s="402">
        <v>101.60000000000001</v>
      </c>
      <c r="E175" s="396">
        <v>6.4000000000000001E-2</v>
      </c>
      <c r="F175" s="402">
        <v>105.06</v>
      </c>
      <c r="G175" s="396">
        <v>6.5600000000000006E-2</v>
      </c>
      <c r="H175" s="402">
        <v>104.80000000000001</v>
      </c>
      <c r="I175" s="396">
        <v>6.6799999999999998E-2</v>
      </c>
    </row>
    <row r="176" spans="1:9" ht="15.5" x14ac:dyDescent="0.35">
      <c r="A176" s="265">
        <v>45558</v>
      </c>
      <c r="B176" s="403">
        <v>102.7</v>
      </c>
      <c r="C176" s="393">
        <v>6.1900000000000004E-2</v>
      </c>
      <c r="D176" s="403">
        <v>101.32</v>
      </c>
      <c r="E176" s="393">
        <v>6.4399999999999999E-2</v>
      </c>
      <c r="F176" s="403">
        <v>104.84</v>
      </c>
      <c r="G176" s="393">
        <v>6.59E-2</v>
      </c>
      <c r="H176" s="403">
        <v>104.55000000000001</v>
      </c>
      <c r="I176" s="393">
        <v>6.7000000000000004E-2</v>
      </c>
    </row>
    <row r="177" spans="1:9" ht="15.5" x14ac:dyDescent="0.35">
      <c r="A177" s="265">
        <v>45559</v>
      </c>
      <c r="B177" s="403">
        <v>102.83</v>
      </c>
      <c r="C177" s="393">
        <v>6.1600000000000002E-2</v>
      </c>
      <c r="D177" s="403">
        <v>101.48</v>
      </c>
      <c r="E177" s="393">
        <v>6.4200000000000007E-2</v>
      </c>
      <c r="F177" s="403">
        <v>104.99000000000001</v>
      </c>
      <c r="G177" s="393">
        <v>6.5700000000000008E-2</v>
      </c>
      <c r="H177" s="403">
        <v>104.75</v>
      </c>
      <c r="I177" s="393">
        <v>6.6799999999999998E-2</v>
      </c>
    </row>
    <row r="178" spans="1:9" ht="15.5" x14ac:dyDescent="0.35">
      <c r="A178" s="265">
        <v>45560</v>
      </c>
      <c r="B178" s="403">
        <v>102.86</v>
      </c>
      <c r="C178" s="393">
        <v>6.1500000000000006E-2</v>
      </c>
      <c r="D178" s="403">
        <v>101.52000000000001</v>
      </c>
      <c r="E178" s="393">
        <v>6.4100000000000004E-2</v>
      </c>
      <c r="F178" s="403">
        <v>104.87</v>
      </c>
      <c r="G178" s="393">
        <v>6.5799999999999997E-2</v>
      </c>
      <c r="H178" s="403">
        <v>104.72</v>
      </c>
      <c r="I178" s="393">
        <v>6.6799999999999998E-2</v>
      </c>
    </row>
    <row r="179" spans="1:9" ht="15.5" x14ac:dyDescent="0.35">
      <c r="A179" s="265">
        <v>45561</v>
      </c>
      <c r="B179" s="403">
        <v>102.85000000000001</v>
      </c>
      <c r="C179" s="393">
        <v>6.1500000000000006E-2</v>
      </c>
      <c r="D179" s="403">
        <v>101.22</v>
      </c>
      <c r="E179" s="393">
        <v>6.4500000000000002E-2</v>
      </c>
      <c r="F179" s="403">
        <v>104.48</v>
      </c>
      <c r="G179" s="393">
        <v>6.6299999999999998E-2</v>
      </c>
      <c r="H179" s="403">
        <v>104.22</v>
      </c>
      <c r="I179" s="393">
        <v>6.7299999999999999E-2</v>
      </c>
    </row>
    <row r="180" spans="1:9" ht="15.5" x14ac:dyDescent="0.35">
      <c r="A180" s="265">
        <v>45562</v>
      </c>
      <c r="B180" s="403">
        <v>102.77000000000001</v>
      </c>
      <c r="C180" s="393">
        <v>6.1700000000000005E-2</v>
      </c>
      <c r="D180" s="403">
        <v>101.25</v>
      </c>
      <c r="E180" s="393">
        <v>6.4500000000000002E-2</v>
      </c>
      <c r="F180" s="403">
        <v>104.37</v>
      </c>
      <c r="G180" s="393">
        <v>6.6400000000000001E-2</v>
      </c>
      <c r="H180" s="403">
        <v>103.88000000000001</v>
      </c>
      <c r="I180" s="393">
        <v>6.7600000000000007E-2</v>
      </c>
    </row>
    <row r="181" spans="1:9" ht="15.5" x14ac:dyDescent="0.35">
      <c r="A181" s="293">
        <v>45565</v>
      </c>
      <c r="B181" s="404">
        <v>102.84</v>
      </c>
      <c r="C181" s="396">
        <v>6.1500000000000006E-2</v>
      </c>
      <c r="D181" s="404">
        <v>101.44000000000001</v>
      </c>
      <c r="E181" s="396">
        <v>6.4200000000000007E-2</v>
      </c>
      <c r="F181" s="404">
        <v>104.22</v>
      </c>
      <c r="G181" s="396">
        <v>6.6500000000000004E-2</v>
      </c>
      <c r="H181" s="404">
        <v>103.7</v>
      </c>
      <c r="I181" s="396">
        <v>6.7799999999999999E-2</v>
      </c>
    </row>
    <row r="182" spans="1:9" ht="15.5" x14ac:dyDescent="0.35">
      <c r="A182" s="293">
        <v>45566</v>
      </c>
      <c r="B182" s="404">
        <v>102.74000000000001</v>
      </c>
      <c r="C182" s="396">
        <v>6.1800000000000001E-2</v>
      </c>
      <c r="D182" s="404">
        <v>101.25</v>
      </c>
      <c r="E182" s="396">
        <v>6.4500000000000002E-2</v>
      </c>
      <c r="F182" s="404">
        <v>104.05000000000001</v>
      </c>
      <c r="G182" s="396">
        <v>6.6700000000000009E-2</v>
      </c>
      <c r="H182" s="404">
        <v>103.15</v>
      </c>
      <c r="I182" s="396">
        <v>6.83E-2</v>
      </c>
    </row>
    <row r="183" spans="1:9" ht="15.5" x14ac:dyDescent="0.35">
      <c r="A183" s="293">
        <v>45567</v>
      </c>
      <c r="B183" s="404">
        <v>102.7</v>
      </c>
      <c r="C183" s="396">
        <v>6.1900000000000004E-2</v>
      </c>
      <c r="D183" s="404">
        <v>101.13000000000001</v>
      </c>
      <c r="E183" s="396">
        <v>6.4700000000000008E-2</v>
      </c>
      <c r="F183" s="404">
        <v>103.82000000000001</v>
      </c>
      <c r="G183" s="396">
        <v>6.7000000000000004E-2</v>
      </c>
      <c r="H183" s="404">
        <v>102.89</v>
      </c>
      <c r="I183" s="396">
        <v>6.8500000000000005E-2</v>
      </c>
    </row>
    <row r="184" spans="1:9" ht="15.5" x14ac:dyDescent="0.35">
      <c r="A184" s="293">
        <v>45568</v>
      </c>
      <c r="B184" s="404">
        <v>102.26</v>
      </c>
      <c r="C184" s="396">
        <v>6.3E-2</v>
      </c>
      <c r="D184" s="404">
        <v>100.4</v>
      </c>
      <c r="E184" s="396">
        <v>6.5700000000000008E-2</v>
      </c>
      <c r="F184" s="404">
        <v>103.16000000000001</v>
      </c>
      <c r="G184" s="396">
        <v>6.7699999999999996E-2</v>
      </c>
      <c r="H184" s="404">
        <v>102.22</v>
      </c>
      <c r="I184" s="396">
        <v>6.9199999999999998E-2</v>
      </c>
    </row>
    <row r="185" spans="1:9" ht="15.5" x14ac:dyDescent="0.35">
      <c r="A185" s="293">
        <v>45569</v>
      </c>
      <c r="B185" s="404">
        <v>101.95</v>
      </c>
      <c r="C185" s="396">
        <v>6.3800000000000009E-2</v>
      </c>
      <c r="D185" s="404">
        <v>100.02000000000001</v>
      </c>
      <c r="E185" s="396">
        <v>6.6299999999999998E-2</v>
      </c>
      <c r="F185" s="404">
        <v>102.77000000000001</v>
      </c>
      <c r="G185" s="396">
        <v>6.8100000000000008E-2</v>
      </c>
      <c r="H185" s="404">
        <v>101.71000000000001</v>
      </c>
      <c r="I185" s="396">
        <v>6.9600000000000009E-2</v>
      </c>
    </row>
    <row r="186" spans="1:9" ht="15.5" x14ac:dyDescent="0.35">
      <c r="A186" s="265">
        <v>45572</v>
      </c>
      <c r="B186" s="405">
        <v>101.55000000000001</v>
      </c>
      <c r="C186" s="399">
        <v>6.4799999999999996E-2</v>
      </c>
      <c r="D186" s="405">
        <v>99.410000000000011</v>
      </c>
      <c r="E186" s="399">
        <v>6.720000000000001E-2</v>
      </c>
      <c r="F186" s="405">
        <v>102.04</v>
      </c>
      <c r="G186" s="399">
        <v>6.9000000000000006E-2</v>
      </c>
      <c r="H186" s="405">
        <v>100.99000000000001</v>
      </c>
      <c r="I186" s="399">
        <v>7.0300000000000001E-2</v>
      </c>
    </row>
    <row r="187" spans="1:9" ht="15.5" x14ac:dyDescent="0.35">
      <c r="A187" s="265">
        <v>45573</v>
      </c>
      <c r="B187" s="405">
        <v>101.23</v>
      </c>
      <c r="C187" s="399">
        <v>6.5600000000000006E-2</v>
      </c>
      <c r="D187" s="405">
        <v>98.93</v>
      </c>
      <c r="E187" s="399">
        <v>6.7900000000000002E-2</v>
      </c>
      <c r="F187" s="405">
        <v>102.14</v>
      </c>
      <c r="G187" s="399">
        <v>6.88E-2</v>
      </c>
      <c r="H187" s="405">
        <v>100.96000000000001</v>
      </c>
      <c r="I187" s="399">
        <v>7.0400000000000004E-2</v>
      </c>
    </row>
    <row r="188" spans="1:9" ht="15.5" x14ac:dyDescent="0.35">
      <c r="A188" s="265">
        <v>45574</v>
      </c>
      <c r="B188" s="405">
        <v>101.75</v>
      </c>
      <c r="C188" s="399">
        <v>6.4299999999999996E-2</v>
      </c>
      <c r="D188" s="405">
        <v>99.72</v>
      </c>
      <c r="E188" s="399">
        <v>6.6700000000000009E-2</v>
      </c>
      <c r="F188" s="405">
        <v>103.03</v>
      </c>
      <c r="G188" s="399">
        <v>6.7900000000000002E-2</v>
      </c>
      <c r="H188" s="405">
        <v>101.86</v>
      </c>
      <c r="I188" s="399">
        <v>6.9500000000000006E-2</v>
      </c>
    </row>
    <row r="189" spans="1:9" ht="15.5" x14ac:dyDescent="0.35">
      <c r="A189" s="265">
        <v>45575</v>
      </c>
      <c r="B189" s="405">
        <v>101.80000000000001</v>
      </c>
      <c r="C189" s="399">
        <v>6.4100000000000004E-2</v>
      </c>
      <c r="D189" s="405">
        <v>99.75</v>
      </c>
      <c r="E189" s="399">
        <v>6.6700000000000009E-2</v>
      </c>
      <c r="F189" s="405">
        <v>103.18</v>
      </c>
      <c r="G189" s="399">
        <v>6.7699999999999996E-2</v>
      </c>
      <c r="H189" s="405">
        <v>102.15</v>
      </c>
      <c r="I189" s="399">
        <v>6.9199999999999998E-2</v>
      </c>
    </row>
    <row r="190" spans="1:9" ht="15.5" x14ac:dyDescent="0.35">
      <c r="A190" s="265">
        <v>45576</v>
      </c>
      <c r="B190" s="405">
        <v>101.84</v>
      </c>
      <c r="C190" s="399">
        <v>6.4000000000000001E-2</v>
      </c>
      <c r="D190" s="405">
        <v>99.79</v>
      </c>
      <c r="E190" s="399">
        <v>6.6600000000000006E-2</v>
      </c>
      <c r="F190" s="405">
        <v>103.25</v>
      </c>
      <c r="G190" s="399">
        <v>6.7600000000000007E-2</v>
      </c>
      <c r="H190" s="405">
        <v>102.80000000000001</v>
      </c>
      <c r="I190" s="399">
        <v>6.8600000000000008E-2</v>
      </c>
    </row>
    <row r="191" spans="1:9" ht="15.5" x14ac:dyDescent="0.35">
      <c r="A191" s="293">
        <v>45579</v>
      </c>
      <c r="B191" s="404">
        <v>101.83</v>
      </c>
      <c r="C191" s="396">
        <v>6.4100000000000004E-2</v>
      </c>
      <c r="D191" s="404">
        <v>99.710000000000008</v>
      </c>
      <c r="E191" s="396">
        <v>6.6700000000000009E-2</v>
      </c>
      <c r="F191" s="404">
        <v>103.06</v>
      </c>
      <c r="G191" s="396">
        <v>6.7799999999999999E-2</v>
      </c>
      <c r="H191" s="404">
        <v>102.84</v>
      </c>
      <c r="I191" s="396">
        <v>6.8600000000000008E-2</v>
      </c>
    </row>
    <row r="192" spans="1:9" ht="15.5" x14ac:dyDescent="0.35">
      <c r="A192" s="293">
        <v>45580</v>
      </c>
      <c r="B192" s="404">
        <v>101.92</v>
      </c>
      <c r="C192" s="396">
        <v>6.3800000000000009E-2</v>
      </c>
      <c r="D192" s="404">
        <v>99.910000000000011</v>
      </c>
      <c r="E192" s="396">
        <v>6.6400000000000001E-2</v>
      </c>
      <c r="F192" s="404">
        <v>103.13000000000001</v>
      </c>
      <c r="G192" s="396">
        <v>6.7699999999999996E-2</v>
      </c>
      <c r="H192" s="404">
        <v>102.94000000000001</v>
      </c>
      <c r="I192" s="396">
        <v>6.8500000000000005E-2</v>
      </c>
    </row>
    <row r="193" spans="1:9" ht="15.5" x14ac:dyDescent="0.35">
      <c r="A193" s="293">
        <v>45581</v>
      </c>
      <c r="B193" s="404">
        <v>101.96000000000001</v>
      </c>
      <c r="C193" s="396">
        <v>6.3700000000000007E-2</v>
      </c>
      <c r="D193" s="404">
        <v>99.77000000000001</v>
      </c>
      <c r="E193" s="396">
        <v>6.6600000000000006E-2</v>
      </c>
      <c r="F193" s="404">
        <v>102.99000000000001</v>
      </c>
      <c r="G193" s="396">
        <v>6.7900000000000002E-2</v>
      </c>
      <c r="H193" s="404">
        <v>102.91000000000001</v>
      </c>
      <c r="I193" s="396">
        <v>6.8500000000000005E-2</v>
      </c>
    </row>
    <row r="194" spans="1:9" ht="15.5" x14ac:dyDescent="0.35">
      <c r="A194" s="293">
        <v>45582</v>
      </c>
      <c r="B194" s="404">
        <v>101.92</v>
      </c>
      <c r="C194" s="396">
        <v>6.3800000000000009E-2</v>
      </c>
      <c r="D194" s="404">
        <v>99.89</v>
      </c>
      <c r="E194" s="396">
        <v>6.6500000000000004E-2</v>
      </c>
      <c r="F194" s="404">
        <v>102.94000000000001</v>
      </c>
      <c r="G194" s="396">
        <v>6.7900000000000002E-2</v>
      </c>
      <c r="H194" s="404">
        <v>102.99000000000001</v>
      </c>
      <c r="I194" s="396">
        <v>6.8400000000000002E-2</v>
      </c>
    </row>
    <row r="195" spans="1:9" ht="15.5" x14ac:dyDescent="0.35">
      <c r="A195" s="293">
        <v>45583</v>
      </c>
      <c r="B195" s="406">
        <v>101.87</v>
      </c>
      <c r="C195" s="407">
        <v>6.3899999999999998E-2</v>
      </c>
      <c r="D195" s="406">
        <v>99.75</v>
      </c>
      <c r="E195" s="407">
        <v>6.6700000000000009E-2</v>
      </c>
      <c r="F195" s="406">
        <v>102.76</v>
      </c>
      <c r="G195" s="407">
        <v>6.8100000000000008E-2</v>
      </c>
      <c r="H195" s="406">
        <v>102.77000000000001</v>
      </c>
      <c r="I195" s="407">
        <v>6.8600000000000008E-2</v>
      </c>
    </row>
    <row r="196" spans="1:9" ht="15.5" x14ac:dyDescent="0.35">
      <c r="A196" s="265">
        <v>45586</v>
      </c>
      <c r="B196" s="408">
        <v>101.94000000000001</v>
      </c>
      <c r="C196" s="409">
        <v>6.3700000000000007E-2</v>
      </c>
      <c r="D196" s="408">
        <v>99.98</v>
      </c>
      <c r="E196" s="409">
        <v>6.6299999999999998E-2</v>
      </c>
      <c r="F196" s="408">
        <v>102.80000000000001</v>
      </c>
      <c r="G196" s="409">
        <v>6.8100000000000008E-2</v>
      </c>
      <c r="H196" s="408">
        <v>102.75</v>
      </c>
      <c r="I196" s="409">
        <v>6.8699999999999997E-2</v>
      </c>
    </row>
    <row r="197" spans="1:9" ht="15.5" x14ac:dyDescent="0.35">
      <c r="A197" s="265">
        <v>45587</v>
      </c>
      <c r="B197" s="408">
        <v>101.74000000000001</v>
      </c>
      <c r="C197" s="409">
        <v>6.4299999999999996E-2</v>
      </c>
      <c r="D197" s="408">
        <v>99.660000000000011</v>
      </c>
      <c r="E197" s="409">
        <v>6.6799999999999998E-2</v>
      </c>
      <c r="F197" s="408">
        <v>102.31</v>
      </c>
      <c r="G197" s="409">
        <v>6.8699999999999997E-2</v>
      </c>
      <c r="H197" s="408">
        <v>102.15</v>
      </c>
      <c r="I197" s="409">
        <v>6.9199999999999998E-2</v>
      </c>
    </row>
    <row r="198" spans="1:9" ht="15.5" x14ac:dyDescent="0.35">
      <c r="A198" s="265">
        <v>45588</v>
      </c>
      <c r="B198" s="408">
        <v>101.15</v>
      </c>
      <c r="C198" s="409">
        <v>6.5799999999999997E-2</v>
      </c>
      <c r="D198" s="408">
        <v>99.04</v>
      </c>
      <c r="E198" s="409">
        <v>6.7699999999999996E-2</v>
      </c>
      <c r="F198" s="408">
        <v>101.34</v>
      </c>
      <c r="G198" s="409">
        <v>6.9699999999999998E-2</v>
      </c>
      <c r="H198" s="408">
        <v>101.45</v>
      </c>
      <c r="I198" s="409">
        <v>6.9900000000000004E-2</v>
      </c>
    </row>
    <row r="199" spans="1:9" ht="15.5" x14ac:dyDescent="0.35">
      <c r="A199" s="265">
        <v>45589</v>
      </c>
      <c r="B199" s="408">
        <v>101.19000000000001</v>
      </c>
      <c r="C199" s="409">
        <v>6.5700000000000008E-2</v>
      </c>
      <c r="D199" s="408">
        <v>99.14</v>
      </c>
      <c r="E199" s="409">
        <v>6.7600000000000007E-2</v>
      </c>
      <c r="F199" s="408">
        <v>101.46000000000001</v>
      </c>
      <c r="G199" s="409">
        <v>6.9600000000000009E-2</v>
      </c>
      <c r="H199" s="408">
        <v>101.36</v>
      </c>
      <c r="I199" s="409">
        <v>7.0000000000000007E-2</v>
      </c>
    </row>
    <row r="200" spans="1:9" ht="15.5" x14ac:dyDescent="0.35">
      <c r="A200" s="265">
        <v>45590</v>
      </c>
      <c r="B200" s="408">
        <v>101.30000000000001</v>
      </c>
      <c r="C200" s="409">
        <v>6.54E-2</v>
      </c>
      <c r="D200" s="408">
        <v>99.48</v>
      </c>
      <c r="E200" s="409">
        <v>6.7100000000000007E-2</v>
      </c>
      <c r="F200" s="408">
        <v>101.95</v>
      </c>
      <c r="G200" s="409">
        <v>6.9100000000000009E-2</v>
      </c>
      <c r="H200" s="408">
        <v>101.74000000000001</v>
      </c>
      <c r="I200" s="409">
        <v>6.9600000000000009E-2</v>
      </c>
    </row>
    <row r="201" spans="1:9" ht="15.5" x14ac:dyDescent="0.35">
      <c r="A201" s="293">
        <v>45593</v>
      </c>
      <c r="B201" s="406">
        <v>101.1</v>
      </c>
      <c r="C201" s="407">
        <v>6.59E-2</v>
      </c>
      <c r="D201" s="406">
        <v>98.79</v>
      </c>
      <c r="E201" s="407">
        <v>6.8100000000000008E-2</v>
      </c>
      <c r="F201" s="406">
        <v>101.34</v>
      </c>
      <c r="G201" s="407">
        <v>6.9699999999999998E-2</v>
      </c>
      <c r="H201" s="406">
        <v>101.19000000000001</v>
      </c>
      <c r="I201" s="407">
        <v>7.010000000000001E-2</v>
      </c>
    </row>
    <row r="202" spans="1:9" ht="15.5" x14ac:dyDescent="0.35">
      <c r="A202" s="293">
        <v>45594</v>
      </c>
      <c r="B202" s="406">
        <v>100.83</v>
      </c>
      <c r="C202" s="407">
        <v>6.6600000000000006E-2</v>
      </c>
      <c r="D202" s="406">
        <v>98.490000000000009</v>
      </c>
      <c r="E202" s="407">
        <v>6.8500000000000005E-2</v>
      </c>
      <c r="F202" s="406">
        <v>100.88000000000001</v>
      </c>
      <c r="G202" s="407">
        <v>7.0300000000000001E-2</v>
      </c>
      <c r="H202" s="406">
        <v>100.80000000000001</v>
      </c>
      <c r="I202" s="407">
        <v>7.0500000000000007E-2</v>
      </c>
    </row>
    <row r="203" spans="1:9" ht="15.5" x14ac:dyDescent="0.35">
      <c r="A203" s="293">
        <v>45595</v>
      </c>
      <c r="B203" s="406">
        <v>100.71</v>
      </c>
      <c r="C203" s="407">
        <v>6.6900000000000001E-2</v>
      </c>
      <c r="D203" s="406">
        <v>98.65</v>
      </c>
      <c r="E203" s="407">
        <v>6.83E-2</v>
      </c>
      <c r="F203" s="406">
        <v>100.78</v>
      </c>
      <c r="G203" s="407">
        <v>7.0400000000000004E-2</v>
      </c>
      <c r="H203" s="406">
        <v>100.79</v>
      </c>
      <c r="I203" s="407">
        <v>7.0500000000000007E-2</v>
      </c>
    </row>
    <row r="204" spans="1:9" ht="15.5" x14ac:dyDescent="0.35">
      <c r="A204" s="293">
        <v>45596</v>
      </c>
      <c r="B204" s="406">
        <v>100.78</v>
      </c>
      <c r="C204" s="407">
        <v>6.6700000000000009E-2</v>
      </c>
      <c r="D204" s="406">
        <v>98.76</v>
      </c>
      <c r="E204" s="407">
        <v>6.8100000000000008E-2</v>
      </c>
      <c r="F204" s="406">
        <v>101.09</v>
      </c>
      <c r="G204" s="407">
        <v>7.0000000000000007E-2</v>
      </c>
      <c r="H204" s="406">
        <v>100.84</v>
      </c>
      <c r="I204" s="407">
        <v>7.0500000000000007E-2</v>
      </c>
    </row>
    <row r="205" spans="1:9" ht="15.5" x14ac:dyDescent="0.35">
      <c r="A205" s="293">
        <v>45597</v>
      </c>
      <c r="B205" s="406">
        <v>100.82000000000001</v>
      </c>
      <c r="C205" s="407">
        <v>6.6600000000000006E-2</v>
      </c>
      <c r="D205" s="406">
        <v>99.210000000000008</v>
      </c>
      <c r="E205" s="407">
        <v>6.7400000000000002E-2</v>
      </c>
      <c r="F205" s="406">
        <v>101.29</v>
      </c>
      <c r="G205" s="407">
        <v>6.9800000000000001E-2</v>
      </c>
      <c r="H205" s="406">
        <v>101.42</v>
      </c>
      <c r="I205" s="407">
        <v>6.9900000000000004E-2</v>
      </c>
    </row>
    <row r="206" spans="1:9" ht="15.5" x14ac:dyDescent="0.35">
      <c r="A206" s="265">
        <v>45600</v>
      </c>
      <c r="B206" s="410">
        <v>100.66000000000001</v>
      </c>
      <c r="C206" s="411">
        <v>6.7000000000000004E-2</v>
      </c>
      <c r="D206" s="410">
        <v>98.89</v>
      </c>
      <c r="E206" s="411">
        <v>6.7900000000000002E-2</v>
      </c>
      <c r="F206" s="410">
        <v>101.05000000000001</v>
      </c>
      <c r="G206" s="411">
        <v>7.010000000000001E-2</v>
      </c>
      <c r="H206" s="410">
        <v>100.65</v>
      </c>
      <c r="I206" s="411">
        <v>7.0699999999999999E-2</v>
      </c>
    </row>
    <row r="207" spans="1:9" ht="15.5" x14ac:dyDescent="0.35">
      <c r="A207" s="265">
        <v>45601</v>
      </c>
      <c r="B207" s="410">
        <v>100.89</v>
      </c>
      <c r="C207" s="411">
        <v>6.6400000000000001E-2</v>
      </c>
      <c r="D207" s="410">
        <v>99.29</v>
      </c>
      <c r="E207" s="411">
        <v>6.7299999999999999E-2</v>
      </c>
      <c r="F207" s="410">
        <v>101.41000000000001</v>
      </c>
      <c r="G207" s="411">
        <v>6.9699999999999998E-2</v>
      </c>
      <c r="H207" s="410">
        <v>101.44</v>
      </c>
      <c r="I207" s="411">
        <v>6.9900000000000004E-2</v>
      </c>
    </row>
    <row r="208" spans="1:9" ht="15.5" x14ac:dyDescent="0.35">
      <c r="A208" s="265">
        <v>45602</v>
      </c>
      <c r="B208" s="410">
        <v>100.72</v>
      </c>
      <c r="C208" s="411">
        <v>6.6900000000000001E-2</v>
      </c>
      <c r="D208" s="410">
        <v>99.42</v>
      </c>
      <c r="E208" s="411">
        <v>6.7100000000000007E-2</v>
      </c>
      <c r="F208" s="410">
        <v>101.35</v>
      </c>
      <c r="G208" s="411">
        <v>6.9699999999999998E-2</v>
      </c>
      <c r="H208" s="410">
        <v>101.35</v>
      </c>
      <c r="I208" s="411">
        <v>7.0000000000000007E-2</v>
      </c>
    </row>
    <row r="209" spans="1:9" ht="15.5" x14ac:dyDescent="0.35">
      <c r="A209" s="265">
        <v>45603</v>
      </c>
      <c r="B209" s="410">
        <v>100.51</v>
      </c>
      <c r="C209" s="411">
        <v>6.7400000000000002E-2</v>
      </c>
      <c r="D209" s="410">
        <v>99.160000000000011</v>
      </c>
      <c r="E209" s="411">
        <v>6.7500000000000004E-2</v>
      </c>
      <c r="F209" s="410">
        <v>101.22</v>
      </c>
      <c r="G209" s="411">
        <v>6.9900000000000004E-2</v>
      </c>
      <c r="H209" s="410">
        <v>101.25</v>
      </c>
      <c r="I209" s="411">
        <v>7.010000000000001E-2</v>
      </c>
    </row>
    <row r="210" spans="1:9" ht="15.5" x14ac:dyDescent="0.35">
      <c r="A210" s="265">
        <v>45604</v>
      </c>
      <c r="B210" s="410">
        <v>100.87</v>
      </c>
      <c r="C210" s="411">
        <v>6.6500000000000004E-2</v>
      </c>
      <c r="D210" s="410">
        <v>99.53</v>
      </c>
      <c r="E210" s="411">
        <v>6.7000000000000004E-2</v>
      </c>
      <c r="F210" s="410">
        <v>102.02000000000001</v>
      </c>
      <c r="G210" s="411">
        <v>6.9000000000000006E-2</v>
      </c>
      <c r="H210" s="410">
        <v>101.9</v>
      </c>
      <c r="I210" s="411">
        <v>6.9500000000000006E-2</v>
      </c>
    </row>
    <row r="211" spans="1:9" ht="15.5" x14ac:dyDescent="0.35">
      <c r="A211" s="309">
        <v>45607</v>
      </c>
      <c r="B211" s="412">
        <v>101.32000000000001</v>
      </c>
      <c r="C211" s="413">
        <v>6.5299999999999997E-2</v>
      </c>
      <c r="D211" s="412">
        <v>99.67</v>
      </c>
      <c r="E211" s="413">
        <v>6.6799999999999998E-2</v>
      </c>
      <c r="F211" s="412">
        <v>102.51</v>
      </c>
      <c r="G211" s="413">
        <v>6.8400000000000002E-2</v>
      </c>
      <c r="H211" s="412">
        <v>102.41000000000001</v>
      </c>
      <c r="I211" s="413">
        <v>6.9000000000000006E-2</v>
      </c>
    </row>
    <row r="212" spans="1:9" ht="15.5" x14ac:dyDescent="0.35">
      <c r="A212" s="309">
        <v>45608</v>
      </c>
      <c r="B212" s="412">
        <v>101.22</v>
      </c>
      <c r="C212" s="413">
        <v>6.5600000000000006E-2</v>
      </c>
      <c r="D212" s="412">
        <v>99.1</v>
      </c>
      <c r="E212" s="413">
        <v>6.7600000000000007E-2</v>
      </c>
      <c r="F212" s="412">
        <v>102.03</v>
      </c>
      <c r="G212" s="413">
        <v>6.9000000000000006E-2</v>
      </c>
      <c r="H212" s="412">
        <v>101.56</v>
      </c>
      <c r="I212" s="413">
        <v>6.9800000000000001E-2</v>
      </c>
    </row>
    <row r="213" spans="1:9" ht="15.5" x14ac:dyDescent="0.35">
      <c r="A213" s="309">
        <v>45609</v>
      </c>
      <c r="B213" s="412">
        <v>100.93</v>
      </c>
      <c r="C213" s="413">
        <v>6.6299999999999998E-2</v>
      </c>
      <c r="D213" s="412">
        <v>97.97</v>
      </c>
      <c r="E213" s="413">
        <v>6.93E-2</v>
      </c>
      <c r="F213" s="412">
        <v>101.08</v>
      </c>
      <c r="G213" s="413">
        <v>7.0000000000000007E-2</v>
      </c>
      <c r="H213" s="412">
        <v>100.93</v>
      </c>
      <c r="I213" s="413">
        <v>7.0400000000000004E-2</v>
      </c>
    </row>
    <row r="214" spans="1:9" ht="15.5" x14ac:dyDescent="0.35">
      <c r="A214" s="309">
        <v>45610</v>
      </c>
      <c r="B214" s="412">
        <v>100.72</v>
      </c>
      <c r="C214" s="413">
        <v>6.6900000000000001E-2</v>
      </c>
      <c r="D214" s="412">
        <v>97.800000000000011</v>
      </c>
      <c r="E214" s="413">
        <v>6.9600000000000009E-2</v>
      </c>
      <c r="F214" s="412">
        <v>100.7</v>
      </c>
      <c r="G214" s="413">
        <v>7.0500000000000007E-2</v>
      </c>
      <c r="H214" s="412">
        <v>100.53</v>
      </c>
      <c r="I214" s="413">
        <v>7.0800000000000002E-2</v>
      </c>
    </row>
    <row r="215" spans="1:9" ht="15.5" x14ac:dyDescent="0.35">
      <c r="A215" s="309">
        <v>45611</v>
      </c>
      <c r="B215" s="412">
        <v>100.60000000000001</v>
      </c>
      <c r="C215" s="413">
        <v>6.720000000000001E-2</v>
      </c>
      <c r="D215" s="412">
        <v>98.01</v>
      </c>
      <c r="E215" s="413">
        <v>6.9199999999999998E-2</v>
      </c>
      <c r="F215" s="412">
        <v>100.36</v>
      </c>
      <c r="G215" s="413">
        <v>7.0900000000000005E-2</v>
      </c>
      <c r="H215" s="412">
        <v>100.55</v>
      </c>
      <c r="I215" s="413">
        <v>7.0800000000000002E-2</v>
      </c>
    </row>
    <row r="216" spans="1:9" ht="15.5" x14ac:dyDescent="0.35">
      <c r="A216" s="265">
        <v>45614</v>
      </c>
      <c r="B216" s="408">
        <v>100.73</v>
      </c>
      <c r="C216" s="409">
        <v>6.6799999999999998E-2</v>
      </c>
      <c r="D216" s="408">
        <v>98.49</v>
      </c>
      <c r="E216" s="409">
        <v>6.8500000000000005E-2</v>
      </c>
      <c r="F216" s="408">
        <v>101.05000000000001</v>
      </c>
      <c r="G216" s="409">
        <v>7.010000000000001E-2</v>
      </c>
      <c r="H216" s="408">
        <v>100.79</v>
      </c>
      <c r="I216" s="409">
        <v>7.0500000000000007E-2</v>
      </c>
    </row>
    <row r="217" spans="1:9" ht="15.5" x14ac:dyDescent="0.35">
      <c r="A217" s="265">
        <v>45615</v>
      </c>
      <c r="B217" s="408">
        <v>100.78</v>
      </c>
      <c r="C217" s="409">
        <v>6.6700000000000009E-2</v>
      </c>
      <c r="D217" s="408">
        <v>98.61</v>
      </c>
      <c r="E217" s="409">
        <v>6.83E-2</v>
      </c>
      <c r="F217" s="408">
        <v>101.47</v>
      </c>
      <c r="G217" s="409">
        <v>6.9600000000000009E-2</v>
      </c>
      <c r="H217" s="408">
        <v>101.44000000000001</v>
      </c>
      <c r="I217" s="409">
        <v>6.9900000000000004E-2</v>
      </c>
    </row>
    <row r="218" spans="1:9" ht="15.5" x14ac:dyDescent="0.35">
      <c r="A218" s="265">
        <v>45616</v>
      </c>
      <c r="B218" s="408">
        <v>100.66000000000001</v>
      </c>
      <c r="C218" s="409">
        <v>6.7000000000000004E-2</v>
      </c>
      <c r="D218" s="408">
        <v>98.29</v>
      </c>
      <c r="E218" s="409">
        <v>6.88E-2</v>
      </c>
      <c r="F218" s="408">
        <v>101.13000000000001</v>
      </c>
      <c r="G218" s="409">
        <v>7.0000000000000007E-2</v>
      </c>
      <c r="H218" s="408">
        <v>101.03</v>
      </c>
      <c r="I218" s="409">
        <v>7.0300000000000001E-2</v>
      </c>
    </row>
    <row r="219" spans="1:9" ht="15.5" x14ac:dyDescent="0.35">
      <c r="A219" s="265">
        <v>45617</v>
      </c>
      <c r="B219" s="408">
        <v>100.60000000000001</v>
      </c>
      <c r="C219" s="409">
        <v>6.720000000000001E-2</v>
      </c>
      <c r="D219" s="408">
        <v>98.04</v>
      </c>
      <c r="E219" s="409">
        <v>6.9199999999999998E-2</v>
      </c>
      <c r="F219" s="408">
        <v>100.82000000000001</v>
      </c>
      <c r="G219" s="409">
        <v>7.0300000000000001E-2</v>
      </c>
      <c r="H219" s="408">
        <v>100.63</v>
      </c>
      <c r="I219" s="409">
        <v>7.0699999999999999E-2</v>
      </c>
    </row>
    <row r="220" spans="1:9" ht="15.5" x14ac:dyDescent="0.35">
      <c r="A220" s="265">
        <v>45618</v>
      </c>
      <c r="B220" s="408">
        <v>100.60000000000001</v>
      </c>
      <c r="C220" s="409">
        <v>6.720000000000001E-2</v>
      </c>
      <c r="D220" s="408">
        <v>98.04</v>
      </c>
      <c r="E220" s="409">
        <v>6.9199999999999998E-2</v>
      </c>
      <c r="F220" s="408">
        <v>100.82000000000001</v>
      </c>
      <c r="G220" s="409">
        <v>7.0300000000000001E-2</v>
      </c>
      <c r="H220" s="408">
        <v>100.63</v>
      </c>
      <c r="I220" s="409">
        <v>7.0699999999999999E-2</v>
      </c>
    </row>
    <row r="221" spans="1:9" ht="15.5" x14ac:dyDescent="0.35">
      <c r="A221" s="309">
        <v>45621</v>
      </c>
      <c r="B221" s="412">
        <v>100.56</v>
      </c>
      <c r="C221" s="413">
        <v>6.7299999999999999E-2</v>
      </c>
      <c r="D221" s="412">
        <v>98.47</v>
      </c>
      <c r="E221" s="413">
        <v>6.8600000000000008E-2</v>
      </c>
      <c r="F221" s="412">
        <v>100.73</v>
      </c>
      <c r="G221" s="413">
        <v>7.0400000000000004E-2</v>
      </c>
      <c r="H221" s="412">
        <v>100.84</v>
      </c>
      <c r="I221" s="413">
        <v>7.0500000000000007E-2</v>
      </c>
    </row>
    <row r="222" spans="1:9" ht="15.5" x14ac:dyDescent="0.35">
      <c r="A222" s="309">
        <v>45622</v>
      </c>
      <c r="B222" s="412">
        <v>100.42</v>
      </c>
      <c r="C222" s="413">
        <v>6.7600000000000007E-2</v>
      </c>
      <c r="D222" s="412">
        <v>98.22</v>
      </c>
      <c r="E222" s="413">
        <v>6.8900000000000003E-2</v>
      </c>
      <c r="F222" s="412">
        <v>100.78</v>
      </c>
      <c r="G222" s="413">
        <v>7.0400000000000004E-2</v>
      </c>
      <c r="H222" s="412">
        <v>100.71000000000001</v>
      </c>
      <c r="I222" s="413">
        <v>7.0599999999999996E-2</v>
      </c>
    </row>
    <row r="223" spans="1:9" ht="15.5" x14ac:dyDescent="0.35">
      <c r="A223" s="309">
        <v>45624</v>
      </c>
      <c r="B223" s="412">
        <v>100.38000000000001</v>
      </c>
      <c r="C223" s="413">
        <v>6.7799999999999999E-2</v>
      </c>
      <c r="D223" s="412">
        <v>98.18</v>
      </c>
      <c r="E223" s="413">
        <v>6.9000000000000006E-2</v>
      </c>
      <c r="F223" s="412">
        <v>100.84</v>
      </c>
      <c r="G223" s="413">
        <v>7.0300000000000001E-2</v>
      </c>
      <c r="H223" s="412">
        <v>100.62</v>
      </c>
      <c r="I223" s="413">
        <v>7.0699999999999999E-2</v>
      </c>
    </row>
    <row r="224" spans="1:9" ht="15.5" x14ac:dyDescent="0.35">
      <c r="A224" s="309">
        <v>45625</v>
      </c>
      <c r="B224" s="412">
        <v>100.39</v>
      </c>
      <c r="C224" s="413">
        <v>6.7699999999999996E-2</v>
      </c>
      <c r="D224" s="412">
        <v>98.28</v>
      </c>
      <c r="E224" s="413">
        <v>6.88E-2</v>
      </c>
      <c r="F224" s="412">
        <v>101.2</v>
      </c>
      <c r="G224" s="413">
        <v>6.9900000000000004E-2</v>
      </c>
      <c r="H224" s="412">
        <v>100.83</v>
      </c>
      <c r="I224" s="413">
        <v>7.0500000000000007E-2</v>
      </c>
    </row>
    <row r="225" spans="1:9" ht="15.5" x14ac:dyDescent="0.35">
      <c r="A225" s="265">
        <v>45628</v>
      </c>
      <c r="B225" s="410">
        <v>100.66</v>
      </c>
      <c r="C225" s="411">
        <v>6.7000000000000004E-2</v>
      </c>
      <c r="D225" s="410">
        <v>98.690000000000012</v>
      </c>
      <c r="E225" s="411">
        <v>6.8199999999999997E-2</v>
      </c>
      <c r="F225" s="410">
        <v>101.23</v>
      </c>
      <c r="G225" s="411">
        <v>6.9900000000000004E-2</v>
      </c>
      <c r="H225" s="410">
        <v>100.91000000000001</v>
      </c>
      <c r="I225" s="411">
        <v>7.0400000000000004E-2</v>
      </c>
    </row>
    <row r="226" spans="1:9" ht="15.5" x14ac:dyDescent="0.35">
      <c r="A226" s="265">
        <v>45629</v>
      </c>
      <c r="B226" s="410">
        <v>100.41000000000001</v>
      </c>
      <c r="C226" s="411">
        <v>6.7699999999999996E-2</v>
      </c>
      <c r="D226" s="410">
        <v>98.410000000000011</v>
      </c>
      <c r="E226" s="411">
        <v>6.8699999999999997E-2</v>
      </c>
      <c r="F226" s="410">
        <v>101.29</v>
      </c>
      <c r="G226" s="411">
        <v>6.9800000000000001E-2</v>
      </c>
      <c r="H226" s="410">
        <v>100.44000000000001</v>
      </c>
      <c r="I226" s="411">
        <v>7.0900000000000005E-2</v>
      </c>
    </row>
    <row r="227" spans="1:9" ht="15.5" x14ac:dyDescent="0.35">
      <c r="A227" s="265">
        <v>45630</v>
      </c>
      <c r="B227" s="410">
        <v>100.35000000000001</v>
      </c>
      <c r="C227" s="411">
        <v>6.7799999999999999E-2</v>
      </c>
      <c r="D227" s="410">
        <v>98.29</v>
      </c>
      <c r="E227" s="411">
        <v>6.88E-2</v>
      </c>
      <c r="F227" s="410">
        <v>101.11</v>
      </c>
      <c r="G227" s="411">
        <v>7.0000000000000007E-2</v>
      </c>
      <c r="H227" s="410">
        <v>100.29</v>
      </c>
      <c r="I227" s="411">
        <v>7.1000000000000008E-2</v>
      </c>
    </row>
    <row r="228" spans="1:9" ht="15.5" x14ac:dyDescent="0.35">
      <c r="A228" s="265">
        <v>45631</v>
      </c>
      <c r="B228" s="410">
        <v>100.33</v>
      </c>
      <c r="C228" s="411">
        <v>6.7900000000000002E-2</v>
      </c>
      <c r="D228" s="410">
        <v>98.26</v>
      </c>
      <c r="E228" s="411">
        <v>6.8900000000000003E-2</v>
      </c>
      <c r="F228" s="410">
        <v>101.06</v>
      </c>
      <c r="G228" s="411">
        <v>7.010000000000001E-2</v>
      </c>
      <c r="H228" s="410">
        <v>100.39</v>
      </c>
      <c r="I228" s="411">
        <v>7.0900000000000005E-2</v>
      </c>
    </row>
    <row r="229" spans="1:9" ht="15.5" x14ac:dyDescent="0.35">
      <c r="A229" s="265">
        <v>45632</v>
      </c>
      <c r="B229" s="410">
        <v>100.17</v>
      </c>
      <c r="C229" s="411">
        <v>6.83E-2</v>
      </c>
      <c r="D229" s="410">
        <v>98.34</v>
      </c>
      <c r="E229" s="411">
        <v>6.88E-2</v>
      </c>
      <c r="F229" s="410">
        <v>100.95</v>
      </c>
      <c r="G229" s="411">
        <v>7.0199999999999999E-2</v>
      </c>
      <c r="H229" s="410">
        <v>100.33</v>
      </c>
      <c r="I229" s="411">
        <v>7.1000000000000008E-2</v>
      </c>
    </row>
    <row r="230" spans="1:9" ht="15.5" x14ac:dyDescent="0.35">
      <c r="A230" s="309">
        <v>45635</v>
      </c>
      <c r="B230" s="412">
        <v>100.11</v>
      </c>
      <c r="C230" s="413">
        <v>6.8500000000000005E-2</v>
      </c>
      <c r="D230" s="412">
        <v>98.12</v>
      </c>
      <c r="E230" s="413">
        <v>6.9100000000000009E-2</v>
      </c>
      <c r="F230" s="412">
        <v>100.77000000000001</v>
      </c>
      <c r="G230" s="413">
        <v>7.0400000000000004E-2</v>
      </c>
      <c r="H230" s="412">
        <v>100.39</v>
      </c>
      <c r="I230" s="413">
        <v>7.0900000000000005E-2</v>
      </c>
    </row>
    <row r="231" spans="1:9" ht="15.5" x14ac:dyDescent="0.35">
      <c r="A231" s="309">
        <v>45636</v>
      </c>
      <c r="B231" s="412">
        <v>100.05000000000001</v>
      </c>
      <c r="C231" s="413">
        <v>6.8600000000000008E-2</v>
      </c>
      <c r="D231" s="412">
        <v>98.05</v>
      </c>
      <c r="E231" s="413">
        <v>6.9199999999999998E-2</v>
      </c>
      <c r="F231" s="412">
        <v>100.52000000000001</v>
      </c>
      <c r="G231" s="413">
        <v>7.0699999999999999E-2</v>
      </c>
      <c r="H231" s="412">
        <v>100.22</v>
      </c>
      <c r="I231" s="413">
        <v>7.1099999999999997E-2</v>
      </c>
    </row>
    <row r="232" spans="1:9" ht="15.5" x14ac:dyDescent="0.35">
      <c r="A232" s="309">
        <v>45637</v>
      </c>
      <c r="B232" s="412">
        <v>100</v>
      </c>
      <c r="C232" s="413">
        <v>6.88E-2</v>
      </c>
      <c r="D232" s="412">
        <v>97.910000000000011</v>
      </c>
      <c r="E232" s="413">
        <v>6.9400000000000003E-2</v>
      </c>
      <c r="F232" s="412">
        <v>100.42</v>
      </c>
      <c r="G232" s="413">
        <v>7.0800000000000002E-2</v>
      </c>
      <c r="H232" s="412">
        <v>100.53</v>
      </c>
      <c r="I232" s="413">
        <v>7.0800000000000002E-2</v>
      </c>
    </row>
    <row r="233" spans="1:9" ht="15.5" x14ac:dyDescent="0.35">
      <c r="A233" s="309">
        <v>45638</v>
      </c>
      <c r="B233" s="412">
        <v>100.02000000000001</v>
      </c>
      <c r="C233" s="413">
        <v>6.8699999999999997E-2</v>
      </c>
      <c r="D233" s="412">
        <v>97.86</v>
      </c>
      <c r="E233" s="413">
        <v>6.9500000000000006E-2</v>
      </c>
      <c r="F233" s="412">
        <v>100.41000000000001</v>
      </c>
      <c r="G233" s="413">
        <v>7.0800000000000002E-2</v>
      </c>
      <c r="H233" s="412">
        <v>100.42</v>
      </c>
      <c r="I233" s="413">
        <v>7.0900000000000005E-2</v>
      </c>
    </row>
    <row r="234" spans="1:9" ht="15.5" x14ac:dyDescent="0.35">
      <c r="A234" s="309">
        <v>45639</v>
      </c>
      <c r="B234" s="412">
        <v>99.88000000000001</v>
      </c>
      <c r="C234" s="413">
        <v>6.9100000000000009E-2</v>
      </c>
      <c r="D234" s="412">
        <v>97.43</v>
      </c>
      <c r="E234" s="413">
        <v>7.010000000000001E-2</v>
      </c>
      <c r="F234" s="412">
        <v>100.18</v>
      </c>
      <c r="G234" s="413">
        <v>7.1099999999999997E-2</v>
      </c>
      <c r="H234" s="412">
        <v>100.18</v>
      </c>
      <c r="I234" s="413">
        <v>7.1099999999999997E-2</v>
      </c>
    </row>
    <row r="235" spans="1:9" ht="15.5" x14ac:dyDescent="0.35">
      <c r="A235" s="265">
        <v>45642</v>
      </c>
      <c r="B235" s="410">
        <v>99.940000000000012</v>
      </c>
      <c r="C235" s="411">
        <v>6.8900000000000003E-2</v>
      </c>
      <c r="D235" s="410">
        <v>97.19</v>
      </c>
      <c r="E235" s="411">
        <v>7.0500000000000007E-2</v>
      </c>
      <c r="F235" s="410">
        <v>100.25</v>
      </c>
      <c r="G235" s="411">
        <v>7.1000000000000008E-2</v>
      </c>
      <c r="H235" s="410">
        <v>100.25</v>
      </c>
      <c r="I235" s="411">
        <v>7.1099999999999997E-2</v>
      </c>
    </row>
    <row r="236" spans="1:9" ht="15.5" x14ac:dyDescent="0.35">
      <c r="A236" s="265">
        <v>45643</v>
      </c>
      <c r="B236" s="410">
        <v>99.910000000000011</v>
      </c>
      <c r="C236" s="411">
        <v>6.9000000000000006E-2</v>
      </c>
      <c r="D236" s="410">
        <v>97.29</v>
      </c>
      <c r="E236" s="411">
        <v>7.0400000000000004E-2</v>
      </c>
      <c r="F236" s="410">
        <v>100.13000000000001</v>
      </c>
      <c r="G236" s="411">
        <v>7.1099999999999997E-2</v>
      </c>
      <c r="H236" s="410">
        <v>100.13000000000001</v>
      </c>
      <c r="I236" s="411">
        <v>7.1199999999999999E-2</v>
      </c>
    </row>
    <row r="237" spans="1:9" ht="15.5" x14ac:dyDescent="0.35">
      <c r="A237" s="265">
        <v>45644</v>
      </c>
      <c r="B237" s="410">
        <v>99.83</v>
      </c>
      <c r="C237" s="411">
        <v>6.9199999999999998E-2</v>
      </c>
      <c r="D237" s="410">
        <v>97.22</v>
      </c>
      <c r="E237" s="411">
        <v>7.0500000000000007E-2</v>
      </c>
      <c r="F237" s="410">
        <v>99.990000000000009</v>
      </c>
      <c r="G237" s="411">
        <v>7.1300000000000002E-2</v>
      </c>
      <c r="H237" s="410">
        <v>99.86</v>
      </c>
      <c r="I237" s="411">
        <v>7.1400000000000005E-2</v>
      </c>
    </row>
    <row r="238" spans="1:9" ht="15.5" x14ac:dyDescent="0.35">
      <c r="A238" s="265">
        <v>45645</v>
      </c>
      <c r="B238" s="410">
        <v>99.62</v>
      </c>
      <c r="C238" s="411">
        <v>6.9800000000000001E-2</v>
      </c>
      <c r="D238" s="410">
        <v>97.26</v>
      </c>
      <c r="E238" s="411">
        <v>7.0400000000000004E-2</v>
      </c>
      <c r="F238" s="410">
        <v>99.45</v>
      </c>
      <c r="G238" s="411">
        <v>7.1900000000000006E-2</v>
      </c>
      <c r="H238" s="410">
        <v>99.77000000000001</v>
      </c>
      <c r="I238" s="411">
        <v>7.1500000000000008E-2</v>
      </c>
    </row>
    <row r="239" spans="1:9" ht="15.5" x14ac:dyDescent="0.35">
      <c r="A239" s="265">
        <v>45646</v>
      </c>
      <c r="B239" s="410">
        <v>99.63000000000001</v>
      </c>
      <c r="C239" s="411">
        <v>6.9800000000000001E-2</v>
      </c>
      <c r="D239" s="410">
        <v>97.42</v>
      </c>
      <c r="E239" s="411">
        <v>7.0199999999999999E-2</v>
      </c>
      <c r="F239" s="410">
        <v>99.690000000000012</v>
      </c>
      <c r="G239" s="411">
        <v>7.17E-2</v>
      </c>
      <c r="H239" s="410">
        <v>99.940000000000012</v>
      </c>
      <c r="I239" s="411">
        <v>7.1400000000000005E-2</v>
      </c>
    </row>
    <row r="240" spans="1:9" ht="15.5" x14ac:dyDescent="0.35">
      <c r="A240" s="309">
        <v>45649</v>
      </c>
      <c r="B240" s="412">
        <v>99.59</v>
      </c>
      <c r="C240" s="413">
        <v>6.9900000000000004E-2</v>
      </c>
      <c r="D240" s="412">
        <v>97.36</v>
      </c>
      <c r="E240" s="413">
        <v>7.0300000000000001E-2</v>
      </c>
      <c r="F240" s="412">
        <v>100.17</v>
      </c>
      <c r="G240" s="413">
        <v>7.1099999999999997E-2</v>
      </c>
      <c r="H240" s="412">
        <v>100.11</v>
      </c>
      <c r="I240" s="413">
        <v>7.1199999999999999E-2</v>
      </c>
    </row>
    <row r="241" spans="1:9" ht="15.5" x14ac:dyDescent="0.35">
      <c r="A241" s="309">
        <v>45650</v>
      </c>
      <c r="B241" s="412">
        <v>99.59</v>
      </c>
      <c r="C241" s="413">
        <v>6.9900000000000004E-2</v>
      </c>
      <c r="D241" s="412">
        <v>97.31</v>
      </c>
      <c r="E241" s="413">
        <v>7.0300000000000001E-2</v>
      </c>
      <c r="F241" s="412">
        <v>100.25</v>
      </c>
      <c r="G241" s="413">
        <v>7.1000000000000008E-2</v>
      </c>
      <c r="H241" s="412">
        <v>100.16000000000001</v>
      </c>
      <c r="I241" s="413">
        <v>7.1099999999999997E-2</v>
      </c>
    </row>
    <row r="242" spans="1:9" ht="15.5" x14ac:dyDescent="0.35">
      <c r="A242" s="309">
        <v>45653</v>
      </c>
      <c r="B242" s="412">
        <v>99.64</v>
      </c>
      <c r="C242" s="413">
        <v>6.9699999999999998E-2</v>
      </c>
      <c r="D242" s="412">
        <v>97.4</v>
      </c>
      <c r="E242" s="413">
        <v>7.0199999999999999E-2</v>
      </c>
      <c r="F242" s="412">
        <v>100.31</v>
      </c>
      <c r="G242" s="413">
        <v>7.0900000000000005E-2</v>
      </c>
      <c r="H242" s="412">
        <v>100.3</v>
      </c>
      <c r="I242" s="413">
        <v>7.1000000000000008E-2</v>
      </c>
    </row>
    <row r="243" spans="1:9" ht="15.5" x14ac:dyDescent="0.35">
      <c r="A243" s="265">
        <v>45656</v>
      </c>
      <c r="B243" s="410">
        <v>99.63000000000001</v>
      </c>
      <c r="C243" s="411">
        <v>6.9800000000000001E-2</v>
      </c>
      <c r="D243" s="410">
        <v>97.29</v>
      </c>
      <c r="E243" s="411">
        <v>7.0400000000000004E-2</v>
      </c>
      <c r="F243" s="410">
        <v>100.47</v>
      </c>
      <c r="G243" s="411">
        <v>7.0699999999999999E-2</v>
      </c>
      <c r="H243" s="410">
        <v>100.44000000000001</v>
      </c>
      <c r="I243" s="411">
        <v>7.0900000000000005E-2</v>
      </c>
    </row>
  </sheetData>
  <mergeCells count="17">
    <mergeCell ref="F5:G5"/>
    <mergeCell ref="H5:I5"/>
    <mergeCell ref="A2:A6"/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6</vt:i4>
      </vt:variant>
    </vt:vector>
  </HeadingPairs>
  <TitlesOfParts>
    <vt:vector size="30" baseType="lpstr">
      <vt:lpstr>Rekap</vt:lpstr>
      <vt:lpstr>Rekap JJ</vt:lpstr>
      <vt:lpstr>Rekap RJ</vt:lpstr>
      <vt:lpstr>Rekap RLJ</vt:lpstr>
      <vt:lpstr>Rekap Transpose</vt:lpstr>
      <vt:lpstr>Jati Jawa</vt:lpstr>
      <vt:lpstr>Rimba Jawa</vt:lpstr>
      <vt:lpstr>Rimba Luar Jawa</vt:lpstr>
      <vt:lpstr>Sheet1</vt:lpstr>
      <vt:lpstr>Rate of Return</vt:lpstr>
      <vt:lpstr>GOS per unit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Rekap!Print_Area</vt:lpstr>
      <vt:lpstr>'Rekap JJ'!Print_Area</vt:lpstr>
      <vt:lpstr>'Rekap RJ'!Print_Area</vt:lpstr>
      <vt:lpstr>'Rekap RLJ'!Print_Area</vt:lpstr>
      <vt:lpstr>'Rekap Transpose'!Print_Area</vt:lpstr>
      <vt:lpstr>'Rimba Jawa'!Print_Area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putra pratama</cp:lastModifiedBy>
  <cp:lastPrinted>2018-12-06T07:38:57Z</cp:lastPrinted>
  <dcterms:created xsi:type="dcterms:W3CDTF">2015-11-25T03:07:07Z</dcterms:created>
  <dcterms:modified xsi:type="dcterms:W3CDTF">2026-10-18T03:49:52Z</dcterms:modified>
</cp:coreProperties>
</file>