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PS\Downloads\"/>
    </mc:Choice>
  </mc:AlternateContent>
  <bookViews>
    <workbookView xWindow="0" yWindow="0" windowWidth="20490" windowHeight="7455" tabRatio="752" firstSheet="1" activeTab="1"/>
  </bookViews>
  <sheets>
    <sheet name="Rekap Hutan Indonesia" sheetId="13" state="hidden" r:id="rId1"/>
    <sheet name="Data Penunjang" sheetId="8" r:id="rId2"/>
    <sheet name="1.luas kebakaran hutan" sheetId="18" state="hidden" r:id="rId3"/>
    <sheet name="2.realisasi reboisasi" sheetId="19" state="hidden" r:id="rId4"/>
    <sheet name="Rent Perhutani" sheetId="5" state="hidden" r:id="rId5"/>
    <sheet name="Rent Luar Jawa" sheetId="6" state="hidden" r:id="rId6"/>
    <sheet name="Jati Jawa" sheetId="9" r:id="rId7"/>
    <sheet name="Rimba Jawa" sheetId="10" r:id="rId8"/>
    <sheet name="Rimba Luar Jawa" sheetId="11" r:id="rId9"/>
    <sheet name="Indonesia" sheetId="20" r:id="rId10"/>
    <sheet name="Sheet1" sheetId="17" state="hidden" r:id="rId11"/>
    <sheet name="Jati Jawa Ha" sheetId="14" state="hidden" r:id="rId12"/>
    <sheet name="Rimba Jawa Ha" sheetId="15" state="hidden" r:id="rId13"/>
    <sheet name="Rimba Luar Jawa Ha" sheetId="16" state="hidden" r:id="rId14"/>
    <sheet name="Kayu Jati Jawa slh" sheetId="3" state="hidden" r:id="rId15"/>
    <sheet name="Kayu Rimba Jawa slh " sheetId="2" state="hidden" r:id="rId16"/>
    <sheet name="Kayu Rimba Luar Jawa slh " sheetId="1" state="hidden" r:id="rId17"/>
    <sheet name="Unit Rent Jati slh " sheetId="7" state="hidden" r:id="rId18"/>
    <sheet name="Hutan Indonesia" sheetId="4" state="hidden" r:id="rId19"/>
  </sheets>
  <externalReferences>
    <externalReference r:id="rId20"/>
    <externalReference r:id="rId21"/>
    <externalReference r:id="rId22"/>
    <externalReference r:id="rId23"/>
  </externalReferences>
  <definedNames>
    <definedName name="_xlnm.Print_Area" localSheetId="1">'Data Penunjang'!$A$5:$AD$62</definedName>
    <definedName name="_xlnm.Print_Area" localSheetId="18">'Hutan Indonesia'!$P$4:$T$27</definedName>
    <definedName name="_xlnm.Print_Area" localSheetId="9">Indonesia!$A$1:$AA$29</definedName>
    <definedName name="_xlnm.Print_Area" localSheetId="6">'Jati Jawa'!$A$1:$Z$28</definedName>
    <definedName name="_xlnm.Print_Area" localSheetId="14">'Kayu Jati Jawa slh'!$A$1:$O$29</definedName>
    <definedName name="_xlnm.Print_Area" localSheetId="15">'Kayu Rimba Jawa slh '!$A$1:$O$29</definedName>
    <definedName name="_xlnm.Print_Area" localSheetId="16">'Kayu Rimba Luar Jawa slh '!$A$2:$O$30</definedName>
    <definedName name="_xlnm.Print_Area" localSheetId="0">'Rekap Hutan Indonesia'!$A$1:$AB$15</definedName>
    <definedName name="_xlnm.Print_Area" localSheetId="4">'Rent Perhutani'!$A$2:$AE$39</definedName>
    <definedName name="_xlnm.Print_Area" localSheetId="7">'Rimba Jawa'!$A$1:$Z$29</definedName>
    <definedName name="_xlnm.Print_Area" localSheetId="8">'Rimba Luar Jawa'!$A$1:$AA$29</definedName>
    <definedName name="_xlnm.Print_Area" localSheetId="17">'Unit Rent Jati slh '!$A$2:$S$36</definedName>
    <definedName name="_xlnm.Print_Titles" localSheetId="1">'Data Penunjang'!$A:$E,'Data Penunjang'!$1:$5</definedName>
    <definedName name="_xlnm.Print_Titles" localSheetId="18">'Hutan Indonesia'!$A:$A,'Hutan Indonesia'!$1:$2</definedName>
    <definedName name="_xlnm.Print_Titles" localSheetId="9">Indonesia!$A:$A,Indonesia!$1:$3</definedName>
    <definedName name="_xlnm.Print_Titles" localSheetId="6">'Jati Jawa'!$A:$A,'Jati Jawa'!$1:$3</definedName>
    <definedName name="_xlnm.Print_Titles" localSheetId="14">'Kayu Jati Jawa slh'!$A:$A,'Kayu Jati Jawa slh'!$1:$2</definedName>
    <definedName name="_xlnm.Print_Titles" localSheetId="15">'Kayu Rimba Jawa slh '!$A:$A,'Kayu Rimba Jawa slh '!$1:$2</definedName>
    <definedName name="_xlnm.Print_Titles" localSheetId="16">'Kayu Rimba Luar Jawa slh '!$A:$A,'Kayu Rimba Luar Jawa slh '!$2:$6</definedName>
    <definedName name="_xlnm.Print_Titles" localSheetId="0">'Rekap Hutan Indonesia'!$A:$A,'Rekap Hutan Indonesia'!$1:$2</definedName>
    <definedName name="_xlnm.Print_Titles" localSheetId="4">'Rent Perhutani'!$A:$A,'Rent Perhutani'!$1:$2</definedName>
    <definedName name="_xlnm.Print_Titles" localSheetId="7">'Rimba Jawa'!$A:$A,'Rimba Jawa'!$1:$3</definedName>
    <definedName name="_xlnm.Print_Titles" localSheetId="8">'Rimba Luar Jawa'!$A:$A,'Rimba Luar Jawa'!$1:$3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2" i="8" l="1"/>
  <c r="AO11" i="8"/>
  <c r="AI11" i="11" l="1"/>
  <c r="AI24" i="11" s="1"/>
  <c r="AI16" i="11"/>
  <c r="AJ16" i="11"/>
  <c r="AJ17" i="11" s="1"/>
  <c r="AI17" i="11"/>
  <c r="AI32" i="11"/>
  <c r="AJ32" i="11" s="1"/>
  <c r="AM29" i="8"/>
  <c r="AN29" i="8" s="1"/>
  <c r="AM21" i="8"/>
  <c r="AN21" i="8" s="1"/>
  <c r="AM18" i="8"/>
  <c r="AN18" i="8" s="1"/>
  <c r="AM15" i="8"/>
  <c r="AN15" i="8" s="1"/>
  <c r="AJ11" i="11" l="1"/>
  <c r="AJ24" i="11" s="1"/>
  <c r="AN81" i="8" l="1"/>
  <c r="AM81" i="8"/>
  <c r="AL8" i="8"/>
  <c r="AM8" i="8" s="1"/>
  <c r="AM20" i="8"/>
  <c r="AN20" i="8"/>
  <c r="AM24" i="8" l="1"/>
  <c r="AN24" i="8"/>
  <c r="AM64" i="8"/>
  <c r="AN64" i="8"/>
  <c r="AM65" i="8"/>
  <c r="AN65" i="8"/>
  <c r="AM66" i="8"/>
  <c r="AN66" i="8"/>
  <c r="AM67" i="8"/>
  <c r="AN67" i="8"/>
  <c r="AM68" i="8"/>
  <c r="AN68" i="8"/>
  <c r="AM69" i="8"/>
  <c r="AN69" i="8"/>
  <c r="AM57" i="8"/>
  <c r="AN57" i="8"/>
  <c r="AM58" i="8"/>
  <c r="AN58" i="8"/>
  <c r="AM54" i="8"/>
  <c r="AN54" i="8"/>
  <c r="AM55" i="8"/>
  <c r="AM61" i="8" s="1"/>
  <c r="AN55" i="8"/>
  <c r="AN61" i="8" s="1"/>
  <c r="AN62" i="8" s="1"/>
  <c r="AM51" i="8"/>
  <c r="AN51" i="8"/>
  <c r="AM52" i="8"/>
  <c r="AI12" i="10" s="1"/>
  <c r="AN52" i="8"/>
  <c r="AJ12" i="10" s="1"/>
  <c r="AM45" i="8"/>
  <c r="AN45" i="8"/>
  <c r="AM46" i="8"/>
  <c r="AN46" i="8"/>
  <c r="AM42" i="8"/>
  <c r="AN42" i="8"/>
  <c r="AM43" i="8"/>
  <c r="AN43" i="8"/>
  <c r="AM37" i="8"/>
  <c r="AN37" i="8"/>
  <c r="AM38" i="8"/>
  <c r="AN38" i="8"/>
  <c r="AN40" i="8" s="1"/>
  <c r="AM19" i="8"/>
  <c r="AN19" i="8"/>
  <c r="AL69" i="8"/>
  <c r="AK69" i="8"/>
  <c r="AJ69" i="8"/>
  <c r="AI69" i="8"/>
  <c r="AH69" i="8"/>
  <c r="AG69" i="8"/>
  <c r="AF69" i="8"/>
  <c r="AL68" i="8"/>
  <c r="AK68" i="8"/>
  <c r="AJ68" i="8"/>
  <c r="AI68" i="8"/>
  <c r="AH68" i="8"/>
  <c r="AG68" i="8"/>
  <c r="AF68" i="8"/>
  <c r="AL67" i="8"/>
  <c r="AK67" i="8"/>
  <c r="AJ67" i="8"/>
  <c r="AI67" i="8"/>
  <c r="AH67" i="8"/>
  <c r="AG67" i="8"/>
  <c r="AF67" i="8"/>
  <c r="AL66" i="8"/>
  <c r="AK66" i="8"/>
  <c r="AJ66" i="8"/>
  <c r="AI66" i="8"/>
  <c r="AH66" i="8"/>
  <c r="AG66" i="8"/>
  <c r="AF66" i="8"/>
  <c r="AL65" i="8"/>
  <c r="AK65" i="8"/>
  <c r="AJ65" i="8"/>
  <c r="AI65" i="8"/>
  <c r="AH65" i="8"/>
  <c r="AG65" i="8"/>
  <c r="AF65" i="8"/>
  <c r="AL64" i="8"/>
  <c r="AK64" i="8"/>
  <c r="AJ64" i="8"/>
  <c r="AI64" i="8"/>
  <c r="AH64" i="8"/>
  <c r="AG64" i="8"/>
  <c r="AF64" i="8"/>
  <c r="AL58" i="8"/>
  <c r="AK58" i="8"/>
  <c r="AJ58" i="8"/>
  <c r="AI58" i="8"/>
  <c r="AH58" i="8"/>
  <c r="AG58" i="8"/>
  <c r="AF58" i="8"/>
  <c r="AL57" i="8"/>
  <c r="AK57" i="8"/>
  <c r="AJ57" i="8"/>
  <c r="AI57" i="8"/>
  <c r="AH57" i="8"/>
  <c r="AG57" i="8"/>
  <c r="AF57" i="8"/>
  <c r="AL55" i="8"/>
  <c r="AK55" i="8"/>
  <c r="AJ55" i="8"/>
  <c r="AI55" i="8"/>
  <c r="AH55" i="8"/>
  <c r="AG55" i="8"/>
  <c r="AF55" i="8"/>
  <c r="AL54" i="8"/>
  <c r="AK54" i="8"/>
  <c r="AJ54" i="8"/>
  <c r="AI54" i="8"/>
  <c r="AH54" i="8"/>
  <c r="AG54" i="8"/>
  <c r="AF54" i="8"/>
  <c r="AL52" i="8"/>
  <c r="AK52" i="8"/>
  <c r="AJ52" i="8"/>
  <c r="AI52" i="8"/>
  <c r="AH52" i="8"/>
  <c r="AG52" i="8"/>
  <c r="AF52" i="8"/>
  <c r="AL51" i="8"/>
  <c r="AK51" i="8"/>
  <c r="AJ51" i="8"/>
  <c r="AI51" i="8"/>
  <c r="AH51" i="8"/>
  <c r="AG51" i="8"/>
  <c r="AF51" i="8"/>
  <c r="AL46" i="8"/>
  <c r="AK46" i="8"/>
  <c r="AK44" i="8" s="1"/>
  <c r="AJ46" i="8"/>
  <c r="AI46" i="8"/>
  <c r="AH46" i="8"/>
  <c r="AG46" i="8"/>
  <c r="AF46" i="8"/>
  <c r="AL45" i="8"/>
  <c r="AK45" i="8"/>
  <c r="AJ45" i="8"/>
  <c r="AJ48" i="8" s="1"/>
  <c r="AI45" i="8"/>
  <c r="AH45" i="8"/>
  <c r="AG45" i="8"/>
  <c r="AF45" i="8"/>
  <c r="AL43" i="8"/>
  <c r="AK43" i="8"/>
  <c r="AJ43" i="8"/>
  <c r="AI43" i="8"/>
  <c r="AH43" i="8"/>
  <c r="AG43" i="8"/>
  <c r="AF43" i="8"/>
  <c r="AL42" i="8"/>
  <c r="AK42" i="8"/>
  <c r="AJ42" i="8"/>
  <c r="AI42" i="8"/>
  <c r="AH42" i="8"/>
  <c r="AG42" i="8"/>
  <c r="AF42" i="8"/>
  <c r="AL38" i="8"/>
  <c r="AK38" i="8"/>
  <c r="AJ38" i="8"/>
  <c r="AI38" i="8"/>
  <c r="AH38" i="8"/>
  <c r="AG38" i="8"/>
  <c r="AF38" i="8"/>
  <c r="AF40" i="8" s="1"/>
  <c r="AL37" i="8"/>
  <c r="AK37" i="8"/>
  <c r="AJ37" i="8"/>
  <c r="AI37" i="8"/>
  <c r="AH37" i="8"/>
  <c r="AG37" i="8"/>
  <c r="AH39" i="8" s="1"/>
  <c r="AF37" i="8"/>
  <c r="AF39" i="8" s="1"/>
  <c r="AL19" i="8"/>
  <c r="AK19" i="8"/>
  <c r="AJ19" i="8"/>
  <c r="AI19" i="8"/>
  <c r="AH19" i="8"/>
  <c r="AG19" i="8"/>
  <c r="AF19" i="8"/>
  <c r="AE19" i="8"/>
  <c r="AN50" i="8" l="1"/>
  <c r="AN13" i="8" s="1"/>
  <c r="AJ12" i="9"/>
  <c r="AN56" i="8"/>
  <c r="AJ41" i="8"/>
  <c r="AK56" i="8"/>
  <c r="AM50" i="8"/>
  <c r="AM13" i="8" s="1"/>
  <c r="AI12" i="9"/>
  <c r="AN70" i="8"/>
  <c r="AM44" i="8"/>
  <c r="AM70" i="8"/>
  <c r="AM40" i="8"/>
  <c r="AN16" i="8"/>
  <c r="AN14" i="8" s="1"/>
  <c r="AN39" i="8"/>
  <c r="AN44" i="8"/>
  <c r="AN53" i="8"/>
  <c r="AN60" i="8"/>
  <c r="AJ60" i="8"/>
  <c r="AN49" i="8"/>
  <c r="AM16" i="8"/>
  <c r="AM14" i="8" s="1"/>
  <c r="AM39" i="8"/>
  <c r="AM60" i="8"/>
  <c r="AM53" i="8"/>
  <c r="AM49" i="8"/>
  <c r="AN48" i="8"/>
  <c r="AN41" i="8"/>
  <c r="AM48" i="8"/>
  <c r="AM41" i="8"/>
  <c r="AM56" i="8"/>
  <c r="AM25" i="8"/>
  <c r="AM17" i="8"/>
  <c r="AL44" i="8"/>
  <c r="AN17" i="8"/>
  <c r="AJ40" i="8"/>
  <c r="AK41" i="8"/>
  <c r="AG50" i="8"/>
  <c r="AG13" i="8" s="1"/>
  <c r="AG12" i="8" s="1"/>
  <c r="AI60" i="8"/>
  <c r="AL40" i="8"/>
  <c r="AL48" i="8"/>
  <c r="AG44" i="8"/>
  <c r="AI50" i="8"/>
  <c r="AI13" i="8" s="1"/>
  <c r="AK53" i="8"/>
  <c r="AH56" i="8"/>
  <c r="AF56" i="8"/>
  <c r="AG41" i="8"/>
  <c r="AH49" i="8"/>
  <c r="AL53" i="8"/>
  <c r="AI49" i="8"/>
  <c r="AL56" i="8"/>
  <c r="AK48" i="8"/>
  <c r="AG49" i="8"/>
  <c r="AI44" i="8"/>
  <c r="AL49" i="8"/>
  <c r="AI56" i="8"/>
  <c r="AJ56" i="8"/>
  <c r="AJ39" i="8"/>
  <c r="AF44" i="8"/>
  <c r="AK39" i="8"/>
  <c r="AL61" i="8"/>
  <c r="AM62" i="8" s="1"/>
  <c r="AK61" i="8"/>
  <c r="AK49" i="8"/>
  <c r="AL60" i="8"/>
  <c r="AG39" i="8"/>
  <c r="AJ53" i="8"/>
  <c r="AJ59" i="8" s="1"/>
  <c r="AH50" i="8"/>
  <c r="AH13" i="8" s="1"/>
  <c r="AL41" i="8"/>
  <c r="AK40" i="8"/>
  <c r="AI39" i="8"/>
  <c r="AF61" i="8"/>
  <c r="AK60" i="8"/>
  <c r="AK50" i="8"/>
  <c r="AK13" i="8" s="1"/>
  <c r="AI48" i="8"/>
  <c r="AI47" i="8" s="1"/>
  <c r="AJ50" i="8"/>
  <c r="AJ13" i="8" s="1"/>
  <c r="AH61" i="8"/>
  <c r="AG61" i="8"/>
  <c r="AH44" i="8"/>
  <c r="AF41" i="8"/>
  <c r="AL50" i="8"/>
  <c r="AL13" i="8" s="1"/>
  <c r="AF50" i="8"/>
  <c r="AF13" i="8" s="1"/>
  <c r="AF12" i="8" s="1"/>
  <c r="AI53" i="8"/>
  <c r="AH40" i="8"/>
  <c r="AH60" i="8"/>
  <c r="AJ44" i="8"/>
  <c r="AI41" i="8"/>
  <c r="AG40" i="8"/>
  <c r="AF60" i="8"/>
  <c r="AG56" i="8"/>
  <c r="AI61" i="8"/>
  <c r="AG53" i="8"/>
  <c r="AH41" i="8"/>
  <c r="AL39" i="8"/>
  <c r="AI40" i="8"/>
  <c r="AJ61" i="8"/>
  <c r="AJ49" i="8"/>
  <c r="AJ47" i="8" s="1"/>
  <c r="AH48" i="8"/>
  <c r="AG60" i="8"/>
  <c r="AG48" i="8"/>
  <c r="AH53" i="8"/>
  <c r="AF53" i="8"/>
  <c r="AF48" i="8"/>
  <c r="AF49" i="8"/>
  <c r="AF59" i="8" l="1"/>
  <c r="AK59" i="8"/>
  <c r="AN59" i="8"/>
  <c r="AM59" i="8"/>
  <c r="AM47" i="8"/>
  <c r="AN25" i="8"/>
  <c r="AN23" i="8"/>
  <c r="AH59" i="8"/>
  <c r="AH47" i="8"/>
  <c r="AM23" i="8"/>
  <c r="AN47" i="8"/>
  <c r="AI59" i="8"/>
  <c r="AL47" i="8"/>
  <c r="AG47" i="8"/>
  <c r="AL59" i="8"/>
  <c r="AK47" i="8"/>
  <c r="AL62" i="8"/>
  <c r="AI62" i="8"/>
  <c r="AG62" i="8"/>
  <c r="AJ62" i="8"/>
  <c r="AH62" i="8"/>
  <c r="AG59" i="8"/>
  <c r="AK62" i="8"/>
  <c r="AF47" i="8"/>
  <c r="AK8" i="8" l="1"/>
  <c r="AK104" i="8" l="1"/>
  <c r="AJ104" i="8"/>
  <c r="AI83" i="8" l="1"/>
  <c r="AH83" i="8"/>
  <c r="AG83" i="8"/>
  <c r="AI82" i="8"/>
  <c r="AH82" i="8"/>
  <c r="AG82" i="8"/>
  <c r="AL81" i="8"/>
  <c r="AK81" i="8"/>
  <c r="AJ81" i="8"/>
  <c r="AI81" i="8"/>
  <c r="AH81" i="8"/>
  <c r="AG81" i="8"/>
  <c r="AF81" i="8"/>
  <c r="AE81" i="8"/>
  <c r="AL80" i="8"/>
  <c r="AK80" i="8"/>
  <c r="AJ80" i="8"/>
  <c r="AI80" i="8"/>
  <c r="AH80" i="8"/>
  <c r="AG80" i="8"/>
  <c r="AL11" i="8"/>
  <c r="AL12" i="8" s="1"/>
  <c r="AK11" i="8"/>
  <c r="AK12" i="8" s="1"/>
  <c r="AJ11" i="8"/>
  <c r="AJ12" i="8" s="1"/>
  <c r="AI11" i="8"/>
  <c r="AI12" i="8" s="1"/>
  <c r="AH11" i="8"/>
  <c r="AH12" i="8" s="1"/>
  <c r="AH100" i="8"/>
  <c r="AK100" i="8" l="1"/>
  <c r="AJ100" i="8"/>
  <c r="AI100" i="8"/>
  <c r="AG100" i="8"/>
  <c r="AK98" i="8"/>
  <c r="AJ98" i="8"/>
  <c r="AK97" i="8"/>
  <c r="AI97" i="8"/>
  <c r="AI102" i="8" s="1"/>
  <c r="AI103" i="8" s="1"/>
  <c r="AH97" i="8"/>
  <c r="AG97" i="8"/>
  <c r="AK96" i="8"/>
  <c r="AJ96" i="8"/>
  <c r="AI96" i="8"/>
  <c r="AH96" i="8"/>
  <c r="AH102" i="8" s="1"/>
  <c r="AH103" i="8" s="1"/>
  <c r="AG102" i="8" l="1"/>
  <c r="AG103" i="8" s="1"/>
  <c r="AJ102" i="8"/>
  <c r="AJ103" i="8" s="1"/>
  <c r="AJ83" i="8"/>
  <c r="AJ82" i="8"/>
  <c r="AK102" i="8"/>
  <c r="AK82" i="8" s="1"/>
  <c r="AH32" i="11"/>
  <c r="AH16" i="11"/>
  <c r="AH17" i="11" s="1"/>
  <c r="AH16" i="10"/>
  <c r="AH16" i="9"/>
  <c r="AH17" i="9" s="1"/>
  <c r="AH12" i="10"/>
  <c r="AH12" i="9"/>
  <c r="AL17" i="8"/>
  <c r="AL24" i="8"/>
  <c r="AL20" i="8"/>
  <c r="AK103" i="8" l="1"/>
  <c r="AK83" i="8"/>
  <c r="AL83" i="8" s="1"/>
  <c r="AL82" i="8"/>
  <c r="AH25" i="9"/>
  <c r="AL70" i="8"/>
  <c r="AH25" i="10"/>
  <c r="AH17" i="10"/>
  <c r="AL16" i="8"/>
  <c r="AG16" i="11"/>
  <c r="AG16" i="10"/>
  <c r="AG16" i="9"/>
  <c r="AM83" i="8" l="1"/>
  <c r="AN83" i="8" s="1"/>
  <c r="AM82" i="8"/>
  <c r="AN82" i="8"/>
  <c r="AL25" i="8"/>
  <c r="AL14" i="8"/>
  <c r="AJ9" i="8"/>
  <c r="AK9" i="8" s="1"/>
  <c r="AL9" i="8" s="1"/>
  <c r="AM9" i="8" s="1"/>
  <c r="AI9" i="8"/>
  <c r="AJ8" i="8"/>
  <c r="AI8" i="8"/>
  <c r="AJ7" i="8"/>
  <c r="AK7" i="8" s="1"/>
  <c r="AI7" i="8"/>
  <c r="AN8" i="8" l="1"/>
  <c r="AM10" i="8"/>
  <c r="AI10" i="11" s="1"/>
  <c r="AI23" i="11" s="1"/>
  <c r="AN9" i="8"/>
  <c r="AN10" i="8" s="1"/>
  <c r="AJ10" i="11" s="1"/>
  <c r="AJ23" i="11" s="1"/>
  <c r="AL10" i="8"/>
  <c r="AL7" i="8"/>
  <c r="AM7" i="8" s="1"/>
  <c r="AM84" i="8" s="1"/>
  <c r="AM35" i="8" s="1"/>
  <c r="AK84" i="8"/>
  <c r="AL23" i="8"/>
  <c r="AG12" i="10"/>
  <c r="AG25" i="10" s="1"/>
  <c r="AG12" i="9"/>
  <c r="AK24" i="8"/>
  <c r="AK20" i="8"/>
  <c r="AK17" i="8"/>
  <c r="AM6" i="8" l="1"/>
  <c r="AN7" i="8"/>
  <c r="AG25" i="9"/>
  <c r="AH15" i="9"/>
  <c r="AK16" i="8"/>
  <c r="AK14" i="8" s="1"/>
  <c r="AK70" i="8"/>
  <c r="AG91" i="8"/>
  <c r="AH91" i="8"/>
  <c r="AI91" i="8"/>
  <c r="AF91" i="8"/>
  <c r="AN6" i="8" l="1"/>
  <c r="AN84" i="8"/>
  <c r="AN35" i="8" s="1"/>
  <c r="AK25" i="8"/>
  <c r="AK23" i="8"/>
  <c r="AJ20" i="8"/>
  <c r="AJ24" i="8" l="1"/>
  <c r="AJ17" i="8" l="1"/>
  <c r="AQ7" i="8"/>
  <c r="AH9" i="8" l="1"/>
  <c r="AH8" i="8"/>
  <c r="AH7" i="8"/>
  <c r="AJ70" i="8" l="1"/>
  <c r="AJ16" i="8"/>
  <c r="AJ14" i="8" s="1"/>
  <c r="AF16" i="10"/>
  <c r="AG17" i="10" s="1"/>
  <c r="AF12" i="10"/>
  <c r="AF16" i="11"/>
  <c r="AG17" i="11" s="1"/>
  <c r="AF16" i="9"/>
  <c r="AG17" i="9" s="1"/>
  <c r="AF12" i="9"/>
  <c r="AG15" i="9" s="1"/>
  <c r="AJ23" i="8" l="1"/>
  <c r="AJ25" i="8"/>
  <c r="AF25" i="10"/>
  <c r="AF25" i="9"/>
  <c r="T32" i="20"/>
  <c r="C25" i="20"/>
  <c r="B25" i="20"/>
  <c r="C24" i="20"/>
  <c r="B24" i="20"/>
  <c r="C23" i="20"/>
  <c r="B23" i="20"/>
  <c r="C22" i="20"/>
  <c r="B22" i="20"/>
  <c r="C17" i="20"/>
  <c r="BH16" i="20"/>
  <c r="CE15" i="20"/>
  <c r="B14" i="20"/>
  <c r="C8" i="20" s="1"/>
  <c r="BU12" i="20"/>
  <c r="BT12" i="20"/>
  <c r="BS12" i="20"/>
  <c r="BR12" i="20"/>
  <c r="BQ12" i="20"/>
  <c r="BP12" i="20"/>
  <c r="BO12" i="20"/>
  <c r="BN12" i="20"/>
  <c r="BM12" i="20"/>
  <c r="BL12" i="20"/>
  <c r="BK12" i="20"/>
  <c r="BJ12" i="20"/>
  <c r="BI12" i="20"/>
  <c r="BH12" i="20"/>
  <c r="BY11" i="20"/>
  <c r="BX11" i="20"/>
  <c r="BW11" i="20"/>
  <c r="BV11" i="20"/>
  <c r="BU11" i="20"/>
  <c r="BT11" i="20"/>
  <c r="BS11" i="20"/>
  <c r="BR11" i="20"/>
  <c r="BQ11" i="20"/>
  <c r="BP11" i="20"/>
  <c r="BO11" i="20"/>
  <c r="BN11" i="20"/>
  <c r="BM11" i="20"/>
  <c r="BL11" i="20"/>
  <c r="BK11" i="20"/>
  <c r="BJ11" i="20"/>
  <c r="BI11" i="20"/>
  <c r="BH11" i="20"/>
  <c r="BY10" i="20"/>
  <c r="BX10" i="20"/>
  <c r="BW10" i="20"/>
  <c r="BV10" i="20"/>
  <c r="BU10" i="20"/>
  <c r="BT10" i="20"/>
  <c r="BS10" i="20"/>
  <c r="BR10" i="20"/>
  <c r="BQ10" i="20"/>
  <c r="BP10" i="20"/>
  <c r="BO10" i="20"/>
  <c r="BN10" i="20"/>
  <c r="BM10" i="20"/>
  <c r="BL10" i="20"/>
  <c r="BK10" i="20"/>
  <c r="BJ10" i="20"/>
  <c r="BI10" i="20"/>
  <c r="BH10" i="20"/>
  <c r="BY9" i="20"/>
  <c r="BX9" i="20"/>
  <c r="BW9" i="20"/>
  <c r="BV9" i="20"/>
  <c r="BU9" i="20"/>
  <c r="BT9" i="20"/>
  <c r="BS9" i="20"/>
  <c r="BR9" i="20"/>
  <c r="BQ9" i="20"/>
  <c r="BP9" i="20"/>
  <c r="BO9" i="20"/>
  <c r="BN9" i="20"/>
  <c r="BM9" i="20"/>
  <c r="BL9" i="20"/>
  <c r="BK9" i="20"/>
  <c r="BJ9" i="20"/>
  <c r="BI9" i="20"/>
  <c r="BH9" i="20"/>
  <c r="BI5" i="20"/>
  <c r="BJ5" i="20" s="1"/>
  <c r="BK5" i="20" s="1"/>
  <c r="BL5" i="20" s="1"/>
  <c r="BM5" i="20" s="1"/>
  <c r="BN5" i="20" s="1"/>
  <c r="BO5" i="20" s="1"/>
  <c r="BP5" i="20" s="1"/>
  <c r="BQ5" i="20" s="1"/>
  <c r="BR5" i="20" s="1"/>
  <c r="BS5" i="20" s="1"/>
  <c r="BT5" i="20" s="1"/>
  <c r="BU5" i="20" s="1"/>
  <c r="BV5" i="20" s="1"/>
  <c r="BW5" i="20" s="1"/>
  <c r="BX5" i="20" s="1"/>
  <c r="BZ11" i="20" l="1"/>
  <c r="U11" i="20" s="1"/>
  <c r="B13" i="20"/>
  <c r="B26" i="20" s="1"/>
  <c r="C27" i="20"/>
  <c r="BH8" i="20"/>
  <c r="B28" i="20"/>
  <c r="C21" i="20" s="1"/>
  <c r="C28" i="20" s="1"/>
  <c r="C14" i="20"/>
  <c r="D8" i="20" s="1"/>
  <c r="BI8" i="20" s="1"/>
  <c r="CA11" i="20" l="1"/>
  <c r="V11" i="20" s="1"/>
  <c r="C13" i="20"/>
  <c r="BH13" i="20" s="1"/>
  <c r="C15" i="20"/>
  <c r="D14" i="20"/>
  <c r="D13" i="20" s="1"/>
  <c r="BH14" i="20"/>
  <c r="CB11" i="20"/>
  <c r="CC11" i="20" s="1"/>
  <c r="C30" i="20"/>
  <c r="D21" i="20"/>
  <c r="E8" i="20" l="1"/>
  <c r="D15" i="20"/>
  <c r="BI14" i="20"/>
  <c r="C26" i="20"/>
  <c r="E14" i="20"/>
  <c r="BJ8" i="20"/>
  <c r="W11" i="20"/>
  <c r="CD11" i="20"/>
  <c r="CE11" i="20" s="1"/>
  <c r="CF11" i="20" s="1"/>
  <c r="CG11" i="20" s="1"/>
  <c r="BI13" i="20"/>
  <c r="AG15" i="8"/>
  <c r="AI16" i="8"/>
  <c r="BJ14" i="20" l="1"/>
  <c r="E15" i="20"/>
  <c r="E13" i="20"/>
  <c r="F8" i="20"/>
  <c r="BK8" i="20" l="1"/>
  <c r="F14" i="20"/>
  <c r="BJ13" i="20"/>
  <c r="AE16" i="9"/>
  <c r="AF17" i="9" s="1"/>
  <c r="AE12" i="9"/>
  <c r="AF15" i="9" s="1"/>
  <c r="AE16" i="10"/>
  <c r="AF17" i="10" s="1"/>
  <c r="AE12" i="10"/>
  <c r="AE16" i="11"/>
  <c r="AF17" i="11" s="1"/>
  <c r="AI70" i="8"/>
  <c r="AI25" i="8"/>
  <c r="AE25" i="10" l="1"/>
  <c r="F15" i="20"/>
  <c r="F13" i="20"/>
  <c r="BK14" i="20"/>
  <c r="G8" i="20"/>
  <c r="AE25" i="9"/>
  <c r="BK13" i="20" l="1"/>
  <c r="BL8" i="20"/>
  <c r="G14" i="20"/>
  <c r="T32" i="11"/>
  <c r="U32" i="11" s="1"/>
  <c r="V32" i="11" s="1"/>
  <c r="W32" i="11" s="1"/>
  <c r="X32" i="11" s="1"/>
  <c r="Y32" i="11" s="1"/>
  <c r="Z32" i="11" s="1"/>
  <c r="BJ68" i="8"/>
  <c r="AA32" i="11" l="1"/>
  <c r="AB32" i="11" s="1"/>
  <c r="AC32" i="11" s="1"/>
  <c r="AD32" i="11" s="1"/>
  <c r="AE32" i="11" s="1"/>
  <c r="AF32" i="11" s="1"/>
  <c r="AG32" i="11" s="1"/>
  <c r="G13" i="20"/>
  <c r="BL14" i="20"/>
  <c r="G15" i="20"/>
  <c r="H8" i="20"/>
  <c r="AI84" i="8" l="1"/>
  <c r="BL13" i="20"/>
  <c r="H14" i="20"/>
  <c r="BM8" i="20"/>
  <c r="AI6" i="8"/>
  <c r="AJ84" i="8" l="1"/>
  <c r="AJ35" i="8" s="1"/>
  <c r="AJ6" i="8"/>
  <c r="I8" i="20"/>
  <c r="H15" i="20"/>
  <c r="H13" i="20"/>
  <c r="BM14" i="20"/>
  <c r="AL6" i="8" l="1"/>
  <c r="AK6" i="8"/>
  <c r="BM13" i="20"/>
  <c r="I14" i="20"/>
  <c r="BN8" i="20"/>
  <c r="BJ83" i="8"/>
  <c r="BJ82" i="8"/>
  <c r="BJ81" i="8"/>
  <c r="BJ80" i="8"/>
  <c r="BN14" i="20" l="1"/>
  <c r="I13" i="20"/>
  <c r="I15" i="20"/>
  <c r="J8" i="20"/>
  <c r="AG21" i="8"/>
  <c r="J14" i="20" l="1"/>
  <c r="BO8" i="20"/>
  <c r="BN13" i="20"/>
  <c r="AG18" i="8"/>
  <c r="AG3" i="8"/>
  <c r="AG2" i="8"/>
  <c r="AG9" i="8"/>
  <c r="AG8" i="8"/>
  <c r="AG7" i="8"/>
  <c r="K8" i="20" l="1"/>
  <c r="J15" i="20"/>
  <c r="J13" i="20"/>
  <c r="BO14" i="20"/>
  <c r="BO13" i="20" l="1"/>
  <c r="K14" i="20"/>
  <c r="BP8" i="20"/>
  <c r="BP14" i="20" l="1"/>
  <c r="K13" i="20"/>
  <c r="L8" i="20"/>
  <c r="K15" i="20"/>
  <c r="AD16" i="10"/>
  <c r="AE17" i="10" s="1"/>
  <c r="AD16" i="9"/>
  <c r="AE17" i="9" s="1"/>
  <c r="BP13" i="20" l="1"/>
  <c r="BQ8" i="20"/>
  <c r="L14" i="20"/>
  <c r="AD12" i="10"/>
  <c r="AD25" i="10" s="1"/>
  <c r="AD12" i="9"/>
  <c r="BQ14" i="20" l="1"/>
  <c r="L15" i="20"/>
  <c r="M8" i="20"/>
  <c r="L13" i="20"/>
  <c r="AD25" i="9"/>
  <c r="AE15" i="9"/>
  <c r="BQ13" i="20" l="1"/>
  <c r="M14" i="20"/>
  <c r="BR8" i="20"/>
  <c r="AH70" i="8"/>
  <c r="BR14" i="20" l="1"/>
  <c r="M15" i="20"/>
  <c r="M13" i="20"/>
  <c r="N8" i="20"/>
  <c r="AH16" i="8"/>
  <c r="AI17" i="8"/>
  <c r="AH25" i="8" l="1"/>
  <c r="BR13" i="20"/>
  <c r="BS8" i="20"/>
  <c r="N14" i="20"/>
  <c r="Z84" i="8"/>
  <c r="AC7" i="8"/>
  <c r="AC84" i="8" s="1"/>
  <c r="AC35" i="8" s="1"/>
  <c r="AB7" i="8"/>
  <c r="AB84" i="8" s="1"/>
  <c r="AB35" i="8" s="1"/>
  <c r="AA7" i="8"/>
  <c r="AA84" i="8" s="1"/>
  <c r="AA35" i="8" s="1"/>
  <c r="AD7" i="8"/>
  <c r="X11" i="20" l="1"/>
  <c r="N15" i="20"/>
  <c r="N13" i="20"/>
  <c r="BS14" i="20"/>
  <c r="O8" i="20"/>
  <c r="AF28" i="8"/>
  <c r="AD28" i="8"/>
  <c r="AD84" i="8" s="1"/>
  <c r="AD35" i="8" s="1"/>
  <c r="AE29" i="8"/>
  <c r="AC2" i="8"/>
  <c r="AL84" i="8" l="1"/>
  <c r="AL35" i="8" s="1"/>
  <c r="BS13" i="20"/>
  <c r="O14" i="20"/>
  <c r="BT8" i="20"/>
  <c r="AA83" i="8"/>
  <c r="AB81" i="8"/>
  <c r="G50" i="19"/>
  <c r="AD82" i="8" s="1"/>
  <c r="J50" i="19"/>
  <c r="J51" i="19" s="1"/>
  <c r="I50" i="19"/>
  <c r="I51" i="19" s="1"/>
  <c r="AF83" i="8" s="1"/>
  <c r="H50" i="19"/>
  <c r="H51" i="19" s="1"/>
  <c r="AE83" i="8" s="1"/>
  <c r="F50" i="19"/>
  <c r="F51" i="19" s="1"/>
  <c r="AC83" i="8" s="1"/>
  <c r="E50" i="19"/>
  <c r="E51" i="19" s="1"/>
  <c r="AB83" i="8" s="1"/>
  <c r="D50" i="19"/>
  <c r="AA82" i="8" s="1"/>
  <c r="C50" i="19"/>
  <c r="AK35" i="8" l="1"/>
  <c r="O13" i="20"/>
  <c r="BT14" i="20"/>
  <c r="P8" i="20"/>
  <c r="O15" i="20"/>
  <c r="AC82" i="8"/>
  <c r="AE82" i="8"/>
  <c r="G51" i="19"/>
  <c r="AD83" i="8" s="1"/>
  <c r="AB82" i="8"/>
  <c r="AF82" i="8"/>
  <c r="AD6" i="8"/>
  <c r="I46" i="18"/>
  <c r="I47" i="18" s="1"/>
  <c r="H46" i="18"/>
  <c r="H47" i="18" s="1"/>
  <c r="G46" i="18"/>
  <c r="G47" i="18" s="1"/>
  <c r="F46" i="18"/>
  <c r="F47" i="18" s="1"/>
  <c r="AD81" i="8" s="1"/>
  <c r="E46" i="18"/>
  <c r="E47" i="18" s="1"/>
  <c r="AC81" i="8" s="1"/>
  <c r="D46" i="18"/>
  <c r="AB80" i="8" s="1"/>
  <c r="C46" i="18"/>
  <c r="B46" i="18"/>
  <c r="P14" i="20" l="1"/>
  <c r="BU8" i="20"/>
  <c r="BT13" i="20"/>
  <c r="AC80" i="8"/>
  <c r="AD80" i="8"/>
  <c r="AG84" i="8"/>
  <c r="Q8" i="20" l="1"/>
  <c r="P15" i="20"/>
  <c r="BU14" i="20"/>
  <c r="P13" i="20"/>
  <c r="AH6" i="8"/>
  <c r="BU13" i="20" l="1"/>
  <c r="BV8" i="20"/>
  <c r="AH84" i="8"/>
  <c r="AH35" i="8" s="1"/>
  <c r="AI35" i="8"/>
  <c r="BJ84" i="8" l="1"/>
  <c r="AF9" i="8"/>
  <c r="D17" i="17"/>
  <c r="E17" i="17" s="1"/>
  <c r="F17" i="17" s="1"/>
  <c r="G17" i="17" s="1"/>
  <c r="AF7" i="8" l="1"/>
  <c r="AF84" i="8" s="1"/>
  <c r="AF8" i="8"/>
  <c r="AF35" i="8" l="1"/>
  <c r="AH17" i="8"/>
  <c r="M12" i="15"/>
  <c r="AG6" i="8" l="1"/>
  <c r="AG70" i="8"/>
  <c r="AG16" i="8"/>
  <c r="AG17" i="8"/>
  <c r="AG25" i="8" l="1"/>
  <c r="AG35" i="8"/>
  <c r="AA6" i="5"/>
  <c r="AC4" i="5" l="1"/>
  <c r="AC24" i="5"/>
  <c r="AC20" i="5"/>
  <c r="AC21" i="5" s="1"/>
  <c r="AC23" i="5" s="1"/>
  <c r="M11" i="16"/>
  <c r="M13" i="16" s="1"/>
  <c r="M13" i="15"/>
  <c r="M8" i="15"/>
  <c r="M7" i="15"/>
  <c r="M12" i="14"/>
  <c r="M13" i="14" s="1"/>
  <c r="M8" i="14"/>
  <c r="M7" i="14"/>
  <c r="AC12" i="10"/>
  <c r="AC12" i="9"/>
  <c r="AD15" i="9" l="1"/>
  <c r="M9" i="14"/>
  <c r="M9" i="15"/>
  <c r="AC27" i="5"/>
  <c r="AC25" i="5"/>
  <c r="AC28" i="5" l="1"/>
  <c r="AC34" i="5" s="1"/>
  <c r="AC16" i="10" s="1"/>
  <c r="Y56" i="8"/>
  <c r="AD17" i="10" l="1"/>
  <c r="AC33" i="5"/>
  <c r="AC16" i="9" s="1"/>
  <c r="AC25" i="10"/>
  <c r="AC25" i="9" l="1"/>
  <c r="AD17" i="9"/>
  <c r="AX30" i="10"/>
  <c r="AW30" i="10"/>
  <c r="AV30" i="10"/>
  <c r="AU30" i="10"/>
  <c r="AT30" i="10"/>
  <c r="AS30" i="10"/>
  <c r="AR30" i="10"/>
  <c r="AQ30" i="10"/>
  <c r="AP30" i="10"/>
  <c r="AO30" i="10"/>
  <c r="AN30" i="10"/>
  <c r="AX29" i="10"/>
  <c r="AW29" i="10"/>
  <c r="AV29" i="10"/>
  <c r="AU29" i="10"/>
  <c r="AT29" i="10"/>
  <c r="AS29" i="10"/>
  <c r="AR29" i="10"/>
  <c r="AQ29" i="10"/>
  <c r="AP29" i="10"/>
  <c r="AO29" i="10"/>
  <c r="AN29" i="10"/>
  <c r="AX28" i="10"/>
  <c r="AW28" i="10"/>
  <c r="AV28" i="10"/>
  <c r="AU28" i="10"/>
  <c r="AT28" i="10"/>
  <c r="AS28" i="10"/>
  <c r="AR28" i="10"/>
  <c r="AQ28" i="10"/>
  <c r="AP28" i="10"/>
  <c r="AO28" i="10"/>
  <c r="AN28" i="10"/>
  <c r="AX27" i="10"/>
  <c r="AW27" i="10"/>
  <c r="AV27" i="10"/>
  <c r="AU27" i="10"/>
  <c r="AT27" i="10"/>
  <c r="AS27" i="10"/>
  <c r="AR27" i="10"/>
  <c r="AQ27" i="10"/>
  <c r="AP27" i="10"/>
  <c r="AO27" i="10"/>
  <c r="AN27" i="10"/>
  <c r="AX26" i="10"/>
  <c r="AW26" i="10"/>
  <c r="AV26" i="10"/>
  <c r="AU26" i="10"/>
  <c r="AT26" i="10"/>
  <c r="AS26" i="10"/>
  <c r="AR26" i="10"/>
  <c r="AQ26" i="10"/>
  <c r="AP26" i="10"/>
  <c r="AO26" i="10"/>
  <c r="AN26" i="10"/>
  <c r="AX25" i="10"/>
  <c r="AW25" i="10"/>
  <c r="AV25" i="10"/>
  <c r="AU25" i="10"/>
  <c r="AT25" i="10"/>
  <c r="AS25" i="10"/>
  <c r="AR25" i="10"/>
  <c r="AQ25" i="10"/>
  <c r="AP25" i="10"/>
  <c r="AO25" i="10"/>
  <c r="AN25" i="10"/>
  <c r="AX36" i="10" l="1"/>
  <c r="AX40" i="10"/>
  <c r="AX39" i="10"/>
  <c r="AX35" i="10"/>
  <c r="AX37" i="10"/>
  <c r="AX38" i="10"/>
  <c r="AX31" i="10"/>
  <c r="AE7" i="8" l="1"/>
  <c r="AE84" i="8" l="1"/>
  <c r="AE35" i="8" s="1"/>
  <c r="AE6" i="8"/>
  <c r="AF6" i="8"/>
  <c r="AE8" i="8"/>
  <c r="AD8" i="8"/>
  <c r="AE9" i="8"/>
  <c r="AD9" i="8"/>
  <c r="AB4" i="5" l="1"/>
  <c r="AB14" i="5" s="1"/>
  <c r="AU21" i="8"/>
  <c r="AT21" i="8"/>
  <c r="AQ21" i="8"/>
  <c r="AU18" i="8"/>
  <c r="AT18" i="8"/>
  <c r="AQ18" i="8"/>
  <c r="AU15" i="8"/>
  <c r="AT15" i="8"/>
  <c r="AQ15" i="8"/>
  <c r="AU9" i="8"/>
  <c r="AT9" i="8"/>
  <c r="AE30" i="8"/>
  <c r="AD30" i="8"/>
  <c r="AE17" i="8"/>
  <c r="AF17" i="8"/>
  <c r="AD17" i="8"/>
  <c r="AD24" i="8"/>
  <c r="AD20" i="8"/>
  <c r="AE20" i="8"/>
  <c r="AE10" i="8"/>
  <c r="AD10" i="8"/>
  <c r="AT8" i="8" l="1"/>
  <c r="AU8" i="8"/>
  <c r="AE61" i="8"/>
  <c r="AF62" i="8" s="1"/>
  <c r="AW22" i="8"/>
  <c r="AW26" i="8"/>
  <c r="AW27" i="8"/>
  <c r="AU19" i="8"/>
  <c r="AQ11" i="8"/>
  <c r="AR11" i="8"/>
  <c r="AU11" i="8"/>
  <c r="AQ28" i="8"/>
  <c r="AR28" i="8"/>
  <c r="AS28" i="8"/>
  <c r="AT28" i="8"/>
  <c r="AU28" i="8"/>
  <c r="AQ29" i="8"/>
  <c r="AV29" i="8" s="1"/>
  <c r="AW29" i="8" s="1"/>
  <c r="AR29" i="8"/>
  <c r="AS29" i="8"/>
  <c r="AT29" i="8"/>
  <c r="AU29" i="8"/>
  <c r="AQ30" i="8"/>
  <c r="AV30" i="8" s="1"/>
  <c r="AW30" i="8" s="1"/>
  <c r="AR30" i="8"/>
  <c r="AS30" i="8"/>
  <c r="AT30" i="8"/>
  <c r="AU30" i="8"/>
  <c r="AQ31" i="8"/>
  <c r="AV31" i="8" s="1"/>
  <c r="AW31" i="8" s="1"/>
  <c r="AR31" i="8"/>
  <c r="AS31" i="8"/>
  <c r="AT31" i="8"/>
  <c r="AU31" i="8"/>
  <c r="AQ32" i="8"/>
  <c r="AQ33" i="8"/>
  <c r="AT33" i="8"/>
  <c r="AU33" i="8"/>
  <c r="AQ35" i="8"/>
  <c r="AV35" i="8" s="1"/>
  <c r="AW35" i="8" s="1"/>
  <c r="AR35" i="8"/>
  <c r="AS35" i="8"/>
  <c r="AT35" i="8"/>
  <c r="AU35" i="8"/>
  <c r="AQ36" i="8"/>
  <c r="AV36" i="8" s="1"/>
  <c r="AW36" i="8" s="1"/>
  <c r="AR36" i="8"/>
  <c r="AS36" i="8"/>
  <c r="AT36" i="8"/>
  <c r="AU36" i="8"/>
  <c r="AQ37" i="8"/>
  <c r="AR37" i="8"/>
  <c r="AS37" i="8"/>
  <c r="AT37" i="8"/>
  <c r="AU37" i="8"/>
  <c r="AQ38" i="8"/>
  <c r="AR38" i="8"/>
  <c r="AS38" i="8"/>
  <c r="AT38" i="8"/>
  <c r="AU38" i="8"/>
  <c r="AQ42" i="8"/>
  <c r="AR42" i="8"/>
  <c r="AS42" i="8"/>
  <c r="AT42" i="8"/>
  <c r="AU42" i="8"/>
  <c r="AQ43" i="8"/>
  <c r="AR43" i="8"/>
  <c r="AS43" i="8"/>
  <c r="AT43" i="8"/>
  <c r="AU43" i="8"/>
  <c r="AQ45" i="8"/>
  <c r="AR45" i="8"/>
  <c r="AS45" i="8"/>
  <c r="AT45" i="8"/>
  <c r="AU45" i="8"/>
  <c r="AQ46" i="8"/>
  <c r="AR46" i="8"/>
  <c r="AS46" i="8"/>
  <c r="AT46" i="8"/>
  <c r="AU46" i="8"/>
  <c r="AQ51" i="8"/>
  <c r="AR51" i="8"/>
  <c r="AS51" i="8"/>
  <c r="AT51" i="8"/>
  <c r="AU51" i="8"/>
  <c r="AQ52" i="8"/>
  <c r="AR52" i="8"/>
  <c r="AS52" i="8"/>
  <c r="AT52" i="8"/>
  <c r="AU52" i="8"/>
  <c r="AQ54" i="8"/>
  <c r="AR54" i="8"/>
  <c r="AS54" i="8"/>
  <c r="AT54" i="8"/>
  <c r="AU54" i="8"/>
  <c r="AQ55" i="8"/>
  <c r="AR55" i="8"/>
  <c r="AS55" i="8"/>
  <c r="AT55" i="8"/>
  <c r="AU55" i="8"/>
  <c r="AQ57" i="8"/>
  <c r="AR57" i="8"/>
  <c r="AS57" i="8"/>
  <c r="AT57" i="8"/>
  <c r="AU57" i="8"/>
  <c r="AQ58" i="8"/>
  <c r="AR58" i="8"/>
  <c r="AS58" i="8"/>
  <c r="AT58" i="8"/>
  <c r="AU58" i="8"/>
  <c r="AQ63" i="8"/>
  <c r="AV63" i="8" s="1"/>
  <c r="AW63" i="8" s="1"/>
  <c r="AR63" i="8"/>
  <c r="AS63" i="8"/>
  <c r="AT63" i="8"/>
  <c r="AU63" i="8"/>
  <c r="AQ64" i="8"/>
  <c r="AR64" i="8"/>
  <c r="AS64" i="8"/>
  <c r="AT64" i="8"/>
  <c r="AU64" i="8"/>
  <c r="AQ65" i="8"/>
  <c r="AR65" i="8"/>
  <c r="AS65" i="8"/>
  <c r="AT65" i="8"/>
  <c r="AU65" i="8"/>
  <c r="AQ66" i="8"/>
  <c r="AR66" i="8"/>
  <c r="AS66" i="8"/>
  <c r="AT66" i="8"/>
  <c r="AU66" i="8"/>
  <c r="AQ67" i="8"/>
  <c r="AR67" i="8"/>
  <c r="AS67" i="8"/>
  <c r="AT67" i="8"/>
  <c r="AU67" i="8"/>
  <c r="AQ68" i="8"/>
  <c r="AR68" i="8"/>
  <c r="AS68" i="8"/>
  <c r="AT68" i="8"/>
  <c r="AU68" i="8"/>
  <c r="AQ69" i="8"/>
  <c r="AR69" i="8"/>
  <c r="AS69" i="8"/>
  <c r="AT69" i="8"/>
  <c r="AU69" i="8"/>
  <c r="AQ71" i="8"/>
  <c r="AV71" i="8" s="1"/>
  <c r="AW71" i="8" s="1"/>
  <c r="AR71" i="8"/>
  <c r="AS71" i="8"/>
  <c r="AT71" i="8"/>
  <c r="AU71" i="8"/>
  <c r="AQ72" i="8"/>
  <c r="AV72" i="8" s="1"/>
  <c r="AW72" i="8" s="1"/>
  <c r="AR72" i="8"/>
  <c r="AS72" i="8"/>
  <c r="AT72" i="8"/>
  <c r="AU72" i="8"/>
  <c r="AQ73" i="8"/>
  <c r="AV73" i="8" s="1"/>
  <c r="AW73" i="8" s="1"/>
  <c r="AR73" i="8"/>
  <c r="AS73" i="8"/>
  <c r="AT73" i="8"/>
  <c r="AU73" i="8"/>
  <c r="AQ74" i="8"/>
  <c r="AV74" i="8" s="1"/>
  <c r="AW74" i="8" s="1"/>
  <c r="AR74" i="8"/>
  <c r="AS74" i="8"/>
  <c r="AT74" i="8"/>
  <c r="AU74" i="8"/>
  <c r="AQ75" i="8"/>
  <c r="AV75" i="8" s="1"/>
  <c r="AW75" i="8" s="1"/>
  <c r="AR75" i="8"/>
  <c r="AS75" i="8"/>
  <c r="AT75" i="8"/>
  <c r="AU75" i="8"/>
  <c r="AQ76" i="8"/>
  <c r="AV76" i="8" s="1"/>
  <c r="AW76" i="8" s="1"/>
  <c r="AR76" i="8"/>
  <c r="AS76" i="8"/>
  <c r="AT76" i="8"/>
  <c r="AU76" i="8"/>
  <c r="AQ77" i="8"/>
  <c r="AV77" i="8" s="1"/>
  <c r="AW77" i="8" s="1"/>
  <c r="AR77" i="8"/>
  <c r="AS77" i="8"/>
  <c r="AT77" i="8"/>
  <c r="AU77" i="8"/>
  <c r="AQ78" i="8"/>
  <c r="AV78" i="8" s="1"/>
  <c r="AW78" i="8" s="1"/>
  <c r="AR78" i="8"/>
  <c r="AS78" i="8"/>
  <c r="AT78" i="8"/>
  <c r="AU78" i="8"/>
  <c r="AQ79" i="8"/>
  <c r="AV79" i="8" s="1"/>
  <c r="AW79" i="8" s="1"/>
  <c r="AR79" i="8"/>
  <c r="AS79" i="8"/>
  <c r="AT79" i="8"/>
  <c r="AU79" i="8"/>
  <c r="AT7" i="8"/>
  <c r="AV28" i="8" l="1"/>
  <c r="AW28" i="8" s="1"/>
  <c r="AV65" i="8"/>
  <c r="AW65" i="8" s="1"/>
  <c r="AV55" i="8"/>
  <c r="AW55" i="8" s="1"/>
  <c r="AV37" i="8"/>
  <c r="AW37" i="8" s="1"/>
  <c r="AV57" i="8"/>
  <c r="AW57" i="8" s="1"/>
  <c r="AV69" i="8"/>
  <c r="AW69" i="8" s="1"/>
  <c r="AV67" i="8"/>
  <c r="AW67" i="8" s="1"/>
  <c r="AV51" i="8"/>
  <c r="AW51" i="8" s="1"/>
  <c r="AV45" i="8"/>
  <c r="AW45" i="8" s="1"/>
  <c r="AV43" i="8"/>
  <c r="AW43" i="8" s="1"/>
  <c r="AV38" i="8"/>
  <c r="AW38" i="8" s="1"/>
  <c r="AV58" i="8"/>
  <c r="AW58" i="8" s="1"/>
  <c r="AV54" i="8"/>
  <c r="AW54" i="8" s="1"/>
  <c r="AV46" i="8"/>
  <c r="AW46" i="8" s="1"/>
  <c r="AV66" i="8"/>
  <c r="AW66" i="8" s="1"/>
  <c r="AV42" i="8"/>
  <c r="AW42" i="8" s="1"/>
  <c r="AV68" i="8"/>
  <c r="AW68" i="8" s="1"/>
  <c r="AV64" i="8"/>
  <c r="AW64" i="8" s="1"/>
  <c r="AV52" i="8"/>
  <c r="AW52" i="8" s="1"/>
  <c r="L11" i="16"/>
  <c r="L13" i="16" s="1"/>
  <c r="AW40" i="10"/>
  <c r="AW39" i="10"/>
  <c r="AW38" i="10"/>
  <c r="AW37" i="10"/>
  <c r="AW36" i="10"/>
  <c r="AW35" i="10"/>
  <c r="AW31" i="10"/>
  <c r="AV40" i="10"/>
  <c r="AV39" i="10"/>
  <c r="AV38" i="10"/>
  <c r="AV37" i="10"/>
  <c r="AV36" i="10"/>
  <c r="AV35" i="10"/>
  <c r="AU40" i="10"/>
  <c r="AU39" i="10"/>
  <c r="AU38" i="10"/>
  <c r="AU37" i="10"/>
  <c r="AU36" i="10"/>
  <c r="AU35" i="10"/>
  <c r="AB12" i="10"/>
  <c r="AB12" i="9"/>
  <c r="AF70" i="8"/>
  <c r="L12" i="14"/>
  <c r="L13" i="14" s="1"/>
  <c r="AF16" i="8"/>
  <c r="AH14" i="8" l="1"/>
  <c r="AI14" i="8"/>
  <c r="AG14" i="8"/>
  <c r="L8" i="15"/>
  <c r="L12" i="15"/>
  <c r="L13" i="15" s="1"/>
  <c r="AB24" i="5"/>
  <c r="AB27" i="5" s="1"/>
  <c r="L7" i="15"/>
  <c r="BI12" i="9"/>
  <c r="AC15" i="9"/>
  <c r="AF25" i="8"/>
  <c r="L7" i="14"/>
  <c r="L8" i="14"/>
  <c r="AB20" i="5"/>
  <c r="AB21" i="5" s="1"/>
  <c r="AB23" i="5" s="1"/>
  <c r="AC11" i="8"/>
  <c r="AG20" i="8" l="1"/>
  <c r="AG23" i="8" s="1"/>
  <c r="L9" i="15"/>
  <c r="AG10" i="8"/>
  <c r="AB25" i="5"/>
  <c r="AB28" i="5" s="1"/>
  <c r="AB33" i="5" s="1"/>
  <c r="AG24" i="8"/>
  <c r="AT11" i="8"/>
  <c r="AS11" i="8"/>
  <c r="L9" i="14"/>
  <c r="AE16" i="8"/>
  <c r="AF14" i="8" s="1"/>
  <c r="AD16" i="8"/>
  <c r="AC16" i="8"/>
  <c r="AP69" i="8"/>
  <c r="AP68" i="8"/>
  <c r="AP67" i="8"/>
  <c r="AP66" i="8"/>
  <c r="AP65" i="8"/>
  <c r="AP64" i="8"/>
  <c r="AP58" i="8"/>
  <c r="AP57" i="8"/>
  <c r="AP55" i="8"/>
  <c r="AP54" i="8"/>
  <c r="AP52" i="8"/>
  <c r="AP51" i="8"/>
  <c r="AP46" i="8"/>
  <c r="AP45" i="8"/>
  <c r="AP43" i="8"/>
  <c r="AP42" i="8"/>
  <c r="AP38" i="8"/>
  <c r="AP37" i="8"/>
  <c r="AI24" i="8" l="1"/>
  <c r="AI20" i="8"/>
  <c r="AI23" i="8" s="1"/>
  <c r="AH20" i="8"/>
  <c r="AH23" i="8" s="1"/>
  <c r="AH24" i="8"/>
  <c r="AV11" i="8"/>
  <c r="AW11" i="8" s="1"/>
  <c r="AB16" i="9"/>
  <c r="AE14" i="8"/>
  <c r="AU16" i="8"/>
  <c r="AD14" i="8"/>
  <c r="AD25" i="8"/>
  <c r="AT16" i="8"/>
  <c r="AU7" i="8"/>
  <c r="AB34" i="5"/>
  <c r="AB16" i="10" s="1"/>
  <c r="N79" i="8"/>
  <c r="M79" i="8"/>
  <c r="L79" i="8"/>
  <c r="K79" i="8"/>
  <c r="J79" i="8"/>
  <c r="I79" i="8"/>
  <c r="H79" i="8"/>
  <c r="G79" i="8"/>
  <c r="F79" i="8"/>
  <c r="AE70" i="8"/>
  <c r="AD70" i="8"/>
  <c r="AC70" i="8"/>
  <c r="AB70" i="8"/>
  <c r="AA70" i="8"/>
  <c r="Z70" i="8"/>
  <c r="Y70" i="8"/>
  <c r="X70" i="8"/>
  <c r="W70" i="8"/>
  <c r="N70" i="8"/>
  <c r="M70" i="8"/>
  <c r="L70" i="8"/>
  <c r="K70" i="8"/>
  <c r="J70" i="8"/>
  <c r="I70" i="8"/>
  <c r="H70" i="8"/>
  <c r="G70" i="8"/>
  <c r="F70" i="8"/>
  <c r="AH10" i="8" l="1"/>
  <c r="AC17" i="9"/>
  <c r="AB25" i="9"/>
  <c r="BI25" i="9" s="1"/>
  <c r="BI16" i="9"/>
  <c r="AB25" i="10"/>
  <c r="AC17" i="10"/>
  <c r="AS70" i="8"/>
  <c r="AR70" i="8"/>
  <c r="AD23" i="8"/>
  <c r="AT70" i="8"/>
  <c r="AQ70" i="8"/>
  <c r="AU70" i="8"/>
  <c r="AP70" i="8"/>
  <c r="AV31" i="10"/>
  <c r="K11" i="16"/>
  <c r="K13" i="16" s="1"/>
  <c r="AA12" i="10"/>
  <c r="AJ10" i="8" l="1"/>
  <c r="AI10" i="8"/>
  <c r="AV70" i="8"/>
  <c r="AW70" i="8" s="1"/>
  <c r="AA4" i="5"/>
  <c r="AA12" i="9"/>
  <c r="AE40" i="8"/>
  <c r="K12" i="15" s="1"/>
  <c r="K13" i="15" s="1"/>
  <c r="AE60" i="8"/>
  <c r="AE13" i="8"/>
  <c r="AE49" i="8"/>
  <c r="AE48" i="8"/>
  <c r="AE39" i="8"/>
  <c r="AK10" i="8" l="1"/>
  <c r="BH12" i="9"/>
  <c r="AB15" i="9"/>
  <c r="AA24" i="5"/>
  <c r="AA27" i="5" s="1"/>
  <c r="K8" i="15"/>
  <c r="AE47" i="8"/>
  <c r="AF10" i="8" s="1"/>
  <c r="K7" i="14"/>
  <c r="K12" i="14"/>
  <c r="K13" i="14" s="1"/>
  <c r="K8" i="14"/>
  <c r="K7" i="15"/>
  <c r="AE59" i="8"/>
  <c r="L7" i="16" l="1"/>
  <c r="L9" i="16" s="1"/>
  <c r="K9" i="15"/>
  <c r="K9" i="14"/>
  <c r="AA15" i="5"/>
  <c r="AA20" i="5" s="1"/>
  <c r="AA21" i="5" s="1"/>
  <c r="AA23" i="5" s="1"/>
  <c r="AA25" i="5" s="1"/>
  <c r="AA28" i="5" s="1"/>
  <c r="AA33" i="5" s="1"/>
  <c r="AA16" i="9" s="1"/>
  <c r="BH16" i="9" s="1"/>
  <c r="AE25" i="8"/>
  <c r="AE24" i="8"/>
  <c r="AE12" i="8"/>
  <c r="AU25" i="8" l="1"/>
  <c r="AB17" i="9"/>
  <c r="AE23" i="8"/>
  <c r="AA34" i="5"/>
  <c r="AA16" i="10" s="1"/>
  <c r="AB17" i="10" s="1"/>
  <c r="AA25" i="9"/>
  <c r="BH25" i="9" s="1"/>
  <c r="AF24" i="8" l="1"/>
  <c r="AF20" i="8"/>
  <c r="AF23" i="8" s="1"/>
  <c r="AA25" i="10"/>
  <c r="Z12" i="9"/>
  <c r="AA15" i="9" l="1"/>
  <c r="BG12" i="9"/>
  <c r="AB18" i="8"/>
  <c r="AX18" i="8" l="1"/>
  <c r="AS18" i="8"/>
  <c r="AW18" i="8"/>
  <c r="AR18" i="8"/>
  <c r="AT36" i="10"/>
  <c r="AV18" i="8" l="1"/>
  <c r="Y12" i="9"/>
  <c r="X12" i="9"/>
  <c r="W12" i="9"/>
  <c r="V12" i="9"/>
  <c r="U12" i="9"/>
  <c r="T12" i="9"/>
  <c r="U9" i="9"/>
  <c r="V9" i="9" s="1"/>
  <c r="W9" i="9" s="1"/>
  <c r="X9" i="9" s="1"/>
  <c r="Y9" i="9" s="1"/>
  <c r="BE9" i="9" s="1"/>
  <c r="W15" i="9" l="1"/>
  <c r="BE12" i="9"/>
  <c r="BF12" i="9"/>
  <c r="U15" i="9"/>
  <c r="Y15" i="9"/>
  <c r="Z15" i="9"/>
  <c r="V15" i="9"/>
  <c r="X15" i="9"/>
  <c r="AO36" i="10"/>
  <c r="AP36" i="10"/>
  <c r="AQ36" i="10"/>
  <c r="AR36" i="10"/>
  <c r="AS36" i="10"/>
  <c r="AO37" i="10"/>
  <c r="AP37" i="10"/>
  <c r="AQ37" i="10"/>
  <c r="AR37" i="10"/>
  <c r="AS37" i="10"/>
  <c r="AT37" i="10"/>
  <c r="AO38" i="10"/>
  <c r="AP38" i="10"/>
  <c r="AQ38" i="10"/>
  <c r="AR38" i="10"/>
  <c r="AS38" i="10"/>
  <c r="AT38" i="10"/>
  <c r="AO39" i="10"/>
  <c r="AP39" i="10"/>
  <c r="AQ39" i="10"/>
  <c r="AR39" i="10"/>
  <c r="AS39" i="10"/>
  <c r="AT39" i="10"/>
  <c r="AO40" i="10"/>
  <c r="AP40" i="10"/>
  <c r="AQ40" i="10"/>
  <c r="AR40" i="10"/>
  <c r="AS40" i="10"/>
  <c r="AT40" i="10"/>
  <c r="AP35" i="10"/>
  <c r="AQ35" i="10"/>
  <c r="AR35" i="10"/>
  <c r="AS35" i="10"/>
  <c r="AT35" i="10"/>
  <c r="AO35" i="10"/>
  <c r="AU31" i="10" l="1"/>
  <c r="Z4" i="5"/>
  <c r="Z9" i="9"/>
  <c r="AD60" i="8"/>
  <c r="AD61" i="8"/>
  <c r="AC61" i="8"/>
  <c r="AC60" i="8"/>
  <c r="AD62" i="8" l="1"/>
  <c r="AE62" i="8"/>
  <c r="AT60" i="8"/>
  <c r="AU60" i="8"/>
  <c r="AP60" i="8"/>
  <c r="AT61" i="8"/>
  <c r="AU61" i="8"/>
  <c r="AP61" i="8"/>
  <c r="BF9" i="9"/>
  <c r="AA9" i="9"/>
  <c r="Z12" i="10"/>
  <c r="Z6" i="5"/>
  <c r="AD13" i="8"/>
  <c r="AU13" i="8" s="1"/>
  <c r="AD49" i="8"/>
  <c r="AD48" i="8"/>
  <c r="AD40" i="8"/>
  <c r="J12" i="15" s="1"/>
  <c r="J13" i="15" s="1"/>
  <c r="AD39" i="8"/>
  <c r="AD12" i="8" l="1"/>
  <c r="AU50" i="8"/>
  <c r="AP50" i="8"/>
  <c r="AU41" i="8"/>
  <c r="AP41" i="8"/>
  <c r="AU44" i="8"/>
  <c r="AP44" i="8"/>
  <c r="AD59" i="8"/>
  <c r="AU53" i="8"/>
  <c r="AP53" i="8"/>
  <c r="J12" i="14"/>
  <c r="J13" i="14" s="1"/>
  <c r="AU39" i="8"/>
  <c r="AP39" i="8"/>
  <c r="AU48" i="8"/>
  <c r="AP48" i="8"/>
  <c r="AU56" i="8"/>
  <c r="AP56" i="8"/>
  <c r="J8" i="15"/>
  <c r="AP40" i="8"/>
  <c r="AU40" i="8"/>
  <c r="AU49" i="8"/>
  <c r="AP49" i="8"/>
  <c r="AB9" i="9"/>
  <c r="BG9" i="9"/>
  <c r="AA22" i="9"/>
  <c r="J7" i="15"/>
  <c r="J7" i="14"/>
  <c r="J8" i="14"/>
  <c r="Z24" i="5"/>
  <c r="Z27" i="5" s="1"/>
  <c r="AD47" i="8"/>
  <c r="Z15" i="5"/>
  <c r="AT31" i="10"/>
  <c r="AB22" i="9" l="1"/>
  <c r="BH22" i="9" s="1"/>
  <c r="BH9" i="9"/>
  <c r="AC9" i="9"/>
  <c r="J9" i="15"/>
  <c r="AU59" i="8"/>
  <c r="AP59" i="8"/>
  <c r="AU47" i="8"/>
  <c r="AP47" i="8"/>
  <c r="AU12" i="8"/>
  <c r="J9" i="14"/>
  <c r="Z20" i="5"/>
  <c r="Z21" i="5" s="1"/>
  <c r="Z23" i="5" s="1"/>
  <c r="Z25" i="5" s="1"/>
  <c r="Z28" i="5" s="1"/>
  <c r="I11" i="16"/>
  <c r="I13" i="16" s="1"/>
  <c r="H11" i="15"/>
  <c r="Y12" i="10"/>
  <c r="AC24" i="8"/>
  <c r="AC20" i="8"/>
  <c r="AC19" i="8"/>
  <c r="AC14" i="8"/>
  <c r="BM22" i="8"/>
  <c r="BL22" i="8"/>
  <c r="AC10" i="8"/>
  <c r="AD9" i="9" l="1"/>
  <c r="AD22" i="9" s="1"/>
  <c r="AC22" i="9"/>
  <c r="BI22" i="9" s="1"/>
  <c r="BI9" i="9"/>
  <c r="AT14" i="8"/>
  <c r="AC17" i="8"/>
  <c r="AT19" i="8"/>
  <c r="AT20" i="8"/>
  <c r="AT24" i="8"/>
  <c r="Z34" i="5"/>
  <c r="Z16" i="10" s="1"/>
  <c r="AA17" i="10" s="1"/>
  <c r="Z33" i="5"/>
  <c r="Z16" i="9" s="1"/>
  <c r="AC25" i="8"/>
  <c r="AE9" i="9" l="1"/>
  <c r="AF9" i="9" s="1"/>
  <c r="AG9" i="9" s="1"/>
  <c r="AT17" i="8"/>
  <c r="AC23" i="8"/>
  <c r="AT23" i="8" s="1"/>
  <c r="AT25" i="8"/>
  <c r="BG16" i="9"/>
  <c r="AA17" i="9"/>
  <c r="Z25" i="10"/>
  <c r="E74" i="2"/>
  <c r="U9" i="5"/>
  <c r="AG22" i="9" l="1"/>
  <c r="AH9" i="9"/>
  <c r="AI9" i="9" s="1"/>
  <c r="AE22" i="9"/>
  <c r="AF22" i="9"/>
  <c r="Y9" i="5"/>
  <c r="X9" i="5"/>
  <c r="Y12" i="5"/>
  <c r="AJ9" i="9" l="1"/>
  <c r="AH22" i="9"/>
  <c r="Y4" i="5"/>
  <c r="AE37" i="5"/>
  <c r="Y6" i="5"/>
  <c r="AC39" i="8"/>
  <c r="AC40" i="8"/>
  <c r="I12" i="15" s="1"/>
  <c r="I13" i="15" s="1"/>
  <c r="AC48" i="8"/>
  <c r="AC49" i="8"/>
  <c r="AT48" i="8" l="1"/>
  <c r="I8" i="15"/>
  <c r="AT40" i="8"/>
  <c r="AC13" i="8"/>
  <c r="AT50" i="8"/>
  <c r="AT56" i="8"/>
  <c r="AT39" i="8"/>
  <c r="AU62" i="8"/>
  <c r="AT62" i="8"/>
  <c r="AT41" i="8"/>
  <c r="AT44" i="8"/>
  <c r="AT53" i="8"/>
  <c r="AT49" i="8"/>
  <c r="AC59" i="8"/>
  <c r="Y24" i="5"/>
  <c r="Y27" i="5" s="1"/>
  <c r="AC47" i="8"/>
  <c r="I7" i="14"/>
  <c r="I7" i="15"/>
  <c r="I12" i="14"/>
  <c r="I13" i="14" s="1"/>
  <c r="I8" i="14"/>
  <c r="I9" i="15" l="1"/>
  <c r="AT13" i="8"/>
  <c r="AT47" i="8"/>
  <c r="AT59" i="8"/>
  <c r="AC12" i="8"/>
  <c r="I9" i="14"/>
  <c r="Y34" i="8"/>
  <c r="Z34" i="8" s="1"/>
  <c r="AY23" i="8"/>
  <c r="AY24" i="8"/>
  <c r="AZ24" i="8"/>
  <c r="AY25" i="8"/>
  <c r="AZ25" i="8"/>
  <c r="AY26" i="8"/>
  <c r="AZ26" i="8"/>
  <c r="BA26" i="8"/>
  <c r="BB26" i="8"/>
  <c r="BC26" i="8"/>
  <c r="BD26" i="8"/>
  <c r="BE26" i="8"/>
  <c r="BF26" i="8"/>
  <c r="AY27" i="8"/>
  <c r="AZ27" i="8"/>
  <c r="BA27" i="8"/>
  <c r="BB27" i="8"/>
  <c r="BC27" i="8"/>
  <c r="BD27" i="8"/>
  <c r="BE27" i="8"/>
  <c r="BF27" i="8"/>
  <c r="AY28" i="8"/>
  <c r="AZ28" i="8"/>
  <c r="BA28" i="8"/>
  <c r="BB28" i="8"/>
  <c r="BC28" i="8"/>
  <c r="BD28" i="8"/>
  <c r="BE28" i="8"/>
  <c r="BF28" i="8"/>
  <c r="AY29" i="8"/>
  <c r="AZ29" i="8"/>
  <c r="BA29" i="8"/>
  <c r="BB29" i="8"/>
  <c r="BC29" i="8"/>
  <c r="BD29" i="8"/>
  <c r="BE29" i="8"/>
  <c r="BF29" i="8"/>
  <c r="AY30" i="8"/>
  <c r="AZ30" i="8"/>
  <c r="BA30" i="8"/>
  <c r="BB30" i="8"/>
  <c r="BC30" i="8"/>
  <c r="BD30" i="8"/>
  <c r="BE30" i="8"/>
  <c r="BF30" i="8"/>
  <c r="AY31" i="8"/>
  <c r="AZ31" i="8"/>
  <c r="BA31" i="8"/>
  <c r="BB31" i="8"/>
  <c r="BC31" i="8"/>
  <c r="BD31" i="8"/>
  <c r="BE31" i="8"/>
  <c r="BF31" i="8"/>
  <c r="AY32" i="8"/>
  <c r="AZ32" i="8"/>
  <c r="BD32" i="8"/>
  <c r="BE32" i="8"/>
  <c r="AY33" i="8"/>
  <c r="AZ33" i="8"/>
  <c r="BC33" i="8"/>
  <c r="BD33" i="8"/>
  <c r="BE33" i="8"/>
  <c r="AY34" i="8"/>
  <c r="AZ34" i="8"/>
  <c r="BA34" i="8"/>
  <c r="BB34" i="8"/>
  <c r="AY22" i="8"/>
  <c r="AZ22" i="8"/>
  <c r="BA22" i="8"/>
  <c r="BB22" i="8"/>
  <c r="BC22" i="8"/>
  <c r="BD22" i="8"/>
  <c r="BE22" i="8"/>
  <c r="BF22" i="8"/>
  <c r="V23" i="8"/>
  <c r="AZ23" i="8" s="1"/>
  <c r="W23" i="8"/>
  <c r="W25" i="8"/>
  <c r="BA25" i="8" s="1"/>
  <c r="W24" i="8"/>
  <c r="BA24" i="8" s="1"/>
  <c r="X24" i="8"/>
  <c r="Y24" i="8"/>
  <c r="Z24" i="8"/>
  <c r="AB21" i="8"/>
  <c r="AB15" i="8"/>
  <c r="AY21" i="8"/>
  <c r="AZ21" i="8"/>
  <c r="BA21" i="8"/>
  <c r="BB21" i="8"/>
  <c r="BC21" i="8"/>
  <c r="BD21" i="8"/>
  <c r="BE21" i="8"/>
  <c r="AY20" i="8"/>
  <c r="AZ20" i="8"/>
  <c r="BA20" i="8"/>
  <c r="BB20" i="8"/>
  <c r="AY16" i="8"/>
  <c r="AZ16" i="8"/>
  <c r="BA16" i="8"/>
  <c r="AY17" i="8"/>
  <c r="AZ17" i="8"/>
  <c r="BA17" i="8"/>
  <c r="BB17" i="8"/>
  <c r="AY18" i="8"/>
  <c r="AZ18" i="8"/>
  <c r="BA18" i="8"/>
  <c r="BB18" i="8"/>
  <c r="BC18" i="8"/>
  <c r="BD18" i="8"/>
  <c r="BE18" i="8"/>
  <c r="AY15" i="8"/>
  <c r="AZ15" i="8"/>
  <c r="BA15" i="8"/>
  <c r="BB15" i="8"/>
  <c r="BC15" i="8"/>
  <c r="BD15" i="8"/>
  <c r="BE15" i="8"/>
  <c r="Y19" i="8"/>
  <c r="Y17" i="8" s="1"/>
  <c r="BC17" i="8" s="1"/>
  <c r="AY19" i="8"/>
  <c r="AZ19" i="8"/>
  <c r="BA19" i="8"/>
  <c r="BB19" i="8"/>
  <c r="Y20" i="8"/>
  <c r="Z20" i="8"/>
  <c r="W40" i="8"/>
  <c r="C8" i="15" s="1"/>
  <c r="X40" i="8"/>
  <c r="Y40" i="8"/>
  <c r="E12" i="15" s="1"/>
  <c r="Z40" i="8"/>
  <c r="F12" i="15" s="1"/>
  <c r="AA40" i="8"/>
  <c r="G8" i="15" s="1"/>
  <c r="W39" i="8"/>
  <c r="X39" i="8"/>
  <c r="D8" i="14" s="1"/>
  <c r="Y39" i="8"/>
  <c r="E12" i="14" s="1"/>
  <c r="Z39" i="8"/>
  <c r="F12" i="14" s="1"/>
  <c r="AA39" i="8"/>
  <c r="D11" i="16"/>
  <c r="D13" i="16" s="1"/>
  <c r="E11" i="16"/>
  <c r="E13" i="16" s="1"/>
  <c r="F11" i="16"/>
  <c r="F13" i="16" s="1"/>
  <c r="G11" i="16"/>
  <c r="G13" i="16" s="1"/>
  <c r="C11" i="16"/>
  <c r="C13" i="16" s="1"/>
  <c r="AB33" i="8"/>
  <c r="W33" i="8"/>
  <c r="BA33" i="8" s="1"/>
  <c r="AB32" i="8"/>
  <c r="AR32" i="8" s="1"/>
  <c r="X32" i="8"/>
  <c r="AZ9" i="8"/>
  <c r="BA9" i="8"/>
  <c r="BC9" i="8"/>
  <c r="BD9" i="8"/>
  <c r="BC7" i="8"/>
  <c r="BD7" i="8"/>
  <c r="BE7" i="8"/>
  <c r="BB9" i="8"/>
  <c r="C5" i="16"/>
  <c r="G11" i="15"/>
  <c r="F11" i="15"/>
  <c r="E11" i="15"/>
  <c r="D11" i="15"/>
  <c r="D13" i="15" s="1"/>
  <c r="C11" i="15"/>
  <c r="C13" i="15" s="1"/>
  <c r="D7" i="15"/>
  <c r="D9" i="15" s="1"/>
  <c r="C7" i="15"/>
  <c r="C5" i="15"/>
  <c r="C5" i="14"/>
  <c r="H11" i="14"/>
  <c r="G11" i="14"/>
  <c r="F11" i="14"/>
  <c r="E11" i="14"/>
  <c r="D11" i="14"/>
  <c r="C11" i="14"/>
  <c r="C13" i="14" s="1"/>
  <c r="C15" i="9"/>
  <c r="D15" i="9"/>
  <c r="E15" i="9"/>
  <c r="F15" i="9"/>
  <c r="G15" i="9"/>
  <c r="H15" i="9"/>
  <c r="B14" i="9"/>
  <c r="B13" i="9" s="1"/>
  <c r="I12" i="9"/>
  <c r="I15" i="9" s="1"/>
  <c r="J12" i="9"/>
  <c r="K12" i="9"/>
  <c r="L12" i="9"/>
  <c r="M12" i="9"/>
  <c r="N12" i="9"/>
  <c r="O12" i="9"/>
  <c r="P12" i="9"/>
  <c r="Q12" i="9"/>
  <c r="R12" i="9"/>
  <c r="S12" i="9"/>
  <c r="T15" i="9" s="1"/>
  <c r="D13" i="14"/>
  <c r="D7" i="14"/>
  <c r="C7" i="14"/>
  <c r="E8" i="14" l="1"/>
  <c r="F8" i="15"/>
  <c r="G12" i="15"/>
  <c r="G13" i="15" s="1"/>
  <c r="AQ40" i="8"/>
  <c r="AW15" i="8"/>
  <c r="AR15" i="8"/>
  <c r="AX15" i="8"/>
  <c r="AS15" i="8"/>
  <c r="BF33" i="8"/>
  <c r="AR33" i="8"/>
  <c r="AS33" i="8"/>
  <c r="F13" i="15"/>
  <c r="AB20" i="8"/>
  <c r="AS20" i="8" s="1"/>
  <c r="AX21" i="8"/>
  <c r="AS21" i="8"/>
  <c r="AW21" i="8"/>
  <c r="AR21" i="8"/>
  <c r="AT12" i="8"/>
  <c r="E13" i="15"/>
  <c r="G12" i="14"/>
  <c r="G13" i="14" s="1"/>
  <c r="AQ39" i="8"/>
  <c r="BB24" i="8"/>
  <c r="BD24" i="8"/>
  <c r="G8" i="14"/>
  <c r="E8" i="15"/>
  <c r="F13" i="14"/>
  <c r="E13" i="14"/>
  <c r="O15" i="9"/>
  <c r="M15" i="9"/>
  <c r="K15" i="9"/>
  <c r="BE9" i="8"/>
  <c r="AA9" i="8" s="1"/>
  <c r="BF15" i="8"/>
  <c r="BF18" i="8"/>
  <c r="BF21" i="8"/>
  <c r="D9" i="14"/>
  <c r="F8" i="14"/>
  <c r="R15" i="9"/>
  <c r="P15" i="9"/>
  <c r="N15" i="9"/>
  <c r="L15" i="9"/>
  <c r="J15" i="9"/>
  <c r="BF32" i="8"/>
  <c r="AC32" i="8"/>
  <c r="AS32" i="8" s="1"/>
  <c r="AB24" i="8"/>
  <c r="BC24" i="8"/>
  <c r="BA23" i="8"/>
  <c r="S15" i="9"/>
  <c r="Q15" i="9"/>
  <c r="W32" i="8"/>
  <c r="D7" i="16"/>
  <c r="D9" i="16" s="1"/>
  <c r="BC20" i="8"/>
  <c r="BB33" i="8"/>
  <c r="BC32" i="8"/>
  <c r="Z19" i="8"/>
  <c r="Z17" i="8" s="1"/>
  <c r="BD17" i="8" s="1"/>
  <c r="BD20" i="8"/>
  <c r="C9" i="15"/>
  <c r="C14" i="15" s="1"/>
  <c r="D5" i="15" s="1"/>
  <c r="D14" i="15" s="1"/>
  <c r="D15" i="15" s="1"/>
  <c r="C9" i="14"/>
  <c r="C14" i="14" s="1"/>
  <c r="D5" i="14" s="1"/>
  <c r="AV15" i="8" l="1"/>
  <c r="AV33" i="8"/>
  <c r="AW33" i="8" s="1"/>
  <c r="AV21" i="8"/>
  <c r="AQ9" i="8"/>
  <c r="AS24" i="8"/>
  <c r="I7" i="16"/>
  <c r="I9" i="16" s="1"/>
  <c r="AD32" i="8"/>
  <c r="BF9" i="8"/>
  <c r="AB9" i="8" s="1"/>
  <c r="AX9" i="8" s="1"/>
  <c r="D14" i="14"/>
  <c r="D15" i="14" s="1"/>
  <c r="C7" i="16"/>
  <c r="C9" i="16" s="1"/>
  <c r="C14" i="16" s="1"/>
  <c r="D5" i="16" s="1"/>
  <c r="D14" i="16" s="1"/>
  <c r="D15" i="16" s="1"/>
  <c r="BA32" i="8"/>
  <c r="BB32" i="8"/>
  <c r="E5" i="15"/>
  <c r="AW9" i="8" l="1"/>
  <c r="AT32" i="8"/>
  <c r="AU32" i="8"/>
  <c r="AS9" i="8"/>
  <c r="AR9" i="8"/>
  <c r="BG9" i="8"/>
  <c r="BH9" i="8" s="1"/>
  <c r="E5" i="14"/>
  <c r="E5" i="16"/>
  <c r="AV9" i="8" l="1"/>
  <c r="AV32" i="8"/>
  <c r="AW32" i="8" s="1"/>
  <c r="B25" i="11"/>
  <c r="C25" i="11"/>
  <c r="B24" i="11"/>
  <c r="C24" i="11"/>
  <c r="B23" i="11"/>
  <c r="C23" i="11"/>
  <c r="B22" i="11"/>
  <c r="C22" i="11"/>
  <c r="C17" i="11"/>
  <c r="B14" i="11"/>
  <c r="B13" i="11" s="1"/>
  <c r="B26" i="11" s="1"/>
  <c r="F13" i="8"/>
  <c r="G13" i="8"/>
  <c r="H13" i="8"/>
  <c r="I13" i="8"/>
  <c r="J13" i="8"/>
  <c r="K13" i="8"/>
  <c r="L13" i="8"/>
  <c r="M13" i="8"/>
  <c r="N13" i="8"/>
  <c r="O13" i="8"/>
  <c r="O12" i="8" s="1"/>
  <c r="P13" i="8"/>
  <c r="P12" i="8" s="1"/>
  <c r="Q13" i="8"/>
  <c r="Q12" i="8" s="1"/>
  <c r="R13" i="8"/>
  <c r="R12" i="8" s="1"/>
  <c r="S13" i="8"/>
  <c r="S12" i="8" s="1"/>
  <c r="T13" i="8"/>
  <c r="T12" i="8" s="1"/>
  <c r="U13" i="8"/>
  <c r="U12" i="8" s="1"/>
  <c r="Q12" i="20" s="1"/>
  <c r="V13" i="8"/>
  <c r="V12" i="8" s="1"/>
  <c r="W13" i="8"/>
  <c r="W12" i="8" s="1"/>
  <c r="X13" i="8"/>
  <c r="X12" i="8" s="1"/>
  <c r="U8" i="8"/>
  <c r="V8" i="8"/>
  <c r="W8" i="8"/>
  <c r="X8" i="8"/>
  <c r="T8" i="8"/>
  <c r="AY10" i="8"/>
  <c r="AZ10" i="8"/>
  <c r="BA10" i="8"/>
  <c r="BB10" i="8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T17" i="10"/>
  <c r="T10" i="10"/>
  <c r="C8" i="10"/>
  <c r="C27" i="10" s="1"/>
  <c r="D8" i="10"/>
  <c r="D27" i="10" s="1"/>
  <c r="E8" i="10"/>
  <c r="E27" i="10" s="1"/>
  <c r="F8" i="10"/>
  <c r="F27" i="10" s="1"/>
  <c r="G8" i="10"/>
  <c r="G27" i="10" s="1"/>
  <c r="H8" i="10"/>
  <c r="H27" i="10" s="1"/>
  <c r="I8" i="10"/>
  <c r="I27" i="10" s="1"/>
  <c r="J8" i="10"/>
  <c r="J27" i="10" s="1"/>
  <c r="K8" i="10"/>
  <c r="K27" i="10" s="1"/>
  <c r="L8" i="10"/>
  <c r="L27" i="10" s="1"/>
  <c r="M8" i="10"/>
  <c r="M27" i="10" s="1"/>
  <c r="N8" i="10"/>
  <c r="N27" i="10" s="1"/>
  <c r="O8" i="10"/>
  <c r="O27" i="10" s="1"/>
  <c r="P8" i="10"/>
  <c r="P27" i="10" s="1"/>
  <c r="Q8" i="10"/>
  <c r="Q27" i="10" s="1"/>
  <c r="R8" i="10"/>
  <c r="R27" i="10" s="1"/>
  <c r="S8" i="10"/>
  <c r="S27" i="10" s="1"/>
  <c r="T8" i="10"/>
  <c r="T27" i="10" s="1"/>
  <c r="B26" i="9"/>
  <c r="B25" i="9"/>
  <c r="C25" i="9"/>
  <c r="D25" i="9"/>
  <c r="E25" i="9"/>
  <c r="F25" i="9"/>
  <c r="G25" i="9"/>
  <c r="H25" i="9"/>
  <c r="I25" i="9"/>
  <c r="J25" i="9"/>
  <c r="K25" i="9"/>
  <c r="L25" i="9"/>
  <c r="B24" i="9"/>
  <c r="C24" i="9"/>
  <c r="D24" i="9"/>
  <c r="E24" i="9"/>
  <c r="F24" i="9"/>
  <c r="G24" i="9"/>
  <c r="H24" i="9"/>
  <c r="I24" i="9"/>
  <c r="J24" i="9"/>
  <c r="K24" i="9"/>
  <c r="L24" i="9"/>
  <c r="B23" i="9"/>
  <c r="C23" i="9"/>
  <c r="D23" i="9"/>
  <c r="E23" i="9"/>
  <c r="F23" i="9"/>
  <c r="G23" i="9"/>
  <c r="H23" i="9"/>
  <c r="I23" i="9"/>
  <c r="J23" i="9"/>
  <c r="K23" i="9"/>
  <c r="L23" i="9"/>
  <c r="B22" i="9"/>
  <c r="C22" i="9"/>
  <c r="D22" i="9"/>
  <c r="E22" i="9"/>
  <c r="F22" i="9"/>
  <c r="G22" i="9"/>
  <c r="H22" i="9"/>
  <c r="I22" i="9"/>
  <c r="J22" i="9"/>
  <c r="K22" i="9"/>
  <c r="L22" i="9"/>
  <c r="C8" i="9"/>
  <c r="BB7" i="8"/>
  <c r="R12" i="20" l="1"/>
  <c r="S12" i="20" s="1"/>
  <c r="T12" i="20" s="1"/>
  <c r="BV12" i="20"/>
  <c r="Q14" i="20"/>
  <c r="BW12" i="20"/>
  <c r="B28" i="9"/>
  <c r="C21" i="9" s="1"/>
  <c r="C8" i="11"/>
  <c r="C27" i="11" s="1"/>
  <c r="B28" i="10"/>
  <c r="C21" i="10" s="1"/>
  <c r="C28" i="10" s="1"/>
  <c r="C30" i="10" s="1"/>
  <c r="B28" i="11"/>
  <c r="C21" i="11" s="1"/>
  <c r="Q12" i="11"/>
  <c r="R12" i="11" s="1"/>
  <c r="S12" i="11" s="1"/>
  <c r="BF7" i="8"/>
  <c r="BG7" i="8" s="1"/>
  <c r="BH7" i="8" s="1"/>
  <c r="J11" i="16" s="1"/>
  <c r="J13" i="16" s="1"/>
  <c r="BB8" i="8"/>
  <c r="C27" i="9"/>
  <c r="C14" i="9"/>
  <c r="T23" i="10"/>
  <c r="C14" i="11" l="1"/>
  <c r="C15" i="11" s="1"/>
  <c r="BV14" i="20"/>
  <c r="Q13" i="20"/>
  <c r="Q15" i="20"/>
  <c r="R8" i="20"/>
  <c r="BY12" i="20"/>
  <c r="BX12" i="20"/>
  <c r="C28" i="9"/>
  <c r="D21" i="9" s="1"/>
  <c r="C28" i="11"/>
  <c r="D21" i="11" s="1"/>
  <c r="D8" i="11"/>
  <c r="D14" i="11" s="1"/>
  <c r="D15" i="11" s="1"/>
  <c r="D21" i="10"/>
  <c r="D28" i="10" s="1"/>
  <c r="D30" i="10" s="1"/>
  <c r="C13" i="9"/>
  <c r="C26" i="9" s="1"/>
  <c r="D8" i="9"/>
  <c r="C13" i="11"/>
  <c r="C26" i="11" s="1"/>
  <c r="R14" i="20" l="1"/>
  <c r="BW8" i="20"/>
  <c r="BV13" i="20"/>
  <c r="E8" i="11"/>
  <c r="E14" i="11" s="1"/>
  <c r="E15" i="11" s="1"/>
  <c r="C30" i="11"/>
  <c r="E21" i="10"/>
  <c r="E28" i="10" s="1"/>
  <c r="F21" i="10" s="1"/>
  <c r="F28" i="10" s="1"/>
  <c r="D13" i="11"/>
  <c r="D27" i="9"/>
  <c r="D28" i="9" s="1"/>
  <c r="E21" i="9" s="1"/>
  <c r="D14" i="9"/>
  <c r="T12" i="11"/>
  <c r="R13" i="20" l="1"/>
  <c r="S8" i="20"/>
  <c r="R15" i="20"/>
  <c r="BW14" i="20"/>
  <c r="E30" i="10"/>
  <c r="F8" i="11"/>
  <c r="F14" i="11" s="1"/>
  <c r="F15" i="11" s="1"/>
  <c r="E13" i="11"/>
  <c r="D13" i="9"/>
  <c r="D26" i="9" s="1"/>
  <c r="E8" i="9"/>
  <c r="G21" i="10"/>
  <c r="G28" i="10" s="1"/>
  <c r="F30" i="10"/>
  <c r="BX8" i="20" l="1"/>
  <c r="S14" i="20"/>
  <c r="BW13" i="20"/>
  <c r="G8" i="11"/>
  <c r="G14" i="11" s="1"/>
  <c r="G15" i="11" s="1"/>
  <c r="F13" i="11"/>
  <c r="E27" i="9"/>
  <c r="E28" i="9" s="1"/>
  <c r="F21" i="9" s="1"/>
  <c r="E14" i="9"/>
  <c r="H21" i="10"/>
  <c r="H28" i="10" s="1"/>
  <c r="G30" i="10"/>
  <c r="BX14" i="20" l="1"/>
  <c r="S13" i="20"/>
  <c r="T8" i="20"/>
  <c r="S15" i="20"/>
  <c r="H8" i="11"/>
  <c r="H14" i="11" s="1"/>
  <c r="H15" i="11" s="1"/>
  <c r="G13" i="11"/>
  <c r="E13" i="9"/>
  <c r="E26" i="9" s="1"/>
  <c r="F8" i="9"/>
  <c r="I21" i="10"/>
  <c r="I28" i="10" s="1"/>
  <c r="H30" i="10"/>
  <c r="BY8" i="20" l="1"/>
  <c r="T14" i="20"/>
  <c r="BX13" i="20"/>
  <c r="I8" i="11"/>
  <c r="I14" i="11" s="1"/>
  <c r="I15" i="11" s="1"/>
  <c r="H13" i="11"/>
  <c r="F27" i="9"/>
  <c r="F28" i="9" s="1"/>
  <c r="G21" i="9" s="1"/>
  <c r="F14" i="9"/>
  <c r="J21" i="10"/>
  <c r="J28" i="10" s="1"/>
  <c r="I30" i="10"/>
  <c r="T13" i="20" l="1"/>
  <c r="U8" i="20"/>
  <c r="BY14" i="20"/>
  <c r="T15" i="20"/>
  <c r="J8" i="11"/>
  <c r="J14" i="11" s="1"/>
  <c r="J15" i="11" s="1"/>
  <c r="I13" i="11"/>
  <c r="F13" i="9"/>
  <c r="F26" i="9" s="1"/>
  <c r="G8" i="9"/>
  <c r="K21" i="10"/>
  <c r="K28" i="10" s="1"/>
  <c r="J30" i="10"/>
  <c r="BZ8" i="20" l="1"/>
  <c r="BY13" i="20"/>
  <c r="J13" i="11"/>
  <c r="G27" i="9"/>
  <c r="G28" i="9" s="1"/>
  <c r="H21" i="9" s="1"/>
  <c r="G14" i="9"/>
  <c r="K8" i="11"/>
  <c r="L21" i="10"/>
  <c r="L28" i="10" s="1"/>
  <c r="K30" i="10"/>
  <c r="G13" i="9" l="1"/>
  <c r="G26" i="9" s="1"/>
  <c r="H8" i="9"/>
  <c r="K14" i="11"/>
  <c r="M21" i="10"/>
  <c r="M28" i="10" s="1"/>
  <c r="L30" i="10"/>
  <c r="H27" i="9" l="1"/>
  <c r="H28" i="9" s="1"/>
  <c r="I21" i="9" s="1"/>
  <c r="H14" i="9"/>
  <c r="K15" i="11"/>
  <c r="K13" i="11"/>
  <c r="L8" i="11"/>
  <c r="N21" i="10"/>
  <c r="N28" i="10" s="1"/>
  <c r="M30" i="10"/>
  <c r="H13" i="9" l="1"/>
  <c r="H26" i="9" s="1"/>
  <c r="I8" i="9"/>
  <c r="L14" i="11"/>
  <c r="O21" i="10"/>
  <c r="O28" i="10" s="1"/>
  <c r="N30" i="10"/>
  <c r="I27" i="9" l="1"/>
  <c r="I28" i="9" s="1"/>
  <c r="J21" i="9" s="1"/>
  <c r="I14" i="9"/>
  <c r="L15" i="11"/>
  <c r="M8" i="11"/>
  <c r="L13" i="11"/>
  <c r="P21" i="10"/>
  <c r="P28" i="10" s="1"/>
  <c r="O30" i="10"/>
  <c r="I13" i="9" l="1"/>
  <c r="I26" i="9" s="1"/>
  <c r="J8" i="9"/>
  <c r="M14" i="11"/>
  <c r="Q21" i="10"/>
  <c r="Q28" i="10" s="1"/>
  <c r="P30" i="10"/>
  <c r="J27" i="9" l="1"/>
  <c r="J28" i="9" s="1"/>
  <c r="K21" i="9" s="1"/>
  <c r="J14" i="9"/>
  <c r="M15" i="11"/>
  <c r="N8" i="11"/>
  <c r="M13" i="11"/>
  <c r="R21" i="10"/>
  <c r="R28" i="10" s="1"/>
  <c r="Q30" i="10"/>
  <c r="J13" i="9" l="1"/>
  <c r="J26" i="9" s="1"/>
  <c r="K8" i="9"/>
  <c r="N14" i="11"/>
  <c r="S21" i="10"/>
  <c r="S28" i="10" s="1"/>
  <c r="R30" i="10"/>
  <c r="K27" i="9" l="1"/>
  <c r="K28" i="9" s="1"/>
  <c r="L21" i="9" s="1"/>
  <c r="K14" i="9"/>
  <c r="N15" i="11"/>
  <c r="O8" i="11"/>
  <c r="N13" i="11"/>
  <c r="T21" i="10"/>
  <c r="S30" i="10"/>
  <c r="K13" i="9" l="1"/>
  <c r="K26" i="9" s="1"/>
  <c r="L8" i="9"/>
  <c r="O14" i="11"/>
  <c r="AO31" i="10"/>
  <c r="AP31" i="10"/>
  <c r="AQ31" i="10"/>
  <c r="AR31" i="10"/>
  <c r="AS31" i="10"/>
  <c r="AN31" i="10"/>
  <c r="U11" i="9" l="1"/>
  <c r="L27" i="9"/>
  <c r="L28" i="9" s="1"/>
  <c r="M21" i="9" s="1"/>
  <c r="L14" i="9"/>
  <c r="O15" i="11"/>
  <c r="P8" i="11"/>
  <c r="O13" i="11"/>
  <c r="T11" i="10"/>
  <c r="AA34" i="8"/>
  <c r="AA24" i="8"/>
  <c r="AA20" i="8"/>
  <c r="AA19" i="8"/>
  <c r="V11" i="9" l="1"/>
  <c r="AB34" i="8"/>
  <c r="AQ34" i="8"/>
  <c r="AB19" i="8"/>
  <c r="AQ19" i="8"/>
  <c r="AQ24" i="8"/>
  <c r="AR24" i="8"/>
  <c r="AQ20" i="8"/>
  <c r="AR20" i="8"/>
  <c r="BE24" i="8"/>
  <c r="BF24" i="8"/>
  <c r="BF20" i="8"/>
  <c r="BE20" i="8"/>
  <c r="L13" i="9"/>
  <c r="L26" i="9" s="1"/>
  <c r="M8" i="9"/>
  <c r="P14" i="11"/>
  <c r="U11" i="10"/>
  <c r="T24" i="10"/>
  <c r="T28" i="10" s="1"/>
  <c r="AA17" i="8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X10" i="5"/>
  <c r="W11" i="9" l="1"/>
  <c r="V11" i="10"/>
  <c r="AR19" i="8"/>
  <c r="AS19" i="8"/>
  <c r="Y10" i="5"/>
  <c r="BE17" i="8"/>
  <c r="AQ17" i="8"/>
  <c r="AB17" i="8"/>
  <c r="BF17" i="8" s="1"/>
  <c r="AV24" i="8"/>
  <c r="AW24" i="8" s="1"/>
  <c r="AC34" i="8"/>
  <c r="AR34" i="8"/>
  <c r="AV20" i="8"/>
  <c r="AW20" i="8" s="1"/>
  <c r="M14" i="9"/>
  <c r="P15" i="11"/>
  <c r="Q8" i="11"/>
  <c r="P13" i="11"/>
  <c r="U21" i="10"/>
  <c r="T30" i="10"/>
  <c r="B24" i="5"/>
  <c r="B27" i="5" s="1"/>
  <c r="B28" i="5" s="1"/>
  <c r="B33" i="5" s="1"/>
  <c r="C24" i="5"/>
  <c r="C27" i="5" s="1"/>
  <c r="C28" i="5" s="1"/>
  <c r="C33" i="5" s="1"/>
  <c r="D24" i="5"/>
  <c r="D27" i="5" s="1"/>
  <c r="D28" i="5" s="1"/>
  <c r="D33" i="5" s="1"/>
  <c r="E24" i="5"/>
  <c r="E27" i="5" s="1"/>
  <c r="E28" i="5" s="1"/>
  <c r="E33" i="5" s="1"/>
  <c r="F24" i="5"/>
  <c r="F27" i="5" s="1"/>
  <c r="F28" i="5" s="1"/>
  <c r="F33" i="5" s="1"/>
  <c r="G24" i="5"/>
  <c r="G27" i="5" s="1"/>
  <c r="G28" i="5" s="1"/>
  <c r="G33" i="5" s="1"/>
  <c r="H24" i="5"/>
  <c r="H27" i="5" s="1"/>
  <c r="H28" i="5" s="1"/>
  <c r="H33" i="5" s="1"/>
  <c r="I24" i="5"/>
  <c r="I27" i="5" s="1"/>
  <c r="I28" i="5" s="1"/>
  <c r="I33" i="5" s="1"/>
  <c r="J24" i="5"/>
  <c r="J27" i="5" s="1"/>
  <c r="J28" i="5" s="1"/>
  <c r="J33" i="5" s="1"/>
  <c r="K24" i="5"/>
  <c r="K27" i="5" s="1"/>
  <c r="K28" i="5" s="1"/>
  <c r="K33" i="5" s="1"/>
  <c r="L24" i="5"/>
  <c r="L27" i="5" s="1"/>
  <c r="L28" i="5" s="1"/>
  <c r="L33" i="5" s="1"/>
  <c r="M24" i="5"/>
  <c r="M27" i="5" s="1"/>
  <c r="M28" i="5" s="1"/>
  <c r="M33" i="5" s="1"/>
  <c r="N24" i="5"/>
  <c r="N27" i="5" s="1"/>
  <c r="N28" i="5" s="1"/>
  <c r="N33" i="5" s="1"/>
  <c r="O24" i="5"/>
  <c r="O27" i="5" s="1"/>
  <c r="O28" i="5" s="1"/>
  <c r="O33" i="5" s="1"/>
  <c r="P24" i="5"/>
  <c r="P27" i="5" s="1"/>
  <c r="P28" i="5" s="1"/>
  <c r="P33" i="5" s="1"/>
  <c r="Q24" i="5"/>
  <c r="Q27" i="5" s="1"/>
  <c r="Q28" i="5" s="1"/>
  <c r="Q33" i="5" s="1"/>
  <c r="Q16" i="9" s="1"/>
  <c r="R24" i="5"/>
  <c r="R27" i="5" s="1"/>
  <c r="R28" i="5" s="1"/>
  <c r="R33" i="5" s="1"/>
  <c r="R16" i="9" s="1"/>
  <c r="S24" i="5"/>
  <c r="S27" i="5" s="1"/>
  <c r="S28" i="5" s="1"/>
  <c r="S33" i="5" s="1"/>
  <c r="S16" i="9" s="1"/>
  <c r="T24" i="5"/>
  <c r="T27" i="5" s="1"/>
  <c r="B15" i="5"/>
  <c r="B20" i="5" s="1"/>
  <c r="B21" i="5" s="1"/>
  <c r="C15" i="5"/>
  <c r="C20" i="5" s="1"/>
  <c r="C21" i="5" s="1"/>
  <c r="D15" i="5"/>
  <c r="D20" i="5" s="1"/>
  <c r="D21" i="5" s="1"/>
  <c r="E15" i="5"/>
  <c r="E20" i="5" s="1"/>
  <c r="E21" i="5" s="1"/>
  <c r="F15" i="5"/>
  <c r="F20" i="5" s="1"/>
  <c r="F21" i="5" s="1"/>
  <c r="G15" i="5"/>
  <c r="G20" i="5" s="1"/>
  <c r="G21" i="5" s="1"/>
  <c r="H15" i="5"/>
  <c r="H20" i="5" s="1"/>
  <c r="H21" i="5" s="1"/>
  <c r="I15" i="5"/>
  <c r="I20" i="5" s="1"/>
  <c r="I21" i="5" s="1"/>
  <c r="J15" i="5"/>
  <c r="J20" i="5" s="1"/>
  <c r="J21" i="5" s="1"/>
  <c r="K15" i="5"/>
  <c r="K20" i="5" s="1"/>
  <c r="K21" i="5" s="1"/>
  <c r="L15" i="5"/>
  <c r="L20" i="5" s="1"/>
  <c r="L21" i="5" s="1"/>
  <c r="M15" i="5"/>
  <c r="M20" i="5" s="1"/>
  <c r="M21" i="5" s="1"/>
  <c r="N15" i="5"/>
  <c r="N20" i="5" s="1"/>
  <c r="N21" i="5" s="1"/>
  <c r="O15" i="5"/>
  <c r="O20" i="5" s="1"/>
  <c r="O21" i="5" s="1"/>
  <c r="P15" i="5"/>
  <c r="P20" i="5" s="1"/>
  <c r="P21" i="5" s="1"/>
  <c r="Q15" i="5"/>
  <c r="Q20" i="5" s="1"/>
  <c r="Q21" i="5" s="1"/>
  <c r="R15" i="5"/>
  <c r="R20" i="5" s="1"/>
  <c r="R21" i="5" s="1"/>
  <c r="S15" i="5"/>
  <c r="S20" i="5" s="1"/>
  <c r="S21" i="5" s="1"/>
  <c r="T15" i="5"/>
  <c r="T20" i="5" s="1"/>
  <c r="T21" i="5" s="1"/>
  <c r="S12" i="5"/>
  <c r="T9" i="5"/>
  <c r="S9" i="5"/>
  <c r="X11" i="9" l="1"/>
  <c r="W11" i="10"/>
  <c r="AV19" i="8"/>
  <c r="AD34" i="8"/>
  <c r="AS34" i="8"/>
  <c r="AR17" i="8"/>
  <c r="AS17" i="8"/>
  <c r="M16" i="9"/>
  <c r="M22" i="9" s="1"/>
  <c r="N16" i="9"/>
  <c r="N23" i="9" s="1"/>
  <c r="O16" i="9"/>
  <c r="O22" i="9" s="1"/>
  <c r="P16" i="9"/>
  <c r="P25" i="9" s="1"/>
  <c r="R25" i="9"/>
  <c r="R23" i="9"/>
  <c r="R24" i="9"/>
  <c r="R22" i="9"/>
  <c r="S24" i="9"/>
  <c r="S22" i="9"/>
  <c r="S25" i="9"/>
  <c r="S23" i="9"/>
  <c r="Q24" i="9"/>
  <c r="Q22" i="9"/>
  <c r="Q25" i="9"/>
  <c r="Q23" i="9"/>
  <c r="M13" i="9"/>
  <c r="N8" i="9"/>
  <c r="Q14" i="11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X11" i="10" l="1"/>
  <c r="Y11" i="9"/>
  <c r="AW19" i="8"/>
  <c r="BC19" i="8" s="1"/>
  <c r="BD19" i="8" s="1"/>
  <c r="BE19" i="8" s="1"/>
  <c r="BF19" i="8" s="1"/>
  <c r="O24" i="9"/>
  <c r="O25" i="9"/>
  <c r="AT34" i="8"/>
  <c r="AU34" i="8"/>
  <c r="AV17" i="8"/>
  <c r="AW17" i="8" s="1"/>
  <c r="N24" i="9"/>
  <c r="M24" i="9"/>
  <c r="N25" i="9"/>
  <c r="M25" i="9"/>
  <c r="M27" i="9"/>
  <c r="M26" i="9"/>
  <c r="M23" i="9"/>
  <c r="O23" i="9"/>
  <c r="P24" i="9"/>
  <c r="N22" i="9"/>
  <c r="P22" i="9"/>
  <c r="P23" i="9"/>
  <c r="N27" i="9"/>
  <c r="N14" i="9"/>
  <c r="Q15" i="11"/>
  <c r="R8" i="11"/>
  <c r="Q13" i="11"/>
  <c r="C12" i="6"/>
  <c r="C13" i="6" s="1"/>
  <c r="C15" i="6" s="1"/>
  <c r="C16" i="6" s="1"/>
  <c r="C18" i="6" s="1"/>
  <c r="Z11" i="9" l="1"/>
  <c r="BE11" i="9"/>
  <c r="Y11" i="10"/>
  <c r="AV34" i="8"/>
  <c r="AW34" i="8" s="1"/>
  <c r="BC34" i="8" s="1"/>
  <c r="BD34" i="8" s="1"/>
  <c r="BE34" i="8" s="1"/>
  <c r="BF34" i="8" s="1"/>
  <c r="M28" i="9"/>
  <c r="N21" i="9" s="1"/>
  <c r="N28" i="9" s="1"/>
  <c r="O21" i="9" s="1"/>
  <c r="N13" i="9"/>
  <c r="N26" i="9" s="1"/>
  <c r="O8" i="9"/>
  <c r="R14" i="11"/>
  <c r="C21" i="6"/>
  <c r="D18" i="6"/>
  <c r="D16" i="11" l="1"/>
  <c r="D22" i="11" s="1"/>
  <c r="D16" i="20"/>
  <c r="Z11" i="10"/>
  <c r="BF11" i="9"/>
  <c r="AA11" i="9"/>
  <c r="O27" i="9"/>
  <c r="O28" i="9" s="1"/>
  <c r="P21" i="9" s="1"/>
  <c r="O14" i="9"/>
  <c r="D25" i="11"/>
  <c r="D24" i="11"/>
  <c r="D23" i="11"/>
  <c r="D17" i="11"/>
  <c r="D26" i="11"/>
  <c r="R15" i="11"/>
  <c r="S8" i="11"/>
  <c r="R13" i="11"/>
  <c r="E18" i="6"/>
  <c r="D21" i="6"/>
  <c r="D27" i="11" l="1"/>
  <c r="E16" i="11"/>
  <c r="E27" i="11" s="1"/>
  <c r="E16" i="20"/>
  <c r="D23" i="20"/>
  <c r="BI16" i="20"/>
  <c r="D22" i="20"/>
  <c r="D17" i="20"/>
  <c r="D25" i="20"/>
  <c r="D24" i="20"/>
  <c r="D27" i="20"/>
  <c r="D26" i="20"/>
  <c r="AB11" i="9"/>
  <c r="AA24" i="9"/>
  <c r="BG11" i="9"/>
  <c r="Z24" i="10"/>
  <c r="AA11" i="10"/>
  <c r="O13" i="9"/>
  <c r="O26" i="9" s="1"/>
  <c r="P8" i="9"/>
  <c r="D28" i="11"/>
  <c r="E25" i="11"/>
  <c r="E24" i="11"/>
  <c r="E23" i="11"/>
  <c r="E22" i="11"/>
  <c r="E17" i="11"/>
  <c r="E26" i="11"/>
  <c r="S14" i="11"/>
  <c r="S13" i="11" s="1"/>
  <c r="E21" i="6"/>
  <c r="F18" i="6"/>
  <c r="D28" i="20" l="1"/>
  <c r="F16" i="11"/>
  <c r="F23" i="11" s="1"/>
  <c r="F16" i="20"/>
  <c r="BJ16" i="20"/>
  <c r="E22" i="20"/>
  <c r="E23" i="20"/>
  <c r="E25" i="20"/>
  <c r="E17" i="20"/>
  <c r="E24" i="20"/>
  <c r="E27" i="20"/>
  <c r="E26" i="20"/>
  <c r="AC11" i="9"/>
  <c r="AB24" i="9"/>
  <c r="BH24" i="9" s="1"/>
  <c r="BH11" i="9"/>
  <c r="AB11" i="10"/>
  <c r="AA24" i="10"/>
  <c r="P27" i="9"/>
  <c r="P28" i="9" s="1"/>
  <c r="Q21" i="9" s="1"/>
  <c r="P14" i="9"/>
  <c r="S15" i="11"/>
  <c r="T8" i="11"/>
  <c r="E21" i="11"/>
  <c r="E28" i="11" s="1"/>
  <c r="D30" i="11"/>
  <c r="F25" i="11"/>
  <c r="F24" i="11"/>
  <c r="F22" i="11"/>
  <c r="F17" i="11"/>
  <c r="F27" i="11"/>
  <c r="F26" i="11"/>
  <c r="G18" i="6"/>
  <c r="F21" i="6"/>
  <c r="F17" i="20" l="1"/>
  <c r="F23" i="20"/>
  <c r="F22" i="20"/>
  <c r="BK16" i="20"/>
  <c r="F25" i="20"/>
  <c r="F24" i="20"/>
  <c r="F27" i="20"/>
  <c r="F26" i="20"/>
  <c r="G16" i="11"/>
  <c r="G22" i="11" s="1"/>
  <c r="G16" i="20"/>
  <c r="E21" i="20"/>
  <c r="E28" i="20" s="1"/>
  <c r="D30" i="20"/>
  <c r="AC11" i="10"/>
  <c r="AB24" i="10"/>
  <c r="AD11" i="9"/>
  <c r="AC24" i="9"/>
  <c r="BI24" i="9" s="1"/>
  <c r="BI11" i="9"/>
  <c r="P13" i="9"/>
  <c r="P26" i="9" s="1"/>
  <c r="Q8" i="9"/>
  <c r="F21" i="11"/>
  <c r="F28" i="11" s="1"/>
  <c r="E30" i="11"/>
  <c r="G25" i="11"/>
  <c r="G24" i="11"/>
  <c r="G23" i="11"/>
  <c r="G27" i="11"/>
  <c r="G26" i="11"/>
  <c r="T14" i="11"/>
  <c r="H18" i="6"/>
  <c r="G21" i="6"/>
  <c r="G17" i="11" l="1"/>
  <c r="AE11" i="9"/>
  <c r="AF11" i="9" s="1"/>
  <c r="AG11" i="9" s="1"/>
  <c r="F21" i="20"/>
  <c r="F28" i="20" s="1"/>
  <c r="E30" i="20"/>
  <c r="G25" i="20"/>
  <c r="G17" i="20"/>
  <c r="G23" i="20"/>
  <c r="G24" i="20"/>
  <c r="BL16" i="20"/>
  <c r="G22" i="20"/>
  <c r="G27" i="20"/>
  <c r="G26" i="20"/>
  <c r="H16" i="11"/>
  <c r="H27" i="11" s="1"/>
  <c r="H16" i="20"/>
  <c r="AD24" i="9"/>
  <c r="AD11" i="10"/>
  <c r="AC24" i="10"/>
  <c r="Q27" i="9"/>
  <c r="Q28" i="9" s="1"/>
  <c r="R21" i="9" s="1"/>
  <c r="Q14" i="9"/>
  <c r="R8" i="9" s="1"/>
  <c r="H17" i="11"/>
  <c r="T13" i="11"/>
  <c r="T15" i="11"/>
  <c r="G21" i="11"/>
  <c r="G28" i="11" s="1"/>
  <c r="F30" i="11"/>
  <c r="I18" i="6"/>
  <c r="H21" i="6"/>
  <c r="AG24" i="9" l="1"/>
  <c r="AH11" i="9"/>
  <c r="H22" i="11"/>
  <c r="H23" i="11"/>
  <c r="AF24" i="9"/>
  <c r="H25" i="20"/>
  <c r="BM16" i="20"/>
  <c r="H22" i="20"/>
  <c r="H23" i="20"/>
  <c r="H24" i="20"/>
  <c r="H17" i="20"/>
  <c r="H27" i="20"/>
  <c r="H26" i="20"/>
  <c r="H24" i="11"/>
  <c r="H25" i="11"/>
  <c r="G21" i="20"/>
  <c r="G28" i="20" s="1"/>
  <c r="F30" i="20"/>
  <c r="H26" i="11"/>
  <c r="I16" i="11"/>
  <c r="I23" i="11" s="1"/>
  <c r="I16" i="20"/>
  <c r="AE24" i="9"/>
  <c r="AD24" i="10"/>
  <c r="AE11" i="10"/>
  <c r="Q13" i="9"/>
  <c r="Q26" i="9" s="1"/>
  <c r="H21" i="11"/>
  <c r="G30" i="11"/>
  <c r="I21" i="6"/>
  <c r="J18" i="6"/>
  <c r="AH24" i="9" l="1"/>
  <c r="AI11" i="9"/>
  <c r="H28" i="11"/>
  <c r="I24" i="11"/>
  <c r="I25" i="11"/>
  <c r="AE24" i="10"/>
  <c r="AF11" i="10"/>
  <c r="J16" i="11"/>
  <c r="J17" i="11" s="1"/>
  <c r="J16" i="20"/>
  <c r="I26" i="11"/>
  <c r="G30" i="20"/>
  <c r="H21" i="20"/>
  <c r="H28" i="20" s="1"/>
  <c r="I17" i="11"/>
  <c r="I22" i="11"/>
  <c r="I22" i="20"/>
  <c r="I25" i="20"/>
  <c r="I24" i="20"/>
  <c r="I23" i="20"/>
  <c r="I17" i="20"/>
  <c r="BN16" i="20"/>
  <c r="I27" i="20"/>
  <c r="I26" i="20"/>
  <c r="I27" i="11"/>
  <c r="R27" i="9"/>
  <c r="R28" i="9" s="1"/>
  <c r="S21" i="9" s="1"/>
  <c r="R14" i="9"/>
  <c r="I21" i="11"/>
  <c r="H30" i="11"/>
  <c r="J21" i="6"/>
  <c r="K18" i="6"/>
  <c r="AJ11" i="9" l="1"/>
  <c r="J22" i="11"/>
  <c r="J25" i="11"/>
  <c r="J23" i="11"/>
  <c r="J24" i="11"/>
  <c r="J26" i="11"/>
  <c r="J27" i="11"/>
  <c r="AF24" i="10"/>
  <c r="AG11" i="10"/>
  <c r="K16" i="11"/>
  <c r="K27" i="11" s="1"/>
  <c r="K16" i="20"/>
  <c r="H30" i="20"/>
  <c r="I21" i="20"/>
  <c r="I28" i="20" s="1"/>
  <c r="I28" i="11"/>
  <c r="J22" i="20"/>
  <c r="J23" i="20"/>
  <c r="BO16" i="20"/>
  <c r="J24" i="20"/>
  <c r="J17" i="20"/>
  <c r="J25" i="20"/>
  <c r="J27" i="20"/>
  <c r="J26" i="20"/>
  <c r="R13" i="9"/>
  <c r="R26" i="9" s="1"/>
  <c r="S8" i="9"/>
  <c r="K24" i="11"/>
  <c r="K22" i="11"/>
  <c r="K17" i="11"/>
  <c r="J21" i="11"/>
  <c r="I30" i="11"/>
  <c r="K21" i="6"/>
  <c r="L18" i="6"/>
  <c r="AG24" i="10" l="1"/>
  <c r="AH11" i="10"/>
  <c r="J28" i="11"/>
  <c r="K21" i="11" s="1"/>
  <c r="K28" i="11" s="1"/>
  <c r="K23" i="11"/>
  <c r="K25" i="11"/>
  <c r="K26" i="11"/>
  <c r="I30" i="20"/>
  <c r="J21" i="20"/>
  <c r="J28" i="20" s="1"/>
  <c r="K23" i="20"/>
  <c r="K17" i="20"/>
  <c r="K22" i="20"/>
  <c r="K24" i="20"/>
  <c r="K25" i="20"/>
  <c r="BP16" i="20"/>
  <c r="K27" i="20"/>
  <c r="K26" i="20"/>
  <c r="L16" i="11"/>
  <c r="L23" i="11" s="1"/>
  <c r="L16" i="20"/>
  <c r="S27" i="9"/>
  <c r="S28" i="9" s="1"/>
  <c r="T21" i="9" s="1"/>
  <c r="S14" i="9"/>
  <c r="T8" i="9" s="1"/>
  <c r="T14" i="9" s="1"/>
  <c r="L26" i="11"/>
  <c r="L21" i="6"/>
  <c r="M18" i="6"/>
  <c r="AH24" i="10" l="1"/>
  <c r="AI11" i="10"/>
  <c r="J30" i="11"/>
  <c r="L27" i="11"/>
  <c r="L17" i="11"/>
  <c r="L24" i="11"/>
  <c r="L25" i="11"/>
  <c r="M16" i="11"/>
  <c r="M24" i="11" s="1"/>
  <c r="M16" i="20"/>
  <c r="L22" i="11"/>
  <c r="J30" i="20"/>
  <c r="K21" i="20"/>
  <c r="K28" i="20" s="1"/>
  <c r="L17" i="20"/>
  <c r="L24" i="20"/>
  <c r="L23" i="20"/>
  <c r="L25" i="20"/>
  <c r="BQ16" i="20"/>
  <c r="L22" i="20"/>
  <c r="L27" i="20"/>
  <c r="L26" i="20"/>
  <c r="U8" i="9"/>
  <c r="T13" i="9"/>
  <c r="S13" i="9"/>
  <c r="S26" i="9" s="1"/>
  <c r="L21" i="11"/>
  <c r="K30" i="11"/>
  <c r="M21" i="6"/>
  <c r="N18" i="6"/>
  <c r="AJ11" i="10" l="1"/>
  <c r="AI11" i="20"/>
  <c r="L28" i="11"/>
  <c r="M22" i="11"/>
  <c r="M26" i="11"/>
  <c r="M17" i="11"/>
  <c r="M23" i="11"/>
  <c r="M25" i="11"/>
  <c r="M27" i="11"/>
  <c r="K30" i="20"/>
  <c r="L21" i="20"/>
  <c r="L28" i="20" s="1"/>
  <c r="N16" i="11"/>
  <c r="N22" i="11" s="1"/>
  <c r="N16" i="20"/>
  <c r="M25" i="20"/>
  <c r="M22" i="20"/>
  <c r="M23" i="20"/>
  <c r="M24" i="20"/>
  <c r="M17" i="20"/>
  <c r="BR16" i="20"/>
  <c r="M27" i="20"/>
  <c r="M26" i="20"/>
  <c r="M21" i="11"/>
  <c r="L30" i="11"/>
  <c r="N25" i="11"/>
  <c r="N24" i="11"/>
  <c r="N23" i="11"/>
  <c r="N21" i="6"/>
  <c r="O18" i="6"/>
  <c r="AJ11" i="20" l="1"/>
  <c r="N26" i="11"/>
  <c r="N27" i="11"/>
  <c r="N17" i="11"/>
  <c r="M28" i="11"/>
  <c r="N21" i="11" s="1"/>
  <c r="N28" i="11" s="1"/>
  <c r="L30" i="20"/>
  <c r="M21" i="20"/>
  <c r="M28" i="20" s="1"/>
  <c r="O16" i="11"/>
  <c r="O17" i="11" s="1"/>
  <c r="O16" i="20"/>
  <c r="N17" i="20"/>
  <c r="N24" i="20"/>
  <c r="BS16" i="20"/>
  <c r="N25" i="20"/>
  <c r="N22" i="20"/>
  <c r="N23" i="20"/>
  <c r="N27" i="20"/>
  <c r="N26" i="20"/>
  <c r="O24" i="11"/>
  <c r="O23" i="11"/>
  <c r="O21" i="6"/>
  <c r="P18" i="6"/>
  <c r="M30" i="11" l="1"/>
  <c r="O25" i="11"/>
  <c r="O26" i="11"/>
  <c r="O22" i="11"/>
  <c r="P16" i="11"/>
  <c r="P23" i="11" s="1"/>
  <c r="P16" i="20"/>
  <c r="O25" i="20"/>
  <c r="O23" i="20"/>
  <c r="O22" i="20"/>
  <c r="O24" i="20"/>
  <c r="O17" i="20"/>
  <c r="BT16" i="20"/>
  <c r="O27" i="20"/>
  <c r="O26" i="20"/>
  <c r="M30" i="20"/>
  <c r="N21" i="20"/>
  <c r="N28" i="20" s="1"/>
  <c r="BR28" i="20"/>
  <c r="O27" i="11"/>
  <c r="O21" i="11"/>
  <c r="N30" i="11"/>
  <c r="P21" i="6"/>
  <c r="Q18" i="6"/>
  <c r="O28" i="11" l="1"/>
  <c r="O21" i="20"/>
  <c r="O28" i="20" s="1"/>
  <c r="BS28" i="20"/>
  <c r="N30" i="20"/>
  <c r="Q16" i="11"/>
  <c r="Q17" i="11" s="1"/>
  <c r="Q16" i="20"/>
  <c r="P24" i="11"/>
  <c r="P25" i="11"/>
  <c r="P27" i="11"/>
  <c r="P17" i="11"/>
  <c r="P26" i="11"/>
  <c r="P22" i="11"/>
  <c r="P25" i="20"/>
  <c r="P24" i="20"/>
  <c r="P17" i="20"/>
  <c r="P23" i="20"/>
  <c r="BU16" i="20"/>
  <c r="P22" i="20"/>
  <c r="P27" i="20"/>
  <c r="P26" i="20"/>
  <c r="P21" i="11"/>
  <c r="O30" i="11"/>
  <c r="Q24" i="11"/>
  <c r="Q23" i="11"/>
  <c r="Q21" i="6"/>
  <c r="R18" i="6"/>
  <c r="Q22" i="11" l="1"/>
  <c r="R16" i="11"/>
  <c r="R24" i="11" s="1"/>
  <c r="R16" i="20"/>
  <c r="P28" i="11"/>
  <c r="Q21" i="11" s="1"/>
  <c r="Q26" i="11"/>
  <c r="Q22" i="20"/>
  <c r="Q23" i="20"/>
  <c r="Q17" i="20"/>
  <c r="BV16" i="20"/>
  <c r="Q24" i="20"/>
  <c r="Q27" i="20"/>
  <c r="Q25" i="20"/>
  <c r="Q26" i="20"/>
  <c r="Q27" i="11"/>
  <c r="Q25" i="11"/>
  <c r="P21" i="20"/>
  <c r="P28" i="20" s="1"/>
  <c r="O30" i="20"/>
  <c r="BT28" i="20"/>
  <c r="R23" i="11"/>
  <c r="R22" i="11"/>
  <c r="R17" i="11"/>
  <c r="R25" i="11"/>
  <c r="R27" i="11"/>
  <c r="R26" i="11"/>
  <c r="R21" i="6"/>
  <c r="S18" i="6"/>
  <c r="P30" i="11" l="1"/>
  <c r="Q28" i="11"/>
  <c r="Q30" i="11" s="1"/>
  <c r="Q21" i="20"/>
  <c r="Q28" i="20" s="1"/>
  <c r="BU28" i="20"/>
  <c r="P30" i="20"/>
  <c r="S16" i="11"/>
  <c r="S23" i="11" s="1"/>
  <c r="S16" i="20"/>
  <c r="R24" i="20"/>
  <c r="R22" i="20"/>
  <c r="R17" i="20"/>
  <c r="R23" i="20"/>
  <c r="BW16" i="20"/>
  <c r="R25" i="20"/>
  <c r="R27" i="20"/>
  <c r="R26" i="20"/>
  <c r="R21" i="11"/>
  <c r="R28" i="11" s="1"/>
  <c r="S21" i="6"/>
  <c r="T18" i="6"/>
  <c r="S27" i="11" l="1"/>
  <c r="S26" i="11"/>
  <c r="S24" i="11"/>
  <c r="T16" i="11"/>
  <c r="T26" i="11" s="1"/>
  <c r="T16" i="20"/>
  <c r="S25" i="11"/>
  <c r="S23" i="20"/>
  <c r="S17" i="20"/>
  <c r="BX16" i="20"/>
  <c r="S24" i="20"/>
  <c r="S22" i="20"/>
  <c r="S25" i="20"/>
  <c r="S27" i="20"/>
  <c r="S26" i="20"/>
  <c r="S17" i="11"/>
  <c r="S22" i="11"/>
  <c r="BV28" i="20"/>
  <c r="Q30" i="20"/>
  <c r="R21" i="20"/>
  <c r="R28" i="20" s="1"/>
  <c r="T25" i="11"/>
  <c r="S21" i="11"/>
  <c r="R30" i="11"/>
  <c r="T21" i="6"/>
  <c r="U18" i="6"/>
  <c r="T22" i="11" l="1"/>
  <c r="T17" i="11"/>
  <c r="T23" i="11"/>
  <c r="T24" i="11"/>
  <c r="T27" i="11"/>
  <c r="S28" i="11"/>
  <c r="T21" i="11" s="1"/>
  <c r="BW28" i="20"/>
  <c r="R30" i="20"/>
  <c r="S21" i="20"/>
  <c r="S28" i="20" s="1"/>
  <c r="U16" i="11"/>
  <c r="U17" i="11" s="1"/>
  <c r="U16" i="20"/>
  <c r="BZ16" i="20" s="1"/>
  <c r="T17" i="20"/>
  <c r="T24" i="20"/>
  <c r="T23" i="20"/>
  <c r="T22" i="20"/>
  <c r="BY16" i="20"/>
  <c r="T25" i="20"/>
  <c r="T27" i="20"/>
  <c r="T26" i="20"/>
  <c r="U21" i="6"/>
  <c r="V18" i="6"/>
  <c r="T28" i="11" l="1"/>
  <c r="T30" i="11" s="1"/>
  <c r="S30" i="11"/>
  <c r="BX28" i="20"/>
  <c r="S30" i="20"/>
  <c r="T21" i="20"/>
  <c r="T28" i="20" s="1"/>
  <c r="V16" i="11"/>
  <c r="V17" i="11" s="1"/>
  <c r="V16" i="20"/>
  <c r="U24" i="20"/>
  <c r="U17" i="20"/>
  <c r="U27" i="20"/>
  <c r="V21" i="6"/>
  <c r="W18" i="6"/>
  <c r="CA16" i="20" l="1"/>
  <c r="V17" i="20"/>
  <c r="V24" i="20"/>
  <c r="BY28" i="20"/>
  <c r="U21" i="20"/>
  <c r="T30" i="20"/>
  <c r="W16" i="11"/>
  <c r="W17" i="11" s="1"/>
  <c r="W16" i="20"/>
  <c r="W21" i="6"/>
  <c r="X18" i="6"/>
  <c r="T23" i="5"/>
  <c r="T25" i="5" s="1"/>
  <c r="T12" i="5"/>
  <c r="U12" i="5"/>
  <c r="V12" i="5"/>
  <c r="X12" i="5"/>
  <c r="W12" i="5"/>
  <c r="V9" i="5"/>
  <c r="CB16" i="20" l="1"/>
  <c r="CE16" i="20" s="1"/>
  <c r="W17" i="20"/>
  <c r="W24" i="20"/>
  <c r="X16" i="11"/>
  <c r="X16" i="20"/>
  <c r="X21" i="6"/>
  <c r="Y16" i="11" s="1"/>
  <c r="Y18" i="6"/>
  <c r="T28" i="5"/>
  <c r="T33" i="5" s="1"/>
  <c r="T16" i="9" s="1"/>
  <c r="T14" i="10"/>
  <c r="U8" i="11"/>
  <c r="CC16" i="20" l="1"/>
  <c r="X17" i="20"/>
  <c r="X24" i="20"/>
  <c r="U8" i="10"/>
  <c r="Y17" i="11"/>
  <c r="Y21" i="6"/>
  <c r="Z16" i="11" s="1"/>
  <c r="Z18" i="6"/>
  <c r="T25" i="9"/>
  <c r="T23" i="9"/>
  <c r="T24" i="9"/>
  <c r="T22" i="9"/>
  <c r="T27" i="9"/>
  <c r="T26" i="9"/>
  <c r="U27" i="11"/>
  <c r="T13" i="10"/>
  <c r="T26" i="10" s="1"/>
  <c r="T34" i="5"/>
  <c r="AB16" i="8"/>
  <c r="X16" i="8"/>
  <c r="Y16" i="8"/>
  <c r="Z16" i="8"/>
  <c r="AA16" i="8"/>
  <c r="AB40" i="8"/>
  <c r="H12" i="15" s="1"/>
  <c r="H13" i="15" s="1"/>
  <c r="AB39" i="8"/>
  <c r="AS39" i="8" s="1"/>
  <c r="AV39" i="8" s="1"/>
  <c r="AW39" i="8" s="1"/>
  <c r="AB61" i="8"/>
  <c r="AB60" i="8"/>
  <c r="AB56" i="8"/>
  <c r="AA18" i="6" l="1"/>
  <c r="Z21" i="6"/>
  <c r="AA16" i="11" s="1"/>
  <c r="AA17" i="11" s="1"/>
  <c r="AS61" i="8"/>
  <c r="AS56" i="8"/>
  <c r="H8" i="15"/>
  <c r="AR40" i="8"/>
  <c r="AS40" i="8"/>
  <c r="AS60" i="8"/>
  <c r="AQ16" i="8"/>
  <c r="AR16" i="8"/>
  <c r="AS16" i="8"/>
  <c r="Z17" i="11"/>
  <c r="T28" i="9"/>
  <c r="H12" i="14"/>
  <c r="H13" i="14" s="1"/>
  <c r="H8" i="14"/>
  <c r="BE16" i="8"/>
  <c r="Y14" i="8"/>
  <c r="BC16" i="8"/>
  <c r="Y25" i="8"/>
  <c r="AB14" i="8"/>
  <c r="BF16" i="8"/>
  <c r="AB25" i="8"/>
  <c r="Z14" i="8"/>
  <c r="BD16" i="8"/>
  <c r="Z25" i="8"/>
  <c r="X14" i="8"/>
  <c r="X25" i="8"/>
  <c r="BB25" i="8" s="1"/>
  <c r="BB16" i="8"/>
  <c r="AA25" i="8"/>
  <c r="AA14" i="8"/>
  <c r="AB53" i="8"/>
  <c r="AB50" i="8"/>
  <c r="AB48" i="8"/>
  <c r="AB41" i="8"/>
  <c r="U9" i="20" l="1"/>
  <c r="Z23" i="8"/>
  <c r="X23" i="8"/>
  <c r="BB23" i="8" s="1"/>
  <c r="T33" i="11"/>
  <c r="T34" i="11" s="1"/>
  <c r="Y23" i="8"/>
  <c r="BC23" i="8" s="1"/>
  <c r="U9" i="11"/>
  <c r="V9" i="11" s="1"/>
  <c r="U33" i="11"/>
  <c r="AA21" i="6"/>
  <c r="AB16" i="11" s="1"/>
  <c r="AB17" i="11" s="1"/>
  <c r="AB18" i="6"/>
  <c r="BE25" i="8"/>
  <c r="AQ25" i="8"/>
  <c r="AB13" i="8"/>
  <c r="AS50" i="8"/>
  <c r="AV16" i="8"/>
  <c r="AW16" i="8" s="1"/>
  <c r="AB59" i="8"/>
  <c r="AS53" i="8"/>
  <c r="H7" i="14"/>
  <c r="H9" i="14" s="1"/>
  <c r="AS48" i="8"/>
  <c r="AB23" i="8"/>
  <c r="AS23" i="8" s="1"/>
  <c r="AR14" i="8"/>
  <c r="AS14" i="8"/>
  <c r="AV40" i="8"/>
  <c r="AW40" i="8" s="1"/>
  <c r="AS41" i="8"/>
  <c r="AA23" i="8"/>
  <c r="AQ14" i="8"/>
  <c r="AR25" i="8"/>
  <c r="AS25" i="8"/>
  <c r="BD25" i="8"/>
  <c r="BC25" i="8"/>
  <c r="BF25" i="8"/>
  <c r="X24" i="5"/>
  <c r="X27" i="5" s="1"/>
  <c r="X12" i="10"/>
  <c r="AB21" i="6" l="1"/>
  <c r="AC16" i="11" s="1"/>
  <c r="AC17" i="11" s="1"/>
  <c r="AC18" i="6"/>
  <c r="AC21" i="6" s="1"/>
  <c r="AD16" i="11" s="1"/>
  <c r="AE17" i="11" s="1"/>
  <c r="U32" i="20"/>
  <c r="BZ9" i="20"/>
  <c r="U22" i="20"/>
  <c r="BD23" i="8"/>
  <c r="V9" i="20"/>
  <c r="AQ23" i="8"/>
  <c r="W33" i="11"/>
  <c r="V33" i="11"/>
  <c r="V34" i="11" s="1"/>
  <c r="U34" i="11"/>
  <c r="W9" i="11"/>
  <c r="AR23" i="8"/>
  <c r="AV14" i="8"/>
  <c r="AW14" i="8" s="1"/>
  <c r="BE23" i="8"/>
  <c r="BF23" i="8"/>
  <c r="AV25" i="8"/>
  <c r="AW25" i="8" s="1"/>
  <c r="AS59" i="8"/>
  <c r="AS13" i="8"/>
  <c r="AB12" i="8"/>
  <c r="AV23" i="8" l="1"/>
  <c r="AW23" i="8" s="1"/>
  <c r="V22" i="20"/>
  <c r="CA9" i="20"/>
  <c r="V32" i="20"/>
  <c r="W9" i="20"/>
  <c r="AD17" i="11"/>
  <c r="W34" i="11"/>
  <c r="X9" i="11"/>
  <c r="X33" i="11"/>
  <c r="AS12" i="8"/>
  <c r="CE15" i="11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B26" i="13"/>
  <c r="B21" i="13"/>
  <c r="B22" i="13"/>
  <c r="B23" i="13"/>
  <c r="B24" i="13"/>
  <c r="B25" i="13"/>
  <c r="B20" i="13"/>
  <c r="B19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C8" i="13"/>
  <c r="C9" i="13"/>
  <c r="C10" i="13"/>
  <c r="C11" i="13"/>
  <c r="C12" i="13"/>
  <c r="C13" i="13"/>
  <c r="C14" i="13"/>
  <c r="B9" i="13"/>
  <c r="B10" i="13"/>
  <c r="B11" i="13"/>
  <c r="B12" i="13"/>
  <c r="B13" i="13"/>
  <c r="B14" i="13"/>
  <c r="B8" i="13"/>
  <c r="F54" i="13"/>
  <c r="E54" i="13"/>
  <c r="B54" i="13"/>
  <c r="L41" i="13"/>
  <c r="K41" i="13"/>
  <c r="J41" i="13"/>
  <c r="I41" i="13"/>
  <c r="H41" i="13"/>
  <c r="G41" i="13"/>
  <c r="F41" i="13"/>
  <c r="E41" i="13"/>
  <c r="D41" i="13"/>
  <c r="C41" i="13"/>
  <c r="B41" i="13"/>
  <c r="L40" i="13"/>
  <c r="K40" i="13"/>
  <c r="J40" i="13"/>
  <c r="I40" i="13"/>
  <c r="H40" i="13"/>
  <c r="G40" i="13"/>
  <c r="F40" i="13"/>
  <c r="E40" i="13"/>
  <c r="D40" i="13"/>
  <c r="C40" i="13"/>
  <c r="B40" i="13"/>
  <c r="L39" i="13"/>
  <c r="K39" i="13"/>
  <c r="J39" i="13"/>
  <c r="I39" i="13"/>
  <c r="H39" i="13"/>
  <c r="G39" i="13"/>
  <c r="F39" i="13"/>
  <c r="E39" i="13"/>
  <c r="D39" i="13"/>
  <c r="C39" i="13"/>
  <c r="B39" i="13"/>
  <c r="L38" i="13"/>
  <c r="K38" i="13"/>
  <c r="J38" i="13"/>
  <c r="I38" i="13"/>
  <c r="H38" i="13"/>
  <c r="G38" i="13"/>
  <c r="F38" i="13"/>
  <c r="E38" i="13"/>
  <c r="D38" i="13"/>
  <c r="C38" i="13"/>
  <c r="B38" i="13"/>
  <c r="B37" i="13"/>
  <c r="U9" i="10"/>
  <c r="U12" i="10"/>
  <c r="V12" i="10"/>
  <c r="W22" i="20" l="1"/>
  <c r="W32" i="20"/>
  <c r="CB9" i="20"/>
  <c r="X9" i="20"/>
  <c r="X34" i="11"/>
  <c r="Y33" i="11"/>
  <c r="Y9" i="11"/>
  <c r="AH22" i="13"/>
  <c r="AH14" i="13"/>
  <c r="AF12" i="13"/>
  <c r="AG8" i="13"/>
  <c r="AF20" i="13"/>
  <c r="AH23" i="13"/>
  <c r="AJ12" i="13"/>
  <c r="AH13" i="13"/>
  <c r="AH24" i="13"/>
  <c r="AF26" i="13"/>
  <c r="U22" i="11"/>
  <c r="AJ14" i="13"/>
  <c r="AF14" i="13"/>
  <c r="AI8" i="13"/>
  <c r="AH12" i="13"/>
  <c r="AF13" i="13"/>
  <c r="AH11" i="13"/>
  <c r="AH26" i="13"/>
  <c r="AF24" i="13"/>
  <c r="AF23" i="13"/>
  <c r="AF22" i="13"/>
  <c r="AH20" i="13"/>
  <c r="AG19" i="13"/>
  <c r="AI19" i="13"/>
  <c r="AJ13" i="13"/>
  <c r="AF8" i="13"/>
  <c r="AH8" i="13"/>
  <c r="AJ8" i="13"/>
  <c r="AF9" i="13"/>
  <c r="AH9" i="13"/>
  <c r="AJ9" i="13"/>
  <c r="AF10" i="13"/>
  <c r="AH10" i="13"/>
  <c r="AJ10" i="13"/>
  <c r="AF11" i="13"/>
  <c r="AJ11" i="13"/>
  <c r="AF19" i="13"/>
  <c r="AH19" i="13"/>
  <c r="AJ19" i="13"/>
  <c r="AF21" i="13"/>
  <c r="AH21" i="13"/>
  <c r="AF25" i="13"/>
  <c r="AH25" i="13"/>
  <c r="AG9" i="13"/>
  <c r="AI9" i="13"/>
  <c r="AG10" i="13"/>
  <c r="AI10" i="13"/>
  <c r="AG11" i="13"/>
  <c r="AI11" i="13"/>
  <c r="AG12" i="13"/>
  <c r="AI12" i="13"/>
  <c r="AG13" i="13"/>
  <c r="AI13" i="13"/>
  <c r="AG14" i="13"/>
  <c r="AI14" i="13"/>
  <c r="AG20" i="13"/>
  <c r="AI20" i="13"/>
  <c r="AG21" i="13"/>
  <c r="AI21" i="13"/>
  <c r="AG22" i="13"/>
  <c r="AI22" i="13"/>
  <c r="AG23" i="13"/>
  <c r="AI23" i="13"/>
  <c r="AG24" i="13"/>
  <c r="AI24" i="13"/>
  <c r="AG25" i="13"/>
  <c r="AI25" i="13"/>
  <c r="AG26" i="13"/>
  <c r="AI26" i="13"/>
  <c r="W11" i="5"/>
  <c r="X11" i="5" s="1"/>
  <c r="W13" i="5"/>
  <c r="X13" i="5" s="1"/>
  <c r="Y13" i="5" s="1"/>
  <c r="W9" i="5"/>
  <c r="W12" i="10"/>
  <c r="AA48" i="8"/>
  <c r="AA41" i="8"/>
  <c r="W9" i="10"/>
  <c r="AA10" i="8"/>
  <c r="AA61" i="8"/>
  <c r="AA60" i="8"/>
  <c r="AA53" i="8"/>
  <c r="AA56" i="8"/>
  <c r="AA50" i="8"/>
  <c r="AA13" i="8" s="1"/>
  <c r="AA12" i="8" s="1"/>
  <c r="CC9" i="20" l="1"/>
  <c r="CE9" i="20" s="1"/>
  <c r="X32" i="20"/>
  <c r="X22" i="20"/>
  <c r="Y34" i="11"/>
  <c r="Z33" i="11"/>
  <c r="Z9" i="11"/>
  <c r="AB62" i="8"/>
  <c r="AR50" i="8"/>
  <c r="AR61" i="8"/>
  <c r="G7" i="14"/>
  <c r="G9" i="14" s="1"/>
  <c r="AR48" i="8"/>
  <c r="Y11" i="5"/>
  <c r="AI8" i="5" s="1"/>
  <c r="AI9" i="5" s="1"/>
  <c r="AH8" i="5"/>
  <c r="AR41" i="8"/>
  <c r="AR56" i="8"/>
  <c r="AR60" i="8"/>
  <c r="AR53" i="8"/>
  <c r="W8" i="5"/>
  <c r="W15" i="5" s="1"/>
  <c r="W20" i="5" s="1"/>
  <c r="W21" i="5" s="1"/>
  <c r="W23" i="5" s="1"/>
  <c r="AG8" i="5"/>
  <c r="Y15" i="5"/>
  <c r="G7" i="16"/>
  <c r="AA8" i="8"/>
  <c r="X8" i="5"/>
  <c r="X15" i="5" s="1"/>
  <c r="V22" i="11"/>
  <c r="CA9" i="11"/>
  <c r="X9" i="10"/>
  <c r="Y9" i="10" s="1"/>
  <c r="Z9" i="10" s="1"/>
  <c r="AA9" i="10" s="1"/>
  <c r="AB9" i="10" s="1"/>
  <c r="AC9" i="10" s="1"/>
  <c r="W24" i="5"/>
  <c r="AA59" i="8"/>
  <c r="AA49" i="8"/>
  <c r="BD12" i="9"/>
  <c r="AA44" i="8"/>
  <c r="Z10" i="8"/>
  <c r="AI33" i="5"/>
  <c r="AI5" i="5"/>
  <c r="Z61" i="8"/>
  <c r="Z60" i="8"/>
  <c r="AQ60" i="8" s="1"/>
  <c r="Z56" i="8"/>
  <c r="AQ56" i="8" s="1"/>
  <c r="Z53" i="8"/>
  <c r="AQ53" i="8" s="1"/>
  <c r="Z50" i="8"/>
  <c r="AQ50" i="8" s="1"/>
  <c r="Z49" i="8"/>
  <c r="F7" i="15" s="1"/>
  <c r="F9" i="15" s="1"/>
  <c r="Z41" i="8"/>
  <c r="AQ41" i="8" s="1"/>
  <c r="U11" i="5"/>
  <c r="Y10" i="8"/>
  <c r="AL30" i="5"/>
  <c r="AN31" i="5" s="1"/>
  <c r="AK30" i="5"/>
  <c r="AM31" i="5" s="1"/>
  <c r="U13" i="5"/>
  <c r="U10" i="5"/>
  <c r="Y61" i="8"/>
  <c r="Y62" i="8" s="1"/>
  <c r="Y60" i="8"/>
  <c r="Y53" i="8"/>
  <c r="Y50" i="8"/>
  <c r="Y49" i="8"/>
  <c r="Y48" i="8"/>
  <c r="Y44" i="8"/>
  <c r="Y41" i="8"/>
  <c r="AX16" i="9"/>
  <c r="AW16" i="9"/>
  <c r="AV16" i="9"/>
  <c r="AX12" i="9"/>
  <c r="AW12" i="9"/>
  <c r="AV12" i="9"/>
  <c r="AV11" i="9"/>
  <c r="AX10" i="9"/>
  <c r="AW10" i="9"/>
  <c r="AV10" i="9"/>
  <c r="BX16" i="11"/>
  <c r="BW16" i="11"/>
  <c r="BV16" i="11"/>
  <c r="BU16" i="11"/>
  <c r="BT16" i="11"/>
  <c r="BS16" i="11"/>
  <c r="BR16" i="11"/>
  <c r="BQ16" i="11"/>
  <c r="BP16" i="11"/>
  <c r="BO16" i="11"/>
  <c r="BN16" i="11"/>
  <c r="BM16" i="11"/>
  <c r="BL16" i="11"/>
  <c r="BK16" i="11"/>
  <c r="BJ16" i="11"/>
  <c r="BI16" i="11"/>
  <c r="BH16" i="11"/>
  <c r="AY12" i="9"/>
  <c r="R23" i="4"/>
  <c r="AW11" i="9"/>
  <c r="BX11" i="11"/>
  <c r="R12" i="4"/>
  <c r="R10" i="4"/>
  <c r="S9" i="4"/>
  <c r="Q12" i="4"/>
  <c r="Q10" i="4"/>
  <c r="B8" i="4"/>
  <c r="B9" i="4"/>
  <c r="C9" i="4"/>
  <c r="D9" i="4"/>
  <c r="E9" i="4"/>
  <c r="F9" i="4"/>
  <c r="G9" i="4"/>
  <c r="H9" i="4"/>
  <c r="I9" i="4"/>
  <c r="J9" i="4"/>
  <c r="K9" i="4"/>
  <c r="B10" i="4"/>
  <c r="C10" i="4"/>
  <c r="D10" i="4"/>
  <c r="E10" i="4"/>
  <c r="F10" i="4"/>
  <c r="G10" i="4"/>
  <c r="H10" i="4"/>
  <c r="I10" i="4"/>
  <c r="J10" i="4"/>
  <c r="K10" i="4"/>
  <c r="B11" i="4"/>
  <c r="C11" i="4"/>
  <c r="D11" i="4"/>
  <c r="E11" i="4"/>
  <c r="F11" i="4"/>
  <c r="G11" i="4"/>
  <c r="H11" i="4"/>
  <c r="I11" i="4"/>
  <c r="J11" i="4"/>
  <c r="K11" i="4"/>
  <c r="P11" i="4"/>
  <c r="B12" i="4"/>
  <c r="C12" i="4"/>
  <c r="D12" i="4"/>
  <c r="E12" i="4"/>
  <c r="F12" i="4"/>
  <c r="G12" i="4"/>
  <c r="H12" i="4"/>
  <c r="I12" i="4"/>
  <c r="J12" i="4"/>
  <c r="K12" i="4"/>
  <c r="P12" i="4"/>
  <c r="B19" i="4"/>
  <c r="B25" i="4"/>
  <c r="B37" i="4"/>
  <c r="B38" i="4"/>
  <c r="C38" i="4"/>
  <c r="D38" i="4"/>
  <c r="E38" i="4"/>
  <c r="F38" i="4"/>
  <c r="G38" i="4"/>
  <c r="H38" i="4"/>
  <c r="I38" i="4"/>
  <c r="J38" i="4"/>
  <c r="K38" i="4"/>
  <c r="L38" i="4"/>
  <c r="B39" i="4"/>
  <c r="C39" i="4"/>
  <c r="D39" i="4"/>
  <c r="E39" i="4"/>
  <c r="F39" i="4"/>
  <c r="G39" i="4"/>
  <c r="H39" i="4"/>
  <c r="I39" i="4"/>
  <c r="J39" i="4"/>
  <c r="K39" i="4"/>
  <c r="L39" i="4"/>
  <c r="B40" i="4"/>
  <c r="C40" i="4"/>
  <c r="D40" i="4"/>
  <c r="E40" i="4"/>
  <c r="F40" i="4"/>
  <c r="G40" i="4"/>
  <c r="H40" i="4"/>
  <c r="I40" i="4"/>
  <c r="J40" i="4"/>
  <c r="K40" i="4"/>
  <c r="L40" i="4"/>
  <c r="B41" i="4"/>
  <c r="C41" i="4"/>
  <c r="D41" i="4"/>
  <c r="E41" i="4"/>
  <c r="F41" i="4"/>
  <c r="G41" i="4"/>
  <c r="H41" i="4"/>
  <c r="I41" i="4"/>
  <c r="J41" i="4"/>
  <c r="K41" i="4"/>
  <c r="L41" i="4"/>
  <c r="B54" i="4"/>
  <c r="E54" i="4"/>
  <c r="F54" i="4"/>
  <c r="C22" i="2"/>
  <c r="C22" i="3"/>
  <c r="C20" i="4" s="1"/>
  <c r="D22" i="2"/>
  <c r="D22" i="3"/>
  <c r="E22" i="2"/>
  <c r="E22" i="3"/>
  <c r="E20" i="4" s="1"/>
  <c r="F22" i="2"/>
  <c r="F22" i="3"/>
  <c r="G22" i="2"/>
  <c r="G22" i="3"/>
  <c r="B23" i="2"/>
  <c r="B23" i="3"/>
  <c r="C23" i="2"/>
  <c r="C23" i="3"/>
  <c r="D23" i="2"/>
  <c r="D23" i="3"/>
  <c r="E23" i="2"/>
  <c r="E23" i="3"/>
  <c r="E21" i="4" s="1"/>
  <c r="F23" i="2"/>
  <c r="F23" i="3"/>
  <c r="G23" i="2"/>
  <c r="G23" i="3"/>
  <c r="G21" i="4" s="1"/>
  <c r="B24" i="2"/>
  <c r="B24" i="3"/>
  <c r="C24" i="2"/>
  <c r="C24" i="3"/>
  <c r="D24" i="2"/>
  <c r="D24" i="3"/>
  <c r="E24" i="2"/>
  <c r="E24" i="3"/>
  <c r="F24" i="2"/>
  <c r="F24" i="3"/>
  <c r="G24" i="2"/>
  <c r="G24" i="3"/>
  <c r="B25" i="2"/>
  <c r="B25" i="3"/>
  <c r="C25" i="2"/>
  <c r="C25" i="3"/>
  <c r="C23" i="4" s="1"/>
  <c r="D25" i="2"/>
  <c r="D25" i="3"/>
  <c r="E25" i="2"/>
  <c r="E25" i="3"/>
  <c r="F25" i="2"/>
  <c r="F25" i="3"/>
  <c r="G25" i="2"/>
  <c r="G25" i="3"/>
  <c r="H78" i="2"/>
  <c r="H54" i="13" s="1"/>
  <c r="I23" i="1"/>
  <c r="I22" i="2"/>
  <c r="I22" i="3"/>
  <c r="I20" i="4" s="1"/>
  <c r="I25" i="1"/>
  <c r="I24" i="2"/>
  <c r="I24" i="3"/>
  <c r="H26" i="1"/>
  <c r="H25" i="2"/>
  <c r="H25" i="3"/>
  <c r="I26" i="1"/>
  <c r="I25" i="2"/>
  <c r="I25" i="3"/>
  <c r="J26" i="1"/>
  <c r="J25" i="2"/>
  <c r="J25" i="3"/>
  <c r="B107" i="1"/>
  <c r="B72" i="2"/>
  <c r="B71" i="3"/>
  <c r="B108" i="1"/>
  <c r="B73" i="2"/>
  <c r="B72" i="3"/>
  <c r="C108" i="1"/>
  <c r="C73" i="2"/>
  <c r="C72" i="3"/>
  <c r="D108" i="1"/>
  <c r="D73" i="2"/>
  <c r="D72" i="3"/>
  <c r="E108" i="1"/>
  <c r="E73" i="2"/>
  <c r="E72" i="3"/>
  <c r="F108" i="1"/>
  <c r="F73" i="2"/>
  <c r="F72" i="3"/>
  <c r="G108" i="1"/>
  <c r="G73" i="2"/>
  <c r="G72" i="3"/>
  <c r="H108" i="1"/>
  <c r="H73" i="2"/>
  <c r="H72" i="3"/>
  <c r="I108" i="1"/>
  <c r="I73" i="2"/>
  <c r="I72" i="3"/>
  <c r="J108" i="1"/>
  <c r="J73" i="2"/>
  <c r="J72" i="3"/>
  <c r="K108" i="1"/>
  <c r="K73" i="2"/>
  <c r="K72" i="3"/>
  <c r="L108" i="1"/>
  <c r="L73" i="2"/>
  <c r="L72" i="3"/>
  <c r="B109" i="1"/>
  <c r="B74" i="2"/>
  <c r="B73" i="3"/>
  <c r="C109" i="1"/>
  <c r="C74" i="2"/>
  <c r="C73" i="3"/>
  <c r="D109" i="1"/>
  <c r="D74" i="2"/>
  <c r="D73" i="3"/>
  <c r="E109" i="1"/>
  <c r="E73" i="3"/>
  <c r="F109" i="1"/>
  <c r="F74" i="2"/>
  <c r="F73" i="3"/>
  <c r="G109" i="1"/>
  <c r="G74" i="2"/>
  <c r="G73" i="3"/>
  <c r="H109" i="1"/>
  <c r="H74" i="2"/>
  <c r="H73" i="3"/>
  <c r="I109" i="1"/>
  <c r="I74" i="2"/>
  <c r="I73" i="3"/>
  <c r="J109" i="1"/>
  <c r="J74" i="2"/>
  <c r="J73" i="3"/>
  <c r="K109" i="1"/>
  <c r="K74" i="2"/>
  <c r="K73" i="3"/>
  <c r="L109" i="1"/>
  <c r="L74" i="2"/>
  <c r="L73" i="3"/>
  <c r="B110" i="1"/>
  <c r="B75" i="2"/>
  <c r="B74" i="3"/>
  <c r="C110" i="1"/>
  <c r="C75" i="2"/>
  <c r="C74" i="3"/>
  <c r="D110" i="1"/>
  <c r="D75" i="2"/>
  <c r="D74" i="3"/>
  <c r="E110" i="1"/>
  <c r="E75" i="2"/>
  <c r="E74" i="3"/>
  <c r="F110" i="1"/>
  <c r="F75" i="2"/>
  <c r="F74" i="3"/>
  <c r="G110" i="1"/>
  <c r="G75" i="2"/>
  <c r="G74" i="3"/>
  <c r="H110" i="1"/>
  <c r="H75" i="2"/>
  <c r="H74" i="3"/>
  <c r="I110" i="1"/>
  <c r="I75" i="2"/>
  <c r="I74" i="3"/>
  <c r="J110" i="1"/>
  <c r="J75" i="2"/>
  <c r="J74" i="3"/>
  <c r="K110" i="1"/>
  <c r="K75" i="2"/>
  <c r="K74" i="3"/>
  <c r="L110" i="1"/>
  <c r="L75" i="2"/>
  <c r="L74" i="3"/>
  <c r="B111" i="1"/>
  <c r="B76" i="2"/>
  <c r="B75" i="3"/>
  <c r="C111" i="1"/>
  <c r="C76" i="2"/>
  <c r="C75" i="3"/>
  <c r="D111" i="1"/>
  <c r="D76" i="2"/>
  <c r="D75" i="3"/>
  <c r="E111" i="1"/>
  <c r="E76" i="2"/>
  <c r="E75" i="3"/>
  <c r="F111" i="1"/>
  <c r="F76" i="2"/>
  <c r="F75" i="3"/>
  <c r="G111" i="1"/>
  <c r="G76" i="2"/>
  <c r="G75" i="3"/>
  <c r="H111" i="1"/>
  <c r="H76" i="2"/>
  <c r="H75" i="3"/>
  <c r="I111" i="1"/>
  <c r="I76" i="2"/>
  <c r="I75" i="3"/>
  <c r="J111" i="1"/>
  <c r="J76" i="2"/>
  <c r="J75" i="3"/>
  <c r="K111" i="1"/>
  <c r="K76" i="2"/>
  <c r="K75" i="3"/>
  <c r="L111" i="1"/>
  <c r="L76" i="2"/>
  <c r="L75" i="3"/>
  <c r="O10" i="4"/>
  <c r="L12" i="4"/>
  <c r="B100" i="1"/>
  <c r="B65" i="2"/>
  <c r="B64" i="2" s="1"/>
  <c r="B77" i="2" s="1"/>
  <c r="B64" i="3"/>
  <c r="B63" i="3" s="1"/>
  <c r="B76" i="3" s="1"/>
  <c r="B15" i="1"/>
  <c r="B14" i="2"/>
  <c r="B13" i="2" s="1"/>
  <c r="B26" i="2" s="1"/>
  <c r="B14" i="3"/>
  <c r="B13" i="3" s="1"/>
  <c r="B22" i="2"/>
  <c r="B22" i="3"/>
  <c r="B28" i="3" s="1"/>
  <c r="P10" i="4"/>
  <c r="K23" i="4"/>
  <c r="AV22" i="9"/>
  <c r="J25" i="1"/>
  <c r="J24" i="2"/>
  <c r="J24" i="3"/>
  <c r="H25" i="1"/>
  <c r="H24" i="2"/>
  <c r="H24" i="3"/>
  <c r="J23" i="1"/>
  <c r="J22" i="2"/>
  <c r="J22" i="3"/>
  <c r="H23" i="1"/>
  <c r="H22" i="2"/>
  <c r="H22" i="3"/>
  <c r="L23" i="4"/>
  <c r="B26" i="3"/>
  <c r="H65" i="2"/>
  <c r="I59" i="2" s="1"/>
  <c r="H27" i="2"/>
  <c r="H22" i="1"/>
  <c r="H14" i="2"/>
  <c r="I8" i="2" s="1"/>
  <c r="AW24" i="9"/>
  <c r="H24" i="1"/>
  <c r="H23" i="2"/>
  <c r="H23" i="3"/>
  <c r="I24" i="1"/>
  <c r="I23" i="2"/>
  <c r="I23" i="3"/>
  <c r="J24" i="1"/>
  <c r="J23" i="2"/>
  <c r="J23" i="3"/>
  <c r="L9" i="3"/>
  <c r="L22" i="3" s="1"/>
  <c r="M9" i="3"/>
  <c r="M22" i="3" s="1"/>
  <c r="N9" i="3"/>
  <c r="N22" i="3" s="1"/>
  <c r="O9" i="3"/>
  <c r="O22" i="3" s="1"/>
  <c r="P9" i="3"/>
  <c r="P22" i="3" s="1"/>
  <c r="U17" i="3"/>
  <c r="U18" i="3" s="1"/>
  <c r="V17" i="3"/>
  <c r="V18" i="3" s="1"/>
  <c r="W17" i="3"/>
  <c r="W18" i="3" s="1"/>
  <c r="X17" i="3"/>
  <c r="X18" i="3" s="1"/>
  <c r="K22" i="3"/>
  <c r="K23" i="3"/>
  <c r="L23" i="3"/>
  <c r="M23" i="3"/>
  <c r="N23" i="3"/>
  <c r="O23" i="3"/>
  <c r="P23" i="3"/>
  <c r="K24" i="3"/>
  <c r="K25" i="3"/>
  <c r="L25" i="3"/>
  <c r="M25" i="3"/>
  <c r="N25" i="3"/>
  <c r="O25" i="3"/>
  <c r="P25" i="3"/>
  <c r="B82" i="3"/>
  <c r="V7" i="2"/>
  <c r="X7" i="2"/>
  <c r="L9" i="2"/>
  <c r="L22" i="2" s="1"/>
  <c r="M9" i="2"/>
  <c r="M22" i="2" s="1"/>
  <c r="N9" i="2"/>
  <c r="N22" i="2" s="1"/>
  <c r="O9" i="2"/>
  <c r="O22" i="2" s="1"/>
  <c r="P9" i="2"/>
  <c r="P22" i="2" s="1"/>
  <c r="L10" i="2"/>
  <c r="L23" i="2" s="1"/>
  <c r="M10" i="2"/>
  <c r="M23" i="2" s="1"/>
  <c r="N10" i="2"/>
  <c r="N23" i="2" s="1"/>
  <c r="O10" i="2"/>
  <c r="O23" i="2" s="1"/>
  <c r="P10" i="2"/>
  <c r="P23" i="2" s="1"/>
  <c r="U10" i="2"/>
  <c r="U11" i="2" s="1"/>
  <c r="V10" i="2"/>
  <c r="V11" i="2" s="1"/>
  <c r="W10" i="2"/>
  <c r="W11" i="2" s="1"/>
  <c r="X10" i="2"/>
  <c r="X11" i="2" s="1"/>
  <c r="U15" i="2"/>
  <c r="V15" i="2"/>
  <c r="V17" i="2" s="1"/>
  <c r="V18" i="2" s="1"/>
  <c r="W15" i="2"/>
  <c r="X15" i="2"/>
  <c r="X17" i="2" s="1"/>
  <c r="X18" i="2" s="1"/>
  <c r="Q16" i="2"/>
  <c r="U20" i="2"/>
  <c r="U22" i="2" s="1"/>
  <c r="V20" i="2"/>
  <c r="V22" i="2" s="1"/>
  <c r="W20" i="2"/>
  <c r="W22" i="2" s="1"/>
  <c r="X20" i="2"/>
  <c r="X22" i="2" s="1"/>
  <c r="K22" i="2"/>
  <c r="K23" i="2"/>
  <c r="K24" i="2"/>
  <c r="K25" i="2"/>
  <c r="L25" i="2"/>
  <c r="M25" i="2"/>
  <c r="N25" i="2"/>
  <c r="O25" i="2"/>
  <c r="P25" i="2"/>
  <c r="B82" i="2"/>
  <c r="R8" i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L10" i="1"/>
  <c r="M10" i="1" s="1"/>
  <c r="N10" i="1" s="1"/>
  <c r="Q10" i="1"/>
  <c r="R10" i="1"/>
  <c r="S10" i="1"/>
  <c r="T10" i="1"/>
  <c r="U10" i="1"/>
  <c r="V10" i="1"/>
  <c r="W10" i="1"/>
  <c r="X10" i="1"/>
  <c r="Y10" i="1"/>
  <c r="Q11" i="1"/>
  <c r="R11" i="1"/>
  <c r="S11" i="1"/>
  <c r="T11" i="1"/>
  <c r="U11" i="1"/>
  <c r="V11" i="1"/>
  <c r="W11" i="1"/>
  <c r="X11" i="1"/>
  <c r="Y11" i="1"/>
  <c r="L12" i="1"/>
  <c r="M12" i="1" s="1"/>
  <c r="Q12" i="1"/>
  <c r="R12" i="1"/>
  <c r="S12" i="1"/>
  <c r="T12" i="1"/>
  <c r="U12" i="1"/>
  <c r="V12" i="1"/>
  <c r="W12" i="1"/>
  <c r="X12" i="1"/>
  <c r="Y12" i="1"/>
  <c r="L13" i="1"/>
  <c r="Q13" i="1"/>
  <c r="R13" i="1"/>
  <c r="S13" i="1"/>
  <c r="T13" i="1"/>
  <c r="U13" i="1"/>
  <c r="V13" i="1"/>
  <c r="W13" i="1"/>
  <c r="X13" i="1"/>
  <c r="Y13" i="1"/>
  <c r="K23" i="1"/>
  <c r="K24" i="1"/>
  <c r="K25" i="1"/>
  <c r="K26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B77" i="1"/>
  <c r="C77" i="1"/>
  <c r="D77" i="1"/>
  <c r="E77" i="1"/>
  <c r="F77" i="1"/>
  <c r="G77" i="1"/>
  <c r="B78" i="1"/>
  <c r="C78" i="1"/>
  <c r="D78" i="1"/>
  <c r="E78" i="1"/>
  <c r="F78" i="1"/>
  <c r="G78" i="1"/>
  <c r="B79" i="1"/>
  <c r="C79" i="1"/>
  <c r="D79" i="1"/>
  <c r="E79" i="1"/>
  <c r="F79" i="1"/>
  <c r="G79" i="1"/>
  <c r="B80" i="1"/>
  <c r="C80" i="1"/>
  <c r="D80" i="1"/>
  <c r="E80" i="1"/>
  <c r="F80" i="1"/>
  <c r="G80" i="1"/>
  <c r="B81" i="1"/>
  <c r="C81" i="1"/>
  <c r="D81" i="1"/>
  <c r="E81" i="1"/>
  <c r="F81" i="1"/>
  <c r="G81" i="1"/>
  <c r="B82" i="1"/>
  <c r="C82" i="1"/>
  <c r="D82" i="1"/>
  <c r="E82" i="1"/>
  <c r="F82" i="1"/>
  <c r="G82" i="1"/>
  <c r="B83" i="1"/>
  <c r="C83" i="1"/>
  <c r="D83" i="1"/>
  <c r="E83" i="1"/>
  <c r="F83" i="1"/>
  <c r="G83" i="1"/>
  <c r="B84" i="1"/>
  <c r="M13" i="1"/>
  <c r="AA13" i="1" s="1"/>
  <c r="Z13" i="1"/>
  <c r="L26" i="1"/>
  <c r="C22" i="6"/>
  <c r="BX12" i="11"/>
  <c r="BW12" i="11"/>
  <c r="BV12" i="11"/>
  <c r="BW11" i="11"/>
  <c r="BV11" i="11"/>
  <c r="BX10" i="11"/>
  <c r="BW10" i="11"/>
  <c r="BV10" i="11"/>
  <c r="BU10" i="11"/>
  <c r="BX9" i="11"/>
  <c r="BW9" i="11"/>
  <c r="BV9" i="11"/>
  <c r="BI5" i="11"/>
  <c r="BJ5" i="11" s="1"/>
  <c r="BK5" i="11" s="1"/>
  <c r="BL5" i="11" s="1"/>
  <c r="BM5" i="11" s="1"/>
  <c r="BN5" i="11" s="1"/>
  <c r="BO5" i="11" s="1"/>
  <c r="BP5" i="11" s="1"/>
  <c r="BQ5" i="11" s="1"/>
  <c r="BR5" i="11" s="1"/>
  <c r="BS5" i="11" s="1"/>
  <c r="BT5" i="11" s="1"/>
  <c r="BU5" i="11" s="1"/>
  <c r="BV5" i="11" s="1"/>
  <c r="BW5" i="11" s="1"/>
  <c r="BX5" i="11" s="1"/>
  <c r="BH9" i="11"/>
  <c r="BI9" i="11"/>
  <c r="BJ9" i="11"/>
  <c r="BK9" i="11"/>
  <c r="BL9" i="11"/>
  <c r="BM9" i="11"/>
  <c r="BN9" i="11"/>
  <c r="BO9" i="11"/>
  <c r="BP9" i="11"/>
  <c r="BH10" i="11"/>
  <c r="BI10" i="11"/>
  <c r="BJ10" i="11"/>
  <c r="BK10" i="11"/>
  <c r="BL10" i="11"/>
  <c r="BM10" i="11"/>
  <c r="BN10" i="11"/>
  <c r="BO10" i="11"/>
  <c r="BP10" i="11"/>
  <c r="BH11" i="11"/>
  <c r="BI11" i="11"/>
  <c r="BJ11" i="11"/>
  <c r="BK11" i="11"/>
  <c r="BL11" i="11"/>
  <c r="BM11" i="11"/>
  <c r="BN11" i="11"/>
  <c r="BO11" i="11"/>
  <c r="BP11" i="11"/>
  <c r="BH12" i="11"/>
  <c r="BI12" i="11"/>
  <c r="BJ12" i="11"/>
  <c r="BK12" i="11"/>
  <c r="BL12" i="11"/>
  <c r="BM12" i="11"/>
  <c r="BN12" i="11"/>
  <c r="BO12" i="11"/>
  <c r="BP12" i="11"/>
  <c r="BQ12" i="11"/>
  <c r="M31" i="7"/>
  <c r="N31" i="7" s="1"/>
  <c r="O31" i="7" s="1"/>
  <c r="P31" i="7" s="1"/>
  <c r="Q31" i="7" s="1"/>
  <c r="R31" i="7" s="1"/>
  <c r="S31" i="7" s="1"/>
  <c r="R36" i="7"/>
  <c r="R14" i="7" s="1"/>
  <c r="Q36" i="7"/>
  <c r="Q13" i="7" s="1"/>
  <c r="P36" i="7"/>
  <c r="P13" i="7" s="1"/>
  <c r="O36" i="7"/>
  <c r="O13" i="7" s="1"/>
  <c r="N36" i="7"/>
  <c r="N10" i="7" s="1"/>
  <c r="S12" i="7"/>
  <c r="S36" i="7"/>
  <c r="S10" i="7" s="1"/>
  <c r="S11" i="7"/>
  <c r="S5" i="7"/>
  <c r="S19" i="7"/>
  <c r="S20" i="7"/>
  <c r="S18" i="7"/>
  <c r="S28" i="7"/>
  <c r="R11" i="7"/>
  <c r="R12" i="7"/>
  <c r="R5" i="7"/>
  <c r="R21" i="7"/>
  <c r="R22" i="7" s="1"/>
  <c r="R28" i="7"/>
  <c r="O11" i="7"/>
  <c r="P11" i="7" s="1"/>
  <c r="Q11" i="7" s="1"/>
  <c r="Q12" i="7"/>
  <c r="Q5" i="7"/>
  <c r="Q21" i="7"/>
  <c r="Q22" i="7" s="1"/>
  <c r="Q28" i="7"/>
  <c r="M13" i="7"/>
  <c r="M10" i="7"/>
  <c r="S41" i="7"/>
  <c r="R41" i="7"/>
  <c r="Q41" i="7"/>
  <c r="P5" i="7"/>
  <c r="P12" i="7"/>
  <c r="P21" i="7"/>
  <c r="P22" i="7" s="1"/>
  <c r="P28" i="7"/>
  <c r="S8" i="7"/>
  <c r="R8" i="7"/>
  <c r="Q8" i="7"/>
  <c r="H5" i="7"/>
  <c r="I5" i="7"/>
  <c r="J5" i="7"/>
  <c r="K5" i="7"/>
  <c r="L5" i="7"/>
  <c r="M5" i="7"/>
  <c r="O5" i="7"/>
  <c r="F8" i="7"/>
  <c r="G8" i="7"/>
  <c r="H25" i="7"/>
  <c r="H8" i="7" s="1"/>
  <c r="J25" i="7"/>
  <c r="J8" i="7" s="1"/>
  <c r="L25" i="7"/>
  <c r="L8" i="7" s="1"/>
  <c r="N8" i="7"/>
  <c r="P8" i="7"/>
  <c r="K10" i="7"/>
  <c r="K11" i="7"/>
  <c r="K13" i="7"/>
  <c r="K14" i="7"/>
  <c r="L10" i="7"/>
  <c r="L11" i="7"/>
  <c r="L12" i="7"/>
  <c r="L13" i="7"/>
  <c r="L14" i="7"/>
  <c r="N11" i="7"/>
  <c r="N12" i="7"/>
  <c r="M11" i="7"/>
  <c r="M12" i="7"/>
  <c r="M14" i="7"/>
  <c r="M21" i="7"/>
  <c r="M22" i="7" s="1"/>
  <c r="M25" i="7"/>
  <c r="M28" i="7" s="1"/>
  <c r="O12" i="7"/>
  <c r="B16" i="7"/>
  <c r="B24" i="7" s="1"/>
  <c r="B26" i="7" s="1"/>
  <c r="B29" i="7" s="1"/>
  <c r="C16" i="7"/>
  <c r="C24" i="7" s="1"/>
  <c r="C26" i="7" s="1"/>
  <c r="C29" i="7" s="1"/>
  <c r="D16" i="7"/>
  <c r="E16" i="7"/>
  <c r="E24" i="7" s="1"/>
  <c r="E26" i="7" s="1"/>
  <c r="E29" i="7" s="1"/>
  <c r="F16" i="7"/>
  <c r="F24" i="7" s="1"/>
  <c r="F26" i="7" s="1"/>
  <c r="F29" i="7" s="1"/>
  <c r="G16" i="7"/>
  <c r="G24" i="7" s="1"/>
  <c r="G26" i="7" s="1"/>
  <c r="G29" i="7" s="1"/>
  <c r="K21" i="7"/>
  <c r="K18" i="7"/>
  <c r="K25" i="7"/>
  <c r="K28" i="7" s="1"/>
  <c r="L18" i="7"/>
  <c r="B21" i="7"/>
  <c r="C21" i="7"/>
  <c r="D21" i="7"/>
  <c r="E21" i="7"/>
  <c r="F21" i="7"/>
  <c r="G21" i="7"/>
  <c r="H21" i="7"/>
  <c r="H22" i="7" s="1"/>
  <c r="I21" i="7"/>
  <c r="I22" i="7" s="1"/>
  <c r="J21" i="7"/>
  <c r="J22" i="7" s="1"/>
  <c r="L21" i="7"/>
  <c r="N21" i="7"/>
  <c r="N22" i="7" s="1"/>
  <c r="O21" i="7"/>
  <c r="O22" i="7" s="1"/>
  <c r="D24" i="7"/>
  <c r="D26" i="7" s="1"/>
  <c r="D29" i="7" s="1"/>
  <c r="I25" i="7"/>
  <c r="I8" i="7" s="1"/>
  <c r="K8" i="7"/>
  <c r="O8" i="7"/>
  <c r="N28" i="7"/>
  <c r="O28" i="7"/>
  <c r="H36" i="7"/>
  <c r="H10" i="7" s="1"/>
  <c r="I36" i="7"/>
  <c r="J36" i="7"/>
  <c r="J10" i="7" s="1"/>
  <c r="L40" i="7"/>
  <c r="M41" i="7" s="1"/>
  <c r="N41" i="7"/>
  <c r="P41" i="7"/>
  <c r="O41" i="7"/>
  <c r="V35" i="7"/>
  <c r="Q9" i="4"/>
  <c r="Q11" i="4"/>
  <c r="P20" i="4"/>
  <c r="O21" i="4"/>
  <c r="K22" i="4"/>
  <c r="P23" i="4"/>
  <c r="K20" i="4"/>
  <c r="S13" i="7"/>
  <c r="P9" i="4"/>
  <c r="P21" i="4"/>
  <c r="AW9" i="9"/>
  <c r="AW25" i="9"/>
  <c r="BY9" i="11"/>
  <c r="AZ9" i="9"/>
  <c r="AV25" i="9"/>
  <c r="AV23" i="9"/>
  <c r="AW22" i="9"/>
  <c r="AW23" i="9"/>
  <c r="AX9" i="9"/>
  <c r="Q23" i="4"/>
  <c r="C8" i="3" l="1"/>
  <c r="C27" i="3" s="1"/>
  <c r="E7" i="16"/>
  <c r="E9" i="16" s="1"/>
  <c r="E14" i="16" s="1"/>
  <c r="E15" i="16" s="1"/>
  <c r="U10" i="20"/>
  <c r="V10" i="20" s="1"/>
  <c r="J28" i="7"/>
  <c r="C8" i="2"/>
  <c r="C27" i="2" s="1"/>
  <c r="C25" i="4" s="1"/>
  <c r="AV50" i="8"/>
  <c r="AW50" i="8" s="1"/>
  <c r="Z34" i="11"/>
  <c r="AA9" i="11"/>
  <c r="AA9" i="20" s="1"/>
  <c r="AA33" i="11"/>
  <c r="AV56" i="8"/>
  <c r="AW56" i="8" s="1"/>
  <c r="AV60" i="8"/>
  <c r="AW60" i="8" s="1"/>
  <c r="AC22" i="10"/>
  <c r="AD9" i="10"/>
  <c r="L22" i="7"/>
  <c r="AV41" i="8"/>
  <c r="AW41" i="8" s="1"/>
  <c r="M8" i="7"/>
  <c r="L25" i="1"/>
  <c r="C58" i="3"/>
  <c r="C64" i="3" s="1"/>
  <c r="F7" i="16"/>
  <c r="F9" i="16" s="1"/>
  <c r="Z8" i="8"/>
  <c r="AQ61" i="8"/>
  <c r="AV61" i="8" s="1"/>
  <c r="AW61" i="8" s="1"/>
  <c r="Z62" i="8"/>
  <c r="AV53" i="8"/>
  <c r="AW53" i="8" s="1"/>
  <c r="AA62" i="8"/>
  <c r="AR62" i="8" s="1"/>
  <c r="Q10" i="7"/>
  <c r="M26" i="1"/>
  <c r="AR13" i="8"/>
  <c r="AQ10" i="8"/>
  <c r="AS62" i="8"/>
  <c r="AR59" i="8"/>
  <c r="M23" i="1"/>
  <c r="B28" i="2"/>
  <c r="C21" i="2" s="1"/>
  <c r="I22" i="4"/>
  <c r="D21" i="4"/>
  <c r="B21" i="4"/>
  <c r="G7" i="15"/>
  <c r="G9" i="15" s="1"/>
  <c r="AQ49" i="8"/>
  <c r="AB22" i="10"/>
  <c r="AA22" i="10"/>
  <c r="AO31" i="5"/>
  <c r="AA47" i="8"/>
  <c r="Z22" i="10"/>
  <c r="E7" i="14"/>
  <c r="E9" i="14" s="1"/>
  <c r="E14" i="14" s="1"/>
  <c r="F5" i="14" s="1"/>
  <c r="U10" i="9"/>
  <c r="P10" i="7"/>
  <c r="Z10" i="1"/>
  <c r="N14" i="7"/>
  <c r="N13" i="7"/>
  <c r="S21" i="7"/>
  <c r="S22" i="7" s="1"/>
  <c r="N13" i="1"/>
  <c r="H82" i="2"/>
  <c r="H64" i="2"/>
  <c r="H77" i="2" s="1"/>
  <c r="C59" i="2"/>
  <c r="C78" i="2" s="1"/>
  <c r="C54" i="4" s="1"/>
  <c r="H54" i="4"/>
  <c r="F23" i="4"/>
  <c r="D23" i="4"/>
  <c r="Y20" i="5"/>
  <c r="Y21" i="5" s="1"/>
  <c r="Y23" i="5" s="1"/>
  <c r="Y25" i="5" s="1"/>
  <c r="Y28" i="5" s="1"/>
  <c r="AA12" i="4"/>
  <c r="G22" i="4"/>
  <c r="F22" i="4"/>
  <c r="D22" i="4"/>
  <c r="B22" i="4"/>
  <c r="U10" i="10"/>
  <c r="V10" i="10" s="1"/>
  <c r="E7" i="15"/>
  <c r="E9" i="15" s="1"/>
  <c r="E14" i="15" s="1"/>
  <c r="F5" i="16"/>
  <c r="Q14" i="7"/>
  <c r="F20" i="4"/>
  <c r="G9" i="16"/>
  <c r="H22" i="4"/>
  <c r="B43" i="13"/>
  <c r="K52" i="13"/>
  <c r="I52" i="13"/>
  <c r="G52" i="13"/>
  <c r="E52" i="13"/>
  <c r="C52" i="13"/>
  <c r="L51" i="13"/>
  <c r="J51" i="13"/>
  <c r="H51" i="13"/>
  <c r="F51" i="13"/>
  <c r="D51" i="13"/>
  <c r="B51" i="13"/>
  <c r="K50" i="13"/>
  <c r="I50" i="13"/>
  <c r="G50" i="13"/>
  <c r="E50" i="13"/>
  <c r="C50" i="13"/>
  <c r="L49" i="13"/>
  <c r="J49" i="13"/>
  <c r="H49" i="13"/>
  <c r="F49" i="13"/>
  <c r="D49" i="13"/>
  <c r="B49" i="13"/>
  <c r="G23" i="4"/>
  <c r="E22" i="4"/>
  <c r="C21" i="4"/>
  <c r="U10" i="11"/>
  <c r="BZ10" i="11" s="1"/>
  <c r="Y8" i="8"/>
  <c r="BC8" i="8" s="1"/>
  <c r="BC10" i="8"/>
  <c r="X20" i="5"/>
  <c r="X21" i="5" s="1"/>
  <c r="X23" i="5" s="1"/>
  <c r="X25" i="5" s="1"/>
  <c r="X28" i="5" s="1"/>
  <c r="N26" i="1"/>
  <c r="L52" i="4"/>
  <c r="L52" i="13"/>
  <c r="J52" i="4"/>
  <c r="J52" i="13"/>
  <c r="H52" i="4"/>
  <c r="H52" i="13"/>
  <c r="F52" i="4"/>
  <c r="F52" i="13"/>
  <c r="D52" i="4"/>
  <c r="D52" i="13"/>
  <c r="B52" i="4"/>
  <c r="B52" i="13"/>
  <c r="K51" i="4"/>
  <c r="K51" i="13"/>
  <c r="I51" i="4"/>
  <c r="I51" i="13"/>
  <c r="G51" i="4"/>
  <c r="G51" i="13"/>
  <c r="E51" i="4"/>
  <c r="E51" i="13"/>
  <c r="C51" i="4"/>
  <c r="C51" i="13"/>
  <c r="L50" i="4"/>
  <c r="L50" i="13"/>
  <c r="J50" i="4"/>
  <c r="J50" i="13"/>
  <c r="H50" i="4"/>
  <c r="H50" i="13"/>
  <c r="F50" i="4"/>
  <c r="F50" i="13"/>
  <c r="D50" i="4"/>
  <c r="D50" i="13"/>
  <c r="B50" i="4"/>
  <c r="B50" i="13"/>
  <c r="K49" i="4"/>
  <c r="K49" i="13"/>
  <c r="I49" i="4"/>
  <c r="I49" i="13"/>
  <c r="G49" i="4"/>
  <c r="G49" i="13"/>
  <c r="E49" i="4"/>
  <c r="E49" i="13"/>
  <c r="C49" i="4"/>
  <c r="C49" i="13"/>
  <c r="B79" i="2"/>
  <c r="C72" i="2" s="1"/>
  <c r="B48" i="4"/>
  <c r="B48" i="13"/>
  <c r="I23" i="4"/>
  <c r="BD10" i="8"/>
  <c r="BE10" i="8"/>
  <c r="U24" i="5"/>
  <c r="Y13" i="8"/>
  <c r="V24" i="5"/>
  <c r="Z13" i="8"/>
  <c r="Z12" i="8" s="1"/>
  <c r="W27" i="5"/>
  <c r="W25" i="5"/>
  <c r="Y59" i="8"/>
  <c r="AB49" i="8"/>
  <c r="AB44" i="8"/>
  <c r="Y47" i="8"/>
  <c r="BB12" i="9"/>
  <c r="BC12" i="9"/>
  <c r="B99" i="1"/>
  <c r="B42" i="13" s="1"/>
  <c r="C94" i="1"/>
  <c r="B117" i="1"/>
  <c r="B43" i="4"/>
  <c r="B14" i="4"/>
  <c r="B14" i="1"/>
  <c r="C9" i="1"/>
  <c r="C15" i="1" s="1"/>
  <c r="R9" i="4"/>
  <c r="AB9" i="4" s="1"/>
  <c r="O10" i="7"/>
  <c r="BH8" i="11"/>
  <c r="R13" i="7"/>
  <c r="R10" i="7"/>
  <c r="BQ11" i="11"/>
  <c r="M9" i="4"/>
  <c r="BQ9" i="11"/>
  <c r="I10" i="7"/>
  <c r="I13" i="7"/>
  <c r="L9" i="7"/>
  <c r="L16" i="7" s="1"/>
  <c r="O14" i="7"/>
  <c r="K9" i="7"/>
  <c r="K16" i="7" s="1"/>
  <c r="N9" i="7"/>
  <c r="N16" i="7" s="1"/>
  <c r="N24" i="7" s="1"/>
  <c r="N26" i="7" s="1"/>
  <c r="N29" i="7" s="1"/>
  <c r="N33" i="7" s="1"/>
  <c r="B114" i="1"/>
  <c r="L9" i="4"/>
  <c r="L20" i="4"/>
  <c r="L11" i="1"/>
  <c r="M11" i="1" s="1"/>
  <c r="N11" i="1" s="1"/>
  <c r="B31" i="3"/>
  <c r="C14" i="3"/>
  <c r="B78" i="3"/>
  <c r="C71" i="3" s="1"/>
  <c r="C78" i="3" s="1"/>
  <c r="D71" i="3" s="1"/>
  <c r="D78" i="3" s="1"/>
  <c r="E71" i="3" s="1"/>
  <c r="E78" i="3" s="1"/>
  <c r="F71" i="3" s="1"/>
  <c r="F78" i="3" s="1"/>
  <c r="G71" i="3" s="1"/>
  <c r="G78" i="3" s="1"/>
  <c r="H71" i="3" s="1"/>
  <c r="H78" i="3" s="1"/>
  <c r="I71" i="3" s="1"/>
  <c r="I78" i="3" s="1"/>
  <c r="J71" i="3" s="1"/>
  <c r="J78" i="3" s="1"/>
  <c r="K71" i="3" s="1"/>
  <c r="K78" i="3" s="1"/>
  <c r="L71" i="3" s="1"/>
  <c r="L78" i="3" s="1"/>
  <c r="J20" i="4"/>
  <c r="I52" i="4"/>
  <c r="E52" i="4"/>
  <c r="L51" i="4"/>
  <c r="H51" i="4"/>
  <c r="D51" i="4"/>
  <c r="K50" i="4"/>
  <c r="G50" i="4"/>
  <c r="C50" i="4"/>
  <c r="J49" i="4"/>
  <c r="F49" i="4"/>
  <c r="B49" i="4"/>
  <c r="H23" i="4"/>
  <c r="C22" i="4"/>
  <c r="P22" i="4"/>
  <c r="H20" i="4"/>
  <c r="K22" i="7"/>
  <c r="M9" i="7"/>
  <c r="M16" i="7" s="1"/>
  <c r="M24" i="7" s="1"/>
  <c r="M26" i="7" s="1"/>
  <c r="M29" i="7" s="1"/>
  <c r="M33" i="7" s="1"/>
  <c r="Q9" i="7"/>
  <c r="Q16" i="7" s="1"/>
  <c r="Q24" i="7" s="1"/>
  <c r="Q26" i="7" s="1"/>
  <c r="Q29" i="7" s="1"/>
  <c r="Q33" i="7" s="1"/>
  <c r="J22" i="4"/>
  <c r="AV9" i="9"/>
  <c r="B20" i="4"/>
  <c r="K52" i="4"/>
  <c r="G52" i="4"/>
  <c r="C52" i="4"/>
  <c r="J51" i="4"/>
  <c r="F51" i="4"/>
  <c r="B51" i="4"/>
  <c r="I50" i="4"/>
  <c r="E50" i="4"/>
  <c r="L49" i="4"/>
  <c r="H49" i="4"/>
  <c r="D49" i="4"/>
  <c r="J23" i="4"/>
  <c r="E23" i="4"/>
  <c r="G20" i="4"/>
  <c r="Q20" i="4"/>
  <c r="Z20" i="4" s="1"/>
  <c r="U8" i="5"/>
  <c r="U15" i="5" s="1"/>
  <c r="R21" i="4"/>
  <c r="B23" i="4"/>
  <c r="F21" i="4"/>
  <c r="D20" i="4"/>
  <c r="Q21" i="4"/>
  <c r="AX23" i="9"/>
  <c r="AX25" i="9"/>
  <c r="BY11" i="11"/>
  <c r="Z12" i="4"/>
  <c r="Z23" i="4"/>
  <c r="AA10" i="4"/>
  <c r="Y10" i="4"/>
  <c r="U9" i="13"/>
  <c r="Z59" i="8"/>
  <c r="AQ59" i="8" s="1"/>
  <c r="AA23" i="4"/>
  <c r="K21" i="4"/>
  <c r="BY10" i="11"/>
  <c r="Z10" i="4"/>
  <c r="BY12" i="11"/>
  <c r="Z11" i="4"/>
  <c r="T12" i="4"/>
  <c r="AV24" i="9"/>
  <c r="BA12" i="9"/>
  <c r="T9" i="4"/>
  <c r="AC9" i="4" s="1"/>
  <c r="M10" i="4"/>
  <c r="Z9" i="4"/>
  <c r="Y21" i="4"/>
  <c r="N23" i="1"/>
  <c r="O10" i="1"/>
  <c r="AB10" i="1"/>
  <c r="N12" i="1"/>
  <c r="AA12" i="1"/>
  <c r="M25" i="1"/>
  <c r="D58" i="3"/>
  <c r="C82" i="3"/>
  <c r="C63" i="3"/>
  <c r="C76" i="3" s="1"/>
  <c r="I28" i="7"/>
  <c r="AA10" i="1"/>
  <c r="J13" i="7"/>
  <c r="J9" i="7" s="1"/>
  <c r="J16" i="7" s="1"/>
  <c r="J24" i="7" s="1"/>
  <c r="J26" i="7" s="1"/>
  <c r="J29" i="7" s="1"/>
  <c r="J33" i="7" s="1"/>
  <c r="H13" i="7"/>
  <c r="H9" i="7" s="1"/>
  <c r="H16" i="7" s="1"/>
  <c r="H24" i="7" s="1"/>
  <c r="H26" i="7" s="1"/>
  <c r="L28" i="7"/>
  <c r="H28" i="7"/>
  <c r="P14" i="7"/>
  <c r="S14" i="7"/>
  <c r="S9" i="7" s="1"/>
  <c r="S16" i="7" s="1"/>
  <c r="BH14" i="11"/>
  <c r="I27" i="2"/>
  <c r="I14" i="2"/>
  <c r="I78" i="2"/>
  <c r="I65" i="2"/>
  <c r="BZ9" i="11"/>
  <c r="L23" i="1"/>
  <c r="Z12" i="1"/>
  <c r="I21" i="4"/>
  <c r="Q22" i="4"/>
  <c r="H13" i="2"/>
  <c r="H26" i="2" s="1"/>
  <c r="C21" i="3"/>
  <c r="AY9" i="9"/>
  <c r="J21" i="4"/>
  <c r="H21" i="4"/>
  <c r="AZ12" i="9"/>
  <c r="S12" i="4"/>
  <c r="W10" i="20" l="1"/>
  <c r="CA10" i="20"/>
  <c r="V23" i="20"/>
  <c r="L24" i="7"/>
  <c r="L26" i="7" s="1"/>
  <c r="C54" i="13"/>
  <c r="C14" i="2"/>
  <c r="U23" i="20"/>
  <c r="BZ10" i="20"/>
  <c r="C28" i="2"/>
  <c r="D21" i="2" s="1"/>
  <c r="AD22" i="10"/>
  <c r="AE9" i="10"/>
  <c r="AF9" i="10" s="1"/>
  <c r="AG9" i="10" s="1"/>
  <c r="AA34" i="11"/>
  <c r="AB33" i="11"/>
  <c r="AB9" i="11"/>
  <c r="AB9" i="20" s="1"/>
  <c r="F14" i="16"/>
  <c r="G5" i="16" s="1"/>
  <c r="G14" i="16" s="1"/>
  <c r="R9" i="7"/>
  <c r="R16" i="7" s="1"/>
  <c r="R24" i="7" s="1"/>
  <c r="R26" i="7" s="1"/>
  <c r="R29" i="7" s="1"/>
  <c r="R33" i="7" s="1"/>
  <c r="C79" i="2"/>
  <c r="D72" i="2" s="1"/>
  <c r="C65" i="2"/>
  <c r="BD8" i="8"/>
  <c r="AV59" i="8"/>
  <c r="AW59" i="8" s="1"/>
  <c r="S24" i="7"/>
  <c r="S26" i="7" s="1"/>
  <c r="S29" i="7" s="1"/>
  <c r="S33" i="7" s="1"/>
  <c r="AQ62" i="8"/>
  <c r="AV62" i="8" s="1"/>
  <c r="AW62" i="8" s="1"/>
  <c r="AR44" i="8"/>
  <c r="AS44" i="8"/>
  <c r="AQ8" i="8"/>
  <c r="AQ12" i="8"/>
  <c r="AR12" i="8"/>
  <c r="P9" i="7"/>
  <c r="P16" i="7" s="1"/>
  <c r="P24" i="7" s="1"/>
  <c r="P26" i="7" s="1"/>
  <c r="P29" i="7" s="1"/>
  <c r="P33" i="7" s="1"/>
  <c r="V33" i="7" s="1"/>
  <c r="B26" i="4"/>
  <c r="AR49" i="8"/>
  <c r="AS49" i="8"/>
  <c r="AQ13" i="8"/>
  <c r="AV13" i="8" s="1"/>
  <c r="AW13" i="8" s="1"/>
  <c r="AA9" i="4"/>
  <c r="Z11" i="1"/>
  <c r="AA11" i="1"/>
  <c r="U14" i="10"/>
  <c r="E15" i="14"/>
  <c r="W10" i="10"/>
  <c r="X10" i="10" s="1"/>
  <c r="Y10" i="10" s="1"/>
  <c r="U14" i="9"/>
  <c r="Y34" i="5"/>
  <c r="Y16" i="10" s="1"/>
  <c r="Z17" i="10" s="1"/>
  <c r="Y33" i="5"/>
  <c r="Y16" i="9" s="1"/>
  <c r="H7" i="15"/>
  <c r="H9" i="15" s="1"/>
  <c r="AB13" i="1"/>
  <c r="O13" i="1"/>
  <c r="M24" i="1"/>
  <c r="L24" i="1"/>
  <c r="AA21" i="4"/>
  <c r="I9" i="7"/>
  <c r="I16" i="7" s="1"/>
  <c r="I24" i="7" s="1"/>
  <c r="I26" i="7" s="1"/>
  <c r="I29" i="7" s="1"/>
  <c r="I33" i="7" s="1"/>
  <c r="BE8" i="8"/>
  <c r="F5" i="15"/>
  <c r="F14" i="15" s="1"/>
  <c r="E15" i="15"/>
  <c r="X34" i="5"/>
  <c r="X16" i="10" s="1"/>
  <c r="X33" i="5"/>
  <c r="U20" i="5"/>
  <c r="U21" i="5" s="1"/>
  <c r="U23" i="5" s="1"/>
  <c r="U25" i="5" s="1"/>
  <c r="C100" i="1"/>
  <c r="C37" i="13"/>
  <c r="W28" i="5"/>
  <c r="W33" i="5" s="1"/>
  <c r="W16" i="9" s="1"/>
  <c r="Y12" i="8"/>
  <c r="I54" i="4"/>
  <c r="I54" i="13"/>
  <c r="W22" i="11"/>
  <c r="CB9" i="11"/>
  <c r="B55" i="13"/>
  <c r="BF10" i="8"/>
  <c r="AB10" i="8" s="1"/>
  <c r="V10" i="11"/>
  <c r="W10" i="11" s="1"/>
  <c r="U23" i="11"/>
  <c r="Z21" i="4"/>
  <c r="V27" i="5"/>
  <c r="U27" i="5"/>
  <c r="T25" i="13"/>
  <c r="AJ25" i="13" s="1"/>
  <c r="T24" i="13"/>
  <c r="AJ24" i="13" s="1"/>
  <c r="T22" i="13"/>
  <c r="AJ22" i="13" s="1"/>
  <c r="T23" i="13"/>
  <c r="AJ23" i="13" s="1"/>
  <c r="T21" i="13"/>
  <c r="AJ21" i="13" s="1"/>
  <c r="AB47" i="8"/>
  <c r="U9" i="4"/>
  <c r="AD9" i="4" s="1"/>
  <c r="AK9" i="13"/>
  <c r="C107" i="1"/>
  <c r="C48" i="13" s="1"/>
  <c r="B55" i="4"/>
  <c r="C37" i="4"/>
  <c r="H29" i="7"/>
  <c r="H33" i="7" s="1"/>
  <c r="AY10" i="9"/>
  <c r="S10" i="4"/>
  <c r="AB10" i="4" s="1"/>
  <c r="W7" i="2"/>
  <c r="C31" i="3"/>
  <c r="D8" i="3"/>
  <c r="C13" i="3"/>
  <c r="C26" i="3" s="1"/>
  <c r="L21" i="4"/>
  <c r="BQ10" i="11"/>
  <c r="BR11" i="11"/>
  <c r="R20" i="4"/>
  <c r="AA20" i="4" s="1"/>
  <c r="AX22" i="9"/>
  <c r="BR9" i="11"/>
  <c r="M20" i="4"/>
  <c r="C99" i="1"/>
  <c r="C117" i="1"/>
  <c r="D94" i="1"/>
  <c r="Z22" i="4"/>
  <c r="AX11" i="9"/>
  <c r="R11" i="4"/>
  <c r="AA11" i="4" s="1"/>
  <c r="M12" i="4"/>
  <c r="M23" i="4"/>
  <c r="BR12" i="11"/>
  <c r="K24" i="7"/>
  <c r="K26" i="7" s="1"/>
  <c r="K29" i="7" s="1"/>
  <c r="K33" i="7" s="1"/>
  <c r="V11" i="5"/>
  <c r="V10" i="5"/>
  <c r="V13" i="5"/>
  <c r="C8" i="4"/>
  <c r="Q9" i="1"/>
  <c r="L10" i="4"/>
  <c r="B42" i="4"/>
  <c r="B112" i="1"/>
  <c r="W17" i="2"/>
  <c r="W18" i="2" s="1"/>
  <c r="O9" i="7"/>
  <c r="O16" i="7" s="1"/>
  <c r="O24" i="7" s="1"/>
  <c r="O26" i="7" s="1"/>
  <c r="O29" i="7" s="1"/>
  <c r="O33" i="7" s="1"/>
  <c r="B13" i="4"/>
  <c r="B27" i="1"/>
  <c r="B24" i="4" s="1"/>
  <c r="BA9" i="9"/>
  <c r="M21" i="4"/>
  <c r="BR10" i="11"/>
  <c r="N12" i="4"/>
  <c r="BS12" i="11"/>
  <c r="N23" i="4"/>
  <c r="I13" i="2"/>
  <c r="I26" i="2" s="1"/>
  <c r="J8" i="2"/>
  <c r="BI8" i="11"/>
  <c r="D64" i="3"/>
  <c r="C28" i="3"/>
  <c r="C19" i="4"/>
  <c r="C14" i="4"/>
  <c r="D9" i="1"/>
  <c r="C14" i="1"/>
  <c r="Q15" i="1"/>
  <c r="J59" i="2"/>
  <c r="I64" i="2"/>
  <c r="I77" i="2" s="1"/>
  <c r="I82" i="2"/>
  <c r="BH13" i="11"/>
  <c r="AB12" i="1"/>
  <c r="N25" i="1"/>
  <c r="O12" i="1"/>
  <c r="AC10" i="1"/>
  <c r="O23" i="1"/>
  <c r="BY16" i="11"/>
  <c r="L29" i="7"/>
  <c r="L33" i="7" s="1"/>
  <c r="N21" i="4"/>
  <c r="BT10" i="11"/>
  <c r="N10" i="4"/>
  <c r="BS10" i="11"/>
  <c r="AC12" i="4"/>
  <c r="AB12" i="4"/>
  <c r="O11" i="1"/>
  <c r="AB11" i="1"/>
  <c r="N24" i="1"/>
  <c r="AG22" i="10" l="1"/>
  <c r="AH9" i="10"/>
  <c r="AE22" i="10"/>
  <c r="AF22" i="10"/>
  <c r="F15" i="16"/>
  <c r="D8" i="2"/>
  <c r="C13" i="2"/>
  <c r="C26" i="2" s="1"/>
  <c r="U12" i="11"/>
  <c r="U12" i="4" s="1"/>
  <c r="AD12" i="4" s="1"/>
  <c r="U12" i="20"/>
  <c r="X10" i="20"/>
  <c r="W23" i="20"/>
  <c r="CB10" i="20"/>
  <c r="AB34" i="11"/>
  <c r="AC9" i="11"/>
  <c r="AC33" i="11"/>
  <c r="U13" i="10"/>
  <c r="C43" i="4"/>
  <c r="C42" i="13"/>
  <c r="C82" i="2"/>
  <c r="D59" i="2"/>
  <c r="C64" i="2"/>
  <c r="C77" i="2" s="1"/>
  <c r="AV49" i="8"/>
  <c r="AW49" i="8" s="1"/>
  <c r="AV12" i="8"/>
  <c r="AW12" i="8" s="1"/>
  <c r="AF8" i="5"/>
  <c r="AR47" i="8"/>
  <c r="AS47" i="8"/>
  <c r="H7" i="16"/>
  <c r="AR10" i="8"/>
  <c r="AS10" i="8"/>
  <c r="Z17" i="9"/>
  <c r="BF16" i="9"/>
  <c r="Y22" i="11"/>
  <c r="U13" i="9"/>
  <c r="V8" i="9"/>
  <c r="X16" i="9"/>
  <c r="X17" i="9" s="1"/>
  <c r="W34" i="5"/>
  <c r="W16" i="10" s="1"/>
  <c r="W23" i="10" s="1"/>
  <c r="Y23" i="10"/>
  <c r="Z10" i="10"/>
  <c r="AC13" i="1"/>
  <c r="O26" i="1"/>
  <c r="Y25" i="9"/>
  <c r="Y17" i="10"/>
  <c r="Y25" i="10"/>
  <c r="Y24" i="10"/>
  <c r="Y22" i="10"/>
  <c r="H5" i="16"/>
  <c r="G15" i="16"/>
  <c r="G5" i="15"/>
  <c r="G14" i="15" s="1"/>
  <c r="F15" i="15"/>
  <c r="W23" i="11"/>
  <c r="X22" i="11"/>
  <c r="CC9" i="11"/>
  <c r="C114" i="1"/>
  <c r="C43" i="13"/>
  <c r="B53" i="4"/>
  <c r="B53" i="13"/>
  <c r="D100" i="1"/>
  <c r="V23" i="11"/>
  <c r="CA10" i="11"/>
  <c r="X25" i="10"/>
  <c r="X22" i="10"/>
  <c r="U28" i="5"/>
  <c r="U34" i="5" s="1"/>
  <c r="U16" i="10" s="1"/>
  <c r="U21" i="11"/>
  <c r="T20" i="13"/>
  <c r="AJ20" i="13" s="1"/>
  <c r="X23" i="10"/>
  <c r="CB10" i="11"/>
  <c r="V9" i="13"/>
  <c r="AL9" i="13" s="1"/>
  <c r="BB9" i="9"/>
  <c r="V9" i="4"/>
  <c r="AE9" i="4" s="1"/>
  <c r="AY11" i="9"/>
  <c r="S11" i="4"/>
  <c r="AB11" i="4" s="1"/>
  <c r="BZ16" i="11"/>
  <c r="AX24" i="9"/>
  <c r="R22" i="4"/>
  <c r="AA22" i="4" s="1"/>
  <c r="CA16" i="11"/>
  <c r="V8" i="5"/>
  <c r="V15" i="5" s="1"/>
  <c r="BS11" i="11"/>
  <c r="D14" i="3"/>
  <c r="D27" i="3"/>
  <c r="T10" i="4"/>
  <c r="AC10" i="4" s="1"/>
  <c r="AZ10" i="9"/>
  <c r="C48" i="4"/>
  <c r="C119" i="1"/>
  <c r="C112" i="1"/>
  <c r="C42" i="4"/>
  <c r="N20" i="4"/>
  <c r="N9" i="4"/>
  <c r="BS9" i="11"/>
  <c r="T20" i="4"/>
  <c r="T23" i="4"/>
  <c r="AC12" i="1"/>
  <c r="O25" i="1"/>
  <c r="J78" i="2"/>
  <c r="J65" i="2"/>
  <c r="C13" i="4"/>
  <c r="Q14" i="1"/>
  <c r="C27" i="1"/>
  <c r="C24" i="4" s="1"/>
  <c r="D21" i="3"/>
  <c r="C26" i="4"/>
  <c r="BI14" i="11"/>
  <c r="D8" i="4"/>
  <c r="D15" i="1"/>
  <c r="R9" i="1"/>
  <c r="D63" i="3"/>
  <c r="D82" i="3"/>
  <c r="E58" i="3"/>
  <c r="J14" i="2"/>
  <c r="J27" i="2"/>
  <c r="O12" i="4"/>
  <c r="Y12" i="4" s="1"/>
  <c r="BT12" i="11"/>
  <c r="O23" i="4"/>
  <c r="Y23" i="4" s="1"/>
  <c r="BU12" i="11"/>
  <c r="AC11" i="1"/>
  <c r="O24" i="1"/>
  <c r="AY16" i="9"/>
  <c r="AZ16" i="9"/>
  <c r="AH22" i="10" l="1"/>
  <c r="AI9" i="10"/>
  <c r="AJ9" i="10" s="1"/>
  <c r="U12" i="13"/>
  <c r="AK12" i="13" s="1"/>
  <c r="BZ12" i="11"/>
  <c r="BZ12" i="20"/>
  <c r="U25" i="20"/>
  <c r="U28" i="20" s="1"/>
  <c r="U14" i="20"/>
  <c r="U25" i="11"/>
  <c r="AC22" i="11"/>
  <c r="AC9" i="20"/>
  <c r="V12" i="11"/>
  <c r="W12" i="11" s="1"/>
  <c r="D27" i="2"/>
  <c r="D28" i="2" s="1"/>
  <c r="E21" i="2" s="1"/>
  <c r="D14" i="2"/>
  <c r="CC10" i="20"/>
  <c r="CE10" i="20" s="1"/>
  <c r="X23" i="20"/>
  <c r="V12" i="20"/>
  <c r="AC34" i="11"/>
  <c r="AD9" i="11"/>
  <c r="AD9" i="20" s="1"/>
  <c r="AD33" i="11"/>
  <c r="D65" i="2"/>
  <c r="D78" i="2"/>
  <c r="D37" i="13"/>
  <c r="D37" i="4"/>
  <c r="W24" i="10"/>
  <c r="AA22" i="11"/>
  <c r="AA20" i="13" s="1"/>
  <c r="AA9" i="13"/>
  <c r="E94" i="1"/>
  <c r="D117" i="1"/>
  <c r="BE16" i="9"/>
  <c r="Z23" i="10"/>
  <c r="AA10" i="10"/>
  <c r="D114" i="1"/>
  <c r="D99" i="1"/>
  <c r="D112" i="1" s="1"/>
  <c r="Z22" i="11"/>
  <c r="Z9" i="13"/>
  <c r="W22" i="10"/>
  <c r="U33" i="5"/>
  <c r="U16" i="9" s="1"/>
  <c r="U17" i="9" s="1"/>
  <c r="X25" i="9"/>
  <c r="BE25" i="9" s="1"/>
  <c r="Y17" i="9"/>
  <c r="X17" i="10"/>
  <c r="W25" i="10"/>
  <c r="W25" i="9"/>
  <c r="BD16" i="9"/>
  <c r="H5" i="15"/>
  <c r="H14" i="15" s="1"/>
  <c r="G15" i="15"/>
  <c r="J54" i="4"/>
  <c r="J54" i="13"/>
  <c r="V20" i="5"/>
  <c r="V21" i="5" s="1"/>
  <c r="V23" i="5" s="1"/>
  <c r="V25" i="5" s="1"/>
  <c r="V28" i="5" s="1"/>
  <c r="C55" i="13"/>
  <c r="D107" i="1"/>
  <c r="C55" i="4"/>
  <c r="V12" i="13"/>
  <c r="CA12" i="11"/>
  <c r="C53" i="4"/>
  <c r="C53" i="13"/>
  <c r="U17" i="10"/>
  <c r="U23" i="10"/>
  <c r="U24" i="10"/>
  <c r="U27" i="10"/>
  <c r="U25" i="10"/>
  <c r="U22" i="10"/>
  <c r="U26" i="10"/>
  <c r="X9" i="13"/>
  <c r="X17" i="11"/>
  <c r="CC16" i="11"/>
  <c r="CB16" i="11"/>
  <c r="CE16" i="11" s="1"/>
  <c r="T26" i="13"/>
  <c r="AJ26" i="13" s="1"/>
  <c r="W9" i="13"/>
  <c r="AM9" i="13" s="1"/>
  <c r="BC9" i="9"/>
  <c r="U10" i="13"/>
  <c r="AK10" i="13" s="1"/>
  <c r="E8" i="3"/>
  <c r="D31" i="3"/>
  <c r="D13" i="3"/>
  <c r="D26" i="3" s="1"/>
  <c r="T11" i="4"/>
  <c r="AC11" i="4" s="1"/>
  <c r="T22" i="4"/>
  <c r="AZ11" i="9"/>
  <c r="O20" i="4"/>
  <c r="Y20" i="4" s="1"/>
  <c r="BT9" i="11"/>
  <c r="BU9" i="11"/>
  <c r="O9" i="4"/>
  <c r="Y9" i="4" s="1"/>
  <c r="L11" i="3"/>
  <c r="S20" i="4"/>
  <c r="W22" i="9"/>
  <c r="W9" i="4"/>
  <c r="BA10" i="9"/>
  <c r="U10" i="4"/>
  <c r="AD10" i="4" s="1"/>
  <c r="BU11" i="11"/>
  <c r="BT11" i="11"/>
  <c r="O22" i="4"/>
  <c r="Y22" i="4" s="1"/>
  <c r="O11" i="4"/>
  <c r="Y11" i="4" s="1"/>
  <c r="E107" i="1"/>
  <c r="T21" i="4"/>
  <c r="J13" i="2"/>
  <c r="J26" i="2" s="1"/>
  <c r="K8" i="2"/>
  <c r="E64" i="3"/>
  <c r="D76" i="3"/>
  <c r="L11" i="2"/>
  <c r="BJ8" i="11"/>
  <c r="D28" i="3"/>
  <c r="D19" i="4"/>
  <c r="J64" i="2"/>
  <c r="J77" i="2" s="1"/>
  <c r="J82" i="2"/>
  <c r="K59" i="2"/>
  <c r="R15" i="1"/>
  <c r="D14" i="1"/>
  <c r="E9" i="1"/>
  <c r="D14" i="4"/>
  <c r="BI13" i="11"/>
  <c r="AY22" i="9"/>
  <c r="AZ22" i="9"/>
  <c r="AY23" i="9"/>
  <c r="AZ23" i="9"/>
  <c r="S21" i="4"/>
  <c r="S22" i="4"/>
  <c r="AY24" i="9"/>
  <c r="AZ24" i="9"/>
  <c r="AY25" i="9"/>
  <c r="AZ25" i="9"/>
  <c r="S23" i="4"/>
  <c r="V12" i="4" l="1"/>
  <c r="AE12" i="4" s="1"/>
  <c r="AL12" i="13"/>
  <c r="V25" i="11"/>
  <c r="D25" i="4"/>
  <c r="CA12" i="20"/>
  <c r="V25" i="20"/>
  <c r="W12" i="20"/>
  <c r="U30" i="20"/>
  <c r="BZ28" i="20"/>
  <c r="V21" i="20"/>
  <c r="U15" i="20"/>
  <c r="U13" i="20"/>
  <c r="V8" i="20"/>
  <c r="BZ14" i="20"/>
  <c r="E8" i="2"/>
  <c r="D13" i="2"/>
  <c r="D26" i="2" s="1"/>
  <c r="AE33" i="11"/>
  <c r="AE9" i="11"/>
  <c r="BD25" i="9"/>
  <c r="AD34" i="11"/>
  <c r="AD22" i="11"/>
  <c r="BZ11" i="11"/>
  <c r="U11" i="11" s="1"/>
  <c r="D54" i="13"/>
  <c r="D79" i="2"/>
  <c r="E72" i="2" s="1"/>
  <c r="E79" i="2" s="1"/>
  <c r="F72" i="2" s="1"/>
  <c r="F79" i="2" s="1"/>
  <c r="D54" i="4"/>
  <c r="E59" i="2"/>
  <c r="E65" i="2" s="1"/>
  <c r="D82" i="2"/>
  <c r="D64" i="2"/>
  <c r="D43" i="4"/>
  <c r="D43" i="13"/>
  <c r="AQ9" i="13"/>
  <c r="E100" i="1"/>
  <c r="AB22" i="11"/>
  <c r="AB20" i="13" s="1"/>
  <c r="AR20" i="13" s="1"/>
  <c r="AB9" i="13"/>
  <c r="AR9" i="13" s="1"/>
  <c r="AA23" i="10"/>
  <c r="AB10" i="10"/>
  <c r="BD9" i="9"/>
  <c r="Y22" i="9"/>
  <c r="Y9" i="13"/>
  <c r="H15" i="15"/>
  <c r="I5" i="15"/>
  <c r="I14" i="15" s="1"/>
  <c r="X22" i="9"/>
  <c r="X20" i="13" s="1"/>
  <c r="U25" i="9"/>
  <c r="U23" i="9"/>
  <c r="BA23" i="9" s="1"/>
  <c r="BA16" i="9"/>
  <c r="U22" i="9"/>
  <c r="V33" i="5"/>
  <c r="V16" i="9" s="1"/>
  <c r="V34" i="5"/>
  <c r="V16" i="10" s="1"/>
  <c r="V24" i="10" s="1"/>
  <c r="CE9" i="11"/>
  <c r="W25" i="11"/>
  <c r="W23" i="13" s="1"/>
  <c r="X12" i="11"/>
  <c r="Y12" i="11" s="1"/>
  <c r="Z12" i="11" s="1"/>
  <c r="AA12" i="11" s="1"/>
  <c r="W12" i="13"/>
  <c r="AM12" i="13" s="1"/>
  <c r="CB12" i="11"/>
  <c r="W12" i="4"/>
  <c r="D48" i="4"/>
  <c r="D48" i="13"/>
  <c r="U28" i="10"/>
  <c r="U30" i="10" s="1"/>
  <c r="X24" i="10"/>
  <c r="W20" i="13"/>
  <c r="AN9" i="13"/>
  <c r="W20" i="4"/>
  <c r="U24" i="9"/>
  <c r="BA11" i="9"/>
  <c r="M11" i="3"/>
  <c r="L24" i="3"/>
  <c r="E14" i="3"/>
  <c r="E27" i="3"/>
  <c r="S9" i="1"/>
  <c r="E8" i="4"/>
  <c r="E15" i="1"/>
  <c r="BJ14" i="11"/>
  <c r="L11" i="4"/>
  <c r="M11" i="2"/>
  <c r="L24" i="2"/>
  <c r="E63" i="3"/>
  <c r="F58" i="3"/>
  <c r="E82" i="3"/>
  <c r="R14" i="1"/>
  <c r="D27" i="1"/>
  <c r="D24" i="4" s="1"/>
  <c r="D13" i="4"/>
  <c r="K78" i="2"/>
  <c r="K65" i="2"/>
  <c r="E21" i="3"/>
  <c r="D26" i="4"/>
  <c r="U17" i="2"/>
  <c r="U18" i="2" s="1"/>
  <c r="U7" i="2"/>
  <c r="K14" i="2"/>
  <c r="K27" i="2"/>
  <c r="AB22" i="4"/>
  <c r="AC22" i="4"/>
  <c r="AB20" i="4"/>
  <c r="AC20" i="4"/>
  <c r="AB23" i="4"/>
  <c r="AC23" i="4"/>
  <c r="AB21" i="4"/>
  <c r="AC21" i="4"/>
  <c r="AE9" i="20" l="1"/>
  <c r="AF33" i="11"/>
  <c r="AF9" i="11"/>
  <c r="E37" i="4"/>
  <c r="D55" i="4"/>
  <c r="U26" i="20"/>
  <c r="BZ13" i="20"/>
  <c r="AB12" i="11"/>
  <c r="AB12" i="20" s="1"/>
  <c r="AA12" i="20"/>
  <c r="E27" i="2"/>
  <c r="E28" i="2" s="1"/>
  <c r="F21" i="2" s="1"/>
  <c r="E14" i="2"/>
  <c r="CB12" i="20"/>
  <c r="W25" i="20"/>
  <c r="X12" i="20"/>
  <c r="E37" i="13"/>
  <c r="E48" i="13"/>
  <c r="E48" i="4"/>
  <c r="CA8" i="20"/>
  <c r="V27" i="20"/>
  <c r="V28" i="20" s="1"/>
  <c r="V14" i="20"/>
  <c r="AE22" i="11"/>
  <c r="AE34" i="11"/>
  <c r="CA11" i="11"/>
  <c r="CB11" i="11" s="1"/>
  <c r="E64" i="2"/>
  <c r="E77" i="2" s="1"/>
  <c r="E82" i="2"/>
  <c r="F59" i="2"/>
  <c r="F65" i="2" s="1"/>
  <c r="E43" i="13"/>
  <c r="E43" i="4"/>
  <c r="D77" i="2"/>
  <c r="D42" i="4"/>
  <c r="D42" i="13"/>
  <c r="D55" i="13"/>
  <c r="AB23" i="10"/>
  <c r="AC10" i="10"/>
  <c r="E117" i="1"/>
  <c r="E99" i="1"/>
  <c r="E112" i="1" s="1"/>
  <c r="E114" i="1"/>
  <c r="F94" i="1"/>
  <c r="F100" i="1" s="1"/>
  <c r="V17" i="10"/>
  <c r="AA25" i="11"/>
  <c r="AA23" i="13" s="1"/>
  <c r="AA12" i="13"/>
  <c r="BE22" i="9"/>
  <c r="J5" i="15"/>
  <c r="J14" i="15" s="1"/>
  <c r="I15" i="15"/>
  <c r="BD22" i="9"/>
  <c r="W17" i="10"/>
  <c r="AN20" i="13"/>
  <c r="AO9" i="13"/>
  <c r="AP9" i="13"/>
  <c r="Z25" i="9"/>
  <c r="Z22" i="9"/>
  <c r="V17" i="9"/>
  <c r="W17" i="9"/>
  <c r="Z25" i="11"/>
  <c r="Z12" i="13"/>
  <c r="V23" i="10"/>
  <c r="V25" i="10"/>
  <c r="V22" i="10"/>
  <c r="U14" i="11"/>
  <c r="U21" i="13"/>
  <c r="AK21" i="13" s="1"/>
  <c r="Y12" i="13"/>
  <c r="Y25" i="11"/>
  <c r="Y20" i="13"/>
  <c r="AO20" i="13" s="1"/>
  <c r="V24" i="9"/>
  <c r="W23" i="4"/>
  <c r="U21" i="4"/>
  <c r="AD21" i="4" s="1"/>
  <c r="BA22" i="9"/>
  <c r="U20" i="13"/>
  <c r="AK20" i="13" s="1"/>
  <c r="U20" i="4"/>
  <c r="AD20" i="4" s="1"/>
  <c r="U23" i="4"/>
  <c r="AD23" i="4" s="1"/>
  <c r="BA25" i="9"/>
  <c r="U23" i="13"/>
  <c r="AK23" i="13" s="1"/>
  <c r="K54" i="4"/>
  <c r="K54" i="13"/>
  <c r="X25" i="11"/>
  <c r="X23" i="13" s="1"/>
  <c r="AN23" i="13" s="1"/>
  <c r="X12" i="13"/>
  <c r="CC12" i="11"/>
  <c r="CE12" i="11" s="1"/>
  <c r="BB11" i="9"/>
  <c r="M24" i="3"/>
  <c r="N11" i="3"/>
  <c r="L22" i="4"/>
  <c r="F8" i="3"/>
  <c r="E13" i="3"/>
  <c r="E26" i="3" s="1"/>
  <c r="E31" i="3"/>
  <c r="BA24" i="9"/>
  <c r="L8" i="2"/>
  <c r="K13" i="2"/>
  <c r="K26" i="2" s="1"/>
  <c r="E28" i="3"/>
  <c r="E19" i="4"/>
  <c r="E76" i="3"/>
  <c r="N11" i="2"/>
  <c r="M24" i="2"/>
  <c r="BJ13" i="11"/>
  <c r="BK8" i="11"/>
  <c r="L59" i="2"/>
  <c r="K64" i="2"/>
  <c r="K77" i="2" s="1"/>
  <c r="K82" i="2"/>
  <c r="G72" i="2"/>
  <c r="F64" i="3"/>
  <c r="F43" i="13" s="1"/>
  <c r="M22" i="4"/>
  <c r="M11" i="4"/>
  <c r="S15" i="1"/>
  <c r="F9" i="1"/>
  <c r="E14" i="1"/>
  <c r="E14" i="4"/>
  <c r="V11" i="11" l="1"/>
  <c r="V24" i="11" s="1"/>
  <c r="V22" i="13" s="1"/>
  <c r="AF9" i="20"/>
  <c r="AG33" i="11"/>
  <c r="AG9" i="11"/>
  <c r="AB25" i="11"/>
  <c r="AB23" i="13" s="1"/>
  <c r="AR23" i="13" s="1"/>
  <c r="AF34" i="11"/>
  <c r="AF22" i="11"/>
  <c r="W21" i="20"/>
  <c r="V30" i="20"/>
  <c r="CA28" i="20"/>
  <c r="E25" i="4"/>
  <c r="X25" i="20"/>
  <c r="CC12" i="20"/>
  <c r="CE12" i="20" s="1"/>
  <c r="E53" i="4"/>
  <c r="V15" i="20"/>
  <c r="V13" i="20"/>
  <c r="W8" i="20"/>
  <c r="CA14" i="20"/>
  <c r="E42" i="4"/>
  <c r="F37" i="4"/>
  <c r="Z23" i="13"/>
  <c r="AQ23" i="13" s="1"/>
  <c r="AB12" i="13"/>
  <c r="AR12" i="13" s="1"/>
  <c r="AC12" i="11"/>
  <c r="AC12" i="20" s="1"/>
  <c r="E13" i="2"/>
  <c r="E26" i="2" s="1"/>
  <c r="F8" i="2"/>
  <c r="AC23" i="10"/>
  <c r="AD10" i="10"/>
  <c r="G59" i="2"/>
  <c r="F64" i="2"/>
  <c r="F77" i="2" s="1"/>
  <c r="F82" i="2"/>
  <c r="D53" i="4"/>
  <c r="D53" i="13"/>
  <c r="CC11" i="11"/>
  <c r="CD11" i="11" s="1"/>
  <c r="E42" i="13"/>
  <c r="E55" i="13"/>
  <c r="E55" i="4"/>
  <c r="F107" i="1"/>
  <c r="F37" i="13"/>
  <c r="F114" i="1"/>
  <c r="G94" i="1"/>
  <c r="G100" i="1" s="1"/>
  <c r="G114" i="1" s="1"/>
  <c r="F117" i="1"/>
  <c r="F99" i="1"/>
  <c r="F112" i="1" s="1"/>
  <c r="U24" i="11"/>
  <c r="U28" i="11" s="1"/>
  <c r="V21" i="11" s="1"/>
  <c r="BF25" i="9"/>
  <c r="BG25" i="9"/>
  <c r="Z20" i="13"/>
  <c r="AQ20" i="13" s="1"/>
  <c r="BF22" i="9"/>
  <c r="BG22" i="9"/>
  <c r="J15" i="15"/>
  <c r="K5" i="15"/>
  <c r="K14" i="15" s="1"/>
  <c r="AP12" i="13"/>
  <c r="AQ12" i="13"/>
  <c r="AO12" i="13"/>
  <c r="Y24" i="9"/>
  <c r="Z24" i="9"/>
  <c r="U11" i="13"/>
  <c r="AK11" i="13" s="1"/>
  <c r="U11" i="4"/>
  <c r="AD11" i="4" s="1"/>
  <c r="Y23" i="13"/>
  <c r="AO23" i="13" s="1"/>
  <c r="V22" i="9"/>
  <c r="V25" i="9"/>
  <c r="BB16" i="9"/>
  <c r="AN12" i="13"/>
  <c r="BC16" i="9"/>
  <c r="U13" i="11"/>
  <c r="U26" i="11" s="1"/>
  <c r="U15" i="11"/>
  <c r="V8" i="11"/>
  <c r="E53" i="13"/>
  <c r="G99" i="1"/>
  <c r="X24" i="9"/>
  <c r="BC11" i="9"/>
  <c r="BD11" i="9"/>
  <c r="BB24" i="9"/>
  <c r="W24" i="9"/>
  <c r="O11" i="3"/>
  <c r="N24" i="3"/>
  <c r="F14" i="3"/>
  <c r="F27" i="3"/>
  <c r="E27" i="1"/>
  <c r="E24" i="4" s="1"/>
  <c r="S14" i="1"/>
  <c r="F63" i="3"/>
  <c r="F82" i="3"/>
  <c r="G58" i="3"/>
  <c r="F43" i="4"/>
  <c r="N22" i="4"/>
  <c r="N11" i="4"/>
  <c r="F21" i="3"/>
  <c r="E26" i="4"/>
  <c r="L27" i="2"/>
  <c r="L14" i="2"/>
  <c r="T9" i="1"/>
  <c r="F8" i="4"/>
  <c r="F15" i="1"/>
  <c r="L78" i="2"/>
  <c r="L65" i="2"/>
  <c r="BK14" i="11"/>
  <c r="N24" i="2"/>
  <c r="O11" i="2"/>
  <c r="AG9" i="20" l="1"/>
  <c r="AH33" i="11"/>
  <c r="AH9" i="11"/>
  <c r="E13" i="4"/>
  <c r="AG34" i="11"/>
  <c r="AG22" i="11"/>
  <c r="AD12" i="11"/>
  <c r="AD12" i="20" s="1"/>
  <c r="AC25" i="11"/>
  <c r="G37" i="13"/>
  <c r="F27" i="2"/>
  <c r="F28" i="2" s="1"/>
  <c r="G21" i="2" s="1"/>
  <c r="F14" i="2"/>
  <c r="W27" i="20"/>
  <c r="W28" i="20" s="1"/>
  <c r="W14" i="20"/>
  <c r="CB8" i="20"/>
  <c r="CE8" i="20" s="1"/>
  <c r="F25" i="4"/>
  <c r="CA13" i="20"/>
  <c r="V26" i="20"/>
  <c r="AD23" i="10"/>
  <c r="AE10" i="10"/>
  <c r="U30" i="11"/>
  <c r="G65" i="2"/>
  <c r="G78" i="2"/>
  <c r="CE11" i="11"/>
  <c r="CF11" i="11" s="1"/>
  <c r="CG11" i="11" s="1"/>
  <c r="U22" i="13"/>
  <c r="AK22" i="13" s="1"/>
  <c r="V22" i="4"/>
  <c r="V11" i="4"/>
  <c r="AE11" i="4" s="1"/>
  <c r="W11" i="11"/>
  <c r="U22" i="4"/>
  <c r="AD22" i="4" s="1"/>
  <c r="F48" i="13"/>
  <c r="F48" i="4"/>
  <c r="F42" i="13"/>
  <c r="G117" i="1"/>
  <c r="H94" i="1"/>
  <c r="H100" i="1" s="1"/>
  <c r="F55" i="4"/>
  <c r="G107" i="1"/>
  <c r="F55" i="13"/>
  <c r="V11" i="13"/>
  <c r="AL11" i="13" s="1"/>
  <c r="K15" i="15"/>
  <c r="L5" i="15"/>
  <c r="L14" i="15" s="1"/>
  <c r="AP20" i="13"/>
  <c r="BE24" i="9"/>
  <c r="BF24" i="9"/>
  <c r="BG24" i="9"/>
  <c r="AP23" i="13"/>
  <c r="BB22" i="9"/>
  <c r="V20" i="4"/>
  <c r="AE20" i="4" s="1"/>
  <c r="BC22" i="9"/>
  <c r="V20" i="13"/>
  <c r="BB25" i="9"/>
  <c r="V23" i="13"/>
  <c r="V23" i="4"/>
  <c r="AE23" i="4" s="1"/>
  <c r="BC25" i="9"/>
  <c r="L54" i="4"/>
  <c r="L54" i="13"/>
  <c r="G112" i="1"/>
  <c r="H107" i="1"/>
  <c r="V14" i="11"/>
  <c r="V27" i="11"/>
  <c r="V28" i="11" s="1"/>
  <c r="V30" i="11" s="1"/>
  <c r="BD24" i="9"/>
  <c r="BC24" i="9"/>
  <c r="F13" i="3"/>
  <c r="F26" i="3" s="1"/>
  <c r="F31" i="3"/>
  <c r="G8" i="3"/>
  <c r="P11" i="3"/>
  <c r="P24" i="3" s="1"/>
  <c r="O24" i="3"/>
  <c r="BK13" i="11"/>
  <c r="L13" i="2"/>
  <c r="L26" i="2" s="1"/>
  <c r="M8" i="2"/>
  <c r="O24" i="2"/>
  <c r="P11" i="2"/>
  <c r="P24" i="2" s="1"/>
  <c r="BL8" i="11"/>
  <c r="L64" i="2"/>
  <c r="L77" i="2" s="1"/>
  <c r="L82" i="2"/>
  <c r="G9" i="1"/>
  <c r="F14" i="1"/>
  <c r="T15" i="1"/>
  <c r="F14" i="4"/>
  <c r="F28" i="3"/>
  <c r="F19" i="4"/>
  <c r="G64" i="3"/>
  <c r="G43" i="13" s="1"/>
  <c r="G37" i="4"/>
  <c r="F76" i="3"/>
  <c r="F42" i="4"/>
  <c r="AI9" i="11" l="1"/>
  <c r="AI33" i="11"/>
  <c r="AI34" i="11" s="1"/>
  <c r="AH22" i="11"/>
  <c r="AH34" i="11"/>
  <c r="AH9" i="20"/>
  <c r="AD25" i="11"/>
  <c r="AE12" i="11"/>
  <c r="AF12" i="11" s="1"/>
  <c r="AG12" i="11" s="1"/>
  <c r="AH12" i="11" s="1"/>
  <c r="AE23" i="10"/>
  <c r="AF10" i="10"/>
  <c r="X21" i="20"/>
  <c r="W30" i="20"/>
  <c r="CB28" i="20"/>
  <c r="CE28" i="20" s="1"/>
  <c r="W13" i="20"/>
  <c r="CB14" i="20"/>
  <c r="X8" i="20"/>
  <c r="W15" i="20"/>
  <c r="G8" i="2"/>
  <c r="G8" i="4" s="1"/>
  <c r="F13" i="2"/>
  <c r="F26" i="2" s="1"/>
  <c r="W11" i="13"/>
  <c r="AM11" i="13" s="1"/>
  <c r="X11" i="11"/>
  <c r="Y11" i="11" s="1"/>
  <c r="Z11" i="11" s="1"/>
  <c r="AA11" i="11" s="1"/>
  <c r="G54" i="4"/>
  <c r="G54" i="13"/>
  <c r="G79" i="2"/>
  <c r="W11" i="4"/>
  <c r="G82" i="2"/>
  <c r="G64" i="2"/>
  <c r="G77" i="2" s="1"/>
  <c r="AL22" i="13"/>
  <c r="W24" i="11"/>
  <c r="L15" i="15"/>
  <c r="M5" i="15"/>
  <c r="M14" i="15" s="1"/>
  <c r="M15" i="15" s="1"/>
  <c r="AE22" i="4"/>
  <c r="H99" i="1"/>
  <c r="H112" i="1" s="1"/>
  <c r="H117" i="1"/>
  <c r="H114" i="1"/>
  <c r="I107" i="1" s="1"/>
  <c r="I94" i="1"/>
  <c r="I100" i="1" s="1"/>
  <c r="I114" i="1" s="1"/>
  <c r="G48" i="13"/>
  <c r="G48" i="4"/>
  <c r="AL23" i="13"/>
  <c r="AM23" i="13"/>
  <c r="AL20" i="13"/>
  <c r="AM20" i="13"/>
  <c r="F53" i="4"/>
  <c r="F53" i="13"/>
  <c r="V13" i="11"/>
  <c r="V26" i="11" s="1"/>
  <c r="V15" i="11"/>
  <c r="G14" i="3"/>
  <c r="G27" i="3"/>
  <c r="H58" i="3"/>
  <c r="H37" i="13" s="1"/>
  <c r="G82" i="3"/>
  <c r="G63" i="3"/>
  <c r="G42" i="13" s="1"/>
  <c r="G43" i="4"/>
  <c r="G21" i="3"/>
  <c r="F26" i="4"/>
  <c r="G15" i="1"/>
  <c r="U9" i="1"/>
  <c r="BL14" i="11"/>
  <c r="T14" i="1"/>
  <c r="F27" i="1"/>
  <c r="F24" i="4" s="1"/>
  <c r="F13" i="4"/>
  <c r="M27" i="2"/>
  <c r="M14" i="2"/>
  <c r="AJ9" i="11" l="1"/>
  <c r="AI22" i="11"/>
  <c r="AJ33" i="11"/>
  <c r="AI9" i="20"/>
  <c r="AH25" i="11"/>
  <c r="AH12" i="20"/>
  <c r="AG25" i="11"/>
  <c r="AG12" i="20"/>
  <c r="AF23" i="10"/>
  <c r="AG10" i="10"/>
  <c r="AF25" i="11"/>
  <c r="AF12" i="20"/>
  <c r="AE12" i="20"/>
  <c r="AE25" i="11"/>
  <c r="AB11" i="11"/>
  <c r="AA11" i="20"/>
  <c r="X14" i="20"/>
  <c r="CC8" i="20"/>
  <c r="X27" i="20"/>
  <c r="X28" i="20" s="1"/>
  <c r="W26" i="20"/>
  <c r="CB13" i="20"/>
  <c r="G27" i="2"/>
  <c r="G28" i="2" s="1"/>
  <c r="H21" i="2" s="1"/>
  <c r="H28" i="2" s="1"/>
  <c r="I21" i="2" s="1"/>
  <c r="I28" i="2" s="1"/>
  <c r="J21" i="2" s="1"/>
  <c r="J28" i="2" s="1"/>
  <c r="K21" i="2" s="1"/>
  <c r="K28" i="2" s="1"/>
  <c r="L21" i="2" s="1"/>
  <c r="L28" i="2" s="1"/>
  <c r="M21" i="2" s="1"/>
  <c r="M28" i="2" s="1"/>
  <c r="N21" i="2" s="1"/>
  <c r="G14" i="2"/>
  <c r="G13" i="2" s="1"/>
  <c r="G26" i="2" s="1"/>
  <c r="J94" i="1"/>
  <c r="J100" i="1" s="1"/>
  <c r="G55" i="13"/>
  <c r="H72" i="2"/>
  <c r="G55" i="4"/>
  <c r="W22" i="13"/>
  <c r="AM22" i="13" s="1"/>
  <c r="W22" i="4"/>
  <c r="X11" i="13"/>
  <c r="AN11" i="13" s="1"/>
  <c r="X24" i="11"/>
  <c r="X22" i="13" s="1"/>
  <c r="I99" i="1"/>
  <c r="I117" i="1"/>
  <c r="H8" i="3"/>
  <c r="G13" i="3"/>
  <c r="G26" i="3" s="1"/>
  <c r="G31" i="3"/>
  <c r="M13" i="2"/>
  <c r="M26" i="2" s="1"/>
  <c r="N8" i="2"/>
  <c r="I112" i="1"/>
  <c r="BL13" i="11"/>
  <c r="G28" i="3"/>
  <c r="G19" i="4"/>
  <c r="G76" i="3"/>
  <c r="G42" i="4"/>
  <c r="H64" i="3"/>
  <c r="H43" i="13" s="1"/>
  <c r="H37" i="4"/>
  <c r="J107" i="1"/>
  <c r="BM8" i="11"/>
  <c r="G14" i="1"/>
  <c r="H9" i="1"/>
  <c r="U15" i="1"/>
  <c r="G14" i="4"/>
  <c r="AJ34" i="11" l="1"/>
  <c r="AJ22" i="11"/>
  <c r="AJ9" i="20"/>
  <c r="AG23" i="10"/>
  <c r="AH10" i="10"/>
  <c r="CC28" i="20"/>
  <c r="X30" i="20"/>
  <c r="X13" i="20"/>
  <c r="X15" i="20"/>
  <c r="CC14" i="20"/>
  <c r="CE14" i="20" s="1"/>
  <c r="AC11" i="11"/>
  <c r="AB11" i="20"/>
  <c r="G25" i="4"/>
  <c r="H48" i="4"/>
  <c r="H48" i="13"/>
  <c r="H79" i="2"/>
  <c r="Y11" i="13"/>
  <c r="AO11" i="13" s="1"/>
  <c r="Y24" i="11"/>
  <c r="Y22" i="13" s="1"/>
  <c r="AO22" i="13" s="1"/>
  <c r="AN22" i="13"/>
  <c r="Z24" i="11"/>
  <c r="Z22" i="13" s="1"/>
  <c r="Z11" i="13"/>
  <c r="AA24" i="11"/>
  <c r="AA22" i="13" s="1"/>
  <c r="G53" i="4"/>
  <c r="G53" i="13"/>
  <c r="H14" i="3"/>
  <c r="H27" i="3"/>
  <c r="G13" i="4"/>
  <c r="G27" i="1"/>
  <c r="G24" i="4" s="1"/>
  <c r="U14" i="1"/>
  <c r="H63" i="3"/>
  <c r="H42" i="13" s="1"/>
  <c r="I58" i="3"/>
  <c r="I37" i="13" s="1"/>
  <c r="H82" i="3"/>
  <c r="H43" i="4"/>
  <c r="H21" i="3"/>
  <c r="G26" i="4"/>
  <c r="K94" i="1"/>
  <c r="J99" i="1"/>
  <c r="J117" i="1"/>
  <c r="J114" i="1"/>
  <c r="H8" i="4"/>
  <c r="H15" i="1"/>
  <c r="V9" i="1"/>
  <c r="H28" i="1"/>
  <c r="BM14" i="11"/>
  <c r="N14" i="2"/>
  <c r="N27" i="2"/>
  <c r="N28" i="2" s="1"/>
  <c r="O21" i="2" s="1"/>
  <c r="AH23" i="10" l="1"/>
  <c r="AI10" i="10"/>
  <c r="AJ10" i="10" s="1"/>
  <c r="AC11" i="20"/>
  <c r="AD11" i="11"/>
  <c r="X26" i="20"/>
  <c r="CC13" i="20"/>
  <c r="CE13" i="20" s="1"/>
  <c r="AP22" i="13"/>
  <c r="AP11" i="13"/>
  <c r="H55" i="13"/>
  <c r="I72" i="2"/>
  <c r="H55" i="4"/>
  <c r="AQ22" i="13"/>
  <c r="AA11" i="13"/>
  <c r="AQ11" i="13" s="1"/>
  <c r="AC24" i="11"/>
  <c r="H13" i="3"/>
  <c r="H26" i="3" s="1"/>
  <c r="H31" i="3"/>
  <c r="I8" i="3"/>
  <c r="AV21" i="9"/>
  <c r="BN8" i="11"/>
  <c r="K100" i="1"/>
  <c r="I64" i="3"/>
  <c r="I43" i="13" s="1"/>
  <c r="I37" i="4"/>
  <c r="O8" i="2"/>
  <c r="N13" i="2"/>
  <c r="N26" i="2" s="1"/>
  <c r="BM13" i="11"/>
  <c r="H25" i="4"/>
  <c r="H29" i="1"/>
  <c r="I9" i="1"/>
  <c r="H14" i="4"/>
  <c r="H14" i="1"/>
  <c r="V15" i="1"/>
  <c r="K107" i="1"/>
  <c r="J112" i="1"/>
  <c r="H28" i="3"/>
  <c r="I21" i="3" s="1"/>
  <c r="H19" i="4"/>
  <c r="H76" i="3"/>
  <c r="H42" i="4"/>
  <c r="AD11" i="20" l="1"/>
  <c r="AD24" i="11"/>
  <c r="AE11" i="11"/>
  <c r="AF11" i="11" s="1"/>
  <c r="AG11" i="11" s="1"/>
  <c r="AH11" i="11" s="1"/>
  <c r="I48" i="13"/>
  <c r="I79" i="2"/>
  <c r="I48" i="4"/>
  <c r="AB24" i="11"/>
  <c r="AB22" i="13" s="1"/>
  <c r="AR22" i="13" s="1"/>
  <c r="AB11" i="13"/>
  <c r="AR11" i="13" s="1"/>
  <c r="H53" i="4"/>
  <c r="H53" i="13"/>
  <c r="I14" i="3"/>
  <c r="I27" i="3"/>
  <c r="I28" i="3" s="1"/>
  <c r="J21" i="3" s="1"/>
  <c r="AV8" i="9"/>
  <c r="H27" i="1"/>
  <c r="H24" i="4" s="1"/>
  <c r="H13" i="4"/>
  <c r="V14" i="1"/>
  <c r="I15" i="1"/>
  <c r="I8" i="4"/>
  <c r="I28" i="1"/>
  <c r="W9" i="1"/>
  <c r="O14" i="2"/>
  <c r="O27" i="2"/>
  <c r="O28" i="2" s="1"/>
  <c r="P21" i="2" s="1"/>
  <c r="I63" i="3"/>
  <c r="I42" i="13" s="1"/>
  <c r="J58" i="3"/>
  <c r="J37" i="13" s="1"/>
  <c r="I82" i="3"/>
  <c r="I43" i="4"/>
  <c r="K114" i="1"/>
  <c r="L94" i="1"/>
  <c r="K117" i="1"/>
  <c r="K99" i="1"/>
  <c r="BN14" i="11"/>
  <c r="I22" i="1"/>
  <c r="H26" i="4"/>
  <c r="AH11" i="20" l="1"/>
  <c r="AH24" i="11"/>
  <c r="AG24" i="11"/>
  <c r="AG11" i="20"/>
  <c r="AF24" i="11"/>
  <c r="AF11" i="20"/>
  <c r="AE24" i="11"/>
  <c r="AE11" i="20"/>
  <c r="I55" i="13"/>
  <c r="I55" i="4"/>
  <c r="J72" i="2"/>
  <c r="I25" i="4"/>
  <c r="AV27" i="9"/>
  <c r="AV14" i="9"/>
  <c r="I13" i="3"/>
  <c r="I26" i="3" s="1"/>
  <c r="J8" i="3"/>
  <c r="I31" i="3"/>
  <c r="L100" i="1"/>
  <c r="J64" i="3"/>
  <c r="J43" i="13" s="1"/>
  <c r="J37" i="4"/>
  <c r="I29" i="1"/>
  <c r="I19" i="4"/>
  <c r="BN13" i="11"/>
  <c r="BO8" i="11"/>
  <c r="K112" i="1"/>
  <c r="L107" i="1"/>
  <c r="I76" i="3"/>
  <c r="I42" i="4"/>
  <c r="O13" i="2"/>
  <c r="O26" i="2" s="1"/>
  <c r="P8" i="2"/>
  <c r="I14" i="4"/>
  <c r="J9" i="1"/>
  <c r="I14" i="1"/>
  <c r="W15" i="1"/>
  <c r="J48" i="13" l="1"/>
  <c r="J79" i="2"/>
  <c r="J48" i="4"/>
  <c r="I53" i="4"/>
  <c r="I53" i="13"/>
  <c r="AV28" i="9"/>
  <c r="J27" i="3"/>
  <c r="J28" i="3" s="1"/>
  <c r="K21" i="3" s="1"/>
  <c r="J14" i="3"/>
  <c r="AW8" i="9"/>
  <c r="AW27" i="9"/>
  <c r="AV13" i="9"/>
  <c r="AV26" i="9"/>
  <c r="J8" i="4"/>
  <c r="X9" i="1"/>
  <c r="J15" i="1"/>
  <c r="J28" i="1"/>
  <c r="P27" i="2"/>
  <c r="P28" i="2" s="1"/>
  <c r="P14" i="2"/>
  <c r="P13" i="2" s="1"/>
  <c r="P26" i="2" s="1"/>
  <c r="BO14" i="11"/>
  <c r="J22" i="1"/>
  <c r="I26" i="4"/>
  <c r="K58" i="3"/>
  <c r="K37" i="13" s="1"/>
  <c r="J82" i="3"/>
  <c r="J63" i="3"/>
  <c r="J42" i="13" s="1"/>
  <c r="J43" i="4"/>
  <c r="L117" i="1"/>
  <c r="L99" i="1"/>
  <c r="L114" i="1"/>
  <c r="I27" i="1"/>
  <c r="I24" i="4" s="1"/>
  <c r="I13" i="4"/>
  <c r="W14" i="1"/>
  <c r="K19" i="4"/>
  <c r="J55" i="13" l="1"/>
  <c r="K72" i="2"/>
  <c r="J55" i="4"/>
  <c r="J25" i="4"/>
  <c r="AW14" i="9"/>
  <c r="AW21" i="9"/>
  <c r="K8" i="3"/>
  <c r="J13" i="3"/>
  <c r="J26" i="3" s="1"/>
  <c r="J31" i="3"/>
  <c r="L112" i="1"/>
  <c r="BO13" i="11"/>
  <c r="BP8" i="11"/>
  <c r="K8" i="4"/>
  <c r="J14" i="1"/>
  <c r="K9" i="1"/>
  <c r="X15" i="1"/>
  <c r="J14" i="4"/>
  <c r="J76" i="3"/>
  <c r="J42" i="4"/>
  <c r="K64" i="3"/>
  <c r="K43" i="13" s="1"/>
  <c r="K37" i="4"/>
  <c r="J19" i="4"/>
  <c r="J29" i="1"/>
  <c r="K48" i="13" l="1"/>
  <c r="K48" i="4"/>
  <c r="K79" i="2"/>
  <c r="J53" i="4"/>
  <c r="J53" i="13"/>
  <c r="K27" i="3"/>
  <c r="K28" i="3" s="1"/>
  <c r="L21" i="3" s="1"/>
  <c r="K14" i="3"/>
  <c r="AW28" i="9"/>
  <c r="AW26" i="9"/>
  <c r="AW13" i="9"/>
  <c r="AX27" i="9"/>
  <c r="AX8" i="9"/>
  <c r="L58" i="3"/>
  <c r="L37" i="13" s="1"/>
  <c r="K82" i="3"/>
  <c r="K63" i="3"/>
  <c r="K42" i="13" s="1"/>
  <c r="K43" i="4"/>
  <c r="Y9" i="1"/>
  <c r="K15" i="1"/>
  <c r="K28" i="1"/>
  <c r="K25" i="4"/>
  <c r="J26" i="4"/>
  <c r="K22" i="1"/>
  <c r="K29" i="1" s="1"/>
  <c r="L22" i="1" s="1"/>
  <c r="J27" i="1"/>
  <c r="J24" i="4" s="1"/>
  <c r="J13" i="4"/>
  <c r="X14" i="1"/>
  <c r="BP14" i="11"/>
  <c r="K14" i="4"/>
  <c r="K55" i="13" l="1"/>
  <c r="L72" i="2"/>
  <c r="K55" i="4"/>
  <c r="AX14" i="9"/>
  <c r="AX21" i="9"/>
  <c r="L8" i="3"/>
  <c r="K13" i="3"/>
  <c r="K26" i="3" s="1"/>
  <c r="K31" i="3"/>
  <c r="L25" i="4"/>
  <c r="BQ8" i="11"/>
  <c r="L8" i="4"/>
  <c r="Y15" i="1"/>
  <c r="L9" i="1"/>
  <c r="K14" i="1"/>
  <c r="K76" i="3"/>
  <c r="K42" i="4"/>
  <c r="L64" i="3"/>
  <c r="L43" i="13" s="1"/>
  <c r="L37" i="4"/>
  <c r="K24" i="4"/>
  <c r="BP13" i="11"/>
  <c r="K13" i="4"/>
  <c r="K26" i="4"/>
  <c r="L48" i="13" l="1"/>
  <c r="L79" i="2"/>
  <c r="L48" i="4"/>
  <c r="K53" i="4"/>
  <c r="K53" i="13"/>
  <c r="AX28" i="9"/>
  <c r="L27" i="3"/>
  <c r="L28" i="3" s="1"/>
  <c r="M21" i="3" s="1"/>
  <c r="L14" i="3"/>
  <c r="AY27" i="9"/>
  <c r="AY8" i="9"/>
  <c r="AX13" i="9"/>
  <c r="AX26" i="9"/>
  <c r="K27" i="1"/>
  <c r="Y14" i="1"/>
  <c r="L19" i="4"/>
  <c r="L82" i="3"/>
  <c r="L63" i="3"/>
  <c r="L42" i="13" s="1"/>
  <c r="L43" i="4"/>
  <c r="L28" i="1"/>
  <c r="L29" i="1" s="1"/>
  <c r="M22" i="1" s="1"/>
  <c r="L15" i="1"/>
  <c r="Z9" i="1"/>
  <c r="BQ14" i="11"/>
  <c r="L14" i="4"/>
  <c r="L55" i="13" l="1"/>
  <c r="L55" i="4"/>
  <c r="AY14" i="9"/>
  <c r="M8" i="3"/>
  <c r="L31" i="3"/>
  <c r="L13" i="3"/>
  <c r="L26" i="3" s="1"/>
  <c r="AY21" i="9"/>
  <c r="M25" i="4"/>
  <c r="BR8" i="11"/>
  <c r="M8" i="4"/>
  <c r="M9" i="1"/>
  <c r="Z15" i="1"/>
  <c r="L14" i="1"/>
  <c r="L26" i="4"/>
  <c r="L24" i="4"/>
  <c r="BQ13" i="11"/>
  <c r="L13" i="4"/>
  <c r="L76" i="3"/>
  <c r="L42" i="4"/>
  <c r="L53" i="4" l="1"/>
  <c r="L53" i="13"/>
  <c r="AY28" i="9"/>
  <c r="AY26" i="9"/>
  <c r="AY13" i="9"/>
  <c r="M14" i="3"/>
  <c r="M27" i="3"/>
  <c r="M28" i="3" s="1"/>
  <c r="N21" i="3" s="1"/>
  <c r="AZ27" i="9"/>
  <c r="AZ8" i="9"/>
  <c r="L27" i="1"/>
  <c r="Z14" i="1"/>
  <c r="M28" i="1"/>
  <c r="M29" i="1" s="1"/>
  <c r="N22" i="1" s="1"/>
  <c r="AA9" i="1"/>
  <c r="M15" i="1"/>
  <c r="BR14" i="11"/>
  <c r="M14" i="4"/>
  <c r="BR28" i="11"/>
  <c r="M19" i="4"/>
  <c r="AZ21" i="9" l="1"/>
  <c r="AZ14" i="9"/>
  <c r="N8" i="3"/>
  <c r="M13" i="3"/>
  <c r="M26" i="3" s="1"/>
  <c r="M31" i="3"/>
  <c r="BR13" i="11"/>
  <c r="M24" i="4"/>
  <c r="M13" i="4"/>
  <c r="M14" i="1"/>
  <c r="N9" i="1"/>
  <c r="AA15" i="1"/>
  <c r="M26" i="4"/>
  <c r="BS8" i="11"/>
  <c r="N25" i="4"/>
  <c r="N8" i="4"/>
  <c r="U8" i="13" l="1"/>
  <c r="AK8" i="13" s="1"/>
  <c r="V8" i="10"/>
  <c r="V21" i="10"/>
  <c r="AZ13" i="9"/>
  <c r="AZ26" i="9"/>
  <c r="N14" i="3"/>
  <c r="N27" i="3"/>
  <c r="N28" i="3" s="1"/>
  <c r="O21" i="3" s="1"/>
  <c r="AZ28" i="9"/>
  <c r="U21" i="9"/>
  <c r="BA8" i="9"/>
  <c r="U27" i="9"/>
  <c r="AB9" i="1"/>
  <c r="N15" i="1"/>
  <c r="N28" i="1"/>
  <c r="N29" i="1" s="1"/>
  <c r="O22" i="1" s="1"/>
  <c r="BS14" i="11"/>
  <c r="N14" i="4"/>
  <c r="BS28" i="11"/>
  <c r="N19" i="4"/>
  <c r="M27" i="1"/>
  <c r="AA14" i="1"/>
  <c r="V14" i="10" l="1"/>
  <c r="V27" i="10"/>
  <c r="V28" i="10" s="1"/>
  <c r="V30" i="10" s="1"/>
  <c r="U19" i="13"/>
  <c r="AK19" i="13" s="1"/>
  <c r="U28" i="9"/>
  <c r="BA27" i="9"/>
  <c r="BA14" i="9"/>
  <c r="O8" i="3"/>
  <c r="N31" i="3"/>
  <c r="N13" i="3"/>
  <c r="N26" i="3" s="1"/>
  <c r="BA21" i="9"/>
  <c r="O19" i="4"/>
  <c r="N26" i="4"/>
  <c r="BT8" i="11"/>
  <c r="O8" i="4"/>
  <c r="BS13" i="11"/>
  <c r="N24" i="4"/>
  <c r="N13" i="4"/>
  <c r="AB15" i="1"/>
  <c r="N14" i="1"/>
  <c r="O9" i="1"/>
  <c r="V13" i="10" l="1"/>
  <c r="V26" i="10" s="1"/>
  <c r="W8" i="10"/>
  <c r="W21" i="10"/>
  <c r="U26" i="9"/>
  <c r="BA13" i="9"/>
  <c r="V21" i="9"/>
  <c r="BA28" i="9"/>
  <c r="O27" i="3"/>
  <c r="O28" i="3" s="1"/>
  <c r="P21" i="3" s="1"/>
  <c r="O14" i="3"/>
  <c r="BB8" i="9"/>
  <c r="V27" i="9"/>
  <c r="BB27" i="9" s="1"/>
  <c r="O15" i="1"/>
  <c r="AC9" i="1"/>
  <c r="O28" i="1"/>
  <c r="O29" i="1" s="1"/>
  <c r="N27" i="1"/>
  <c r="AB14" i="1"/>
  <c r="BT14" i="11"/>
  <c r="O14" i="4"/>
  <c r="BT28" i="11"/>
  <c r="O25" i="4"/>
  <c r="W14" i="10" l="1"/>
  <c r="W27" i="10"/>
  <c r="W28" i="10" s="1"/>
  <c r="W30" i="10" s="1"/>
  <c r="BB21" i="9"/>
  <c r="BA26" i="9"/>
  <c r="O13" i="3"/>
  <c r="O26" i="3" s="1"/>
  <c r="O31" i="3"/>
  <c r="P8" i="3"/>
  <c r="O14" i="1"/>
  <c r="AC15" i="1"/>
  <c r="P19" i="4"/>
  <c r="Y19" i="4" s="1"/>
  <c r="O26" i="4"/>
  <c r="BT13" i="11"/>
  <c r="O24" i="4"/>
  <c r="O13" i="4"/>
  <c r="BU8" i="11"/>
  <c r="P8" i="4"/>
  <c r="Y8" i="4" s="1"/>
  <c r="W13" i="10" l="1"/>
  <c r="W26" i="10" s="1"/>
  <c r="X8" i="10"/>
  <c r="P27" i="3"/>
  <c r="P28" i="3" s="1"/>
  <c r="P14" i="3"/>
  <c r="O27" i="1"/>
  <c r="AC14" i="1"/>
  <c r="BU28" i="11"/>
  <c r="P25" i="4"/>
  <c r="Y25" i="4" s="1"/>
  <c r="BU14" i="11"/>
  <c r="P14" i="4"/>
  <c r="Y14" i="4" s="1"/>
  <c r="X14" i="10" l="1"/>
  <c r="P13" i="3"/>
  <c r="P26" i="3" s="1"/>
  <c r="P31" i="3"/>
  <c r="BV8" i="11"/>
  <c r="Q8" i="4"/>
  <c r="Z8" i="4" s="1"/>
  <c r="P24" i="4"/>
  <c r="Y24" i="4" s="1"/>
  <c r="BU13" i="11"/>
  <c r="P13" i="4"/>
  <c r="Y13" i="4" s="1"/>
  <c r="Q19" i="4"/>
  <c r="Z19" i="4" s="1"/>
  <c r="P26" i="4"/>
  <c r="Y26" i="4" s="1"/>
  <c r="Y8" i="10" l="1"/>
  <c r="Y27" i="10" s="1"/>
  <c r="X27" i="10"/>
  <c r="X13" i="10"/>
  <c r="X26" i="10" s="1"/>
  <c r="BV14" i="11"/>
  <c r="Q14" i="4"/>
  <c r="Z14" i="4" s="1"/>
  <c r="BV28" i="11"/>
  <c r="Q25" i="4"/>
  <c r="Z25" i="4" s="1"/>
  <c r="Y14" i="10" l="1"/>
  <c r="Y13" i="10" s="1"/>
  <c r="Y26" i="10" s="1"/>
  <c r="U14" i="13"/>
  <c r="AK14" i="13" s="1"/>
  <c r="R19" i="4"/>
  <c r="AA19" i="4" s="1"/>
  <c r="Q26" i="4"/>
  <c r="Z26" i="4" s="1"/>
  <c r="BW8" i="11"/>
  <c r="R8" i="4"/>
  <c r="AA8" i="4" s="1"/>
  <c r="Q24" i="4"/>
  <c r="Z24" i="4" s="1"/>
  <c r="BV13" i="11"/>
  <c r="Q13" i="4"/>
  <c r="Z13" i="4" s="1"/>
  <c r="Z8" i="10" l="1"/>
  <c r="X21" i="10"/>
  <c r="X28" i="10" s="1"/>
  <c r="Y21" i="10" s="1"/>
  <c r="Y28" i="10" s="1"/>
  <c r="U25" i="13"/>
  <c r="AK25" i="13" s="1"/>
  <c r="BW28" i="11"/>
  <c r="R25" i="4"/>
  <c r="AA25" i="4" s="1"/>
  <c r="BW14" i="11"/>
  <c r="R14" i="4"/>
  <c r="AA14" i="4" s="1"/>
  <c r="Z27" i="10" l="1"/>
  <c r="Z14" i="10"/>
  <c r="Y30" i="10"/>
  <c r="Z21" i="10"/>
  <c r="V8" i="13"/>
  <c r="AL8" i="13" s="1"/>
  <c r="W8" i="11"/>
  <c r="X30" i="10"/>
  <c r="U24" i="13"/>
  <c r="AK24" i="13" s="1"/>
  <c r="U13" i="13"/>
  <c r="AK13" i="13" s="1"/>
  <c r="V19" i="13"/>
  <c r="AL19" i="13" s="1"/>
  <c r="U26" i="13"/>
  <c r="AK26" i="13" s="1"/>
  <c r="CA14" i="11"/>
  <c r="R24" i="4"/>
  <c r="AA24" i="4" s="1"/>
  <c r="BW13" i="11"/>
  <c r="R13" i="4"/>
  <c r="AA13" i="4" s="1"/>
  <c r="S19" i="4"/>
  <c r="AB19" i="4" s="1"/>
  <c r="R26" i="4"/>
  <c r="AA26" i="4" s="1"/>
  <c r="BX8" i="11"/>
  <c r="S8" i="4"/>
  <c r="AB8" i="4" s="1"/>
  <c r="Z28" i="10" l="1"/>
  <c r="AA21" i="10" s="1"/>
  <c r="AA8" i="10"/>
  <c r="AA27" i="10" s="1"/>
  <c r="Z13" i="10"/>
  <c r="Z26" i="10" s="1"/>
  <c r="AA14" i="10"/>
  <c r="W14" i="11"/>
  <c r="W27" i="11"/>
  <c r="W21" i="11"/>
  <c r="V25" i="13"/>
  <c r="AL25" i="13" s="1"/>
  <c r="CA13" i="11"/>
  <c r="BX28" i="11"/>
  <c r="S25" i="4"/>
  <c r="AB25" i="4" s="1"/>
  <c r="BX14" i="11"/>
  <c r="T8" i="4"/>
  <c r="S14" i="4"/>
  <c r="AB14" i="4" s="1"/>
  <c r="AA28" i="10" l="1"/>
  <c r="AB21" i="10" s="1"/>
  <c r="AA13" i="10"/>
  <c r="AA26" i="10" s="1"/>
  <c r="AB8" i="10"/>
  <c r="W28" i="11"/>
  <c r="W30" i="11" s="1"/>
  <c r="W13" i="11"/>
  <c r="W26" i="11" s="1"/>
  <c r="W15" i="11"/>
  <c r="BX13" i="11"/>
  <c r="S24" i="4"/>
  <c r="AB24" i="4" s="1"/>
  <c r="S13" i="4"/>
  <c r="AB13" i="4" s="1"/>
  <c r="S26" i="4"/>
  <c r="AB26" i="4" s="1"/>
  <c r="BY8" i="11"/>
  <c r="T25" i="4"/>
  <c r="AC8" i="4"/>
  <c r="AB27" i="10" l="1"/>
  <c r="AB28" i="10" s="1"/>
  <c r="AC21" i="10" s="1"/>
  <c r="AB14" i="10"/>
  <c r="T14" i="4"/>
  <c r="AC14" i="4" s="1"/>
  <c r="T19" i="4"/>
  <c r="AC19" i="4" s="1"/>
  <c r="U8" i="4"/>
  <c r="AD8" i="4" s="1"/>
  <c r="BY14" i="11"/>
  <c r="T13" i="4"/>
  <c r="AC25" i="4"/>
  <c r="AB13" i="10" l="1"/>
  <c r="AB26" i="10" s="1"/>
  <c r="AC8" i="10"/>
  <c r="T26" i="4"/>
  <c r="AC26" i="4" s="1"/>
  <c r="BY28" i="11"/>
  <c r="U19" i="4"/>
  <c r="AD19" i="4" s="1"/>
  <c r="BY13" i="11"/>
  <c r="AC13" i="4"/>
  <c r="BZ8" i="11"/>
  <c r="AC14" i="10" l="1"/>
  <c r="AC27" i="10"/>
  <c r="AC28" i="10" s="1"/>
  <c r="AD21" i="10" s="1"/>
  <c r="U14" i="4"/>
  <c r="AD14" i="4" s="1"/>
  <c r="T24" i="4"/>
  <c r="AC24" i="4" s="1"/>
  <c r="U25" i="4"/>
  <c r="AD25" i="4" s="1"/>
  <c r="BZ14" i="11"/>
  <c r="U13" i="4"/>
  <c r="AD13" i="4" s="1"/>
  <c r="AC13" i="10" l="1"/>
  <c r="AC26" i="10" s="1"/>
  <c r="AD8" i="10"/>
  <c r="BZ28" i="11"/>
  <c r="CA8" i="11"/>
  <c r="V25" i="4"/>
  <c r="AE25" i="4" s="1"/>
  <c r="V8" i="4"/>
  <c r="AE8" i="4" s="1"/>
  <c r="U26" i="4"/>
  <c r="AD26" i="4" s="1"/>
  <c r="BZ13" i="11"/>
  <c r="U24" i="4"/>
  <c r="AD24" i="4" s="1"/>
  <c r="AD14" i="10" l="1"/>
  <c r="AD27" i="10"/>
  <c r="AD28" i="10" s="1"/>
  <c r="AE21" i="10" s="1"/>
  <c r="V19" i="4"/>
  <c r="AE19" i="4" s="1"/>
  <c r="AD13" i="10" l="1"/>
  <c r="AD26" i="10" s="1"/>
  <c r="AE8" i="10"/>
  <c r="CB8" i="11"/>
  <c r="CE8" i="11" s="1"/>
  <c r="CA28" i="11"/>
  <c r="X8" i="11"/>
  <c r="AE27" i="10" l="1"/>
  <c r="AE28" i="10" s="1"/>
  <c r="AF21" i="10" s="1"/>
  <c r="AE14" i="10"/>
  <c r="X27" i="11"/>
  <c r="CC8" i="11"/>
  <c r="CB14" i="11"/>
  <c r="X21" i="11"/>
  <c r="Z44" i="8"/>
  <c r="AQ44" i="8" s="1"/>
  <c r="AV44" i="8" s="1"/>
  <c r="AW44" i="8" s="1"/>
  <c r="Z48" i="8"/>
  <c r="AQ48" i="8" s="1"/>
  <c r="AV48" i="8" s="1"/>
  <c r="AW48" i="8" s="1"/>
  <c r="AE13" i="10" l="1"/>
  <c r="AE26" i="10" s="1"/>
  <c r="AF8" i="10"/>
  <c r="F7" i="14"/>
  <c r="F9" i="14" s="1"/>
  <c r="F14" i="14" s="1"/>
  <c r="F15" i="14" s="1"/>
  <c r="V10" i="9"/>
  <c r="CB13" i="11"/>
  <c r="CB28" i="11"/>
  <c r="CE28" i="11" s="1"/>
  <c r="Z47" i="8"/>
  <c r="AQ47" i="8" s="1"/>
  <c r="AV47" i="8" s="1"/>
  <c r="AW47" i="8" s="1"/>
  <c r="AF27" i="10" l="1"/>
  <c r="AF28" i="10" s="1"/>
  <c r="AG21" i="10" s="1"/>
  <c r="AF14" i="10"/>
  <c r="G5" i="14"/>
  <c r="G14" i="14" s="1"/>
  <c r="H5" i="14" s="1"/>
  <c r="H14" i="14" s="1"/>
  <c r="W10" i="9"/>
  <c r="X10" i="9" s="1"/>
  <c r="Y10" i="9" s="1"/>
  <c r="V14" i="9"/>
  <c r="V10" i="13"/>
  <c r="AL10" i="13" s="1"/>
  <c r="BB10" i="9"/>
  <c r="V23" i="9"/>
  <c r="V28" i="9" s="1"/>
  <c r="V10" i="4"/>
  <c r="AE10" i="4" s="1"/>
  <c r="AF13" i="10" l="1"/>
  <c r="AF26" i="10" s="1"/>
  <c r="AG8" i="10"/>
  <c r="G15" i="14"/>
  <c r="Z10" i="9"/>
  <c r="Z23" i="9" s="1"/>
  <c r="BE10" i="9"/>
  <c r="W8" i="9"/>
  <c r="V13" i="9"/>
  <c r="V26" i="9" s="1"/>
  <c r="Y23" i="9"/>
  <c r="H15" i="14"/>
  <c r="I5" i="14"/>
  <c r="I14" i="14" s="1"/>
  <c r="X23" i="9"/>
  <c r="V26" i="13"/>
  <c r="AL26" i="13" s="1"/>
  <c r="BB28" i="9"/>
  <c r="W10" i="13"/>
  <c r="AM10" i="13" s="1"/>
  <c r="BD10" i="9"/>
  <c r="BC10" i="9"/>
  <c r="W23" i="9"/>
  <c r="W21" i="13" s="1"/>
  <c r="V14" i="13"/>
  <c r="AL14" i="13" s="1"/>
  <c r="BB14" i="9"/>
  <c r="V21" i="13"/>
  <c r="AL21" i="13" s="1"/>
  <c r="BB23" i="9"/>
  <c r="V14" i="4"/>
  <c r="AE14" i="4" s="1"/>
  <c r="W10" i="4"/>
  <c r="W21" i="9"/>
  <c r="V21" i="4"/>
  <c r="AE21" i="4" s="1"/>
  <c r="V26" i="4"/>
  <c r="AE26" i="4" s="1"/>
  <c r="AG27" i="10" l="1"/>
  <c r="AG28" i="10" s="1"/>
  <c r="AH21" i="10" s="1"/>
  <c r="AG14" i="10"/>
  <c r="W14" i="9"/>
  <c r="W14" i="13" s="1"/>
  <c r="AM14" i="13" s="1"/>
  <c r="BF23" i="9"/>
  <c r="BE23" i="9"/>
  <c r="BF10" i="9"/>
  <c r="AA10" i="9"/>
  <c r="I15" i="14"/>
  <c r="J5" i="14"/>
  <c r="J14" i="14" s="1"/>
  <c r="K5" i="14" s="1"/>
  <c r="K14" i="14" s="1"/>
  <c r="L5" i="14" s="1"/>
  <c r="L14" i="14" s="1"/>
  <c r="W21" i="4"/>
  <c r="V24" i="13"/>
  <c r="AL24" i="13" s="1"/>
  <c r="BB26" i="9"/>
  <c r="W19" i="13"/>
  <c r="AM19" i="13" s="1"/>
  <c r="BC21" i="9"/>
  <c r="W8" i="13"/>
  <c r="AM8" i="13" s="1"/>
  <c r="BC8" i="9"/>
  <c r="BC23" i="9"/>
  <c r="BD23" i="9"/>
  <c r="V13" i="13"/>
  <c r="AL13" i="13" s="1"/>
  <c r="BB13" i="9"/>
  <c r="W27" i="9"/>
  <c r="W25" i="13" s="1"/>
  <c r="V13" i="4"/>
  <c r="AE13" i="4" s="1"/>
  <c r="W19" i="4"/>
  <c r="W8" i="4"/>
  <c r="V24" i="4"/>
  <c r="AE24" i="4" s="1"/>
  <c r="AG13" i="10" l="1"/>
  <c r="AG26" i="10" s="1"/>
  <c r="AH8" i="10"/>
  <c r="X8" i="9"/>
  <c r="BD8" i="9" s="1"/>
  <c r="W13" i="9"/>
  <c r="W26" i="9" s="1"/>
  <c r="W24" i="13" s="1"/>
  <c r="L15" i="14"/>
  <c r="M5" i="14"/>
  <c r="M14" i="14" s="1"/>
  <c r="M15" i="14" s="1"/>
  <c r="AB10" i="9"/>
  <c r="BG10" i="9"/>
  <c r="AA23" i="9"/>
  <c r="J15" i="14"/>
  <c r="K15" i="14"/>
  <c r="W14" i="4"/>
  <c r="BC14" i="9"/>
  <c r="AM21" i="13"/>
  <c r="W25" i="4"/>
  <c r="BC27" i="9"/>
  <c r="W28" i="9"/>
  <c r="BC13" i="9" l="1"/>
  <c r="AH14" i="10"/>
  <c r="AH27" i="10"/>
  <c r="AH28" i="10" s="1"/>
  <c r="X14" i="9"/>
  <c r="BD14" i="9" s="1"/>
  <c r="X27" i="9"/>
  <c r="X25" i="13" s="1"/>
  <c r="AN25" i="13" s="1"/>
  <c r="X8" i="13"/>
  <c r="AN8" i="13" s="1"/>
  <c r="AB23" i="9"/>
  <c r="BH23" i="9" s="1"/>
  <c r="AC10" i="9"/>
  <c r="BH10" i="9"/>
  <c r="BG23" i="9"/>
  <c r="W13" i="13"/>
  <c r="AM13" i="13" s="1"/>
  <c r="W13" i="4"/>
  <c r="W26" i="13"/>
  <c r="X21" i="9"/>
  <c r="BC28" i="9"/>
  <c r="BC26" i="9"/>
  <c r="AM24" i="13"/>
  <c r="AM25" i="13"/>
  <c r="W26" i="4"/>
  <c r="W24" i="4"/>
  <c r="AH13" i="10" l="1"/>
  <c r="AH26" i="10" s="1"/>
  <c r="AI8" i="10"/>
  <c r="AI14" i="10" s="1"/>
  <c r="X28" i="9"/>
  <c r="Y21" i="9" s="1"/>
  <c r="BE21" i="9" s="1"/>
  <c r="AD10" i="9"/>
  <c r="AD23" i="9" s="1"/>
  <c r="BD27" i="9"/>
  <c r="Y8" i="9"/>
  <c r="Y27" i="9" s="1"/>
  <c r="X13" i="9"/>
  <c r="AC23" i="9"/>
  <c r="BI23" i="9" s="1"/>
  <c r="BI10" i="9"/>
  <c r="X19" i="13"/>
  <c r="AN19" i="13" s="1"/>
  <c r="BD21" i="9"/>
  <c r="AM26" i="13"/>
  <c r="AI13" i="10" l="1"/>
  <c r="AJ8" i="10"/>
  <c r="AE10" i="9"/>
  <c r="AF10" i="9" s="1"/>
  <c r="AG10" i="9" s="1"/>
  <c r="BD13" i="9"/>
  <c r="X26" i="9"/>
  <c r="BD26" i="9" s="1"/>
  <c r="Y14" i="9"/>
  <c r="BE8" i="9"/>
  <c r="Y28" i="9"/>
  <c r="BE27" i="9"/>
  <c r="BD28" i="9"/>
  <c r="AJ14" i="10" l="1"/>
  <c r="AG23" i="9"/>
  <c r="AH10" i="9"/>
  <c r="AI10" i="9" s="1"/>
  <c r="AE23" i="9"/>
  <c r="AF23" i="9"/>
  <c r="Y13" i="9"/>
  <c r="Z8" i="9"/>
  <c r="BE14" i="9"/>
  <c r="Z21" i="9"/>
  <c r="BF21" i="9" s="1"/>
  <c r="BE28" i="9"/>
  <c r="AB3" i="8"/>
  <c r="AC6" i="8" s="1"/>
  <c r="X10" i="11"/>
  <c r="AB8" i="8"/>
  <c r="H9" i="16"/>
  <c r="AJ13" i="10" l="1"/>
  <c r="AI10" i="20"/>
  <c r="AJ10" i="9"/>
  <c r="AJ10" i="20" s="1"/>
  <c r="AH23" i="9"/>
  <c r="Z27" i="9"/>
  <c r="BF27" i="9" s="1"/>
  <c r="Z14" i="9"/>
  <c r="BF8" i="9"/>
  <c r="BE13" i="9"/>
  <c r="Y26" i="9"/>
  <c r="BE26" i="9" s="1"/>
  <c r="AS8" i="8"/>
  <c r="AR8" i="8"/>
  <c r="AX8" i="8"/>
  <c r="AW8" i="8"/>
  <c r="AY8" i="8" s="1"/>
  <c r="H11" i="16"/>
  <c r="H13" i="16" s="1"/>
  <c r="H14" i="16" s="1"/>
  <c r="AW7" i="8"/>
  <c r="AR7" i="8"/>
  <c r="AS7" i="8"/>
  <c r="Z28" i="9"/>
  <c r="BG8" i="8"/>
  <c r="BF8" i="8"/>
  <c r="X10" i="13"/>
  <c r="AN10" i="13" s="1"/>
  <c r="Y10" i="11"/>
  <c r="X14" i="11"/>
  <c r="Y8" i="11" s="1"/>
  <c r="CC10" i="11"/>
  <c r="CE10" i="11" s="1"/>
  <c r="X23" i="11"/>
  <c r="AA8" i="9" l="1"/>
  <c r="Z13" i="9"/>
  <c r="BF13" i="9" s="1"/>
  <c r="BF14" i="9"/>
  <c r="AV7" i="8"/>
  <c r="AX7" i="8" s="1"/>
  <c r="BH8" i="8"/>
  <c r="AV8" i="8"/>
  <c r="AT10" i="8"/>
  <c r="J7" i="16"/>
  <c r="J9" i="16" s="1"/>
  <c r="AA21" i="9"/>
  <c r="BF28" i="9"/>
  <c r="Z10" i="11"/>
  <c r="Y14" i="11"/>
  <c r="Z8" i="11" s="1"/>
  <c r="Z8" i="13" s="1"/>
  <c r="Y27" i="11"/>
  <c r="Y25" i="13" s="1"/>
  <c r="AO25" i="13" s="1"/>
  <c r="Y8" i="13"/>
  <c r="AO8" i="13" s="1"/>
  <c r="Y23" i="11"/>
  <c r="Y21" i="13" s="1"/>
  <c r="Y10" i="13"/>
  <c r="AO10" i="13" s="1"/>
  <c r="H15" i="16"/>
  <c r="I5" i="16"/>
  <c r="I14" i="16" s="1"/>
  <c r="X21" i="13"/>
  <c r="AN21" i="13" s="1"/>
  <c r="X28" i="11"/>
  <c r="Y21" i="11" s="1"/>
  <c r="CC14" i="11"/>
  <c r="CE14" i="11" s="1"/>
  <c r="X15" i="11"/>
  <c r="X14" i="13"/>
  <c r="X13" i="11"/>
  <c r="Z26" i="9" l="1"/>
  <c r="AA27" i="9"/>
  <c r="BG27" i="9" s="1"/>
  <c r="BG8" i="9"/>
  <c r="AA14" i="9"/>
  <c r="AU10" i="8"/>
  <c r="AV10" i="8" s="1"/>
  <c r="AW10" i="8" s="1"/>
  <c r="K7" i="16"/>
  <c r="K9" i="16" s="1"/>
  <c r="AA10" i="11"/>
  <c r="BG21" i="9"/>
  <c r="Y13" i="11"/>
  <c r="Y26" i="11" s="1"/>
  <c r="Y24" i="13" s="1"/>
  <c r="J5" i="16"/>
  <c r="J14" i="16" s="1"/>
  <c r="I15" i="16"/>
  <c r="BF26" i="9"/>
  <c r="Y15" i="11"/>
  <c r="Y14" i="13"/>
  <c r="AO14" i="13" s="1"/>
  <c r="AP8" i="13"/>
  <c r="AO21" i="13"/>
  <c r="Z23" i="11"/>
  <c r="Z21" i="13" s="1"/>
  <c r="Z10" i="13"/>
  <c r="Z27" i="11"/>
  <c r="Z25" i="13" s="1"/>
  <c r="Z14" i="11"/>
  <c r="Y19" i="13"/>
  <c r="AO19" i="13" s="1"/>
  <c r="Y28" i="11"/>
  <c r="Z21" i="11" s="1"/>
  <c r="Z19" i="13" s="1"/>
  <c r="AN14" i="13"/>
  <c r="CC13" i="11"/>
  <c r="CE13" i="11" s="1"/>
  <c r="X13" i="13"/>
  <c r="AN13" i="13" s="1"/>
  <c r="X26" i="11"/>
  <c r="X24" i="13" s="1"/>
  <c r="AN24" i="13" s="1"/>
  <c r="CC28" i="11"/>
  <c r="X30" i="11"/>
  <c r="X26" i="13"/>
  <c r="AN26" i="13" s="1"/>
  <c r="AB10" i="11" l="1"/>
  <c r="AB10" i="20" s="1"/>
  <c r="AA10" i="20"/>
  <c r="AA28" i="9"/>
  <c r="AB21" i="9" s="1"/>
  <c r="BG14" i="9"/>
  <c r="AB8" i="9"/>
  <c r="AA13" i="9"/>
  <c r="Y13" i="13"/>
  <c r="AO13" i="13" s="1"/>
  <c r="AA8" i="11"/>
  <c r="AA23" i="11"/>
  <c r="AA21" i="13" s="1"/>
  <c r="AA10" i="13"/>
  <c r="AQ10" i="13" s="1"/>
  <c r="K5" i="16"/>
  <c r="K14" i="16" s="1"/>
  <c r="J15" i="16"/>
  <c r="Z14" i="13"/>
  <c r="AP14" i="13" s="1"/>
  <c r="AO24" i="13"/>
  <c r="AP10" i="13"/>
  <c r="AP25" i="13"/>
  <c r="AP19" i="13"/>
  <c r="AP21" i="13"/>
  <c r="Z28" i="11"/>
  <c r="AA21" i="11" s="1"/>
  <c r="Z13" i="11"/>
  <c r="Z15" i="11"/>
  <c r="Y30" i="11"/>
  <c r="Y26" i="13"/>
  <c r="AO26" i="13" s="1"/>
  <c r="BG28" i="9" l="1"/>
  <c r="AB23" i="11"/>
  <c r="AB21" i="13" s="1"/>
  <c r="AR21" i="13" s="1"/>
  <c r="AB10" i="13"/>
  <c r="AR10" i="13" s="1"/>
  <c r="AA8" i="13"/>
  <c r="AQ8" i="13" s="1"/>
  <c r="AA8" i="20"/>
  <c r="AA26" i="9"/>
  <c r="BG26" i="9" s="1"/>
  <c r="BG13" i="9"/>
  <c r="BH8" i="9"/>
  <c r="AB14" i="9"/>
  <c r="AB27" i="9"/>
  <c r="BH27" i="9" s="1"/>
  <c r="AA27" i="11"/>
  <c r="AA25" i="13" s="1"/>
  <c r="AQ25" i="13" s="1"/>
  <c r="BH21" i="9"/>
  <c r="AA14" i="11"/>
  <c r="AQ21" i="13"/>
  <c r="K15" i="16"/>
  <c r="L5" i="16"/>
  <c r="L14" i="16" s="1"/>
  <c r="AA19" i="13"/>
  <c r="AQ19" i="13" s="1"/>
  <c r="Z26" i="13"/>
  <c r="Z26" i="11"/>
  <c r="Z24" i="13" s="1"/>
  <c r="Z13" i="13"/>
  <c r="AB28" i="9" l="1"/>
  <c r="BH28" i="9" s="1"/>
  <c r="AA15" i="11"/>
  <c r="AA14" i="20"/>
  <c r="AB13" i="9"/>
  <c r="AC8" i="9"/>
  <c r="BH14" i="9"/>
  <c r="AA28" i="11"/>
  <c r="AA26" i="13" s="1"/>
  <c r="AQ26" i="13" s="1"/>
  <c r="L15" i="16"/>
  <c r="M5" i="16"/>
  <c r="AA14" i="13"/>
  <c r="AQ14" i="13" s="1"/>
  <c r="AA13" i="11"/>
  <c r="AB8" i="11"/>
  <c r="AP26" i="13"/>
  <c r="AP13" i="13"/>
  <c r="AP24" i="13"/>
  <c r="AC21" i="9" l="1"/>
  <c r="BI21" i="9" s="1"/>
  <c r="AA26" i="11"/>
  <c r="AA24" i="13" s="1"/>
  <c r="AQ24" i="13" s="1"/>
  <c r="AA13" i="20"/>
  <c r="AB8" i="13"/>
  <c r="AR8" i="13" s="1"/>
  <c r="AB8" i="20"/>
  <c r="BI8" i="9"/>
  <c r="AC27" i="9"/>
  <c r="BI27" i="9" s="1"/>
  <c r="AC14" i="9"/>
  <c r="AB26" i="9"/>
  <c r="BH26" i="9" s="1"/>
  <c r="BH13" i="9"/>
  <c r="AB21" i="11"/>
  <c r="AB19" i="13" s="1"/>
  <c r="AR19" i="13" s="1"/>
  <c r="AA13" i="13"/>
  <c r="AQ13" i="13" s="1"/>
  <c r="AB27" i="11"/>
  <c r="AB25" i="13" s="1"/>
  <c r="AR25" i="13" s="1"/>
  <c r="AB14" i="11"/>
  <c r="AC8" i="11" l="1"/>
  <c r="AC8" i="20" s="1"/>
  <c r="AB14" i="20"/>
  <c r="AC28" i="9"/>
  <c r="AD21" i="9" s="1"/>
  <c r="AD8" i="9"/>
  <c r="BI14" i="9"/>
  <c r="AC13" i="9"/>
  <c r="AB28" i="11"/>
  <c r="AB14" i="13"/>
  <c r="AR14" i="13" s="1"/>
  <c r="AB13" i="11"/>
  <c r="AB13" i="20" s="1"/>
  <c r="AB15" i="11"/>
  <c r="AC27" i="11" l="1"/>
  <c r="BI28" i="9"/>
  <c r="AC26" i="9"/>
  <c r="BI26" i="9" s="1"/>
  <c r="BI13" i="9"/>
  <c r="AD27" i="9"/>
  <c r="AD28" i="9" s="1"/>
  <c r="AE21" i="9" s="1"/>
  <c r="AD14" i="9"/>
  <c r="AB26" i="13"/>
  <c r="AR26" i="13" s="1"/>
  <c r="AC21" i="11"/>
  <c r="AB13" i="13"/>
  <c r="AR13" i="13" s="1"/>
  <c r="AB26" i="11"/>
  <c r="AB24" i="13" s="1"/>
  <c r="AR24" i="13" s="1"/>
  <c r="AE8" i="9" l="1"/>
  <c r="AE27" i="9" s="1"/>
  <c r="AE28" i="9" s="1"/>
  <c r="AF21" i="9" s="1"/>
  <c r="AD13" i="9"/>
  <c r="M7" i="16"/>
  <c r="M9" i="16" s="1"/>
  <c r="M14" i="16" s="1"/>
  <c r="M15" i="16" s="1"/>
  <c r="AE14" i="9" l="1"/>
  <c r="AF8" i="9" s="1"/>
  <c r="AD26" i="9"/>
  <c r="AC10" i="11"/>
  <c r="AC10" i="20" s="1"/>
  <c r="AF14" i="9" l="1"/>
  <c r="AG8" i="9" s="1"/>
  <c r="AE13" i="9"/>
  <c r="AE26" i="9" s="1"/>
  <c r="AF27" i="9"/>
  <c r="AF28" i="9" s="1"/>
  <c r="AG21" i="9" s="1"/>
  <c r="AF13" i="9"/>
  <c r="AC14" i="11"/>
  <c r="AD10" i="11"/>
  <c r="AD10" i="20" s="1"/>
  <c r="AC23" i="11"/>
  <c r="AC28" i="11" s="1"/>
  <c r="AD21" i="11" s="1"/>
  <c r="AG27" i="9" l="1"/>
  <c r="AG28" i="9" s="1"/>
  <c r="AH21" i="9" s="1"/>
  <c r="AG14" i="9"/>
  <c r="AF26" i="9"/>
  <c r="AC15" i="11"/>
  <c r="AC14" i="20"/>
  <c r="AD23" i="11"/>
  <c r="AE10" i="11"/>
  <c r="AF10" i="11" s="1"/>
  <c r="AG10" i="11" s="1"/>
  <c r="AH10" i="11" s="1"/>
  <c r="AC13" i="11"/>
  <c r="AD8" i="11"/>
  <c r="AH23" i="11" l="1"/>
  <c r="AH10" i="20"/>
  <c r="AG13" i="9"/>
  <c r="AG26" i="9" s="1"/>
  <c r="AH8" i="9"/>
  <c r="AG23" i="11"/>
  <c r="AG10" i="20"/>
  <c r="AF23" i="11"/>
  <c r="AF10" i="20"/>
  <c r="AC26" i="11"/>
  <c r="AC13" i="20"/>
  <c r="AD14" i="11"/>
  <c r="AD8" i="20"/>
  <c r="AE23" i="11"/>
  <c r="AE10" i="20"/>
  <c r="AD27" i="11"/>
  <c r="AD28" i="11" s="1"/>
  <c r="AE21" i="11" s="1"/>
  <c r="AH27" i="9" l="1"/>
  <c r="AH28" i="9" s="1"/>
  <c r="AH14" i="9"/>
  <c r="AE8" i="11"/>
  <c r="AD14" i="20"/>
  <c r="AD15" i="11"/>
  <c r="AD13" i="11"/>
  <c r="AH13" i="9" l="1"/>
  <c r="AH26" i="9" s="1"/>
  <c r="AI8" i="9"/>
  <c r="AD26" i="11"/>
  <c r="AD13" i="20"/>
  <c r="AE8" i="20"/>
  <c r="AE14" i="11"/>
  <c r="AF8" i="11" s="1"/>
  <c r="AF8" i="20" s="1"/>
  <c r="AE27" i="11"/>
  <c r="AE28" i="11" s="1"/>
  <c r="AF21" i="11" s="1"/>
  <c r="AI14" i="9" l="1"/>
  <c r="AJ8" i="9"/>
  <c r="AI13" i="9"/>
  <c r="AF14" i="11"/>
  <c r="AF27" i="11"/>
  <c r="AF28" i="11" s="1"/>
  <c r="AG21" i="11" s="1"/>
  <c r="AE14" i="20"/>
  <c r="AE13" i="11"/>
  <c r="AE15" i="11"/>
  <c r="AJ14" i="9" l="1"/>
  <c r="AF14" i="20"/>
  <c r="AG8" i="11"/>
  <c r="AG8" i="20" s="1"/>
  <c r="AF13" i="11"/>
  <c r="AF15" i="11"/>
  <c r="AE26" i="11"/>
  <c r="AE13" i="20"/>
  <c r="AJ13" i="9" l="1"/>
  <c r="AG14" i="11"/>
  <c r="AG27" i="11"/>
  <c r="AG28" i="11" s="1"/>
  <c r="AH21" i="11" s="1"/>
  <c r="AF26" i="11"/>
  <c r="AF13" i="20"/>
  <c r="AG14" i="20" l="1"/>
  <c r="AH8" i="11"/>
  <c r="AG13" i="11"/>
  <c r="AG15" i="11"/>
  <c r="AH27" i="11" l="1"/>
  <c r="AH28" i="11" s="1"/>
  <c r="AI21" i="11" s="1"/>
  <c r="AH8" i="20"/>
  <c r="AH14" i="11"/>
  <c r="AI8" i="11" s="1"/>
  <c r="AG26" i="11"/>
  <c r="AG13" i="20"/>
  <c r="AI27" i="11" l="1"/>
  <c r="AI8" i="20"/>
  <c r="AH14" i="20"/>
  <c r="AH13" i="11"/>
  <c r="AH15" i="11"/>
  <c r="AH26" i="11" l="1"/>
  <c r="AH13" i="20"/>
  <c r="AM11" i="8"/>
  <c r="AM12" i="8" s="1"/>
  <c r="AI12" i="11" s="1"/>
  <c r="AI25" i="11" l="1"/>
  <c r="AI28" i="11" s="1"/>
  <c r="AJ21" i="11" s="1"/>
  <c r="AI12" i="20"/>
  <c r="AI14" i="11"/>
  <c r="AN11" i="8"/>
  <c r="AN12" i="8" s="1"/>
  <c r="AJ12" i="11" s="1"/>
  <c r="AJ25" i="11" l="1"/>
  <c r="AJ12" i="20"/>
  <c r="AI15" i="11"/>
  <c r="AJ8" i="11"/>
  <c r="AI13" i="11"/>
  <c r="AI14" i="20"/>
  <c r="AJ27" i="11" l="1"/>
  <c r="AJ28" i="11" s="1"/>
  <c r="AJ14" i="11"/>
  <c r="AJ8" i="20"/>
  <c r="AI26" i="11"/>
  <c r="AI13" i="20"/>
  <c r="AJ13" i="11" l="1"/>
  <c r="AJ15" i="11"/>
  <c r="AJ14" i="20"/>
  <c r="AJ26" i="11" l="1"/>
  <c r="AJ13" i="20"/>
</calcChain>
</file>

<file path=xl/comments1.xml><?xml version="1.0" encoding="utf-8"?>
<comments xmlns="http://schemas.openxmlformats.org/spreadsheetml/2006/main">
  <authors>
    <author>BPS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BPS:</t>
        </r>
        <r>
          <rPr>
            <sz val="9"/>
            <color indexed="81"/>
            <rFont val="Tahoma"/>
            <family val="2"/>
          </rPr>
          <t xml:space="preserve">
tabel 4.5</t>
        </r>
      </text>
    </comment>
  </commentList>
</comments>
</file>

<file path=xl/comments2.xml><?xml version="1.0" encoding="utf-8"?>
<comments xmlns="http://schemas.openxmlformats.org/spreadsheetml/2006/main">
  <authors>
    <author>BPS</author>
    <author>Wiwik Andriyani</author>
    <author>sandra loga</author>
    <author>Sandra</author>
    <author>Sampurno</author>
    <author xml:space="preserve"> 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BPS:</t>
        </r>
        <r>
          <rPr>
            <sz val="9"/>
            <color indexed="81"/>
            <rFont val="Tahoma"/>
            <family val="2"/>
          </rPr>
          <t xml:space="preserve">
Data hasil estimasi</t>
        </r>
      </text>
    </comment>
    <comment ref="AE7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Tabel 10.i (HPT+HP+HPK)</t>
        </r>
      </text>
    </comment>
    <comment ref="AF7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Tabel 10.j(HPT+HP+HPK)</t>
        </r>
      </text>
    </comment>
    <comment ref="AG7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Tabel 10.j(HPT+HP+HPK)</t>
        </r>
      </text>
    </comment>
    <comment ref="AH7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10.j hpt hp hpk</t>
        </r>
      </text>
    </comment>
    <comment ref="AI7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10.j hpt hp hpk</t>
        </r>
      </text>
    </comment>
    <comment ref="AJ7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10.j hpt hp hpk</t>
        </r>
      </text>
    </comment>
    <comment ref="AF8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Tabel 10.a (HPT) + Tabel 10.c (HP)</t>
        </r>
      </text>
    </comment>
    <comment ref="AG8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Tabel 10.a (HPT) + Tabel 10.c (HP)</t>
        </r>
      </text>
    </comment>
    <comment ref="AH8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10.a hpt + 10c hp</t>
        </r>
      </text>
    </comment>
    <comment ref="AI8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10.a hpt + 10c hp</t>
        </r>
      </text>
    </comment>
    <comment ref="AJ8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10.a hpt + 10c hp</t>
        </r>
      </text>
    </comment>
    <comment ref="AL8" authorId="3" shapeId="0">
      <text>
        <r>
          <rPr>
            <b/>
            <sz val="9"/>
            <color indexed="81"/>
            <rFont val="Tahoma"/>
            <family val="2"/>
          </rPr>
          <t>Sandra:</t>
        </r>
        <r>
          <rPr>
            <sz val="9"/>
            <color indexed="81"/>
            <rFont val="Tahoma"/>
            <family val="2"/>
          </rPr>
          <t xml:space="preserve">
https://statistik.menlhk.go.id/sisklhk/ditjen_phpl</t>
        </r>
      </text>
    </comment>
    <comment ref="AM8" authorId="4" shapeId="0">
      <text>
        <r>
          <rPr>
            <b/>
            <sz val="9"/>
            <color indexed="81"/>
            <rFont val="Tahoma"/>
            <family val="2"/>
          </rPr>
          <t>Sampurno:</t>
        </r>
        <r>
          <rPr>
            <sz val="9"/>
            <color indexed="81"/>
            <rFont val="Tahoma"/>
            <family val="2"/>
          </rPr>
          <t xml:space="preserve">
Diestimasi dengan pertumbuhan Luas Kegiatan Reboisasi dari Publikasi Statistik Lingkungan Hidup Indonesia-BPS.
</t>
        </r>
      </text>
    </comment>
    <comment ref="AC9" authorId="5" shape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Masih berupa usulan</t>
        </r>
      </text>
    </comment>
    <comment ref="AE9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Tabel 10.e Rehabilitasi Lahan</t>
        </r>
      </text>
    </comment>
    <comment ref="AF9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Tabel 10.e Rehabilitasi Lahan Mangrove + Tabel 10.f Rehabilitasi Lahan diluar mangrove (HPT,HP,HPK)</t>
        </r>
      </text>
    </comment>
    <comment ref="AG9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Tabel 10.e Rehabilitasi Lahan Mangrove + Tabel 10.f Rehabilitasi Lahan diluar mangrove (HPT,HP,HPK)</t>
        </r>
      </text>
    </comment>
    <comment ref="AH9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10.e + 10.f hpt hp hpk</t>
        </r>
      </text>
    </comment>
    <comment ref="AI9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10.e + 10.f hpt hp hpk</t>
        </r>
      </text>
    </comment>
    <comment ref="AJ9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10.e + 10.f hpt hp hpk</t>
        </r>
      </text>
    </comment>
    <comment ref="C11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Angkanya beda dg data dari mba pipit (?)</t>
        </r>
      </text>
    </comment>
    <comment ref="AM11" authorId="4" shapeId="0">
      <text>
        <r>
          <rPr>
            <b/>
            <sz val="9"/>
            <color indexed="81"/>
            <rFont val="Tahoma"/>
            <family val="2"/>
          </rPr>
          <t>Sampurno:</t>
        </r>
        <r>
          <rPr>
            <sz val="9"/>
            <color indexed="81"/>
            <rFont val="Tahoma"/>
            <family val="2"/>
          </rPr>
          <t xml:space="preserve">
Diestimasi dengan pertumbuhan produksi kayu bulat dari publikasi Statistik Produksi Kehutanan-BPS.</t>
        </r>
      </text>
    </comment>
    <comment ref="AN11" authorId="4" shapeId="0">
      <text>
        <r>
          <rPr>
            <b/>
            <sz val="9"/>
            <color indexed="81"/>
            <rFont val="Tahoma"/>
            <family val="2"/>
          </rPr>
          <t>Sampurno:</t>
        </r>
        <r>
          <rPr>
            <sz val="9"/>
            <color indexed="81"/>
            <rFont val="Tahoma"/>
            <family val="2"/>
          </rPr>
          <t xml:space="preserve">
Diestimasi dengan pertumbuhan produksi kayu bulat dari publikasi Statistik Produksi Kehutanan-BPS.</t>
        </r>
      </text>
    </comment>
    <comment ref="AA13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shrsnya dikali 1000</t>
        </r>
      </text>
    </comment>
    <comment ref="AE15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Tabel 7 Saldo Akhir Luas Kawasan Hutan (HP)</t>
        </r>
      </text>
    </comment>
    <comment ref="AF15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Tabel 7 Saldo Akhir Luas Kawasan Hutan Produksi (HP)</t>
        </r>
      </text>
    </comment>
    <comment ref="AG15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Tabel 7 Saldo Akhir Luas Kawasan Hutan Produksi (HP)</t>
        </r>
      </text>
    </comment>
    <comment ref="AH15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Tabel 7 Hutan Produksi Tetap (HP)</t>
        </r>
      </text>
    </comment>
    <comment ref="AI15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Tabel 7 Hutan Produksi Tetap (HP)</t>
        </r>
      </text>
    </comment>
    <comment ref="AJ15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Tabel 7 Hutan Produksi Tetap (HP)</t>
        </r>
      </text>
    </comment>
    <comment ref="AK15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statistik LH BPS</t>
        </r>
      </text>
    </comment>
    <comment ref="AL15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NSDH 2022 Gambar 11</t>
        </r>
      </text>
    </comment>
    <comment ref="AF18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Tabel 7 Saldo Akhir Luas Kawasan Hutan Produksi Terbatas (HPT)</t>
        </r>
      </text>
    </comment>
    <comment ref="AG18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Tabel 7 Saldo Akhir Luas Kawasan Hutan Produksi Terbatas (HPT)</t>
        </r>
      </text>
    </comment>
    <comment ref="AH18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NSDH tabel 7 HPT</t>
        </r>
      </text>
    </comment>
    <comment ref="AI18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NSDH tabel 7 HPT</t>
        </r>
      </text>
    </comment>
    <comment ref="AJ18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NSDH tabel 7 HPT</t>
        </r>
      </text>
    </comment>
    <comment ref="AK18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stat LH BPS</t>
        </r>
      </text>
    </comment>
    <comment ref="AL18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NSDH Gambar 11 HPT</t>
        </r>
      </text>
    </comment>
    <comment ref="C19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T.2.1.1 Luas Kawasan Hutan Perum Perhutani (HPT)</t>
        </r>
      </text>
    </comment>
    <comment ref="AF21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Tabel 7 Saldo Akhir Luas Kawasan Hutan Produksi yg dikonversi (HPK)</t>
        </r>
      </text>
    </comment>
    <comment ref="AG21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Tabel 7 Saldo Akhir Luas Kawasan Hutan Produksi yg dikonversi (HPK)</t>
        </r>
      </text>
    </comment>
    <comment ref="AH21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NSDH tabel 7 HPK</t>
        </r>
      </text>
    </comment>
    <comment ref="AI21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NSDH tabel 7 HPK</t>
        </r>
      </text>
    </comment>
    <comment ref="AJ21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NSDH tabel 7 HPK</t>
        </r>
      </text>
    </comment>
    <comment ref="AK21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stat LH BPS</t>
        </r>
      </text>
    </comment>
    <comment ref="AL21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NSDH Gambar 11 HPK</t>
        </r>
      </text>
    </comment>
    <comment ref="AD28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Tabel 5.b Pelepasan Kawasan Hutan utk Transmigrasi
</t>
        </r>
      </text>
    </comment>
    <comment ref="AG28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Tabel 5.b Pelepasan Kawasan Hutan utk Transmigrasi</t>
        </r>
      </text>
    </comment>
    <comment ref="AH28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Statistik Bidang PTKL th 2019 Tabel IV.2</t>
        </r>
      </text>
    </comment>
    <comment ref="AI28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Tabel 5.b Pelepasan Kawasan Hutan utk Transmigrasi
Statistik Bidang PKTL th 2019 Tabel IV.2</t>
        </r>
      </text>
    </comment>
    <comment ref="B29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ini utk perkebunan</t>
        </r>
      </text>
    </comment>
    <comment ref="AD29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pelepasan kawasan hutan utk perkebunan</t>
        </r>
      </text>
    </comment>
    <comment ref="AG29" authorId="1" shapeId="0">
      <text>
        <r>
          <rPr>
            <b/>
            <sz val="9"/>
            <color indexed="81"/>
            <rFont val="Tahoma"/>
            <family val="2"/>
          </rPr>
          <t>Wiwik Andriyani:</t>
        </r>
        <r>
          <rPr>
            <sz val="9"/>
            <color indexed="81"/>
            <rFont val="Tahoma"/>
            <family val="2"/>
          </rPr>
          <t xml:space="preserve">
pelepasan kawasan hutan utk perkebunan</t>
        </r>
      </text>
    </comment>
    <comment ref="AH29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NSDH tabel 5.b pelepasan untuk perkebunan</t>
        </r>
      </text>
    </comment>
    <comment ref="AI29" authorId="2" shapeId="0">
      <text>
        <r>
          <rPr>
            <b/>
            <sz val="9"/>
            <color indexed="81"/>
            <rFont val="Tahoma"/>
            <family val="2"/>
          </rPr>
          <t>sandra loga:</t>
        </r>
        <r>
          <rPr>
            <sz val="9"/>
            <color indexed="81"/>
            <rFont val="Tahoma"/>
            <family val="2"/>
          </rPr>
          <t xml:space="preserve">
NSDH tabel 5.c pelepasan untuk perkebunan</t>
        </r>
      </text>
    </comment>
    <comment ref="AD37" authorId="0" shapeId="0">
      <text>
        <r>
          <rPr>
            <b/>
            <sz val="9"/>
            <color indexed="81"/>
            <rFont val="Tahoma"/>
            <family val="2"/>
          </rPr>
          <t>BPS:</t>
        </r>
        <r>
          <rPr>
            <sz val="9"/>
            <color indexed="81"/>
            <rFont val="Tahoma"/>
            <family val="2"/>
          </rPr>
          <t xml:space="preserve">
revisi</t>
        </r>
      </text>
    </comment>
    <comment ref="AE37" authorId="0" shapeId="0">
      <text>
        <r>
          <rPr>
            <b/>
            <sz val="9"/>
            <color indexed="81"/>
            <rFont val="Tahoma"/>
            <family val="2"/>
          </rPr>
          <t>BPS:</t>
        </r>
        <r>
          <rPr>
            <sz val="9"/>
            <color indexed="81"/>
            <rFont val="Tahoma"/>
            <family val="2"/>
          </rPr>
          <t xml:space="preserve">
revisi</t>
        </r>
      </text>
    </comment>
    <comment ref="AD38" authorId="0" shapeId="0">
      <text>
        <r>
          <rPr>
            <b/>
            <sz val="9"/>
            <color indexed="81"/>
            <rFont val="Tahoma"/>
            <family val="2"/>
          </rPr>
          <t>BPS:</t>
        </r>
        <r>
          <rPr>
            <sz val="9"/>
            <color indexed="81"/>
            <rFont val="Tahoma"/>
            <family val="2"/>
          </rPr>
          <t xml:space="preserve">
revisi</t>
        </r>
      </text>
    </comment>
    <comment ref="AE38" authorId="0" shapeId="0">
      <text>
        <r>
          <rPr>
            <b/>
            <sz val="9"/>
            <color indexed="81"/>
            <rFont val="Tahoma"/>
            <family val="2"/>
          </rPr>
          <t>BPS:</t>
        </r>
        <r>
          <rPr>
            <sz val="9"/>
            <color indexed="81"/>
            <rFont val="Tahoma"/>
            <family val="2"/>
          </rPr>
          <t xml:space="preserve">
Menggunakan proporsi</t>
        </r>
      </text>
    </comment>
    <comment ref="AE41" authorId="0" shapeId="0">
      <text>
        <r>
          <rPr>
            <b/>
            <sz val="9"/>
            <color indexed="81"/>
            <rFont val="Tahoma"/>
            <family val="2"/>
          </rPr>
          <t>BPS:</t>
        </r>
        <r>
          <rPr>
            <sz val="9"/>
            <color indexed="81"/>
            <rFont val="Tahoma"/>
            <family val="2"/>
          </rPr>
          <t xml:space="preserve">
4,002
</t>
        </r>
      </text>
    </comment>
    <comment ref="AF41" authorId="0" shapeId="0">
      <text>
        <r>
          <rPr>
            <b/>
            <sz val="9"/>
            <color indexed="81"/>
            <rFont val="Tahoma"/>
            <family val="2"/>
          </rPr>
          <t>BPS:</t>
        </r>
        <r>
          <rPr>
            <sz val="9"/>
            <color indexed="81"/>
            <rFont val="Tahoma"/>
            <family val="2"/>
          </rPr>
          <t xml:space="preserve">
4,002
</t>
        </r>
      </text>
    </comment>
    <comment ref="AE44" authorId="0" shapeId="0">
      <text>
        <r>
          <rPr>
            <b/>
            <sz val="9"/>
            <color indexed="81"/>
            <rFont val="Tahoma"/>
            <family val="2"/>
          </rPr>
          <t>BPS:</t>
        </r>
        <r>
          <rPr>
            <sz val="9"/>
            <color indexed="81"/>
            <rFont val="Tahoma"/>
            <family val="2"/>
          </rPr>
          <t xml:space="preserve">
33,397</t>
        </r>
      </text>
    </comment>
    <comment ref="AM80" authorId="4" shapeId="0">
      <text>
        <r>
          <rPr>
            <b/>
            <sz val="9"/>
            <color indexed="81"/>
            <rFont val="Tahoma"/>
            <family val="2"/>
          </rPr>
          <t>Sampurno:</t>
        </r>
        <r>
          <rPr>
            <sz val="9"/>
            <color indexed="81"/>
            <rFont val="Tahoma"/>
            <family val="2"/>
          </rPr>
          <t xml:space="preserve">
Data dari publikasi Buku Statistik KemHut</t>
        </r>
      </text>
    </comment>
    <comment ref="AN80" authorId="4" shapeId="0">
      <text>
        <r>
          <rPr>
            <b/>
            <sz val="9"/>
            <color indexed="81"/>
            <rFont val="Tahoma"/>
            <family val="2"/>
          </rPr>
          <t>Sampurno:</t>
        </r>
        <r>
          <rPr>
            <sz val="9"/>
            <color indexed="81"/>
            <rFont val="Tahoma"/>
            <family val="2"/>
          </rPr>
          <t xml:space="preserve">
Data dari publikasi Buku Statistik KemHut</t>
        </r>
      </text>
    </comment>
    <comment ref="AM81" authorId="4" shapeId="0">
      <text>
        <r>
          <rPr>
            <b/>
            <sz val="9"/>
            <color indexed="81"/>
            <rFont val="Tahoma"/>
            <family val="2"/>
          </rPr>
          <t>Sampurno:</t>
        </r>
        <r>
          <rPr>
            <sz val="9"/>
            <color indexed="81"/>
            <rFont val="Tahoma"/>
            <family val="2"/>
          </rPr>
          <t xml:space="preserve">
Data dari publikasi Buku Statistik KemHut</t>
        </r>
      </text>
    </comment>
    <comment ref="AN81" authorId="4" shapeId="0">
      <text>
        <r>
          <rPr>
            <b/>
            <sz val="9"/>
            <color indexed="81"/>
            <rFont val="Tahoma"/>
            <family val="2"/>
          </rPr>
          <t>Sampurno:</t>
        </r>
        <r>
          <rPr>
            <sz val="9"/>
            <color indexed="81"/>
            <rFont val="Tahoma"/>
            <family val="2"/>
          </rPr>
          <t xml:space="preserve">
Data dari publikasi Buku Statistik KemHut</t>
        </r>
      </text>
    </comment>
  </commentList>
</comments>
</file>

<file path=xl/comments3.xml><?xml version="1.0" encoding="utf-8"?>
<comments xmlns="http://schemas.openxmlformats.org/spreadsheetml/2006/main">
  <authors>
    <author>kadarusman</author>
  </authors>
  <commentList>
    <comment ref="T33" authorId="0" shapeId="0">
      <text>
        <r>
          <rPr>
            <b/>
            <sz val="8"/>
            <color indexed="81"/>
            <rFont val="Tahoma"/>
            <family val="2"/>
          </rPr>
          <t>Budi Ayu:</t>
        </r>
        <r>
          <rPr>
            <sz val="8"/>
            <color indexed="81"/>
            <rFont val="Tahoma"/>
            <family val="2"/>
          </rPr>
          <t xml:space="preserve">
Unit Rent kayu jati Jawa 2010 mengalami penurunan akibat Biaya Eksploitasi di 2010 meningkat tajam, sehingga Laba Usaha 2010 menurun jika dibandingkan tahun 2009.</t>
        </r>
      </text>
    </comment>
    <comment ref="U33" authorId="0" shapeId="0">
      <text>
        <r>
          <rPr>
            <b/>
            <sz val="8"/>
            <color indexed="81"/>
            <rFont val="Tahoma"/>
            <family val="2"/>
          </rPr>
          <t>Budi Ayu:</t>
        </r>
        <r>
          <rPr>
            <sz val="8"/>
            <color indexed="81"/>
            <rFont val="Tahoma"/>
            <family val="2"/>
          </rPr>
          <t xml:space="preserve">
Unit Rent kayu jati Jawa 2010 mengalami penurunan akibat Biaya Eksploitasi di 2010 meningkat tajam, sehingga Laba Usaha 2010 menurun jika dibandingkan tahun 2009.</t>
        </r>
      </text>
    </comment>
    <comment ref="V33" authorId="0" shapeId="0">
      <text>
        <r>
          <rPr>
            <b/>
            <sz val="8"/>
            <color indexed="81"/>
            <rFont val="Tahoma"/>
            <family val="2"/>
          </rPr>
          <t>Budi Ayu:</t>
        </r>
        <r>
          <rPr>
            <sz val="8"/>
            <color indexed="81"/>
            <rFont val="Tahoma"/>
            <family val="2"/>
          </rPr>
          <t xml:space="preserve">
Unit Rent kayu jati Jawa 2010 mengalami penurunan akibat Biaya Eksploitasi di 2010 meningkat tajam, sehingga Laba Usaha 2010 menurun jika dibandingkan tahun 2009.</t>
        </r>
      </text>
    </comment>
    <comment ref="W33" authorId="0" shapeId="0">
      <text>
        <r>
          <rPr>
            <b/>
            <sz val="8"/>
            <color indexed="81"/>
            <rFont val="Tahoma"/>
            <family val="2"/>
          </rPr>
          <t>Budi Ayu:</t>
        </r>
        <r>
          <rPr>
            <sz val="8"/>
            <color indexed="81"/>
            <rFont val="Tahoma"/>
            <family val="2"/>
          </rPr>
          <t xml:space="preserve">
Unit Rent kayu jati Jawa 2010 mengalami penurunan akibat Biaya Eksploitasi di 2010 meningkat tajam, sehingga Laba Usaha 2010 menurun jika dibandingkan tahun 2009.</t>
        </r>
      </text>
    </comment>
  </commentList>
</comments>
</file>

<file path=xl/comments4.xml><?xml version="1.0" encoding="utf-8"?>
<comments xmlns="http://schemas.openxmlformats.org/spreadsheetml/2006/main">
  <authors>
    <author>BPS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BPS:</t>
        </r>
        <r>
          <rPr>
            <sz val="9"/>
            <color indexed="81"/>
            <rFont val="Tahoma"/>
            <family val="2"/>
          </rPr>
          <t xml:space="preserve">
Tabel 4.2
</t>
        </r>
      </text>
    </comment>
  </commentList>
</comments>
</file>

<file path=xl/comments5.xml><?xml version="1.0" encoding="utf-8"?>
<comments xmlns="http://schemas.openxmlformats.org/spreadsheetml/2006/main">
  <authors>
    <author>BPS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BPS:</t>
        </r>
        <r>
          <rPr>
            <sz val="9"/>
            <color indexed="81"/>
            <rFont val="Tahoma"/>
            <family val="2"/>
          </rPr>
          <t xml:space="preserve">
tabel 4.3</t>
        </r>
      </text>
    </comment>
  </commentList>
</comments>
</file>

<file path=xl/comments6.xml><?xml version="1.0" encoding="utf-8"?>
<comments xmlns="http://schemas.openxmlformats.org/spreadsheetml/2006/main">
  <authors>
    <author>BPS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BPS:</t>
        </r>
        <r>
          <rPr>
            <sz val="9"/>
            <color indexed="81"/>
            <rFont val="Tahoma"/>
            <family val="2"/>
          </rPr>
          <t xml:space="preserve">
tabel 4.4</t>
        </r>
      </text>
    </comment>
  </commentList>
</comments>
</file>

<file path=xl/comments7.xml><?xml version="1.0" encoding="utf-8"?>
<comments xmlns="http://schemas.openxmlformats.org/spreadsheetml/2006/main">
  <authors>
    <author>BPS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BPS:</t>
        </r>
        <r>
          <rPr>
            <sz val="9"/>
            <color indexed="81"/>
            <rFont val="Tahoma"/>
            <family val="2"/>
          </rPr>
          <t xml:space="preserve">
tabel 4.4</t>
        </r>
      </text>
    </comment>
  </commentList>
</comments>
</file>

<file path=xl/sharedStrings.xml><?xml version="1.0" encoding="utf-8"?>
<sst xmlns="http://schemas.openxmlformats.org/spreadsheetml/2006/main" count="1063" uniqueCount="453">
  <si>
    <t>Perincian</t>
  </si>
  <si>
    <t>I. Neraca Fisik (000 m3)</t>
  </si>
  <si>
    <t>1. Persediaan awal</t>
  </si>
  <si>
    <t>2. Pertumbuhan</t>
  </si>
  <si>
    <t>3. Penanaman</t>
  </si>
  <si>
    <t>5. Penebangan</t>
  </si>
  <si>
    <t>II. Unit Rent</t>
  </si>
  <si>
    <t>III. Neraca Moneter</t>
  </si>
  <si>
    <t xml:space="preserve">      (miliar Rp)</t>
  </si>
  <si>
    <t xml:space="preserve"> </t>
  </si>
  <si>
    <t>7. Persediaan akhir</t>
  </si>
  <si>
    <t>Neraca Fisik dan Moneter Kayu Bulat Rimba Jawa</t>
  </si>
  <si>
    <t>Neraca Fisik dan Moneter Kayu Jati Jawa</t>
  </si>
  <si>
    <t>4. Konversi &amp; kerusakan</t>
  </si>
  <si>
    <t>Rincian</t>
  </si>
  <si>
    <t>1990</t>
  </si>
  <si>
    <t>1991</t>
  </si>
  <si>
    <t>1992</t>
  </si>
  <si>
    <t>1993</t>
  </si>
  <si>
    <t>1994</t>
  </si>
  <si>
    <t>1995</t>
  </si>
  <si>
    <t>a. Nilai Produksi (juta Rp)</t>
  </si>
  <si>
    <t xml:space="preserve">    Penjualan Dlm Negeri</t>
  </si>
  <si>
    <t xml:space="preserve">    Selisih Persediaan</t>
  </si>
  <si>
    <t>b. Beban Usaha (juta Rp)</t>
  </si>
  <si>
    <t xml:space="preserve">    Biaya Umum (*c)</t>
  </si>
  <si>
    <t xml:space="preserve">    Biaya Pemeliharaan</t>
  </si>
  <si>
    <t xml:space="preserve">    Biaya Eksploitasi</t>
  </si>
  <si>
    <t xml:space="preserve">    Biaya Pemasaran (*c)</t>
  </si>
  <si>
    <t xml:space="preserve">    Biaya Penyusutan (*c)</t>
  </si>
  <si>
    <t>c. Laba Usaha (Juta Rp)</t>
  </si>
  <si>
    <t xml:space="preserve">   N.Aktiva Tetap (juta Rp)</t>
  </si>
  <si>
    <t xml:space="preserve">   Laba* stlh Pajak (jt Rp)</t>
  </si>
  <si>
    <t xml:space="preserve">   Total Aktiva (juta Rp)</t>
  </si>
  <si>
    <t xml:space="preserve">   R O I  </t>
  </si>
  <si>
    <t xml:space="preserve">   N.Akt TetapxROI (jt Rp)</t>
  </si>
  <si>
    <t xml:space="preserve">    Total Prod. Ky. (000m3)</t>
  </si>
  <si>
    <t xml:space="preserve">    Harga Kayu Perhutani</t>
  </si>
  <si>
    <t xml:space="preserve">    Rasio Harga (UR/P.tani)   </t>
  </si>
  <si>
    <t>f   Harga Kayu Jati (PDB)</t>
  </si>
  <si>
    <t>g  Hrg.Kayu "Rimba" PDB</t>
  </si>
  <si>
    <t>Tabel E1. Perhitungan Harga Unit Rent Kayu Rimba Di Luar Jawa</t>
  </si>
  <si>
    <t xml:space="preserve">              (Data Suatu Perusahaan HPH di Kalimantan, Tahun 1992)</t>
  </si>
  <si>
    <t>Satuan</t>
  </si>
  <si>
    <t>a. Nilai Penjualan Kayu</t>
  </si>
  <si>
    <t>Juta Rp</t>
  </si>
  <si>
    <t xml:space="preserve">   Produksi Log</t>
  </si>
  <si>
    <t>m3</t>
  </si>
  <si>
    <t xml:space="preserve">   Harga Log</t>
  </si>
  <si>
    <t>Rp/m3</t>
  </si>
  <si>
    <t>b. Laba Usaha*)</t>
  </si>
  <si>
    <t>juta Rp</t>
  </si>
  <si>
    <t xml:space="preserve">    Nilai Aktiva Tetap</t>
  </si>
  <si>
    <t xml:space="preserve">    Laba setelah Pajak</t>
  </si>
  <si>
    <t xml:space="preserve">    Total Aktiva</t>
  </si>
  <si>
    <t xml:space="preserve">    Return On Investment</t>
  </si>
  <si>
    <t>%</t>
  </si>
  <si>
    <t xml:space="preserve">    Nilai Aktiva Tetap x ROI</t>
  </si>
  <si>
    <t>c. Economic Rent Kayu Rimba</t>
  </si>
  <si>
    <t>d. Unit Rent Kayu Rimba</t>
  </si>
  <si>
    <t>Catatan: *) Laba Usaha: Hasil Pengurangan Nilai penjualan terhadap Biaya</t>
  </si>
  <si>
    <t xml:space="preserve">                (produksi + penjualan + umum + finansial + penyusutan).</t>
  </si>
  <si>
    <t xml:space="preserve">            **) Karena Keterbatasan data, maka rasio unit rent diatas digunakan</t>
  </si>
  <si>
    <t xml:space="preserve">                Sebagai alokator untuk series harga kayu rimba PDB lainnya.</t>
  </si>
  <si>
    <t>Sumber Data Neraca Fisik</t>
  </si>
  <si>
    <t xml:space="preserve">Persediaan awal </t>
  </si>
  <si>
    <t>Publikasi Stat Sumber Daya Hutan oleh Ditjen INTAG kerjasama FAO, PBB 1996 penelitian tahun 1989-1991</t>
  </si>
  <si>
    <t>Pertumbuhan</t>
  </si>
  <si>
    <t>Rata-rata kemampuan riap pohon perha (1 m3/ha/tahun) * luas hutan yang mengalami pertumbuhan setelah penebangan (selain hutan virgin)</t>
  </si>
  <si>
    <t>dari Pihak Litbang dan Publikasi Stat Sumber Daya Hutan (mengalami penyesuaian sejalan dg persediaan awal kayu log tahun bersangkutan)</t>
  </si>
  <si>
    <t>Penanaman</t>
  </si>
  <si>
    <t>Konversi &amp; kerusakan</t>
  </si>
  <si>
    <t>Rekapitulasi kerusakan dan kerugian hutan pertahun, dimana kerusakan mengakibatkan susutnya luas hutan akibat pencurian,kebakaran dsb</t>
  </si>
  <si>
    <t>Penebangan</t>
  </si>
  <si>
    <t xml:space="preserve">Produksi kayu untuk PDB biasanya lebih tinggi dari Dephut karena pertimbangan pemakaian kayu di bangunan dan bahan baku </t>
  </si>
  <si>
    <t>kayu log di industri pengolahan kayu</t>
  </si>
  <si>
    <t>Rata-rata riap pertahun  kayu rimba usia muda * luas penanaman reboisasi</t>
  </si>
  <si>
    <t>Volume kerusakan kayu Perhutani asumsi kayu rimba tidak sebesar kayu jati.</t>
  </si>
  <si>
    <t>Produksi dari publikasi Perhutani.</t>
  </si>
  <si>
    <t>Volume tanaman rata-rata kelas umur 10 tahun * luas hutan produksi</t>
  </si>
  <si>
    <t>sebaran luas hutan produksi jati kelompok umur * potensi kayu masing-masing pohon.</t>
  </si>
  <si>
    <t>Perkiraan riap pohon jati per tahun *perkiraan luas hutan jati</t>
  </si>
  <si>
    <t>4,3 m3/ha</t>
  </si>
  <si>
    <t xml:space="preserve">Perkiraan rata-rata riap pertahun jati muda *perkiraan luas area penanaman reboisasi </t>
  </si>
  <si>
    <t>Angka kerusakan kayu jati dari informasi Perhutani</t>
  </si>
  <si>
    <t>Produksi kayu jati dari PDB</t>
  </si>
  <si>
    <t>Tahun</t>
  </si>
  <si>
    <t>Luas hutan yang tumbuh setelah penebangan</t>
  </si>
  <si>
    <t>Sumber Data</t>
  </si>
  <si>
    <t>Litbang</t>
  </si>
  <si>
    <t>Pub. Stat SDH</t>
  </si>
  <si>
    <t>Rata-rata riap per pohon (1m3/ha/tahun)</t>
  </si>
  <si>
    <t xml:space="preserve">Kemampuan riap per tahun </t>
  </si>
  <si>
    <t>Luas area reboisasi, HTI,</t>
  </si>
  <si>
    <t>Volume rata-rata umur 10 tahun</t>
  </si>
  <si>
    <t>Luas hutan produksi</t>
  </si>
  <si>
    <t>Kemampuan riap per tahun rimba usia muda</t>
  </si>
  <si>
    <t xml:space="preserve">Kemampuan riap per tahun jati muda </t>
  </si>
  <si>
    <t>Uraian</t>
  </si>
  <si>
    <t>6. Perubahan Neto</t>
  </si>
  <si>
    <t>7. Revaluasi</t>
  </si>
  <si>
    <t>8. Persediaan akhir</t>
  </si>
  <si>
    <t xml:space="preserve">    Penjualan (DN + LN)</t>
  </si>
  <si>
    <t>Neraca Fisik dan Moneter Kayu Jati Jawa Konstan</t>
  </si>
  <si>
    <t>Neraca Fisik dan Moneter Kayu Bulat Rimba Luar Jawa Konstan</t>
  </si>
  <si>
    <t>Neraca Fisik dan Moneter Kayu Bulat Rimba Jawa Konstan</t>
  </si>
  <si>
    <t>Neraca Fisik dan Moneter Sumber Daya Hutan Indonesia Konstan</t>
  </si>
  <si>
    <t>laba setelah pajak/total aktiva</t>
  </si>
  <si>
    <t>nilai aktiva tetap* ROI</t>
  </si>
  <si>
    <t>Proporsi penjualan DN/Total penjual8 biaya pemasaran</t>
  </si>
  <si>
    <t>Nilai produksi-beban usaha</t>
  </si>
  <si>
    <t>laba usaha-(nilai aktiva tetap*ROI)</t>
  </si>
  <si>
    <t>Kayu jati + rimba</t>
  </si>
  <si>
    <t>Ekonomic rent/total produksi</t>
  </si>
  <si>
    <t>Nilai produksi/total produksi</t>
  </si>
  <si>
    <t>Unit rent/harga kayu perhutani</t>
  </si>
  <si>
    <t>harga PDB</t>
  </si>
  <si>
    <t>Rasio harga *harga kayu jati PDB</t>
  </si>
  <si>
    <t>Harga</t>
  </si>
  <si>
    <t>Kayu Rimba Luar Jawa</t>
  </si>
  <si>
    <t>Kayu Jati Jawa</t>
  </si>
  <si>
    <t>Kayu Bulat Rimba Jawa</t>
  </si>
  <si>
    <t>Sumber Daya Hutan Indonesia</t>
  </si>
  <si>
    <t xml:space="preserve">Neraca Fisik dan Moneter </t>
  </si>
  <si>
    <t>Harga Jati Perhutani</t>
  </si>
  <si>
    <t>Data Penunjang Penghitungan</t>
  </si>
  <si>
    <t>Sisnerling Hutan</t>
  </si>
  <si>
    <t>No.</t>
  </si>
  <si>
    <t xml:space="preserve"> Luas Kebakaran Hutan Indonesia</t>
  </si>
  <si>
    <t>Ha</t>
  </si>
  <si>
    <t xml:space="preserve"> Realisasi Reboisasi (Penanaman) Indonesia</t>
  </si>
  <si>
    <t xml:space="preserve"> Penanaman Hutan Kemasyarakatan Indonesia</t>
  </si>
  <si>
    <t xml:space="preserve"> Produksi Kayu Bulat Indonesia</t>
  </si>
  <si>
    <t xml:space="preserve"> Nasional</t>
  </si>
  <si>
    <t xml:space="preserve"> Luas Hutan Produksi (HP) Jati</t>
  </si>
  <si>
    <t xml:space="preserve"> Luas Hutan Produksi (HP) Rimba</t>
  </si>
  <si>
    <t xml:space="preserve"> Luas Reboisasi:</t>
  </si>
  <si>
    <t xml:space="preserve"> a. Jati</t>
  </si>
  <si>
    <t xml:space="preserve"> b. Rimba</t>
  </si>
  <si>
    <t xml:space="preserve"> Luas Reboisasi Rutin:</t>
  </si>
  <si>
    <t xml:space="preserve"> Luas Reboisasi Pembangunan:</t>
  </si>
  <si>
    <t xml:space="preserve"> 2. Pertumbuhan</t>
  </si>
  <si>
    <t xml:space="preserve"> 3. Penanaman</t>
  </si>
  <si>
    <t xml:space="preserve"> 5. Penebangan</t>
  </si>
  <si>
    <t xml:space="preserve"> 6. Perubahan Neto</t>
  </si>
  <si>
    <t xml:space="preserve"> II. Unit Rent</t>
  </si>
  <si>
    <t xml:space="preserve"> III. Neraca Moneter</t>
  </si>
  <si>
    <t xml:space="preserve">     (Miliar Rp)</t>
  </si>
  <si>
    <t xml:space="preserve"> 7. Revaluasi</t>
  </si>
  <si>
    <t xml:space="preserve"> 4. Konversi &amp; Kerusakan</t>
  </si>
  <si>
    <t xml:space="preserve"> 1. Persediaan Awal</t>
  </si>
  <si>
    <t xml:space="preserve"> 8. Persediaan Akhir</t>
  </si>
  <si>
    <t xml:space="preserve"> 7. Persediaan Akhir</t>
  </si>
  <si>
    <t xml:space="preserve"> Hasil Penjualan Kayu Bulat Dalam Negeri:</t>
  </si>
  <si>
    <t>000 Rp</t>
  </si>
  <si>
    <t xml:space="preserve"> Volume Penjualan Kayu Bulat Dalam Negeri:</t>
  </si>
  <si>
    <t xml:space="preserve"> Harga Rata-rata Kayu Bulat:</t>
  </si>
  <si>
    <t xml:space="preserve">Harga Jati PDB (Rp) </t>
  </si>
  <si>
    <t>Nilai Kerusakan (000 Rp)</t>
  </si>
  <si>
    <t>Estimasi Kayu Jati (M3)</t>
  </si>
  <si>
    <t xml:space="preserve"> Perubahan Luas Hutan Produksi Jati</t>
  </si>
  <si>
    <t xml:space="preserve"> Perubahan Luas Hutan Produksi Rimba</t>
  </si>
  <si>
    <t>Rata-rata</t>
  </si>
  <si>
    <t>Nilai Kebakaran Hutan (000 Rp)</t>
  </si>
  <si>
    <t>Konversi Hutan (000 Rp)</t>
  </si>
  <si>
    <t>Harga Kayu Rimba PDB (Rp)</t>
  </si>
  <si>
    <t xml:space="preserve"> Luas Hutan Produksi Luar Jawa:</t>
  </si>
  <si>
    <t xml:space="preserve"> - Indonesia</t>
  </si>
  <si>
    <t xml:space="preserve"> - Jawa</t>
  </si>
  <si>
    <t xml:space="preserve"> Luas Hutan Produksi Terbatas Luar Jawa:</t>
  </si>
  <si>
    <t xml:space="preserve"> Luas Hutan Produksi Seluruhnya Luar Jawa:</t>
  </si>
  <si>
    <t xml:space="preserve"> Luas Konversi Hutan untuk Transmigrasi</t>
  </si>
  <si>
    <t xml:space="preserve"> Luas Konversi Hutan untuk Budidaya Non Hutan</t>
  </si>
  <si>
    <t xml:space="preserve"> Luas Konversi Hutan untuk Non Hutan</t>
  </si>
  <si>
    <t xml:space="preserve"> Luas Hutan (Pinjam Pakai) untuk Pemb. Non Hutan</t>
  </si>
  <si>
    <t>Rata-rata kemampuan riap pohon per-ha (1 m3/ha/tahun) * luas area hutan reboasasi, HTI bekas penebangan HPH, penghijauan.</t>
  </si>
  <si>
    <t>Rata-rata kemampuan riap pohon per-ha (1 m3/ha/tahun) * luas hutan yang mengalami pertumbuhan setelah penebangan (selain hutan virgin)</t>
  </si>
  <si>
    <t xml:space="preserve"> Luas Reboisasi + Penanaman</t>
  </si>
  <si>
    <t xml:space="preserve"> Luas Hutan yang Rusak</t>
  </si>
  <si>
    <t>Neraca Fisik dan Moneter</t>
  </si>
  <si>
    <r>
      <t xml:space="preserve"> M</t>
    </r>
    <r>
      <rPr>
        <vertAlign val="superscript"/>
        <sz val="10"/>
        <rFont val="Book Antiqua"/>
        <family val="1"/>
      </rPr>
      <t>3</t>
    </r>
  </si>
  <si>
    <r>
      <t>T</t>
    </r>
    <r>
      <rPr>
        <b/>
        <sz val="10"/>
        <rFont val="Book Antiqua"/>
        <family val="1"/>
      </rPr>
      <t>abel E2. Perhitungan Harga Unit Rent Kayu Perhutani (Jati &amp; Rimba) di Jawa</t>
    </r>
  </si>
  <si>
    <r>
      <t xml:space="preserve">d. </t>
    </r>
    <r>
      <rPr>
        <b/>
        <sz val="10"/>
        <rFont val="Book Antiqua"/>
        <family val="1"/>
      </rPr>
      <t>Economic Rent</t>
    </r>
    <r>
      <rPr>
        <sz val="10"/>
        <rFont val="Book Antiqua"/>
        <family val="1"/>
      </rPr>
      <t xml:space="preserve"> (jt Rp)</t>
    </r>
  </si>
  <si>
    <r>
      <t xml:space="preserve">e. </t>
    </r>
    <r>
      <rPr>
        <b/>
        <sz val="10"/>
        <rFont val="Book Antiqua"/>
        <family val="1"/>
      </rPr>
      <t>Unit Rent P.tani</t>
    </r>
    <r>
      <rPr>
        <sz val="10"/>
        <rFont val="Book Antiqua"/>
        <family val="1"/>
      </rPr>
      <t>(Rp/m3)</t>
    </r>
  </si>
  <si>
    <r>
      <t xml:space="preserve">g. </t>
    </r>
    <r>
      <rPr>
        <b/>
        <sz val="10"/>
        <rFont val="Book Antiqua"/>
        <family val="1"/>
      </rPr>
      <t>Unit Rent Jati</t>
    </r>
    <r>
      <rPr>
        <sz val="10"/>
        <rFont val="Book Antiqua"/>
        <family val="1"/>
      </rPr>
      <t xml:space="preserve"> (Rp/m3)</t>
    </r>
  </si>
  <si>
    <r>
      <t xml:space="preserve">e. </t>
    </r>
    <r>
      <rPr>
        <b/>
        <sz val="10"/>
        <rFont val="Book Antiqua"/>
        <family val="1"/>
      </rPr>
      <t>Rasio Harga (Unit rent/hrg log)**</t>
    </r>
  </si>
  <si>
    <r>
      <t xml:space="preserve">g. </t>
    </r>
    <r>
      <rPr>
        <b/>
        <sz val="10"/>
        <rFont val="Book Antiqua"/>
        <family val="1"/>
      </rPr>
      <t>Unit Rent Kayu log Rimba (PDB'92)</t>
    </r>
  </si>
  <si>
    <r>
      <t>I. Neraca Fisik (000 M</t>
    </r>
    <r>
      <rPr>
        <vertAlign val="superscript"/>
        <sz val="10"/>
        <rFont val="Book Antiqua"/>
        <family val="1"/>
      </rPr>
      <t>3</t>
    </r>
    <r>
      <rPr>
        <sz val="10"/>
        <rFont val="Book Antiqua"/>
        <family val="1"/>
      </rPr>
      <t>)</t>
    </r>
  </si>
  <si>
    <r>
      <t>Kayu yang dikonversi (M</t>
    </r>
    <r>
      <rPr>
        <vertAlign val="superscript"/>
        <sz val="10"/>
        <rFont val="Book Antiqua"/>
        <family val="1"/>
      </rPr>
      <t>3</t>
    </r>
    <r>
      <rPr>
        <sz val="10"/>
        <rFont val="Book Antiqua"/>
        <family val="1"/>
      </rPr>
      <t>)</t>
    </r>
  </si>
  <si>
    <r>
      <t xml:space="preserve"> I. Neraca Fisik (000 M</t>
    </r>
    <r>
      <rPr>
        <vertAlign val="superscript"/>
        <sz val="10"/>
        <rFont val="Book Antiqua"/>
        <family val="1"/>
      </rPr>
      <t>3</t>
    </r>
    <r>
      <rPr>
        <sz val="10"/>
        <rFont val="Book Antiqua"/>
        <family val="1"/>
      </rPr>
      <t>)</t>
    </r>
  </si>
  <si>
    <r>
      <t xml:space="preserve"> I.  Neraca Fisik (000 M</t>
    </r>
    <r>
      <rPr>
        <vertAlign val="superscript"/>
        <sz val="10"/>
        <rFont val="Book Antiqua"/>
        <family val="1"/>
      </rPr>
      <t>3</t>
    </r>
    <r>
      <rPr>
        <sz val="10"/>
        <rFont val="Book Antiqua"/>
        <family val="1"/>
      </rPr>
      <t>)</t>
    </r>
  </si>
  <si>
    <t xml:space="preserve"> Penanaman Hutan Rakyat/Kebun Rakyat</t>
  </si>
  <si>
    <t xml:space="preserve"> Penanaman/Rehabilitasi Tanaman Bakau</t>
  </si>
  <si>
    <t xml:space="preserve"> - Luar Jawa</t>
  </si>
  <si>
    <t xml:space="preserve"> Realisasi Penanaman HTI</t>
  </si>
  <si>
    <r>
      <t>T</t>
    </r>
    <r>
      <rPr>
        <b/>
        <sz val="9"/>
        <rFont val="Arial"/>
        <family val="2"/>
      </rPr>
      <t>abel E2. Perhitungan Harga Unit Rent Kayu Perhutani (Jati &amp; Rimba) di Jawa</t>
    </r>
  </si>
  <si>
    <r>
      <t xml:space="preserve">d. </t>
    </r>
    <r>
      <rPr>
        <b/>
        <sz val="9"/>
        <rFont val="Arial"/>
        <family val="2"/>
      </rPr>
      <t>Economic Rent</t>
    </r>
    <r>
      <rPr>
        <sz val="9"/>
        <rFont val="Arial"/>
        <family val="2"/>
      </rPr>
      <t xml:space="preserve"> (jt Rp)</t>
    </r>
  </si>
  <si>
    <r>
      <t xml:space="preserve">e. </t>
    </r>
    <r>
      <rPr>
        <b/>
        <sz val="9"/>
        <rFont val="Arial"/>
        <family val="2"/>
      </rPr>
      <t>Unit Rent P.tani</t>
    </r>
    <r>
      <rPr>
        <sz val="9"/>
        <rFont val="Arial"/>
        <family val="2"/>
      </rPr>
      <t>(Rp/m3)</t>
    </r>
  </si>
  <si>
    <r>
      <t xml:space="preserve">h. </t>
    </r>
    <r>
      <rPr>
        <b/>
        <sz val="9"/>
        <rFont val="Arial"/>
        <family val="2"/>
      </rPr>
      <t>Unit Rent Jati</t>
    </r>
    <r>
      <rPr>
        <sz val="9"/>
        <rFont val="Arial"/>
        <family val="2"/>
      </rPr>
      <t xml:space="preserve"> (Rp/m3)</t>
    </r>
  </si>
  <si>
    <r>
      <t xml:space="preserve">i. </t>
    </r>
    <r>
      <rPr>
        <b/>
        <sz val="9"/>
        <rFont val="Arial"/>
        <family val="2"/>
      </rPr>
      <t>Unit Rent "Rimba Jawa"</t>
    </r>
  </si>
  <si>
    <t>Potensi tegakan hutan rata-rata secara nasional</t>
  </si>
  <si>
    <t>Angka Lama</t>
  </si>
  <si>
    <t>Kerugian Gangguan Keamanan Hutan</t>
  </si>
  <si>
    <t>Pencuri pohon</t>
  </si>
  <si>
    <t>Bibrikan</t>
  </si>
  <si>
    <t>Perusakan hutan</t>
  </si>
  <si>
    <t>Penggembalaan</t>
  </si>
  <si>
    <t>Kebakaran</t>
  </si>
  <si>
    <t>Bencana alam</t>
  </si>
  <si>
    <t>Total 2008</t>
  </si>
  <si>
    <t>Total 2007</t>
  </si>
  <si>
    <t>Persentase pertumbuhan</t>
  </si>
  <si>
    <t>Laju Pertumbuhan</t>
  </si>
  <si>
    <t>Total 2009</t>
  </si>
  <si>
    <t>Produksi</t>
  </si>
  <si>
    <t>Pendapatan</t>
  </si>
  <si>
    <t>total 2010</t>
  </si>
  <si>
    <t xml:space="preserve">di estimasi data belum dapat </t>
  </si>
  <si>
    <t>dari mana ?</t>
  </si>
  <si>
    <t>= jumlah (6)+(7)+(8)</t>
  </si>
  <si>
    <t>Pertumbuhan Unit Rent</t>
  </si>
  <si>
    <t>f. Harga Ky. Log Rimba (LK PDB)</t>
  </si>
  <si>
    <t>" aktiva t - aktiva (t-1)</t>
  </si>
  <si>
    <t>tdk ada datanya di lap. Keuangan</t>
  </si>
  <si>
    <t>" penjualan DN / Total penjualan x biaya pemasaran total</t>
  </si>
  <si>
    <t>" penjualan DN / Total penjualan x biaya umum total</t>
  </si>
  <si>
    <t>" niai produksi - beban usaha</t>
  </si>
  <si>
    <t>" laba / total aktiva</t>
  </si>
  <si>
    <t>" laba usaha -  penyusutan</t>
  </si>
  <si>
    <t>" economic rent / total prod</t>
  </si>
  <si>
    <t>" nilai produksi / total produksi</t>
  </si>
  <si>
    <t>" unit rent / harga</t>
  </si>
  <si>
    <t>" rasio harga x harga jati</t>
  </si>
  <si>
    <t>" rasio harga x harga rimba</t>
  </si>
  <si>
    <t>" penyusutan kapital</t>
  </si>
  <si>
    <t xml:space="preserve">    Penjualan (DN + LN) (juta Rp)</t>
  </si>
  <si>
    <t>lamp 39</t>
  </si>
  <si>
    <t>lamp 5</t>
  </si>
  <si>
    <t>lamp 6</t>
  </si>
  <si>
    <t>lamp 7</t>
  </si>
  <si>
    <t>lamp 8</t>
  </si>
  <si>
    <t>lamp 9</t>
  </si>
  <si>
    <t>lamp 10</t>
  </si>
  <si>
    <t>lamp 11</t>
  </si>
  <si>
    <t>lamp 12</t>
  </si>
  <si>
    <t>lamp 13</t>
  </si>
  <si>
    <t>lamp 37</t>
  </si>
  <si>
    <t>lamp 35 hutan alam</t>
  </si>
  <si>
    <t>Stok awal hutan dan lahan berhutan lain</t>
  </si>
  <si>
    <t>Penambahan stok</t>
  </si>
  <si>
    <t>Afforestasi</t>
  </si>
  <si>
    <t>Ekspansi alam</t>
  </si>
  <si>
    <t>Total penambahan stok</t>
  </si>
  <si>
    <t>Pengurangan stok</t>
  </si>
  <si>
    <t>Deforestasi</t>
  </si>
  <si>
    <t>Regresi alam</t>
  </si>
  <si>
    <t>Total pengurangan stok</t>
  </si>
  <si>
    <t>Stok akhir hutan dan lahan berhutan lain</t>
  </si>
  <si>
    <t>JATI JAWA</t>
  </si>
  <si>
    <t xml:space="preserve"> NERACA ASET FISIK UNTUK HUTAN DAN LAHAN BERHUTAN LAINNYA (HEKTAR)</t>
  </si>
  <si>
    <t>RIMBA JAWA</t>
  </si>
  <si>
    <t>RIMBA LUAR JAWA</t>
  </si>
  <si>
    <t>DATANYA BOLONG2</t>
  </si>
  <si>
    <t>HP</t>
  </si>
  <si>
    <t>DKI Jakarta</t>
  </si>
  <si>
    <t>Jabar</t>
  </si>
  <si>
    <t>Banten</t>
  </si>
  <si>
    <t>Jateng</t>
  </si>
  <si>
    <t>DIY</t>
  </si>
  <si>
    <t>Jatim</t>
  </si>
  <si>
    <t>HPT</t>
  </si>
  <si>
    <t>JAWA</t>
  </si>
  <si>
    <t>Tahun 1993 - 2013</t>
  </si>
  <si>
    <t>Miliar Rp</t>
  </si>
  <si>
    <t>000Rp/m3</t>
  </si>
  <si>
    <t>" nilai penjualan DN+pendapatan lain</t>
  </si>
  <si>
    <t>langsung ada di laporan manajemen</t>
  </si>
  <si>
    <t>Luas Hutan Produksi yang Dapat Dikonversi Luar Jawa:</t>
  </si>
  <si>
    <t>Banyaknya kerugian &amp; Kerusakan Hutan (Kayu Bulat)</t>
  </si>
  <si>
    <t>Total</t>
  </si>
  <si>
    <t>Kayu Rimba Lainnya</t>
  </si>
  <si>
    <t>Kayu Jati</t>
  </si>
  <si>
    <t>IHP</t>
  </si>
  <si>
    <t>KONVERSI NILAI:</t>
  </si>
  <si>
    <t>000 M3</t>
  </si>
  <si>
    <t>NSDH</t>
  </si>
  <si>
    <t>PDB kehutanan</t>
  </si>
  <si>
    <t>selisih</t>
  </si>
  <si>
    <t>Perhutani</t>
  </si>
  <si>
    <t>Rujukan</t>
  </si>
  <si>
    <t>Pertumbuhan 2011-2015</t>
  </si>
  <si>
    <t>Estimasi 2016</t>
  </si>
  <si>
    <t xml:space="preserve"> PT Perhutani (Jawa)</t>
  </si>
  <si>
    <t>*Menggunakan data saldo akhir</t>
  </si>
  <si>
    <t>formula</t>
  </si>
  <si>
    <t>link based on sumber data</t>
  </si>
  <si>
    <t>estimasi?</t>
  </si>
  <si>
    <t>Perhutani T.2.2.3 (hal.15)</t>
  </si>
  <si>
    <t>Perhutani T.2.2.2 (hal.15)</t>
  </si>
  <si>
    <t>5 + 6</t>
  </si>
  <si>
    <t>Perhutani T.2.9.1 (hal.149)</t>
  </si>
  <si>
    <t>Perhutani T.2.5.1 (hal.73)</t>
  </si>
  <si>
    <t>Perhutani T.1.5 (hal.12)</t>
  </si>
  <si>
    <t>Perhutani T.2.1.3 (hal.17)</t>
  </si>
  <si>
    <r>
      <t>000 M</t>
    </r>
    <r>
      <rPr>
        <b/>
        <vertAlign val="superscript"/>
        <sz val="10"/>
        <rFont val="Book Antiqua"/>
        <family val="1"/>
      </rPr>
      <t>3</t>
    </r>
  </si>
  <si>
    <t>Perhutani T.2.1.3 (hal.17): Total-jati-payau-mangrove</t>
  </si>
  <si>
    <r>
      <t xml:space="preserve"> 000 M</t>
    </r>
    <r>
      <rPr>
        <b/>
        <vertAlign val="superscript"/>
        <sz val="10"/>
        <rFont val="Book Antiqua"/>
        <family val="1"/>
      </rPr>
      <t>3</t>
    </r>
  </si>
  <si>
    <r>
      <t>M</t>
    </r>
    <r>
      <rPr>
        <b/>
        <vertAlign val="superscript"/>
        <sz val="10"/>
        <rFont val="Book Antiqua"/>
        <family val="1"/>
      </rPr>
      <t>3</t>
    </r>
  </si>
  <si>
    <t>estimasi</t>
  </si>
  <si>
    <t>Jenis Data</t>
  </si>
  <si>
    <t>Harga Kayu Jati (PDB)</t>
  </si>
  <si>
    <t>Hrg.Kayu "Rimba" PDB</t>
  </si>
  <si>
    <t>Harga Ky. Log Rimba (LK PDB) (Rp/m3)</t>
  </si>
  <si>
    <t>Produksi (000 m3)</t>
  </si>
  <si>
    <t>Jati Jawa</t>
  </si>
  <si>
    <t>Rimba Jawa</t>
  </si>
  <si>
    <t>Rimba Luar Jawa</t>
  </si>
  <si>
    <t>2015*</t>
  </si>
  <si>
    <t>2016**</t>
  </si>
  <si>
    <t>2017***</t>
  </si>
  <si>
    <t>Tabel 2. Data Harga dan Produksi Kayu Jati dan Rimba</t>
  </si>
  <si>
    <t>Tabel 1. Data Harga Kayu</t>
  </si>
  <si>
    <t>Statistik KLHK</t>
  </si>
  <si>
    <t>DATA LUAS KEBAKARAN HUTAN</t>
  </si>
  <si>
    <t>Sumber:</t>
  </si>
  <si>
    <t>Statistik perum perhutani 2012-2016, hal 142</t>
  </si>
  <si>
    <t>Satuan :</t>
  </si>
  <si>
    <t>Ha x Rp 1000</t>
  </si>
  <si>
    <t>Luas Kebakaran Hutan</t>
  </si>
  <si>
    <t>ha</t>
  </si>
  <si>
    <t>x Rp1000</t>
  </si>
  <si>
    <t>Sumber</t>
  </si>
  <si>
    <t>Statistik KLHK 2016, hal 268</t>
  </si>
  <si>
    <t>Provinsi</t>
  </si>
  <si>
    <t>Aceh</t>
  </si>
  <si>
    <t>Bali</t>
  </si>
  <si>
    <t>Kep. Bangka Belitung</t>
  </si>
  <si>
    <t>Bengkulu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</si>
  <si>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</si>
  <si>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</si>
  <si>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</si>
  <si>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</si>
  <si>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</si>
  <si>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</si>
  <si>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</si>
  <si>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</si>
  <si>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</si>
  <si>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</si>
  <si>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</si>
  <si>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</si>
  <si>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</si>
  <si>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</si>
  <si>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</si>
  <si>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</si>
  <si>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</si>
  <si>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</si>
  <si>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</si>
  <si>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</si>
  <si>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</si>
  <si>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</si>
  <si>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</si>
  <si>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</si>
  <si>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</si>
  <si>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</si>
  <si>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</si>
  <si>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Yogyakarta</t>
  </si>
  <si>
    <t>laju kebakaran</t>
  </si>
  <si>
    <t>Perkembangan Kegiatan Rehabilitasi Hutan (Reboisasi) Tahun 2012 s/d</t>
  </si>
  <si>
    <t>KLHK hal 144</t>
  </si>
  <si>
    <t>Balai Pengelolaan Daerah Aliran Sungai dam Hutan Lindung</t>
  </si>
  <si>
    <t>Perkembangan Kegiatan Rehabilitasi Hutan (Reboisasi)</t>
  </si>
  <si>
    <t>2010 (Ha)</t>
  </si>
  <si>
    <t>2011 (Ha)</t>
  </si>
  <si>
    <t>2012 (Ha)</t>
  </si>
  <si>
    <t>2013 (Ha)</t>
  </si>
  <si>
    <t>2014 (Ha)</t>
  </si>
  <si>
    <t>2015 (Ha)</t>
  </si>
  <si>
    <t>2016 (Ha)</t>
  </si>
  <si>
    <t>2017 (Ha)</t>
  </si>
  <si>
    <t>Nanggroe Aceh Darussalam</t>
  </si>
  <si>
    <t>Krueng Aceh</t>
  </si>
  <si>
    <t>Wampu Sei Ular</t>
  </si>
  <si>
    <t>-</t>
  </si>
  <si>
    <t>Asahan Barumun</t>
  </si>
  <si>
    <t>Agam Kuantan</t>
  </si>
  <si>
    <t>Batanghari</t>
  </si>
  <si>
    <t>Indragiri Rokan</t>
  </si>
  <si>
    <t>Musi</t>
  </si>
  <si>
    <t>Ketahun</t>
  </si>
  <si>
    <t>Way Seputih Sekampung</t>
  </si>
  <si>
    <t>Bangka Belitung</t>
  </si>
  <si>
    <t>Baturusa Cerucuk</t>
  </si>
  <si>
    <t>Kepulauan Riau (Sei Jang Duriangkang)</t>
  </si>
  <si>
    <t>Citarum Ciliwung</t>
  </si>
  <si>
    <t>Cimanuk Citanduy</t>
  </si>
  <si>
    <t>Pemali Jratun</t>
  </si>
  <si>
    <t>Serayu Opak Progo</t>
  </si>
  <si>
    <t>Solo</t>
  </si>
  <si>
    <t>DI Yogyakarta</t>
  </si>
  <si>
    <t>Brantas (Brantas Sampean)</t>
  </si>
  <si>
    <t>Sampean (Brantas Sampean)</t>
  </si>
  <si>
    <t>Unda Anyar</t>
  </si>
  <si>
    <t>Dodokan Moyosari</t>
  </si>
  <si>
    <t>Benain Noelmina</t>
  </si>
  <si>
    <t>Kapuas</t>
  </si>
  <si>
    <t>Kahayan</t>
  </si>
  <si>
    <t>Barito</t>
  </si>
  <si>
    <t>Mahakam Berau</t>
  </si>
  <si>
    <t>Tondano</t>
  </si>
  <si>
    <t>Palu Poso</t>
  </si>
  <si>
    <t>Jeneberang Walanae (Jeneberang Saddang)</t>
  </si>
  <si>
    <t>Saddang (Jeneberang Saddang)</t>
  </si>
  <si>
    <t>Sampara</t>
  </si>
  <si>
    <t>Bone Bolango</t>
  </si>
  <si>
    <t>Lariang Mamasa</t>
  </si>
  <si>
    <t xml:space="preserve">Saddang </t>
  </si>
  <si>
    <t>Waehapu Batu Merah</t>
  </si>
  <si>
    <t>Ake Malamo</t>
  </si>
  <si>
    <t>Remu Ransiki</t>
  </si>
  <si>
    <t>Membramo</t>
  </si>
  <si>
    <t>Rehabilitasi Hutan</t>
  </si>
  <si>
    <t>Luas Hutan (Ha)</t>
  </si>
  <si>
    <t>Total Luar Jawa</t>
  </si>
  <si>
    <t>Luas Reboisasi (luar jawa)</t>
  </si>
  <si>
    <t>Luas Kebakaran Hutan (luar jawa)</t>
  </si>
  <si>
    <t>Luas kebakaran + luas konversi hutan</t>
  </si>
  <si>
    <t>ribu m3/Ha</t>
  </si>
  <si>
    <t>Luas Reboisasi (total)</t>
  </si>
  <si>
    <t>Pertumbuhan (metode lama)</t>
  </si>
  <si>
    <t>metode baru --&gt; menggunakan luas hutan produksi luar jawa</t>
  </si>
  <si>
    <t>Indonesia</t>
  </si>
  <si>
    <t xml:space="preserve"> Produksi Kayu Pertukangan (Kayu Bulat) (000 m3)</t>
  </si>
  <si>
    <t>Luas Kebakaran Hutan dan lahan(total)</t>
  </si>
  <si>
    <t>Angka Deforestasi Stat LH BPS</t>
  </si>
  <si>
    <t>Hutan tetap</t>
  </si>
  <si>
    <t>Hutan yg dpt dikonversi</t>
  </si>
  <si>
    <t>total</t>
  </si>
  <si>
    <t>area penggunaan lain</t>
  </si>
  <si>
    <t>sumatera</t>
  </si>
  <si>
    <t>luas kegiatan reboisasi per sub region (Ha)</t>
  </si>
  <si>
    <t>jawa</t>
  </si>
  <si>
    <t>bali nusra</t>
  </si>
  <si>
    <t>kalimantan</t>
  </si>
  <si>
    <t>sulawesi maluku</t>
  </si>
  <si>
    <t>papua</t>
  </si>
  <si>
    <t>sumber: Status Lingkungan Hidup Indonesia klhk 
https://www.menlhk.go.id/cadmin/uploads/SLHI_2022_upload_final_77f9948571.pdf</t>
  </si>
  <si>
    <t>https://pktl.menlhk.go.id/publikasi/buku_statistik</t>
  </si>
  <si>
    <t>buku statistik pktl tabel IV.2 dan IV.3</t>
  </si>
  <si>
    <t>Rehabilitasi Hutan dan Lahan</t>
  </si>
  <si>
    <t>sumber: statistik ditjen pdashl</t>
  </si>
  <si>
    <t>https://statistik.menlhk.go.id/sisklhk/ditjen_pdashl</t>
  </si>
  <si>
    <t>Rehabilitasi Lahan (ha)</t>
  </si>
  <si>
    <t>Rehabilitasi Mangrove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</si>
</sst>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.0"/>
    <numFmt numFmtId="167" formatCode="0.0000"/>
    <numFmt numFmtId="168" formatCode="0.0"/>
    <numFmt numFmtId="169" formatCode="_(* #,##0.0_);_(* \(#,##0.0\);_(* &quot;-&quot;??_);_(@_)"/>
    <numFmt numFmtId="170" formatCode="#,##0.00000"/>
    <numFmt numFmtId="171" formatCode="_(* #,##0.0_);_(* \(#,##0.0\);_(* &quot;-&quot;?_);_(@_)"/>
    <numFmt numFmtId="172" formatCode="_(* #,##0.0_);_(* \(#,##0.0\);_(* &quot;-&quot;_);_(@_)"/>
    <numFmt numFmtId="173" formatCode="0.000"/>
    <numFmt numFmtId="174" formatCode="#,##0.0000000"/>
    <numFmt numFmtId="175" formatCode="_(* #,##0_);_(* \(#,##0\);_(* &quot;-&quot;??_);_(@_)"/>
    <numFmt numFmtId="176" formatCode="_(* #,##0.00_);_(* \(#,##0.00\);_(* &quot;-&quot;_);_(@_)"/>
    <numFmt numFmtId="177" formatCode="_(* #,##0.0000_);_(* \(#,##0.0000\);_(* &quot;-&quot;??_);_(@_)"/>
    <numFmt numFmtId="178" formatCode="_(* #,##0.00000_);_(* \(#,##0.00000\);_(* &quot;-&quot;??_);_(@_)"/>
  </numFmts>
  <fonts count="43" x14ac:knownFonts="1">
    <font>
      <sz val="10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Book Antiqua"/>
      <family val="1"/>
    </font>
    <font>
      <sz val="10"/>
      <name val="Book Antiqua"/>
      <family val="1"/>
    </font>
    <font>
      <b/>
      <i/>
      <sz val="10"/>
      <name val="Book Antiqua"/>
      <family val="1"/>
    </font>
    <font>
      <vertAlign val="superscript"/>
      <sz val="10"/>
      <name val="Book Antiqua"/>
      <family val="1"/>
    </font>
    <font>
      <i/>
      <sz val="10"/>
      <name val="Book Antiqua"/>
      <family val="1"/>
    </font>
    <font>
      <sz val="8"/>
      <name val="Book Antiqua"/>
      <family val="1"/>
    </font>
    <font>
      <sz val="10"/>
      <color indexed="10"/>
      <name val="Book Antiqua"/>
      <family val="1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sz val="9"/>
      <color indexed="10"/>
      <name val="Arial"/>
      <family val="2"/>
    </font>
    <font>
      <b/>
      <sz val="10"/>
      <color indexed="10"/>
      <name val="Book Antiqua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color theme="1"/>
      <name val="Book Antiqua"/>
      <family val="1"/>
    </font>
    <font>
      <sz val="10"/>
      <color rgb="FFFF0000"/>
      <name val="Book Antiqua"/>
      <family val="1"/>
    </font>
    <font>
      <i/>
      <sz val="10"/>
      <color rgb="FFFF0000"/>
      <name val="Book Antiqua"/>
      <family val="1"/>
    </font>
    <font>
      <b/>
      <sz val="9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10"/>
      <name val="Book Antiqua"/>
      <family val="1"/>
    </font>
    <font>
      <b/>
      <i/>
      <sz val="10"/>
      <color rgb="FFFF0000"/>
      <name val="Book Antiqua"/>
      <family val="1"/>
    </font>
    <font>
      <b/>
      <sz val="10"/>
      <color rgb="FFFF0000"/>
      <name val="Book Antiqua"/>
      <family val="1"/>
    </font>
    <font>
      <sz val="10"/>
      <name val="Arial"/>
      <family val="2"/>
    </font>
    <font>
      <sz val="9"/>
      <color rgb="FFFF0000"/>
      <name val="Arial"/>
      <family val="2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thin">
        <color indexed="64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1026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4" fontId="6" fillId="0" borderId="1" xfId="0" applyNumberFormat="1" applyFont="1" applyBorder="1" applyAlignment="1">
      <alignment vertical="center"/>
    </xf>
    <xf numFmtId="3" fontId="9" fillId="0" borderId="1" xfId="0" applyNumberFormat="1" applyFont="1" applyBorder="1" applyAlignment="1">
      <alignment vertical="center"/>
    </xf>
    <xf numFmtId="166" fontId="6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3" fontId="6" fillId="0" borderId="6" xfId="0" applyNumberFormat="1" applyFont="1" applyBorder="1" applyAlignment="1">
      <alignment vertical="center"/>
    </xf>
    <xf numFmtId="3" fontId="6" fillId="0" borderId="7" xfId="0" applyNumberFormat="1" applyFont="1" applyBorder="1" applyAlignment="1">
      <alignment vertical="center"/>
    </xf>
    <xf numFmtId="0" fontId="9" fillId="0" borderId="8" xfId="0" quotePrefix="1" applyFont="1" applyBorder="1" applyAlignment="1">
      <alignment horizontal="left" vertical="center"/>
    </xf>
    <xf numFmtId="3" fontId="6" fillId="0" borderId="9" xfId="0" applyNumberFormat="1" applyFont="1" applyBorder="1" applyAlignment="1">
      <alignment vertical="center"/>
    </xf>
    <xf numFmtId="0" fontId="6" fillId="0" borderId="8" xfId="0" quotePrefix="1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3" fontId="6" fillId="0" borderId="10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170" fontId="10" fillId="0" borderId="1" xfId="0" applyNumberFormat="1" applyFont="1" applyBorder="1" applyAlignment="1">
      <alignment vertical="center"/>
    </xf>
    <xf numFmtId="167" fontId="6" fillId="0" borderId="1" xfId="0" applyNumberFormat="1" applyFont="1" applyBorder="1" applyAlignment="1">
      <alignment vertical="center"/>
    </xf>
    <xf numFmtId="167" fontId="6" fillId="0" borderId="9" xfId="0" applyNumberFormat="1" applyFont="1" applyBorder="1" applyAlignment="1">
      <alignment vertical="center"/>
    </xf>
    <xf numFmtId="167" fontId="9" fillId="0" borderId="1" xfId="0" applyNumberFormat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166" fontId="6" fillId="0" borderId="9" xfId="0" applyNumberFormat="1" applyFont="1" applyBorder="1" applyAlignment="1">
      <alignment vertical="center"/>
    </xf>
    <xf numFmtId="166" fontId="9" fillId="0" borderId="1" xfId="0" applyNumberFormat="1" applyFont="1" applyBorder="1" applyAlignment="1">
      <alignment vertical="center"/>
    </xf>
    <xf numFmtId="166" fontId="9" fillId="0" borderId="10" xfId="0" applyNumberFormat="1" applyFont="1" applyBorder="1" applyAlignment="1">
      <alignment vertical="center"/>
    </xf>
    <xf numFmtId="166" fontId="6" fillId="0" borderId="10" xfId="0" applyNumberFormat="1" applyFont="1" applyBorder="1" applyAlignment="1">
      <alignment vertical="center"/>
    </xf>
    <xf numFmtId="168" fontId="6" fillId="0" borderId="1" xfId="0" applyNumberFormat="1" applyFont="1" applyBorder="1" applyAlignment="1">
      <alignment vertical="center"/>
    </xf>
    <xf numFmtId="3" fontId="9" fillId="0" borderId="9" xfId="0" applyNumberFormat="1" applyFont="1" applyBorder="1" applyAlignment="1">
      <alignment vertical="center"/>
    </xf>
    <xf numFmtId="0" fontId="6" fillId="0" borderId="11" xfId="0" quotePrefix="1" applyFont="1" applyBorder="1" applyAlignment="1">
      <alignment horizontal="left" vertical="center"/>
    </xf>
    <xf numFmtId="3" fontId="6" fillId="0" borderId="12" xfId="0" applyNumberFormat="1" applyFont="1" applyBorder="1" applyAlignment="1">
      <alignment vertical="center"/>
    </xf>
    <xf numFmtId="3" fontId="6" fillId="0" borderId="13" xfId="0" applyNumberFormat="1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3" fontId="6" fillId="0" borderId="3" xfId="0" applyNumberFormat="1" applyFont="1" applyBorder="1" applyAlignment="1">
      <alignment vertical="center"/>
    </xf>
    <xf numFmtId="3" fontId="6" fillId="0" borderId="4" xfId="0" applyNumberFormat="1" applyFont="1" applyBorder="1" applyAlignment="1">
      <alignment vertical="center"/>
    </xf>
    <xf numFmtId="3" fontId="6" fillId="0" borderId="15" xfId="0" applyNumberFormat="1" applyFont="1" applyBorder="1" applyAlignment="1">
      <alignment vertical="center"/>
    </xf>
    <xf numFmtId="3" fontId="5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0" fontId="5" fillId="0" borderId="0" xfId="0" quotePrefix="1" applyFont="1" applyAlignment="1">
      <alignment horizontal="left" vertical="center"/>
    </xf>
    <xf numFmtId="169" fontId="6" fillId="0" borderId="1" xfId="1" applyNumberFormat="1" applyFont="1" applyBorder="1" applyAlignment="1">
      <alignment vertical="center"/>
    </xf>
    <xf numFmtId="169" fontId="6" fillId="0" borderId="0" xfId="1" applyNumberFormat="1" applyFont="1" applyBorder="1" applyAlignment="1">
      <alignment vertical="center"/>
    </xf>
    <xf numFmtId="3" fontId="6" fillId="0" borderId="0" xfId="0" applyNumberFormat="1" applyFont="1" applyBorder="1" applyAlignment="1">
      <alignment vertical="center"/>
    </xf>
    <xf numFmtId="169" fontId="6" fillId="0" borderId="0" xfId="1" applyNumberFormat="1" applyFont="1" applyAlignment="1">
      <alignment vertical="center"/>
    </xf>
    <xf numFmtId="171" fontId="6" fillId="0" borderId="0" xfId="0" applyNumberFormat="1" applyFont="1" applyAlignment="1">
      <alignment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3" fontId="6" fillId="0" borderId="16" xfId="0" applyNumberFormat="1" applyFont="1" applyBorder="1" applyAlignment="1">
      <alignment vertical="center"/>
    </xf>
    <xf numFmtId="173" fontId="6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10" xfId="0" applyNumberFormat="1" applyFont="1" applyBorder="1" applyAlignment="1">
      <alignment vertical="center"/>
    </xf>
    <xf numFmtId="166" fontId="9" fillId="0" borderId="1" xfId="0" applyNumberFormat="1" applyFont="1" applyFill="1" applyBorder="1" applyAlignment="1">
      <alignment vertical="center"/>
    </xf>
    <xf numFmtId="172" fontId="9" fillId="0" borderId="1" xfId="2" applyNumberFormat="1" applyFont="1" applyBorder="1" applyAlignment="1">
      <alignment vertical="center"/>
    </xf>
    <xf numFmtId="172" fontId="9" fillId="0" borderId="10" xfId="2" applyNumberFormat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166" fontId="6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26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66" fontId="6" fillId="0" borderId="0" xfId="0" applyNumberFormat="1" applyFont="1" applyBorder="1" applyAlignment="1">
      <alignment vertical="center"/>
    </xf>
    <xf numFmtId="166" fontId="6" fillId="0" borderId="24" xfId="0" applyNumberFormat="1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3" fontId="6" fillId="0" borderId="32" xfId="0" applyNumberFormat="1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166" fontId="6" fillId="0" borderId="32" xfId="0" applyNumberFormat="1" applyFont="1" applyBorder="1" applyAlignment="1">
      <alignment vertical="center"/>
    </xf>
    <xf numFmtId="166" fontId="6" fillId="0" borderId="33" xfId="0" applyNumberFormat="1" applyFont="1" applyBorder="1" applyAlignment="1">
      <alignment vertical="center"/>
    </xf>
    <xf numFmtId="169" fontId="6" fillId="0" borderId="32" xfId="1" applyNumberFormat="1" applyFont="1" applyBorder="1" applyAlignment="1">
      <alignment vertical="center"/>
    </xf>
    <xf numFmtId="169" fontId="9" fillId="0" borderId="32" xfId="1" applyNumberFormat="1" applyFont="1" applyBorder="1" applyAlignment="1">
      <alignment vertical="center"/>
    </xf>
    <xf numFmtId="169" fontId="9" fillId="0" borderId="33" xfId="1" applyNumberFormat="1" applyFont="1" applyBorder="1" applyAlignment="1">
      <alignment vertical="center"/>
    </xf>
    <xf numFmtId="166" fontId="9" fillId="0" borderId="32" xfId="0" applyNumberFormat="1" applyFont="1" applyBorder="1" applyAlignment="1">
      <alignment vertical="center"/>
    </xf>
    <xf numFmtId="166" fontId="9" fillId="0" borderId="32" xfId="0" applyNumberFormat="1" applyFont="1" applyFill="1" applyBorder="1" applyAlignment="1">
      <alignment vertical="center"/>
    </xf>
    <xf numFmtId="172" fontId="9" fillId="0" borderId="32" xfId="2" applyNumberFormat="1" applyFont="1" applyBorder="1" applyAlignment="1">
      <alignment vertical="center"/>
    </xf>
    <xf numFmtId="172" fontId="9" fillId="0" borderId="33" xfId="2" applyNumberFormat="1" applyFont="1" applyBorder="1" applyAlignment="1">
      <alignment vertical="center"/>
    </xf>
    <xf numFmtId="4" fontId="6" fillId="0" borderId="32" xfId="0" applyNumberFormat="1" applyFont="1" applyBorder="1" applyAlignment="1">
      <alignment vertical="center"/>
    </xf>
    <xf numFmtId="4" fontId="6" fillId="0" borderId="33" xfId="0" applyNumberFormat="1" applyFont="1" applyBorder="1" applyAlignment="1">
      <alignment vertical="center"/>
    </xf>
    <xf numFmtId="3" fontId="6" fillId="0" borderId="33" xfId="0" applyNumberFormat="1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169" fontId="6" fillId="0" borderId="24" xfId="1" applyNumberFormat="1" applyFont="1" applyBorder="1" applyAlignment="1">
      <alignment vertical="center"/>
    </xf>
    <xf numFmtId="4" fontId="6" fillId="0" borderId="29" xfId="0" applyNumberFormat="1" applyFont="1" applyBorder="1" applyAlignment="1">
      <alignment vertical="center"/>
    </xf>
    <xf numFmtId="4" fontId="6" fillId="0" borderId="3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3" fontId="9" fillId="0" borderId="0" xfId="0" applyNumberFormat="1" applyFont="1" applyBorder="1" applyAlignment="1">
      <alignment vertical="center"/>
    </xf>
    <xf numFmtId="167" fontId="9" fillId="0" borderId="0" xfId="0" applyNumberFormat="1" applyFont="1" applyBorder="1" applyAlignment="1">
      <alignment vertical="center"/>
    </xf>
    <xf numFmtId="166" fontId="9" fillId="0" borderId="0" xfId="0" applyNumberFormat="1" applyFont="1" applyBorder="1" applyAlignment="1">
      <alignment vertical="center"/>
    </xf>
    <xf numFmtId="167" fontId="6" fillId="0" borderId="0" xfId="0" applyNumberFormat="1" applyFont="1" applyBorder="1" applyAlignment="1">
      <alignment vertical="center"/>
    </xf>
    <xf numFmtId="3" fontId="6" fillId="0" borderId="38" xfId="0" applyNumberFormat="1" applyFont="1" applyBorder="1" applyAlignment="1">
      <alignment vertical="center"/>
    </xf>
    <xf numFmtId="166" fontId="6" fillId="0" borderId="38" xfId="0" applyNumberFormat="1" applyFont="1" applyBorder="1" applyAlignment="1">
      <alignment vertical="center"/>
    </xf>
    <xf numFmtId="166" fontId="9" fillId="0" borderId="38" xfId="0" applyNumberFormat="1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166" fontId="6" fillId="0" borderId="40" xfId="0" applyNumberFormat="1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4" fontId="6" fillId="0" borderId="40" xfId="0" applyNumberFormat="1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167" fontId="9" fillId="0" borderId="9" xfId="0" applyNumberFormat="1" applyFont="1" applyBorder="1" applyAlignment="1">
      <alignment vertical="center"/>
    </xf>
    <xf numFmtId="166" fontId="9" fillId="0" borderId="9" xfId="0" applyNumberFormat="1" applyFont="1" applyBorder="1" applyAlignment="1">
      <alignment vertical="center"/>
    </xf>
    <xf numFmtId="3" fontId="9" fillId="0" borderId="38" xfId="0" applyNumberFormat="1" applyFont="1" applyBorder="1" applyAlignment="1">
      <alignment vertical="center"/>
    </xf>
    <xf numFmtId="167" fontId="9" fillId="0" borderId="38" xfId="0" applyNumberFormat="1" applyFont="1" applyBorder="1" applyAlignment="1">
      <alignment vertical="center"/>
    </xf>
    <xf numFmtId="167" fontId="6" fillId="0" borderId="38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3" fontId="6" fillId="0" borderId="43" xfId="0" applyNumberFormat="1" applyFont="1" applyBorder="1" applyAlignment="1">
      <alignment vertical="center"/>
    </xf>
    <xf numFmtId="3" fontId="6" fillId="0" borderId="44" xfId="0" applyNumberFormat="1" applyFont="1" applyBorder="1" applyAlignment="1">
      <alignment vertical="center"/>
    </xf>
    <xf numFmtId="169" fontId="9" fillId="0" borderId="9" xfId="1" applyNumberFormat="1" applyFont="1" applyBorder="1" applyAlignment="1">
      <alignment vertical="center"/>
    </xf>
    <xf numFmtId="169" fontId="9" fillId="0" borderId="1" xfId="1" applyNumberFormat="1" applyFont="1" applyBorder="1" applyAlignment="1">
      <alignment vertical="center"/>
    </xf>
    <xf numFmtId="4" fontId="6" fillId="0" borderId="0" xfId="0" applyNumberFormat="1" applyFont="1" applyAlignment="1">
      <alignment vertical="center"/>
    </xf>
    <xf numFmtId="0" fontId="6" fillId="0" borderId="4" xfId="0" applyFont="1" applyBorder="1" applyAlignment="1">
      <alignment vertical="center"/>
    </xf>
    <xf numFmtId="3" fontId="6" fillId="0" borderId="45" xfId="0" applyNumberFormat="1" applyFont="1" applyBorder="1" applyAlignment="1">
      <alignment vertical="center"/>
    </xf>
    <xf numFmtId="4" fontId="9" fillId="0" borderId="38" xfId="0" applyNumberFormat="1" applyFont="1" applyBorder="1" applyAlignment="1">
      <alignment vertical="center"/>
    </xf>
    <xf numFmtId="3" fontId="6" fillId="0" borderId="46" xfId="0" applyNumberFormat="1" applyFont="1" applyBorder="1" applyAlignment="1">
      <alignment vertical="center"/>
    </xf>
    <xf numFmtId="3" fontId="9" fillId="0" borderId="37" xfId="0" applyNumberFormat="1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3" fontId="9" fillId="0" borderId="6" xfId="0" applyNumberFormat="1" applyFont="1" applyBorder="1" applyAlignment="1">
      <alignment vertical="center"/>
    </xf>
    <xf numFmtId="3" fontId="9" fillId="0" borderId="7" xfId="0" applyNumberFormat="1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12" fillId="0" borderId="0" xfId="0" quotePrefix="1" applyFont="1" applyBorder="1" applyAlignment="1">
      <alignment horizontal="lef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166" fontId="12" fillId="0" borderId="0" xfId="0" applyNumberFormat="1" applyFont="1" applyAlignment="1">
      <alignment vertical="center"/>
    </xf>
    <xf numFmtId="175" fontId="12" fillId="0" borderId="0" xfId="0" applyNumberFormat="1" applyFont="1" applyAlignment="1">
      <alignment vertical="center"/>
    </xf>
    <xf numFmtId="0" fontId="12" fillId="0" borderId="0" xfId="0" quotePrefix="1" applyFont="1" applyBorder="1" applyAlignment="1">
      <alignment horizontal="left" vertical="center" wrapText="1"/>
    </xf>
    <xf numFmtId="2" fontId="6" fillId="0" borderId="0" xfId="0" applyNumberFormat="1" applyFont="1" applyAlignment="1">
      <alignment vertical="center"/>
    </xf>
    <xf numFmtId="0" fontId="5" fillId="2" borderId="1" xfId="0" applyFont="1" applyFill="1" applyBorder="1" applyAlignment="1">
      <alignment vertical="center"/>
    </xf>
    <xf numFmtId="4" fontId="6" fillId="2" borderId="1" xfId="0" applyNumberFormat="1" applyFont="1" applyFill="1" applyBorder="1" applyAlignment="1">
      <alignment horizontal="center" vertical="center"/>
    </xf>
    <xf numFmtId="166" fontId="16" fillId="0" borderId="0" xfId="0" applyNumberFormat="1" applyFont="1" applyFill="1" applyAlignment="1">
      <alignment vertical="center"/>
    </xf>
    <xf numFmtId="176" fontId="6" fillId="0" borderId="1" xfId="2" applyNumberFormat="1" applyFont="1" applyBorder="1" applyAlignment="1">
      <alignment vertical="center"/>
    </xf>
    <xf numFmtId="41" fontId="6" fillId="0" borderId="0" xfId="2" applyFont="1" applyAlignment="1">
      <alignment vertical="center"/>
    </xf>
    <xf numFmtId="3" fontId="12" fillId="0" borderId="0" xfId="0" applyNumberFormat="1" applyFont="1" applyBorder="1" applyAlignment="1">
      <alignment vertical="center"/>
    </xf>
    <xf numFmtId="175" fontId="12" fillId="0" borderId="0" xfId="1" applyNumberFormat="1" applyFont="1" applyBorder="1" applyAlignment="1">
      <alignment vertical="center"/>
    </xf>
    <xf numFmtId="175" fontId="12" fillId="0" borderId="0" xfId="1" applyNumberFormat="1" applyFont="1" applyFill="1" applyBorder="1" applyAlignment="1">
      <alignment vertical="center"/>
    </xf>
    <xf numFmtId="175" fontId="13" fillId="0" borderId="0" xfId="1" applyNumberFormat="1" applyFont="1" applyBorder="1" applyAlignment="1">
      <alignment vertical="center"/>
    </xf>
    <xf numFmtId="167" fontId="12" fillId="0" borderId="0" xfId="0" applyNumberFormat="1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43" fontId="12" fillId="0" borderId="0" xfId="0" applyNumberFormat="1" applyFont="1" applyBorder="1" applyAlignment="1">
      <alignment vertical="center"/>
    </xf>
    <xf numFmtId="41" fontId="12" fillId="0" borderId="0" xfId="2" applyFont="1" applyAlignment="1">
      <alignment vertical="center"/>
    </xf>
    <xf numFmtId="41" fontId="12" fillId="0" borderId="0" xfId="0" applyNumberFormat="1" applyFont="1" applyAlignment="1">
      <alignment vertical="center"/>
    </xf>
    <xf numFmtId="176" fontId="12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45" xfId="0" applyFont="1" applyBorder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41" fontId="20" fillId="0" borderId="0" xfId="2" applyFont="1" applyAlignment="1">
      <alignment vertical="center"/>
    </xf>
    <xf numFmtId="169" fontId="21" fillId="0" borderId="33" xfId="1" applyNumberFormat="1" applyFont="1" applyBorder="1" applyAlignment="1">
      <alignment vertical="center"/>
    </xf>
    <xf numFmtId="166" fontId="20" fillId="0" borderId="32" xfId="0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176" fontId="6" fillId="0" borderId="0" xfId="2" applyNumberFormat="1" applyFont="1" applyAlignment="1">
      <alignment vertical="center"/>
    </xf>
    <xf numFmtId="168" fontId="6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4" fontId="6" fillId="0" borderId="0" xfId="0" applyNumberFormat="1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56" xfId="0" applyFont="1" applyBorder="1" applyAlignment="1">
      <alignment vertical="center"/>
    </xf>
    <xf numFmtId="166" fontId="6" fillId="0" borderId="56" xfId="0" applyNumberFormat="1" applyFont="1" applyBorder="1" applyAlignment="1">
      <alignment vertical="center"/>
    </xf>
    <xf numFmtId="4" fontId="6" fillId="0" borderId="56" xfId="0" applyNumberFormat="1" applyFont="1" applyBorder="1" applyAlignment="1">
      <alignment vertical="center"/>
    </xf>
    <xf numFmtId="0" fontId="6" fillId="0" borderId="57" xfId="0" applyFont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6" fillId="0" borderId="58" xfId="0" applyFont="1" applyBorder="1" applyAlignment="1">
      <alignment vertical="center"/>
    </xf>
    <xf numFmtId="0" fontId="5" fillId="0" borderId="55" xfId="0" applyFont="1" applyBorder="1" applyAlignment="1">
      <alignment horizontal="center" vertical="center"/>
    </xf>
    <xf numFmtId="172" fontId="9" fillId="6" borderId="0" xfId="2" applyNumberFormat="1" applyFont="1" applyFill="1" applyBorder="1" applyAlignment="1">
      <alignment vertical="center"/>
    </xf>
    <xf numFmtId="176" fontId="6" fillId="0" borderId="0" xfId="2" applyNumberFormat="1" applyFont="1" applyBorder="1" applyAlignment="1">
      <alignment vertical="center"/>
    </xf>
    <xf numFmtId="2" fontId="6" fillId="0" borderId="0" xfId="0" applyNumberFormat="1" applyFont="1" applyBorder="1" applyAlignment="1">
      <alignment vertical="center"/>
    </xf>
    <xf numFmtId="3" fontId="6" fillId="0" borderId="56" xfId="0" applyNumberFormat="1" applyFont="1" applyBorder="1" applyAlignment="1">
      <alignment vertical="center"/>
    </xf>
    <xf numFmtId="166" fontId="9" fillId="0" borderId="56" xfId="0" applyNumberFormat="1" applyFont="1" applyBorder="1" applyAlignment="1">
      <alignment vertical="center"/>
    </xf>
    <xf numFmtId="166" fontId="9" fillId="0" borderId="56" xfId="0" applyNumberFormat="1" applyFont="1" applyFill="1" applyBorder="1" applyAlignment="1">
      <alignment vertical="center"/>
    </xf>
    <xf numFmtId="172" fontId="9" fillId="0" borderId="56" xfId="2" applyNumberFormat="1" applyFont="1" applyBorder="1" applyAlignment="1">
      <alignment vertical="center"/>
    </xf>
    <xf numFmtId="2" fontId="6" fillId="0" borderId="56" xfId="0" applyNumberFormat="1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166" fontId="6" fillId="0" borderId="56" xfId="0" applyNumberFormat="1" applyFont="1" applyFill="1" applyBorder="1" applyAlignment="1">
      <alignment vertical="center"/>
    </xf>
    <xf numFmtId="169" fontId="6" fillId="0" borderId="56" xfId="1" applyNumberFormat="1" applyFont="1" applyBorder="1" applyAlignment="1">
      <alignment vertical="center"/>
    </xf>
    <xf numFmtId="0" fontId="5" fillId="0" borderId="56" xfId="0" applyFont="1" applyBorder="1" applyAlignment="1">
      <alignment horizontal="center" vertical="center"/>
    </xf>
    <xf numFmtId="0" fontId="7" fillId="0" borderId="56" xfId="0" applyFont="1" applyBorder="1" applyAlignment="1">
      <alignment vertical="center"/>
    </xf>
    <xf numFmtId="3" fontId="5" fillId="0" borderId="56" xfId="0" applyNumberFormat="1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3" fontId="5" fillId="0" borderId="56" xfId="0" applyNumberFormat="1" applyFont="1" applyBorder="1" applyAlignment="1">
      <alignment vertical="center"/>
    </xf>
    <xf numFmtId="3" fontId="11" fillId="0" borderId="56" xfId="0" applyNumberFormat="1" applyFont="1" applyBorder="1" applyAlignment="1">
      <alignment vertical="center"/>
    </xf>
    <xf numFmtId="3" fontId="16" fillId="0" borderId="56" xfId="0" applyNumberFormat="1" applyFont="1" applyBorder="1" applyAlignment="1">
      <alignment vertical="center"/>
    </xf>
    <xf numFmtId="0" fontId="6" fillId="0" borderId="57" xfId="0" applyFont="1" applyBorder="1" applyAlignment="1">
      <alignment horizontal="center" vertical="center"/>
    </xf>
    <xf numFmtId="0" fontId="13" fillId="0" borderId="55" xfId="0" quotePrefix="1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2" fillId="0" borderId="56" xfId="0" applyFont="1" applyBorder="1" applyAlignment="1">
      <alignment horizontal="left" vertical="center"/>
    </xf>
    <xf numFmtId="3" fontId="12" fillId="0" borderId="56" xfId="0" applyNumberFormat="1" applyFont="1" applyBorder="1" applyAlignment="1">
      <alignment vertical="center"/>
    </xf>
    <xf numFmtId="3" fontId="12" fillId="6" borderId="56" xfId="0" applyNumberFormat="1" applyFont="1" applyFill="1" applyBorder="1" applyAlignment="1">
      <alignment vertical="center"/>
    </xf>
    <xf numFmtId="0" fontId="14" fillId="0" borderId="56" xfId="0" quotePrefix="1" applyFont="1" applyBorder="1" applyAlignment="1">
      <alignment horizontal="left" vertical="center"/>
    </xf>
    <xf numFmtId="175" fontId="12" fillId="0" borderId="56" xfId="1" applyNumberFormat="1" applyFont="1" applyBorder="1" applyAlignment="1">
      <alignment vertical="center"/>
    </xf>
    <xf numFmtId="175" fontId="12" fillId="6" borderId="56" xfId="1" applyNumberFormat="1" applyFont="1" applyFill="1" applyBorder="1" applyAlignment="1">
      <alignment vertical="center"/>
    </xf>
    <xf numFmtId="0" fontId="12" fillId="0" borderId="56" xfId="0" quotePrefix="1" applyFont="1" applyBorder="1" applyAlignment="1">
      <alignment horizontal="left" vertical="center"/>
    </xf>
    <xf numFmtId="0" fontId="12" fillId="0" borderId="56" xfId="0" applyFont="1" applyBorder="1" applyAlignment="1">
      <alignment vertical="center"/>
    </xf>
    <xf numFmtId="170" fontId="12" fillId="0" borderId="56" xfId="0" applyNumberFormat="1" applyFont="1" applyBorder="1" applyAlignment="1">
      <alignment vertical="center"/>
    </xf>
    <xf numFmtId="167" fontId="12" fillId="0" borderId="56" xfId="0" applyNumberFormat="1" applyFont="1" applyBorder="1" applyAlignment="1">
      <alignment vertical="center"/>
    </xf>
    <xf numFmtId="166" fontId="12" fillId="0" borderId="56" xfId="0" applyNumberFormat="1" applyFont="1" applyBorder="1" applyAlignment="1">
      <alignment vertical="center"/>
    </xf>
    <xf numFmtId="166" fontId="12" fillId="6" borderId="56" xfId="0" applyNumberFormat="1" applyFont="1" applyFill="1" applyBorder="1" applyAlignment="1">
      <alignment vertical="center"/>
    </xf>
    <xf numFmtId="168" fontId="12" fillId="0" borderId="56" xfId="0" applyNumberFormat="1" applyFont="1" applyBorder="1" applyAlignment="1">
      <alignment vertical="center"/>
    </xf>
    <xf numFmtId="0" fontId="12" fillId="6" borderId="56" xfId="0" applyFont="1" applyFill="1" applyBorder="1" applyAlignment="1">
      <alignment vertical="center"/>
    </xf>
    <xf numFmtId="167" fontId="12" fillId="6" borderId="56" xfId="0" applyNumberFormat="1" applyFont="1" applyFill="1" applyBorder="1" applyAlignment="1">
      <alignment vertical="center"/>
    </xf>
    <xf numFmtId="43" fontId="12" fillId="0" borderId="56" xfId="0" applyNumberFormat="1" applyFont="1" applyBorder="1" applyAlignment="1">
      <alignment vertical="center"/>
    </xf>
    <xf numFmtId="166" fontId="13" fillId="6" borderId="56" xfId="0" applyNumberFormat="1" applyFont="1" applyFill="1" applyBorder="1" applyAlignment="1">
      <alignment vertical="center"/>
    </xf>
    <xf numFmtId="0" fontId="13" fillId="0" borderId="56" xfId="0" applyFont="1" applyBorder="1" applyAlignment="1">
      <alignment vertical="center"/>
    </xf>
    <xf numFmtId="175" fontId="12" fillId="0" borderId="56" xfId="0" applyNumberFormat="1" applyFont="1" applyBorder="1" applyAlignment="1">
      <alignment vertical="center"/>
    </xf>
    <xf numFmtId="0" fontId="12" fillId="2" borderId="57" xfId="0" quotePrefix="1" applyFont="1" applyFill="1" applyBorder="1" applyAlignment="1">
      <alignment horizontal="left" vertical="center"/>
    </xf>
    <xf numFmtId="175" fontId="12" fillId="0" borderId="57" xfId="1" applyNumberFormat="1" applyFont="1" applyBorder="1" applyAlignment="1">
      <alignment vertical="center"/>
    </xf>
    <xf numFmtId="0" fontId="12" fillId="0" borderId="57" xfId="0" applyFont="1" applyBorder="1" applyAlignment="1">
      <alignment vertical="center"/>
    </xf>
    <xf numFmtId="175" fontId="6" fillId="0" borderId="56" xfId="1" applyNumberFormat="1" applyFont="1" applyFill="1" applyBorder="1" applyAlignment="1">
      <alignment vertical="center"/>
    </xf>
    <xf numFmtId="0" fontId="6" fillId="0" borderId="56" xfId="0" applyFont="1" applyFill="1" applyBorder="1" applyAlignment="1">
      <alignment vertical="center"/>
    </xf>
    <xf numFmtId="3" fontId="6" fillId="0" borderId="56" xfId="0" applyNumberFormat="1" applyFont="1" applyFill="1" applyBorder="1" applyAlignment="1">
      <alignment vertical="center"/>
    </xf>
    <xf numFmtId="3" fontId="12" fillId="7" borderId="56" xfId="0" applyNumberFormat="1" applyFont="1" applyFill="1" applyBorder="1" applyAlignment="1">
      <alignment vertical="center"/>
    </xf>
    <xf numFmtId="175" fontId="22" fillId="2" borderId="56" xfId="0" applyNumberFormat="1" applyFont="1" applyFill="1" applyBorder="1" applyAlignment="1">
      <alignment vertical="center"/>
    </xf>
    <xf numFmtId="3" fontId="22" fillId="0" borderId="56" xfId="0" applyNumberFormat="1" applyFont="1" applyBorder="1" applyAlignment="1">
      <alignment vertical="center"/>
    </xf>
    <xf numFmtId="3" fontId="22" fillId="6" borderId="56" xfId="0" applyNumberFormat="1" applyFont="1" applyFill="1" applyBorder="1" applyAlignment="1">
      <alignment vertical="center"/>
    </xf>
    <xf numFmtId="3" fontId="22" fillId="7" borderId="56" xfId="0" applyNumberFormat="1" applyFont="1" applyFill="1" applyBorder="1" applyAlignment="1">
      <alignment vertical="center"/>
    </xf>
    <xf numFmtId="175" fontId="22" fillId="0" borderId="56" xfId="1" applyNumberFormat="1" applyFont="1" applyFill="1" applyBorder="1" applyAlignment="1">
      <alignment vertical="center"/>
    </xf>
    <xf numFmtId="0" fontId="12" fillId="0" borderId="56" xfId="0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0" fontId="12" fillId="4" borderId="56" xfId="0" quotePrefix="1" applyFont="1" applyFill="1" applyBorder="1" applyAlignment="1">
      <alignment horizontal="left" vertical="center"/>
    </xf>
    <xf numFmtId="3" fontId="12" fillId="4" borderId="56" xfId="0" applyNumberFormat="1" applyFont="1" applyFill="1" applyBorder="1" applyAlignment="1">
      <alignment vertical="center"/>
    </xf>
    <xf numFmtId="166" fontId="12" fillId="4" borderId="56" xfId="0" applyNumberFormat="1" applyFont="1" applyFill="1" applyBorder="1" applyAlignment="1">
      <alignment vertical="center"/>
    </xf>
    <xf numFmtId="166" fontId="13" fillId="4" borderId="56" xfId="0" applyNumberFormat="1" applyFont="1" applyFill="1" applyBorder="1" applyAlignment="1">
      <alignment vertical="center"/>
    </xf>
    <xf numFmtId="0" fontId="6" fillId="0" borderId="55" xfId="0" quotePrefix="1" applyFont="1" applyBorder="1" applyAlignment="1">
      <alignment horizontal="center" vertical="center"/>
    </xf>
    <xf numFmtId="0" fontId="6" fillId="0" borderId="55" xfId="0" applyFont="1" applyBorder="1" applyAlignment="1">
      <alignment vertical="center"/>
    </xf>
    <xf numFmtId="0" fontId="6" fillId="0" borderId="55" xfId="0" applyFont="1" applyFill="1" applyBorder="1" applyAlignment="1">
      <alignment horizontal="center" vertical="center"/>
    </xf>
    <xf numFmtId="0" fontId="6" fillId="0" borderId="56" xfId="0" quotePrefix="1" applyFont="1" applyBorder="1" applyAlignment="1">
      <alignment horizontal="center" vertical="center"/>
    </xf>
    <xf numFmtId="0" fontId="6" fillId="0" borderId="56" xfId="0" quotePrefix="1" applyFont="1" applyBorder="1" applyAlignment="1">
      <alignment horizontal="left" vertical="center"/>
    </xf>
    <xf numFmtId="3" fontId="6" fillId="0" borderId="56" xfId="1" applyNumberFormat="1" applyFont="1" applyBorder="1" applyAlignment="1">
      <alignment vertical="center"/>
    </xf>
    <xf numFmtId="175" fontId="6" fillId="0" borderId="56" xfId="1" applyNumberFormat="1" applyFont="1" applyBorder="1" applyAlignment="1">
      <alignment vertical="center"/>
    </xf>
    <xf numFmtId="177" fontId="6" fillId="0" borderId="56" xfId="1" applyNumberFormat="1" applyFont="1" applyBorder="1" applyAlignment="1">
      <alignment vertical="center"/>
    </xf>
    <xf numFmtId="178" fontId="6" fillId="0" borderId="56" xfId="1" applyNumberFormat="1" applyFont="1" applyBorder="1" applyAlignment="1">
      <alignment vertical="center"/>
    </xf>
    <xf numFmtId="178" fontId="6" fillId="0" borderId="56" xfId="0" applyNumberFormat="1" applyFont="1" applyBorder="1" applyAlignment="1">
      <alignment vertical="center"/>
    </xf>
    <xf numFmtId="0" fontId="12" fillId="0" borderId="0" xfId="0" quotePrefix="1" applyFont="1" applyBorder="1" applyAlignment="1">
      <alignment vertical="center"/>
    </xf>
    <xf numFmtId="166" fontId="12" fillId="0" borderId="0" xfId="0" applyNumberFormat="1" applyFont="1" applyFill="1" applyBorder="1" applyAlignment="1">
      <alignment vertical="center"/>
    </xf>
    <xf numFmtId="0" fontId="6" fillId="4" borderId="56" xfId="0" applyFont="1" applyFill="1" applyBorder="1" applyAlignment="1">
      <alignment vertical="center"/>
    </xf>
    <xf numFmtId="172" fontId="9" fillId="0" borderId="56" xfId="2" applyNumberFormat="1" applyFont="1" applyFill="1" applyBorder="1" applyAlignment="1">
      <alignment vertical="center"/>
    </xf>
    <xf numFmtId="176" fontId="6" fillId="0" borderId="56" xfId="2" applyNumberFormat="1" applyFont="1" applyFill="1" applyBorder="1" applyAlignment="1">
      <alignment vertical="center"/>
    </xf>
    <xf numFmtId="2" fontId="6" fillId="0" borderId="56" xfId="0" applyNumberFormat="1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25" fillId="0" borderId="0" xfId="0" applyFont="1" applyBorder="1" applyAlignment="1">
      <alignment vertical="center"/>
    </xf>
    <xf numFmtId="0" fontId="25" fillId="0" borderId="0" xfId="0" applyFont="1" applyBorder="1" applyAlignment="1">
      <alignment vertical="center" wrapText="1"/>
    </xf>
    <xf numFmtId="0" fontId="24" fillId="0" borderId="0" xfId="0" applyFont="1" applyBorder="1" applyAlignment="1">
      <alignment vertical="center" wrapText="1"/>
    </xf>
    <xf numFmtId="0" fontId="25" fillId="0" borderId="56" xfId="0" applyFont="1" applyBorder="1" applyAlignment="1">
      <alignment horizontal="right" vertical="center" wrapText="1"/>
    </xf>
    <xf numFmtId="175" fontId="25" fillId="0" borderId="56" xfId="1" applyNumberFormat="1" applyFont="1" applyBorder="1" applyAlignment="1">
      <alignment horizontal="right" vertical="center" wrapText="1"/>
    </xf>
    <xf numFmtId="175" fontId="25" fillId="0" borderId="56" xfId="0" applyNumberFormat="1" applyFont="1" applyBorder="1" applyAlignment="1">
      <alignment horizontal="right" vertical="center"/>
    </xf>
    <xf numFmtId="0" fontId="25" fillId="0" borderId="56" xfId="0" applyFont="1" applyBorder="1" applyAlignment="1">
      <alignment horizontal="right" vertical="center"/>
    </xf>
    <xf numFmtId="3" fontId="25" fillId="0" borderId="56" xfId="0" applyNumberFormat="1" applyFont="1" applyBorder="1" applyAlignment="1">
      <alignment horizontal="right" vertical="center"/>
    </xf>
    <xf numFmtId="175" fontId="25" fillId="0" borderId="56" xfId="1" applyNumberFormat="1" applyFont="1" applyBorder="1" applyAlignment="1">
      <alignment horizontal="right" vertical="center"/>
    </xf>
    <xf numFmtId="175" fontId="25" fillId="0" borderId="57" xfId="0" applyNumberFormat="1" applyFont="1" applyBorder="1" applyAlignment="1">
      <alignment horizontal="right" vertical="center" wrapText="1"/>
    </xf>
    <xf numFmtId="0" fontId="25" fillId="0" borderId="55" xfId="0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/>
    </xf>
    <xf numFmtId="0" fontId="25" fillId="0" borderId="56" xfId="0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0" fontId="26" fillId="0" borderId="56" xfId="0" applyFont="1" applyBorder="1" applyAlignment="1">
      <alignment horizontal="left" vertical="center" wrapText="1"/>
    </xf>
    <xf numFmtId="0" fontId="26" fillId="0" borderId="57" xfId="0" applyFont="1" applyBorder="1" applyAlignment="1">
      <alignment horizontal="left" vertical="center" wrapText="1"/>
    </xf>
    <xf numFmtId="2" fontId="0" fillId="0" borderId="0" xfId="0" applyNumberFormat="1"/>
    <xf numFmtId="169" fontId="6" fillId="0" borderId="56" xfId="1" applyNumberFormat="1" applyFont="1" applyFill="1" applyBorder="1" applyAlignment="1">
      <alignment vertical="center"/>
    </xf>
    <xf numFmtId="0" fontId="4" fillId="0" borderId="0" xfId="0" applyFont="1" applyAlignment="1">
      <alignment horizontal="left"/>
    </xf>
    <xf numFmtId="175" fontId="25" fillId="4" borderId="56" xfId="1" applyNumberFormat="1" applyFont="1" applyFill="1" applyBorder="1" applyAlignment="1">
      <alignment horizontal="right" vertical="center"/>
    </xf>
    <xf numFmtId="3" fontId="25" fillId="4" borderId="56" xfId="0" applyNumberFormat="1" applyFont="1" applyFill="1" applyBorder="1" applyAlignment="1">
      <alignment horizontal="right" vertical="center"/>
    </xf>
    <xf numFmtId="3" fontId="20" fillId="0" borderId="56" xfId="0" applyNumberFormat="1" applyFont="1" applyBorder="1" applyAlignment="1">
      <alignment vertical="center"/>
    </xf>
    <xf numFmtId="175" fontId="20" fillId="0" borderId="56" xfId="1" applyNumberFormat="1" applyFont="1" applyFill="1" applyBorder="1" applyAlignment="1">
      <alignment vertical="center"/>
    </xf>
    <xf numFmtId="0" fontId="4" fillId="0" borderId="0" xfId="0" applyFont="1" applyFill="1" applyAlignment="1">
      <alignment horizontal="left"/>
    </xf>
    <xf numFmtId="0" fontId="0" fillId="0" borderId="0" xfId="0" applyFill="1"/>
    <xf numFmtId="0" fontId="27" fillId="0" borderId="0" xfId="0" applyFont="1" applyFill="1" applyAlignment="1">
      <alignment horizontal="left"/>
    </xf>
    <xf numFmtId="0" fontId="23" fillId="0" borderId="0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6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3" fontId="12" fillId="0" borderId="56" xfId="0" applyNumberFormat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9" xfId="0" applyFont="1" applyFill="1" applyBorder="1" applyAlignment="1">
      <alignment horizontal="center" vertical="center"/>
    </xf>
    <xf numFmtId="0" fontId="5" fillId="0" borderId="60" xfId="0" applyFont="1" applyFill="1" applyBorder="1" applyAlignment="1">
      <alignment horizontal="center" vertical="center"/>
    </xf>
    <xf numFmtId="175" fontId="20" fillId="0" borderId="60" xfId="1" applyNumberFormat="1" applyFont="1" applyFill="1" applyBorder="1" applyAlignment="1">
      <alignment vertical="center"/>
    </xf>
    <xf numFmtId="175" fontId="6" fillId="0" borderId="60" xfId="1" applyNumberFormat="1" applyFont="1" applyFill="1" applyBorder="1" applyAlignment="1">
      <alignment vertical="center"/>
    </xf>
    <xf numFmtId="3" fontId="6" fillId="0" borderId="60" xfId="0" applyNumberFormat="1" applyFont="1" applyFill="1" applyBorder="1" applyAlignment="1">
      <alignment vertical="center"/>
    </xf>
    <xf numFmtId="175" fontId="6" fillId="0" borderId="60" xfId="0" applyNumberFormat="1" applyFont="1" applyFill="1" applyBorder="1" applyAlignment="1">
      <alignment vertical="center"/>
    </xf>
    <xf numFmtId="0" fontId="6" fillId="0" borderId="60" xfId="0" applyFont="1" applyFill="1" applyBorder="1" applyAlignment="1">
      <alignment vertical="center"/>
    </xf>
    <xf numFmtId="166" fontId="6" fillId="0" borderId="60" xfId="0" applyNumberFormat="1" applyFont="1" applyFill="1" applyBorder="1" applyAlignment="1">
      <alignment vertical="center"/>
    </xf>
    <xf numFmtId="3" fontId="6" fillId="0" borderId="1" xfId="0" applyNumberFormat="1" applyFont="1" applyFill="1" applyBorder="1" applyAlignment="1">
      <alignment vertical="center"/>
    </xf>
    <xf numFmtId="175" fontId="6" fillId="0" borderId="1" xfId="1" applyNumberFormat="1" applyFont="1" applyFill="1" applyBorder="1" applyAlignment="1">
      <alignment vertical="center"/>
    </xf>
    <xf numFmtId="175" fontId="6" fillId="0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175" fontId="20" fillId="0" borderId="1" xfId="0" applyNumberFormat="1" applyFont="1" applyFill="1" applyBorder="1" applyAlignment="1">
      <alignment vertical="center"/>
    </xf>
    <xf numFmtId="166" fontId="6" fillId="0" borderId="1" xfId="0" applyNumberFormat="1" applyFont="1" applyFill="1" applyBorder="1" applyAlignment="1">
      <alignment vertical="center"/>
    </xf>
    <xf numFmtId="0" fontId="6" fillId="0" borderId="60" xfId="0" applyFont="1" applyBorder="1" applyAlignment="1">
      <alignment vertical="center"/>
    </xf>
    <xf numFmtId="2" fontId="6" fillId="0" borderId="60" xfId="0" applyNumberFormat="1" applyFont="1" applyFill="1" applyBorder="1" applyAlignment="1">
      <alignment vertical="center"/>
    </xf>
    <xf numFmtId="169" fontId="6" fillId="0" borderId="60" xfId="1" applyNumberFormat="1" applyFont="1" applyFill="1" applyBorder="1" applyAlignment="1">
      <alignment vertical="center"/>
    </xf>
    <xf numFmtId="0" fontId="6" fillId="0" borderId="61" xfId="0" applyFont="1" applyBorder="1" applyAlignment="1">
      <alignment vertical="center"/>
    </xf>
    <xf numFmtId="2" fontId="6" fillId="0" borderId="1" xfId="0" applyNumberFormat="1" applyFont="1" applyBorder="1" applyAlignment="1">
      <alignment vertical="center"/>
    </xf>
    <xf numFmtId="169" fontId="6" fillId="4" borderId="56" xfId="1" applyNumberFormat="1" applyFont="1" applyFill="1" applyBorder="1" applyAlignment="1">
      <alignment vertical="center"/>
    </xf>
    <xf numFmtId="169" fontId="6" fillId="4" borderId="60" xfId="1" applyNumberFormat="1" applyFont="1" applyFill="1" applyBorder="1" applyAlignment="1">
      <alignment vertical="center"/>
    </xf>
    <xf numFmtId="0" fontId="6" fillId="0" borderId="56" xfId="0" applyFont="1" applyBorder="1" applyAlignment="1">
      <alignment vertical="center" wrapText="1"/>
    </xf>
    <xf numFmtId="0" fontId="5" fillId="4" borderId="0" xfId="0" applyFont="1" applyFill="1" applyAlignment="1">
      <alignment vertical="center"/>
    </xf>
    <xf numFmtId="3" fontId="6" fillId="8" borderId="1" xfId="0" applyNumberFormat="1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175" fontId="6" fillId="8" borderId="1" xfId="0" applyNumberFormat="1" applyFont="1" applyFill="1" applyBorder="1" applyAlignment="1">
      <alignment vertical="center"/>
    </xf>
    <xf numFmtId="175" fontId="6" fillId="8" borderId="1" xfId="1" applyNumberFormat="1" applyFont="1" applyFill="1" applyBorder="1" applyAlignment="1">
      <alignment vertical="center"/>
    </xf>
    <xf numFmtId="175" fontId="12" fillId="11" borderId="56" xfId="1" applyNumberFormat="1" applyFont="1" applyFill="1" applyBorder="1" applyAlignment="1">
      <alignment vertical="center"/>
    </xf>
    <xf numFmtId="166" fontId="6" fillId="11" borderId="56" xfId="0" applyNumberFormat="1" applyFont="1" applyFill="1" applyBorder="1" applyAlignment="1">
      <alignment vertical="center"/>
    </xf>
    <xf numFmtId="0" fontId="6" fillId="0" borderId="63" xfId="0" applyFont="1" applyBorder="1" applyAlignment="1">
      <alignment vertical="center"/>
    </xf>
    <xf numFmtId="0" fontId="6" fillId="0" borderId="63" xfId="0" applyFont="1" applyBorder="1" applyAlignment="1">
      <alignment horizontal="center" vertical="center"/>
    </xf>
    <xf numFmtId="41" fontId="6" fillId="0" borderId="63" xfId="2" applyFont="1" applyBorder="1" applyAlignment="1">
      <alignment vertical="center"/>
    </xf>
    <xf numFmtId="41" fontId="6" fillId="0" borderId="63" xfId="2" applyFont="1" applyFill="1" applyBorder="1" applyAlignment="1">
      <alignment vertical="center"/>
    </xf>
    <xf numFmtId="175" fontId="6" fillId="0" borderId="63" xfId="1" applyNumberFormat="1" applyFont="1" applyFill="1" applyBorder="1" applyAlignment="1">
      <alignment vertical="center"/>
    </xf>
    <xf numFmtId="175" fontId="6" fillId="0" borderId="63" xfId="1" applyNumberFormat="1" applyFont="1" applyBorder="1" applyAlignment="1">
      <alignment vertical="center"/>
    </xf>
    <xf numFmtId="0" fontId="6" fillId="0" borderId="32" xfId="0" applyFont="1" applyBorder="1" applyAlignment="1">
      <alignment horizontal="center" vertical="center"/>
    </xf>
    <xf numFmtId="41" fontId="6" fillId="0" borderId="32" xfId="2" applyFont="1" applyBorder="1" applyAlignment="1">
      <alignment vertical="center"/>
    </xf>
    <xf numFmtId="41" fontId="6" fillId="0" borderId="32" xfId="2" applyFont="1" applyFill="1" applyBorder="1" applyAlignment="1">
      <alignment vertical="center"/>
    </xf>
    <xf numFmtId="175" fontId="6" fillId="0" borderId="32" xfId="1" applyNumberFormat="1" applyFont="1" applyFill="1" applyBorder="1" applyAlignment="1">
      <alignment vertical="center"/>
    </xf>
    <xf numFmtId="175" fontId="6" fillId="0" borderId="32" xfId="1" applyNumberFormat="1" applyFont="1" applyBorder="1" applyAlignment="1">
      <alignment vertical="center"/>
    </xf>
    <xf numFmtId="0" fontId="6" fillId="8" borderId="64" xfId="0" applyFont="1" applyFill="1" applyBorder="1" applyAlignment="1">
      <alignment vertical="center"/>
    </xf>
    <xf numFmtId="0" fontId="6" fillId="8" borderId="64" xfId="0" applyFont="1" applyFill="1" applyBorder="1" applyAlignment="1">
      <alignment horizontal="center" vertical="center"/>
    </xf>
    <xf numFmtId="166" fontId="6" fillId="9" borderId="56" xfId="0" applyNumberFormat="1" applyFont="1" applyFill="1" applyBorder="1" applyAlignment="1">
      <alignment vertical="center"/>
    </xf>
    <xf numFmtId="0" fontId="6" fillId="10" borderId="56" xfId="0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175" fontId="25" fillId="12" borderId="56" xfId="1" applyNumberFormat="1" applyFont="1" applyFill="1" applyBorder="1" applyAlignment="1">
      <alignment horizontal="right" vertical="center"/>
    </xf>
    <xf numFmtId="0" fontId="5" fillId="0" borderId="56" xfId="0" applyFont="1" applyBorder="1" applyAlignment="1">
      <alignment horizontal="center" vertical="center"/>
    </xf>
    <xf numFmtId="166" fontId="6" fillId="13" borderId="56" xfId="0" applyNumberFormat="1" applyFont="1" applyFill="1" applyBorder="1" applyAlignment="1">
      <alignment vertical="center"/>
    </xf>
    <xf numFmtId="43" fontId="3" fillId="0" borderId="1" xfId="1" applyFont="1" applyBorder="1"/>
    <xf numFmtId="43" fontId="25" fillId="0" borderId="1" xfId="1" applyFont="1" applyFill="1" applyBorder="1" applyAlignment="1">
      <alignment vertical="center"/>
    </xf>
    <xf numFmtId="43" fontId="25" fillId="0" borderId="1" xfId="1" applyFont="1" applyFill="1" applyBorder="1" applyAlignment="1">
      <alignment horizontal="left"/>
    </xf>
    <xf numFmtId="1" fontId="3" fillId="0" borderId="1" xfId="1" applyNumberFormat="1" applyFont="1" applyBorder="1" applyAlignment="1">
      <alignment horizontal="center" vertical="center"/>
    </xf>
    <xf numFmtId="43" fontId="3" fillId="0" borderId="1" xfId="1" applyFont="1" applyBorder="1" applyAlignment="1">
      <alignment horizontal="center"/>
    </xf>
    <xf numFmtId="0" fontId="5" fillId="0" borderId="56" xfId="0" applyFont="1" applyBorder="1" applyAlignment="1">
      <alignment vertical="center" wrapText="1"/>
    </xf>
    <xf numFmtId="41" fontId="6" fillId="0" borderId="56" xfId="2" applyFont="1" applyBorder="1" applyAlignment="1">
      <alignment vertical="center"/>
    </xf>
    <xf numFmtId="41" fontId="6" fillId="0" borderId="56" xfId="2" applyFont="1" applyFill="1" applyBorder="1" applyAlignment="1">
      <alignment vertical="center"/>
    </xf>
    <xf numFmtId="175" fontId="20" fillId="8" borderId="1" xfId="0" applyNumberFormat="1" applyFont="1" applyFill="1" applyBorder="1" applyAlignment="1">
      <alignment vertical="center"/>
    </xf>
    <xf numFmtId="43" fontId="6" fillId="5" borderId="0" xfId="1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175" fontId="12" fillId="0" borderId="0" xfId="1" applyNumberFormat="1" applyFont="1" applyFill="1" applyAlignment="1">
      <alignment vertical="center"/>
    </xf>
    <xf numFmtId="175" fontId="15" fillId="0" borderId="0" xfId="0" applyNumberFormat="1" applyFont="1" applyFill="1" applyBorder="1" applyAlignment="1">
      <alignment vertical="center"/>
    </xf>
    <xf numFmtId="175" fontId="15" fillId="0" borderId="0" xfId="1" applyNumberFormat="1" applyFont="1" applyFill="1" applyAlignment="1">
      <alignment vertical="center"/>
    </xf>
    <xf numFmtId="175" fontId="12" fillId="0" borderId="0" xfId="0" applyNumberFormat="1" applyFont="1" applyFill="1" applyAlignment="1">
      <alignment vertical="center"/>
    </xf>
    <xf numFmtId="169" fontId="12" fillId="0" borderId="0" xfId="1" applyNumberFormat="1" applyFont="1" applyFill="1" applyAlignment="1">
      <alignment vertical="center"/>
    </xf>
    <xf numFmtId="3" fontId="12" fillId="0" borderId="0" xfId="0" applyNumberFormat="1" applyFont="1" applyFill="1" applyAlignment="1">
      <alignment vertical="center"/>
    </xf>
    <xf numFmtId="2" fontId="12" fillId="0" borderId="0" xfId="0" applyNumberFormat="1" applyFont="1" applyFill="1" applyAlignment="1">
      <alignment vertical="center"/>
    </xf>
    <xf numFmtId="0" fontId="20" fillId="0" borderId="0" xfId="0" applyFont="1" applyFill="1" applyAlignment="1">
      <alignment vertical="center"/>
    </xf>
    <xf numFmtId="41" fontId="20" fillId="0" borderId="0" xfId="2" applyFont="1" applyFill="1" applyAlignment="1">
      <alignment vertical="center"/>
    </xf>
    <xf numFmtId="0" fontId="6" fillId="14" borderId="56" xfId="0" applyFont="1" applyFill="1" applyBorder="1" applyAlignment="1">
      <alignment horizontal="center" vertical="center"/>
    </xf>
    <xf numFmtId="0" fontId="7" fillId="14" borderId="56" xfId="0" applyFont="1" applyFill="1" applyBorder="1" applyAlignment="1">
      <alignment vertical="center"/>
    </xf>
    <xf numFmtId="3" fontId="6" fillId="14" borderId="56" xfId="0" applyNumberFormat="1" applyFont="1" applyFill="1" applyBorder="1" applyAlignment="1">
      <alignment vertical="center"/>
    </xf>
    <xf numFmtId="170" fontId="6" fillId="14" borderId="56" xfId="0" applyNumberFormat="1" applyFont="1" applyFill="1" applyBorder="1" applyAlignment="1">
      <alignment vertical="center"/>
    </xf>
    <xf numFmtId="174" fontId="6" fillId="14" borderId="56" xfId="0" applyNumberFormat="1" applyFont="1" applyFill="1" applyBorder="1" applyAlignment="1">
      <alignment vertical="center"/>
    </xf>
    <xf numFmtId="4" fontId="6" fillId="14" borderId="56" xfId="0" applyNumberFormat="1" applyFont="1" applyFill="1" applyBorder="1" applyAlignment="1">
      <alignment vertical="center"/>
    </xf>
    <xf numFmtId="3" fontId="6" fillId="14" borderId="1" xfId="0" applyNumberFormat="1" applyFont="1" applyFill="1" applyBorder="1" applyAlignment="1">
      <alignment vertical="center"/>
    </xf>
    <xf numFmtId="0" fontId="19" fillId="3" borderId="53" xfId="0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3" fontId="6" fillId="0" borderId="38" xfId="0" applyNumberFormat="1" applyFont="1" applyBorder="1" applyAlignment="1">
      <alignment vertical="center"/>
    </xf>
    <xf numFmtId="0" fontId="6" fillId="14" borderId="8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vertical="center"/>
    </xf>
    <xf numFmtId="43" fontId="6" fillId="0" borderId="8" xfId="1" applyFont="1" applyFill="1" applyBorder="1" applyAlignment="1">
      <alignment horizontal="center" vertical="center"/>
    </xf>
    <xf numFmtId="2" fontId="6" fillId="0" borderId="1" xfId="1" applyNumberFormat="1" applyFont="1" applyBorder="1" applyAlignment="1">
      <alignment horizontal="center" vertical="center"/>
    </xf>
    <xf numFmtId="0" fontId="6" fillId="0" borderId="68" xfId="0" applyFont="1" applyBorder="1" applyAlignment="1">
      <alignment vertical="center"/>
    </xf>
    <xf numFmtId="0" fontId="5" fillId="0" borderId="8" xfId="0" applyFont="1" applyFill="1" applyBorder="1" applyAlignment="1">
      <alignment horizontal="center" vertical="center"/>
    </xf>
    <xf numFmtId="40" fontId="5" fillId="0" borderId="8" xfId="0" applyNumberFormat="1" applyFont="1" applyBorder="1" applyAlignment="1">
      <alignment horizontal="center" vertical="center"/>
    </xf>
    <xf numFmtId="40" fontId="5" fillId="0" borderId="1" xfId="0" applyNumberFormat="1" applyFont="1" applyBorder="1" applyAlignment="1">
      <alignment horizontal="center" vertical="center"/>
    </xf>
    <xf numFmtId="2" fontId="6" fillId="0" borderId="38" xfId="0" applyNumberFormat="1" applyFont="1" applyBorder="1" applyAlignment="1">
      <alignment vertical="center"/>
    </xf>
    <xf numFmtId="40" fontId="5" fillId="0" borderId="11" xfId="0" applyNumberFormat="1" applyFont="1" applyBorder="1" applyAlignment="1">
      <alignment horizontal="center" vertical="center"/>
    </xf>
    <xf numFmtId="40" fontId="5" fillId="0" borderId="12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vertical="center"/>
    </xf>
    <xf numFmtId="1" fontId="2" fillId="0" borderId="1" xfId="1" applyNumberFormat="1" applyFont="1" applyFill="1" applyBorder="1" applyAlignment="1">
      <alignment horizontal="center" vertical="center"/>
    </xf>
    <xf numFmtId="0" fontId="0" fillId="0" borderId="1" xfId="0" applyBorder="1"/>
    <xf numFmtId="3" fontId="6" fillId="17" borderId="1" xfId="0" applyNumberFormat="1" applyFont="1" applyFill="1" applyBorder="1" applyAlignment="1">
      <alignment vertical="center"/>
    </xf>
    <xf numFmtId="175" fontId="6" fillId="17" borderId="1" xfId="0" applyNumberFormat="1" applyFont="1" applyFill="1" applyBorder="1" applyAlignment="1">
      <alignment vertical="center"/>
    </xf>
    <xf numFmtId="41" fontId="6" fillId="18" borderId="1" xfId="2" applyFont="1" applyFill="1" applyBorder="1" applyAlignment="1">
      <alignment vertical="center"/>
    </xf>
    <xf numFmtId="2" fontId="6" fillId="0" borderId="69" xfId="0" applyNumberFormat="1" applyFont="1" applyBorder="1" applyAlignment="1">
      <alignment vertical="center"/>
    </xf>
    <xf numFmtId="3" fontId="12" fillId="0" borderId="0" xfId="0" applyNumberFormat="1" applyFont="1" applyAlignment="1">
      <alignment vertical="center"/>
    </xf>
    <xf numFmtId="0" fontId="5" fillId="0" borderId="55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19" borderId="56" xfId="0" quotePrefix="1" applyFont="1" applyFill="1" applyBorder="1" applyAlignment="1">
      <alignment horizontal="left" vertical="center"/>
    </xf>
    <xf numFmtId="0" fontId="6" fillId="19" borderId="56" xfId="0" quotePrefix="1" applyFont="1" applyFill="1" applyBorder="1" applyAlignment="1">
      <alignment horizontal="center" vertical="center"/>
    </xf>
    <xf numFmtId="169" fontId="6" fillId="19" borderId="56" xfId="1" applyNumberFormat="1" applyFont="1" applyFill="1" applyBorder="1" applyAlignment="1">
      <alignment vertical="center"/>
    </xf>
    <xf numFmtId="3" fontId="6" fillId="19" borderId="56" xfId="1" applyNumberFormat="1" applyFont="1" applyFill="1" applyBorder="1" applyAlignment="1">
      <alignment vertical="center"/>
    </xf>
    <xf numFmtId="3" fontId="6" fillId="19" borderId="56" xfId="0" applyNumberFormat="1" applyFont="1" applyFill="1" applyBorder="1" applyAlignment="1">
      <alignment vertical="center"/>
    </xf>
    <xf numFmtId="175" fontId="6" fillId="19" borderId="56" xfId="1" applyNumberFormat="1" applyFont="1" applyFill="1" applyBorder="1" applyAlignment="1">
      <alignment vertical="center"/>
    </xf>
    <xf numFmtId="0" fontId="6" fillId="19" borderId="0" xfId="0" applyFont="1" applyFill="1" applyAlignment="1">
      <alignment vertical="center"/>
    </xf>
    <xf numFmtId="0" fontId="6" fillId="20" borderId="0" xfId="0" applyFont="1" applyFill="1" applyAlignment="1">
      <alignment horizontal="center" vertical="center"/>
    </xf>
    <xf numFmtId="175" fontId="6" fillId="0" borderId="60" xfId="1" applyNumberFormat="1" applyFont="1" applyBorder="1" applyAlignment="1">
      <alignment vertical="center"/>
    </xf>
    <xf numFmtId="3" fontId="6" fillId="20" borderId="60" xfId="0" applyNumberFormat="1" applyFont="1" applyFill="1" applyBorder="1" applyAlignment="1">
      <alignment vertical="center"/>
    </xf>
    <xf numFmtId="175" fontId="6" fillId="20" borderId="1" xfId="1" applyNumberFormat="1" applyFont="1" applyFill="1" applyBorder="1" applyAlignment="1">
      <alignment vertical="center"/>
    </xf>
    <xf numFmtId="3" fontId="6" fillId="20" borderId="1" xfId="0" applyNumberFormat="1" applyFont="1" applyFill="1" applyBorder="1" applyAlignment="1">
      <alignment vertical="center"/>
    </xf>
    <xf numFmtId="175" fontId="6" fillId="14" borderId="60" xfId="1" applyNumberFormat="1" applyFont="1" applyFill="1" applyBorder="1" applyAlignment="1">
      <alignment vertical="center"/>
    </xf>
    <xf numFmtId="176" fontId="6" fillId="0" borderId="60" xfId="2" applyNumberFormat="1" applyFont="1" applyFill="1" applyBorder="1" applyAlignment="1">
      <alignment vertical="center"/>
    </xf>
    <xf numFmtId="0" fontId="6" fillId="10" borderId="60" xfId="0" applyFont="1" applyFill="1" applyBorder="1" applyAlignment="1">
      <alignment vertical="center"/>
    </xf>
    <xf numFmtId="175" fontId="6" fillId="4" borderId="1" xfId="1" applyNumberFormat="1" applyFont="1" applyFill="1" applyBorder="1" applyAlignment="1">
      <alignment vertical="center"/>
    </xf>
    <xf numFmtId="175" fontId="20" fillId="0" borderId="1" xfId="1" applyNumberFormat="1" applyFont="1" applyFill="1" applyBorder="1" applyAlignment="1">
      <alignment vertical="center"/>
    </xf>
    <xf numFmtId="175" fontId="6" fillId="20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43" fontId="20" fillId="0" borderId="1" xfId="1" applyNumberFormat="1" applyFont="1" applyFill="1" applyBorder="1" applyAlignment="1">
      <alignment vertical="center"/>
    </xf>
    <xf numFmtId="175" fontId="6" fillId="14" borderId="1" xfId="1" applyNumberFormat="1" applyFont="1" applyFill="1" applyBorder="1" applyAlignment="1">
      <alignment vertical="center"/>
    </xf>
    <xf numFmtId="3" fontId="20" fillId="20" borderId="1" xfId="0" applyNumberFormat="1" applyFont="1" applyFill="1" applyBorder="1" applyAlignment="1">
      <alignment vertical="center"/>
    </xf>
    <xf numFmtId="176" fontId="6" fillId="0" borderId="1" xfId="2" applyNumberFormat="1" applyFont="1" applyFill="1" applyBorder="1" applyAlignment="1">
      <alignment vertical="center"/>
    </xf>
    <xf numFmtId="176" fontId="6" fillId="8" borderId="1" xfId="2" applyNumberFormat="1" applyFont="1" applyFill="1" applyBorder="1" applyAlignment="1">
      <alignment vertical="center"/>
    </xf>
    <xf numFmtId="175" fontId="6" fillId="0" borderId="1" xfId="1" applyNumberFormat="1" applyFont="1" applyBorder="1" applyAlignment="1">
      <alignment vertical="center"/>
    </xf>
    <xf numFmtId="175" fontId="6" fillId="21" borderId="1" xfId="1" applyNumberFormat="1" applyFont="1" applyFill="1" applyBorder="1" applyAlignment="1">
      <alignment vertical="center"/>
    </xf>
    <xf numFmtId="0" fontId="5" fillId="11" borderId="0" xfId="0" applyFont="1" applyFill="1" applyAlignment="1">
      <alignment vertical="center"/>
    </xf>
    <xf numFmtId="43" fontId="6" fillId="11" borderId="1" xfId="1" applyNumberFormat="1" applyFont="1" applyFill="1" applyBorder="1" applyAlignment="1">
      <alignment vertical="center"/>
    </xf>
    <xf numFmtId="3" fontId="6" fillId="21" borderId="1" xfId="0" applyNumberFormat="1" applyFont="1" applyFill="1" applyBorder="1" applyAlignment="1">
      <alignment vertical="center"/>
    </xf>
    <xf numFmtId="175" fontId="6" fillId="21" borderId="1" xfId="0" applyNumberFormat="1" applyFont="1" applyFill="1" applyBorder="1" applyAlignment="1">
      <alignment vertical="center"/>
    </xf>
    <xf numFmtId="3" fontId="20" fillId="20" borderId="9" xfId="0" applyNumberFormat="1" applyFont="1" applyFill="1" applyBorder="1" applyAlignment="1">
      <alignment vertical="center"/>
    </xf>
    <xf numFmtId="175" fontId="20" fillId="0" borderId="9" xfId="1" applyNumberFormat="1" applyFont="1" applyFill="1" applyBorder="1" applyAlignment="1">
      <alignment vertical="center"/>
    </xf>
    <xf numFmtId="3" fontId="6" fillId="20" borderId="68" xfId="0" applyNumberFormat="1" applyFont="1" applyFill="1" applyBorder="1" applyAlignment="1">
      <alignment vertical="center"/>
    </xf>
    <xf numFmtId="175" fontId="6" fillId="8" borderId="68" xfId="1" applyNumberFormat="1" applyFont="1" applyFill="1" applyBorder="1" applyAlignment="1">
      <alignment vertical="center"/>
    </xf>
    <xf numFmtId="3" fontId="6" fillId="20" borderId="9" xfId="0" applyNumberFormat="1" applyFont="1" applyFill="1" applyBorder="1" applyAlignment="1">
      <alignment vertical="center"/>
    </xf>
    <xf numFmtId="0" fontId="5" fillId="0" borderId="56" xfId="0" applyFont="1" applyBorder="1" applyAlignment="1">
      <alignment horizontal="center" vertical="center"/>
    </xf>
    <xf numFmtId="3" fontId="5" fillId="7" borderId="56" xfId="0" applyNumberFormat="1" applyFont="1" applyFill="1" applyBorder="1" applyAlignment="1">
      <alignment vertical="center"/>
    </xf>
    <xf numFmtId="0" fontId="30" fillId="0" borderId="0" xfId="0" applyFont="1" applyBorder="1" applyAlignment="1">
      <alignment horizontal="right" vertical="center"/>
    </xf>
    <xf numFmtId="0" fontId="31" fillId="0" borderId="0" xfId="2" applyNumberFormat="1" applyFont="1" applyBorder="1" applyAlignment="1">
      <alignment horizontal="center" vertical="center"/>
    </xf>
    <xf numFmtId="3" fontId="30" fillId="0" borderId="0" xfId="0" applyNumberFormat="1" applyFont="1" applyBorder="1" applyAlignment="1">
      <alignment horizontal="right" vertical="center"/>
    </xf>
    <xf numFmtId="172" fontId="30" fillId="0" borderId="0" xfId="2" applyNumberFormat="1" applyFont="1" applyBorder="1" applyAlignment="1">
      <alignment horizontal="right" vertical="center"/>
    </xf>
    <xf numFmtId="176" fontId="30" fillId="0" borderId="0" xfId="2" applyNumberFormat="1" applyFont="1" applyBorder="1" applyAlignment="1">
      <alignment horizontal="right" vertical="center"/>
    </xf>
    <xf numFmtId="0" fontId="30" fillId="0" borderId="0" xfId="0" applyFont="1" applyBorder="1" applyAlignment="1">
      <alignment vertical="center"/>
    </xf>
    <xf numFmtId="166" fontId="13" fillId="19" borderId="56" xfId="0" applyNumberFormat="1" applyFont="1" applyFill="1" applyBorder="1" applyAlignment="1">
      <alignment vertical="center"/>
    </xf>
    <xf numFmtId="166" fontId="12" fillId="19" borderId="56" xfId="0" applyNumberFormat="1" applyFont="1" applyFill="1" applyBorder="1" applyAlignment="1">
      <alignment vertical="center"/>
    </xf>
    <xf numFmtId="167" fontId="12" fillId="19" borderId="56" xfId="0" applyNumberFormat="1" applyFont="1" applyFill="1" applyBorder="1" applyAlignment="1">
      <alignment vertical="center"/>
    </xf>
    <xf numFmtId="3" fontId="12" fillId="19" borderId="56" xfId="0" applyNumberFormat="1" applyFont="1" applyFill="1" applyBorder="1" applyAlignment="1">
      <alignment vertical="center"/>
    </xf>
    <xf numFmtId="175" fontId="12" fillId="19" borderId="56" xfId="0" applyNumberFormat="1" applyFont="1" applyFill="1" applyBorder="1" applyAlignment="1">
      <alignment vertical="center"/>
    </xf>
    <xf numFmtId="3" fontId="12" fillId="13" borderId="56" xfId="0" applyNumberFormat="1" applyFont="1" applyFill="1" applyBorder="1" applyAlignment="1">
      <alignment vertical="center"/>
    </xf>
    <xf numFmtId="3" fontId="22" fillId="13" borderId="56" xfId="0" applyNumberFormat="1" applyFont="1" applyFill="1" applyBorder="1" applyAlignment="1">
      <alignment vertical="center"/>
    </xf>
    <xf numFmtId="175" fontId="12" fillId="19" borderId="56" xfId="1" applyNumberFormat="1" applyFont="1" applyFill="1" applyBorder="1" applyAlignment="1">
      <alignment vertical="center"/>
    </xf>
    <xf numFmtId="0" fontId="6" fillId="19" borderId="57" xfId="0" quotePrefix="1" applyFont="1" applyFill="1" applyBorder="1" applyAlignment="1">
      <alignment horizontal="left" vertical="center"/>
    </xf>
    <xf numFmtId="0" fontId="6" fillId="19" borderId="57" xfId="0" quotePrefix="1" applyFont="1" applyFill="1" applyBorder="1" applyAlignment="1">
      <alignment horizontal="center" vertical="center"/>
    </xf>
    <xf numFmtId="169" fontId="6" fillId="19" borderId="57" xfId="1" applyNumberFormat="1" applyFont="1" applyFill="1" applyBorder="1" applyAlignment="1">
      <alignment vertical="center"/>
    </xf>
    <xf numFmtId="175" fontId="6" fillId="20" borderId="9" xfId="1" applyNumberFormat="1" applyFont="1" applyFill="1" applyBorder="1" applyAlignment="1">
      <alignment vertical="center"/>
    </xf>
    <xf numFmtId="0" fontId="5" fillId="0" borderId="56" xfId="0" applyFont="1" applyBorder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3" fontId="7" fillId="0" borderId="56" xfId="0" applyNumberFormat="1" applyFont="1" applyBorder="1" applyAlignment="1">
      <alignment vertical="center"/>
    </xf>
    <xf numFmtId="3" fontId="5" fillId="0" borderId="60" xfId="0" applyNumberFormat="1" applyFont="1" applyFill="1" applyBorder="1" applyAlignment="1">
      <alignment vertical="center"/>
    </xf>
    <xf numFmtId="3" fontId="5" fillId="21" borderId="1" xfId="0" applyNumberFormat="1" applyFont="1" applyFill="1" applyBorder="1" applyAlignment="1">
      <alignment vertical="center"/>
    </xf>
    <xf numFmtId="43" fontId="5" fillId="5" borderId="0" xfId="1" applyFont="1" applyFill="1" applyAlignment="1">
      <alignment vertical="center"/>
    </xf>
    <xf numFmtId="2" fontId="5" fillId="0" borderId="1" xfId="0" applyNumberFormat="1" applyFont="1" applyBorder="1" applyAlignment="1">
      <alignment vertical="center"/>
    </xf>
    <xf numFmtId="2" fontId="5" fillId="0" borderId="38" xfId="0" applyNumberFormat="1" applyFont="1" applyBorder="1" applyAlignment="1">
      <alignment vertical="center"/>
    </xf>
    <xf numFmtId="2" fontId="5" fillId="0" borderId="69" xfId="0" applyNumberFormat="1" applyFont="1" applyBorder="1" applyAlignment="1">
      <alignment vertical="center"/>
    </xf>
    <xf numFmtId="175" fontId="5" fillId="5" borderId="68" xfId="1" applyNumberFormat="1" applyFont="1" applyFill="1" applyBorder="1" applyAlignment="1">
      <alignment vertical="center"/>
    </xf>
    <xf numFmtId="175" fontId="5" fillId="5" borderId="1" xfId="1" applyNumberFormat="1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/>
    </xf>
    <xf numFmtId="3" fontId="6" fillId="20" borderId="7" xfId="0" applyNumberFormat="1" applyFont="1" applyFill="1" applyBorder="1" applyAlignment="1">
      <alignment vertical="center"/>
    </xf>
    <xf numFmtId="175" fontId="20" fillId="0" borderId="9" xfId="0" applyNumberFormat="1" applyFont="1" applyFill="1" applyBorder="1" applyAlignment="1">
      <alignment vertical="center"/>
    </xf>
    <xf numFmtId="175" fontId="6" fillId="20" borderId="9" xfId="0" applyNumberFormat="1" applyFont="1" applyFill="1" applyBorder="1" applyAlignment="1">
      <alignment vertical="center"/>
    </xf>
    <xf numFmtId="175" fontId="6" fillId="11" borderId="9" xfId="1" applyNumberFormat="1" applyFont="1" applyFill="1" applyBorder="1" applyAlignment="1">
      <alignment vertical="center"/>
    </xf>
    <xf numFmtId="0" fontId="6" fillId="0" borderId="9" xfId="0" applyFont="1" applyFill="1" applyBorder="1" applyAlignment="1">
      <alignment vertical="center"/>
    </xf>
    <xf numFmtId="3" fontId="6" fillId="14" borderId="9" xfId="0" applyNumberFormat="1" applyFont="1" applyFill="1" applyBorder="1" applyAlignment="1">
      <alignment vertical="center"/>
    </xf>
    <xf numFmtId="3" fontId="20" fillId="20" borderId="81" xfId="0" applyNumberFormat="1" applyFont="1" applyFill="1" applyBorder="1" applyAlignment="1">
      <alignment vertical="center"/>
    </xf>
    <xf numFmtId="175" fontId="20" fillId="0" borderId="82" xfId="1" applyNumberFormat="1" applyFont="1" applyFill="1" applyBorder="1" applyAlignment="1">
      <alignment vertical="center"/>
    </xf>
    <xf numFmtId="175" fontId="20" fillId="0" borderId="83" xfId="1" applyNumberFormat="1" applyFont="1" applyFill="1" applyBorder="1" applyAlignment="1">
      <alignment vertical="center"/>
    </xf>
    <xf numFmtId="175" fontId="6" fillId="0" borderId="9" xfId="1" applyNumberFormat="1" applyFont="1" applyFill="1" applyBorder="1" applyAlignment="1">
      <alignment vertical="center"/>
    </xf>
    <xf numFmtId="175" fontId="6" fillId="0" borderId="79" xfId="1" applyNumberFormat="1" applyFont="1" applyFill="1" applyBorder="1" applyAlignment="1">
      <alignment vertical="center"/>
    </xf>
    <xf numFmtId="3" fontId="20" fillId="20" borderId="82" xfId="0" applyNumberFormat="1" applyFont="1" applyFill="1" applyBorder="1" applyAlignment="1">
      <alignment vertical="center"/>
    </xf>
    <xf numFmtId="3" fontId="20" fillId="20" borderId="83" xfId="0" applyNumberFormat="1" applyFont="1" applyFill="1" applyBorder="1" applyAlignment="1">
      <alignment vertical="center"/>
    </xf>
    <xf numFmtId="176" fontId="6" fillId="0" borderId="7" xfId="2" applyNumberFormat="1" applyFont="1" applyFill="1" applyBorder="1" applyAlignment="1">
      <alignment vertical="center"/>
    </xf>
    <xf numFmtId="0" fontId="6" fillId="10" borderId="9" xfId="0" applyFont="1" applyFill="1" applyBorder="1" applyAlignment="1">
      <alignment vertical="center"/>
    </xf>
    <xf numFmtId="175" fontId="6" fillId="0" borderId="9" xfId="1" applyNumberFormat="1" applyFont="1" applyBorder="1" applyAlignment="1">
      <alignment vertical="center"/>
    </xf>
    <xf numFmtId="3" fontId="6" fillId="0" borderId="74" xfId="0" applyNumberFormat="1" applyFont="1" applyFill="1" applyBorder="1" applyAlignment="1">
      <alignment vertical="center"/>
    </xf>
    <xf numFmtId="3" fontId="6" fillId="20" borderId="74" xfId="0" applyNumberFormat="1" applyFont="1" applyFill="1" applyBorder="1" applyAlignment="1">
      <alignment vertical="center"/>
    </xf>
    <xf numFmtId="175" fontId="6" fillId="0" borderId="74" xfId="0" applyNumberFormat="1" applyFont="1" applyFill="1" applyBorder="1" applyAlignment="1">
      <alignment vertical="center"/>
    </xf>
    <xf numFmtId="0" fontId="6" fillId="0" borderId="74" xfId="0" applyFont="1" applyFill="1" applyBorder="1" applyAlignment="1">
      <alignment vertical="center"/>
    </xf>
    <xf numFmtId="0" fontId="6" fillId="0" borderId="75" xfId="0" applyFont="1" applyFill="1" applyBorder="1" applyAlignment="1">
      <alignment vertical="center"/>
    </xf>
    <xf numFmtId="175" fontId="20" fillId="0" borderId="74" xfId="0" applyNumberFormat="1" applyFont="1" applyFill="1" applyBorder="1" applyAlignment="1">
      <alignment vertical="center"/>
    </xf>
    <xf numFmtId="3" fontId="6" fillId="14" borderId="74" xfId="0" applyNumberFormat="1" applyFont="1" applyFill="1" applyBorder="1" applyAlignment="1">
      <alignment vertical="center"/>
    </xf>
    <xf numFmtId="3" fontId="6" fillId="0" borderId="75" xfId="0" applyNumberFormat="1" applyFont="1" applyFill="1" applyBorder="1" applyAlignment="1">
      <alignment vertical="center"/>
    </xf>
    <xf numFmtId="166" fontId="6" fillId="0" borderId="75" xfId="0" applyNumberFormat="1" applyFont="1" applyFill="1" applyBorder="1" applyAlignment="1">
      <alignment vertical="center"/>
    </xf>
    <xf numFmtId="3" fontId="20" fillId="20" borderId="86" xfId="0" applyNumberFormat="1" applyFont="1" applyFill="1" applyBorder="1" applyAlignment="1">
      <alignment vertical="center"/>
    </xf>
    <xf numFmtId="175" fontId="20" fillId="0" borderId="87" xfId="1" applyNumberFormat="1" applyFont="1" applyFill="1" applyBorder="1" applyAlignment="1">
      <alignment vertical="center"/>
    </xf>
    <xf numFmtId="175" fontId="20" fillId="0" borderId="88" xfId="1" applyNumberFormat="1" applyFont="1" applyFill="1" applyBorder="1" applyAlignment="1">
      <alignment vertical="center"/>
    </xf>
    <xf numFmtId="3" fontId="6" fillId="20" borderId="89" xfId="0" applyNumberFormat="1" applyFont="1" applyFill="1" applyBorder="1" applyAlignment="1">
      <alignment vertical="center"/>
    </xf>
    <xf numFmtId="175" fontId="6" fillId="0" borderId="74" xfId="1" applyNumberFormat="1" applyFont="1" applyFill="1" applyBorder="1" applyAlignment="1">
      <alignment vertical="center"/>
    </xf>
    <xf numFmtId="175" fontId="6" fillId="0" borderId="85" xfId="1" applyNumberFormat="1" applyFont="1" applyFill="1" applyBorder="1" applyAlignment="1">
      <alignment vertical="center"/>
    </xf>
    <xf numFmtId="3" fontId="20" fillId="20" borderId="87" xfId="0" applyNumberFormat="1" applyFont="1" applyFill="1" applyBorder="1" applyAlignment="1">
      <alignment vertical="center"/>
    </xf>
    <xf numFmtId="3" fontId="20" fillId="20" borderId="88" xfId="0" applyNumberFormat="1" applyFont="1" applyFill="1" applyBorder="1" applyAlignment="1">
      <alignment vertical="center"/>
    </xf>
    <xf numFmtId="176" fontId="6" fillId="0" borderId="89" xfId="2" applyNumberFormat="1" applyFont="1" applyFill="1" applyBorder="1" applyAlignment="1">
      <alignment vertical="center"/>
    </xf>
    <xf numFmtId="0" fontId="6" fillId="0" borderId="74" xfId="0" applyFont="1" applyBorder="1" applyAlignment="1">
      <alignment vertical="center"/>
    </xf>
    <xf numFmtId="0" fontId="6" fillId="10" borderId="74" xfId="0" applyFont="1" applyFill="1" applyBorder="1" applyAlignment="1">
      <alignment vertical="center"/>
    </xf>
    <xf numFmtId="175" fontId="6" fillId="0" borderId="74" xfId="1" applyNumberFormat="1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3" fontId="5" fillId="20" borderId="1" xfId="0" applyNumberFormat="1" applyFont="1" applyFill="1" applyBorder="1" applyAlignment="1">
      <alignment vertical="center"/>
    </xf>
    <xf numFmtId="3" fontId="5" fillId="20" borderId="9" xfId="0" applyNumberFormat="1" applyFont="1" applyFill="1" applyBorder="1" applyAlignment="1">
      <alignment vertical="center"/>
    </xf>
    <xf numFmtId="3" fontId="5" fillId="20" borderId="74" xfId="0" applyNumberFormat="1" applyFont="1" applyFill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5" fillId="8" borderId="64" xfId="0" applyFont="1" applyFill="1" applyBorder="1" applyAlignment="1">
      <alignment vertical="center"/>
    </xf>
    <xf numFmtId="0" fontId="5" fillId="8" borderId="64" xfId="0" applyFont="1" applyFill="1" applyBorder="1" applyAlignment="1">
      <alignment horizontal="center" vertical="center"/>
    </xf>
    <xf numFmtId="41" fontId="5" fillId="8" borderId="64" xfId="2" applyFont="1" applyFill="1" applyBorder="1" applyAlignment="1">
      <alignment vertical="center"/>
    </xf>
    <xf numFmtId="175" fontId="5" fillId="8" borderId="64" xfId="1" applyNumberFormat="1" applyFont="1" applyFill="1" applyBorder="1" applyAlignment="1">
      <alignment vertical="center"/>
    </xf>
    <xf numFmtId="0" fontId="5" fillId="0" borderId="66" xfId="0" applyFont="1" applyBorder="1" applyAlignment="1">
      <alignment horizontal="center" vertical="center"/>
    </xf>
    <xf numFmtId="0" fontId="5" fillId="8" borderId="66" xfId="0" applyFont="1" applyFill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8" borderId="66" xfId="0" applyFont="1" applyFill="1" applyBorder="1" applyAlignment="1">
      <alignment horizontal="center" vertical="center"/>
    </xf>
    <xf numFmtId="41" fontId="5" fillId="8" borderId="66" xfId="2" applyFont="1" applyFill="1" applyBorder="1" applyAlignment="1">
      <alignment vertical="center"/>
    </xf>
    <xf numFmtId="175" fontId="5" fillId="8" borderId="66" xfId="1" applyNumberFormat="1" applyFont="1" applyFill="1" applyBorder="1" applyAlignment="1">
      <alignment vertical="center"/>
    </xf>
    <xf numFmtId="3" fontId="5" fillId="8" borderId="66" xfId="0" applyNumberFormat="1" applyFont="1" applyFill="1" applyBorder="1" applyAlignment="1">
      <alignment vertical="center"/>
    </xf>
    <xf numFmtId="175" fontId="5" fillId="8" borderId="70" xfId="1" applyNumberFormat="1" applyFont="1" applyFill="1" applyBorder="1" applyAlignment="1">
      <alignment vertical="center"/>
    </xf>
    <xf numFmtId="175" fontId="5" fillId="8" borderId="1" xfId="1" applyNumberFormat="1" applyFont="1" applyFill="1" applyBorder="1" applyAlignment="1">
      <alignment vertical="center"/>
    </xf>
    <xf numFmtId="175" fontId="5" fillId="8" borderId="9" xfId="1" applyNumberFormat="1" applyFont="1" applyFill="1" applyBorder="1" applyAlignment="1">
      <alignment vertical="center"/>
    </xf>
    <xf numFmtId="175" fontId="5" fillId="8" borderId="74" xfId="1" applyNumberFormat="1" applyFont="1" applyFill="1" applyBorder="1" applyAlignment="1">
      <alignment vertical="center"/>
    </xf>
    <xf numFmtId="2" fontId="5" fillId="0" borderId="0" xfId="0" applyNumberFormat="1" applyFont="1" applyBorder="1" applyAlignment="1">
      <alignment vertical="center"/>
    </xf>
    <xf numFmtId="166" fontId="6" fillId="11" borderId="91" xfId="0" applyNumberFormat="1" applyFont="1" applyFill="1" applyBorder="1" applyAlignment="1">
      <alignment vertical="center"/>
    </xf>
    <xf numFmtId="166" fontId="6" fillId="0" borderId="92" xfId="0" applyNumberFormat="1" applyFont="1" applyFill="1" applyBorder="1" applyAlignment="1">
      <alignment vertical="center"/>
    </xf>
    <xf numFmtId="166" fontId="6" fillId="0" borderId="91" xfId="0" applyNumberFormat="1" applyFont="1" applyFill="1" applyBorder="1" applyAlignment="1">
      <alignment vertical="center"/>
    </xf>
    <xf numFmtId="2" fontId="6" fillId="0" borderId="92" xfId="0" applyNumberFormat="1" applyFont="1" applyFill="1" applyBorder="1" applyAlignment="1">
      <alignment vertical="center"/>
    </xf>
    <xf numFmtId="2" fontId="6" fillId="0" borderId="91" xfId="0" applyNumberFormat="1" applyFont="1" applyFill="1" applyBorder="1" applyAlignment="1">
      <alignment vertical="center"/>
    </xf>
    <xf numFmtId="0" fontId="6" fillId="0" borderId="92" xfId="0" applyFont="1" applyFill="1" applyBorder="1" applyAlignment="1">
      <alignment vertical="center"/>
    </xf>
    <xf numFmtId="0" fontId="6" fillId="0" borderId="91" xfId="0" applyFont="1" applyFill="1" applyBorder="1" applyAlignment="1">
      <alignment vertical="center"/>
    </xf>
    <xf numFmtId="166" fontId="6" fillId="11" borderId="1" xfId="0" applyNumberFormat="1" applyFont="1" applyFill="1" applyBorder="1" applyAlignment="1">
      <alignment vertical="center"/>
    </xf>
    <xf numFmtId="2" fontId="6" fillId="0" borderId="1" xfId="0" applyNumberFormat="1" applyFont="1" applyFill="1" applyBorder="1" applyAlignment="1">
      <alignment vertical="center"/>
    </xf>
    <xf numFmtId="169" fontId="6" fillId="0" borderId="1" xfId="1" applyNumberFormat="1" applyFont="1" applyFill="1" applyBorder="1" applyAlignment="1">
      <alignment vertical="center"/>
    </xf>
    <xf numFmtId="169" fontId="6" fillId="13" borderId="1" xfId="1" applyNumberFormat="1" applyFont="1" applyFill="1" applyBorder="1" applyAlignment="1">
      <alignment vertical="center"/>
    </xf>
    <xf numFmtId="169" fontId="6" fillId="4" borderId="1" xfId="1" applyNumberFormat="1" applyFont="1" applyFill="1" applyBorder="1" applyAlignment="1">
      <alignment vertical="center"/>
    </xf>
    <xf numFmtId="169" fontId="6" fillId="11" borderId="1" xfId="1" applyNumberFormat="1" applyFont="1" applyFill="1" applyBorder="1" applyAlignment="1">
      <alignment vertical="center"/>
    </xf>
    <xf numFmtId="166" fontId="6" fillId="11" borderId="75" xfId="0" applyNumberFormat="1" applyFont="1" applyFill="1" applyBorder="1" applyAlignment="1">
      <alignment vertical="center"/>
    </xf>
    <xf numFmtId="166" fontId="6" fillId="0" borderId="74" xfId="0" applyNumberFormat="1" applyFont="1" applyFill="1" applyBorder="1" applyAlignment="1">
      <alignment vertical="center"/>
    </xf>
    <xf numFmtId="2" fontId="6" fillId="0" borderId="74" xfId="0" applyNumberFormat="1" applyFont="1" applyFill="1" applyBorder="1" applyAlignment="1">
      <alignment vertical="center"/>
    </xf>
    <xf numFmtId="2" fontId="6" fillId="0" borderId="75" xfId="0" applyNumberFormat="1" applyFont="1" applyFill="1" applyBorder="1" applyAlignment="1">
      <alignment vertical="center"/>
    </xf>
    <xf numFmtId="4" fontId="6" fillId="0" borderId="74" xfId="1" applyNumberFormat="1" applyFont="1" applyFill="1" applyBorder="1" applyAlignment="1">
      <alignment vertical="center"/>
    </xf>
    <xf numFmtId="169" fontId="6" fillId="13" borderId="75" xfId="1" applyNumberFormat="1" applyFont="1" applyFill="1" applyBorder="1" applyAlignment="1">
      <alignment vertical="center"/>
    </xf>
    <xf numFmtId="169" fontId="6" fillId="4" borderId="74" xfId="1" applyNumberFormat="1" applyFont="1" applyFill="1" applyBorder="1" applyAlignment="1">
      <alignment vertical="center"/>
    </xf>
    <xf numFmtId="169" fontId="6" fillId="4" borderId="75" xfId="1" applyNumberFormat="1" applyFont="1" applyFill="1" applyBorder="1" applyAlignment="1">
      <alignment vertical="center"/>
    </xf>
    <xf numFmtId="169" fontId="6" fillId="11" borderId="74" xfId="1" applyNumberFormat="1" applyFont="1" applyFill="1" applyBorder="1" applyAlignment="1">
      <alignment vertical="center"/>
    </xf>
    <xf numFmtId="169" fontId="6" fillId="11" borderId="75" xfId="1" applyNumberFormat="1" applyFont="1" applyFill="1" applyBorder="1" applyAlignment="1">
      <alignment vertical="center"/>
    </xf>
    <xf numFmtId="169" fontId="6" fillId="0" borderId="74" xfId="1" applyNumberFormat="1" applyFont="1" applyFill="1" applyBorder="1" applyAlignment="1">
      <alignment vertical="center"/>
    </xf>
    <xf numFmtId="169" fontId="6" fillId="0" borderId="75" xfId="1" applyNumberFormat="1" applyFont="1" applyFill="1" applyBorder="1" applyAlignment="1">
      <alignment vertical="center"/>
    </xf>
    <xf numFmtId="0" fontId="6" fillId="0" borderId="76" xfId="0" applyFont="1" applyBorder="1" applyAlignment="1">
      <alignment vertical="center"/>
    </xf>
    <xf numFmtId="0" fontId="6" fillId="0" borderId="90" xfId="0" applyFont="1" applyBorder="1" applyAlignment="1">
      <alignment vertical="center"/>
    </xf>
    <xf numFmtId="0" fontId="6" fillId="0" borderId="77" xfId="0" applyFont="1" applyBorder="1" applyAlignment="1">
      <alignment vertical="center"/>
    </xf>
    <xf numFmtId="41" fontId="6" fillId="0" borderId="0" xfId="2" applyFont="1" applyBorder="1" applyAlignment="1">
      <alignment vertical="center"/>
    </xf>
    <xf numFmtId="166" fontId="5" fillId="0" borderId="56" xfId="0" applyNumberFormat="1" applyFont="1" applyBorder="1" applyAlignment="1">
      <alignment vertical="center"/>
    </xf>
    <xf numFmtId="175" fontId="5" fillId="0" borderId="60" xfId="1" applyNumberFormat="1" applyFont="1" applyFill="1" applyBorder="1" applyAlignment="1">
      <alignment vertical="center"/>
    </xf>
    <xf numFmtId="175" fontId="5" fillId="0" borderId="1" xfId="1" applyNumberFormat="1" applyFont="1" applyFill="1" applyBorder="1" applyAlignment="1">
      <alignment vertical="center"/>
    </xf>
    <xf numFmtId="1" fontId="5" fillId="0" borderId="1" xfId="0" applyNumberFormat="1" applyFont="1" applyFill="1" applyBorder="1" applyAlignment="1">
      <alignment vertical="center"/>
    </xf>
    <xf numFmtId="1" fontId="5" fillId="0" borderId="9" xfId="0" applyNumberFormat="1" applyFont="1" applyFill="1" applyBorder="1" applyAlignment="1">
      <alignment vertical="center"/>
    </xf>
    <xf numFmtId="4" fontId="6" fillId="0" borderId="60" xfId="0" applyNumberFormat="1" applyFont="1" applyFill="1" applyBorder="1" applyAlignment="1">
      <alignment vertical="center"/>
    </xf>
    <xf numFmtId="172" fontId="9" fillId="0" borderId="60" xfId="2" applyNumberFormat="1" applyFont="1" applyFill="1" applyBorder="1" applyAlignment="1">
      <alignment vertical="center"/>
    </xf>
    <xf numFmtId="0" fontId="6" fillId="0" borderId="61" xfId="0" applyFont="1" applyFill="1" applyBorder="1" applyAlignment="1">
      <alignment vertical="center"/>
    </xf>
    <xf numFmtId="4" fontId="6" fillId="0" borderId="1" xfId="0" applyNumberFormat="1" applyFont="1" applyFill="1" applyBorder="1" applyAlignment="1">
      <alignment vertical="center"/>
    </xf>
    <xf numFmtId="172" fontId="9" fillId="0" borderId="1" xfId="2" applyNumberFormat="1" applyFont="1" applyFill="1" applyBorder="1" applyAlignment="1">
      <alignment vertical="center"/>
    </xf>
    <xf numFmtId="4" fontId="6" fillId="0" borderId="74" xfId="0" applyNumberFormat="1" applyFont="1" applyFill="1" applyBorder="1" applyAlignment="1">
      <alignment vertical="center"/>
    </xf>
    <xf numFmtId="4" fontId="6" fillId="0" borderId="75" xfId="0" applyNumberFormat="1" applyFont="1" applyFill="1" applyBorder="1" applyAlignment="1">
      <alignment vertical="center"/>
    </xf>
    <xf numFmtId="172" fontId="9" fillId="0" borderId="74" xfId="2" applyNumberFormat="1" applyFont="1" applyFill="1" applyBorder="1" applyAlignment="1">
      <alignment vertical="center"/>
    </xf>
    <xf numFmtId="172" fontId="9" fillId="0" borderId="75" xfId="2" applyNumberFormat="1" applyFont="1" applyFill="1" applyBorder="1" applyAlignment="1">
      <alignment vertical="center"/>
    </xf>
    <xf numFmtId="0" fontId="6" fillId="0" borderId="76" xfId="0" applyFont="1" applyFill="1" applyBorder="1" applyAlignment="1">
      <alignment vertical="center"/>
    </xf>
    <xf numFmtId="0" fontId="6" fillId="0" borderId="90" xfId="0" applyFont="1" applyFill="1" applyBorder="1" applyAlignment="1">
      <alignment vertical="center"/>
    </xf>
    <xf numFmtId="0" fontId="6" fillId="0" borderId="77" xfId="0" applyFont="1" applyFill="1" applyBorder="1" applyAlignment="1">
      <alignment vertical="center"/>
    </xf>
    <xf numFmtId="3" fontId="5" fillId="5" borderId="68" xfId="0" applyNumberFormat="1" applyFont="1" applyFill="1" applyBorder="1" applyAlignment="1">
      <alignment vertical="center"/>
    </xf>
    <xf numFmtId="3" fontId="5" fillId="5" borderId="1" xfId="0" applyNumberFormat="1" applyFont="1" applyFill="1" applyBorder="1" applyAlignment="1">
      <alignment vertical="center"/>
    </xf>
    <xf numFmtId="166" fontId="16" fillId="0" borderId="56" xfId="0" applyNumberFormat="1" applyFont="1" applyBorder="1" applyAlignment="1">
      <alignment vertical="center"/>
    </xf>
    <xf numFmtId="1" fontId="5" fillId="0" borderId="79" xfId="0" applyNumberFormat="1" applyFont="1" applyFill="1" applyBorder="1" applyAlignment="1">
      <alignment vertical="center"/>
    </xf>
    <xf numFmtId="3" fontId="5" fillId="0" borderId="1" xfId="0" applyNumberFormat="1" applyFont="1" applyFill="1" applyBorder="1" applyAlignment="1">
      <alignment vertical="center"/>
    </xf>
    <xf numFmtId="3" fontId="5" fillId="4" borderId="56" xfId="0" applyNumberFormat="1" applyFont="1" applyFill="1" applyBorder="1" applyAlignment="1">
      <alignment vertical="center"/>
    </xf>
    <xf numFmtId="175" fontId="33" fillId="0" borderId="9" xfId="0" applyNumberFormat="1" applyFont="1" applyFill="1" applyBorder="1" applyAlignment="1">
      <alignment vertical="center"/>
    </xf>
    <xf numFmtId="3" fontId="5" fillId="0" borderId="74" xfId="0" applyNumberFormat="1" applyFont="1" applyFill="1" applyBorder="1" applyAlignment="1">
      <alignment vertical="center"/>
    </xf>
    <xf numFmtId="2" fontId="5" fillId="0" borderId="68" xfId="0" applyNumberFormat="1" applyFont="1" applyBorder="1" applyAlignment="1">
      <alignment vertical="center"/>
    </xf>
    <xf numFmtId="3" fontId="5" fillId="0" borderId="60" xfId="0" applyNumberFormat="1" applyFont="1" applyBorder="1" applyAlignment="1">
      <alignment vertical="center"/>
    </xf>
    <xf numFmtId="3" fontId="5" fillId="17" borderId="1" xfId="0" applyNumberFormat="1" applyFont="1" applyFill="1" applyBorder="1" applyAlignment="1">
      <alignment vertical="center"/>
    </xf>
    <xf numFmtId="175" fontId="34" fillId="0" borderId="1" xfId="1" applyNumberFormat="1" applyFont="1" applyFill="1" applyBorder="1" applyAlignment="1">
      <alignment vertical="center"/>
    </xf>
    <xf numFmtId="175" fontId="34" fillId="0" borderId="9" xfId="1" applyNumberFormat="1" applyFont="1" applyFill="1" applyBorder="1" applyAlignment="1">
      <alignment vertical="center"/>
    </xf>
    <xf numFmtId="41" fontId="5" fillId="17" borderId="1" xfId="2" applyFont="1" applyFill="1" applyBorder="1" applyAlignment="1">
      <alignment vertical="center"/>
    </xf>
    <xf numFmtId="172" fontId="9" fillId="0" borderId="92" xfId="2" applyNumberFormat="1" applyFont="1" applyFill="1" applyBorder="1" applyAlignment="1">
      <alignment vertical="center"/>
    </xf>
    <xf numFmtId="172" fontId="9" fillId="0" borderId="91" xfId="2" applyNumberFormat="1" applyFont="1" applyFill="1" applyBorder="1" applyAlignment="1">
      <alignment vertical="center"/>
    </xf>
    <xf numFmtId="176" fontId="6" fillId="0" borderId="92" xfId="2" applyNumberFormat="1" applyFont="1" applyFill="1" applyBorder="1" applyAlignment="1">
      <alignment vertical="center"/>
    </xf>
    <xf numFmtId="176" fontId="6" fillId="0" borderId="91" xfId="2" applyNumberFormat="1" applyFont="1" applyFill="1" applyBorder="1" applyAlignment="1">
      <alignment vertical="center"/>
    </xf>
    <xf numFmtId="0" fontId="6" fillId="0" borderId="93" xfId="0" applyFont="1" applyFill="1" applyBorder="1" applyAlignment="1">
      <alignment vertical="center"/>
    </xf>
    <xf numFmtId="175" fontId="5" fillId="0" borderId="56" xfId="1" applyNumberFormat="1" applyFont="1" applyFill="1" applyBorder="1" applyAlignment="1">
      <alignment vertical="center"/>
    </xf>
    <xf numFmtId="175" fontId="5" fillId="20" borderId="1" xfId="1" applyNumberFormat="1" applyFont="1" applyFill="1" applyBorder="1" applyAlignment="1">
      <alignment vertical="center"/>
    </xf>
    <xf numFmtId="175" fontId="5" fillId="20" borderId="65" xfId="1" applyNumberFormat="1" applyFont="1" applyFill="1" applyBorder="1" applyAlignment="1">
      <alignment vertical="center"/>
    </xf>
    <xf numFmtId="175" fontId="5" fillId="20" borderId="79" xfId="1" applyNumberFormat="1" applyFont="1" applyFill="1" applyBorder="1" applyAlignment="1">
      <alignment vertical="center"/>
    </xf>
    <xf numFmtId="175" fontId="5" fillId="20" borderId="74" xfId="1" applyNumberFormat="1" applyFont="1" applyFill="1" applyBorder="1" applyAlignment="1">
      <alignment vertical="center"/>
    </xf>
    <xf numFmtId="41" fontId="5" fillId="0" borderId="8" xfId="2" applyFont="1" applyFill="1" applyBorder="1" applyAlignment="1">
      <alignment horizontal="center" vertical="center"/>
    </xf>
    <xf numFmtId="3" fontId="5" fillId="0" borderId="56" xfId="0" applyNumberFormat="1" applyFont="1" applyFill="1" applyBorder="1" applyAlignment="1">
      <alignment vertical="center"/>
    </xf>
    <xf numFmtId="3" fontId="5" fillId="20" borderId="60" xfId="0" applyNumberFormat="1" applyFont="1" applyFill="1" applyBorder="1" applyAlignment="1">
      <alignment vertical="center"/>
    </xf>
    <xf numFmtId="41" fontId="5" fillId="5" borderId="68" xfId="2" applyFont="1" applyFill="1" applyBorder="1" applyAlignment="1">
      <alignment vertical="center"/>
    </xf>
    <xf numFmtId="41" fontId="5" fillId="5" borderId="1" xfId="2" applyFont="1" applyFill="1" applyBorder="1" applyAlignment="1">
      <alignment vertical="center"/>
    </xf>
    <xf numFmtId="41" fontId="34" fillId="0" borderId="8" xfId="0" applyNumberFormat="1" applyFont="1" applyFill="1" applyBorder="1" applyAlignment="1">
      <alignment horizontal="center" vertical="center"/>
    </xf>
    <xf numFmtId="0" fontId="34" fillId="5" borderId="38" xfId="0" applyFont="1" applyFill="1" applyBorder="1" applyAlignment="1">
      <alignment vertical="center"/>
    </xf>
    <xf numFmtId="41" fontId="34" fillId="5" borderId="68" xfId="0" applyNumberFormat="1" applyFont="1" applyFill="1" applyBorder="1" applyAlignment="1">
      <alignment vertical="center"/>
    </xf>
    <xf numFmtId="41" fontId="34" fillId="5" borderId="1" xfId="0" applyNumberFormat="1" applyFont="1" applyFill="1" applyBorder="1" applyAlignment="1">
      <alignment vertical="center"/>
    </xf>
    <xf numFmtId="41" fontId="6" fillId="0" borderId="1" xfId="2" applyNumberFormat="1" applyFont="1" applyFill="1" applyBorder="1" applyAlignment="1">
      <alignment vertical="center"/>
    </xf>
    <xf numFmtId="3" fontId="20" fillId="0" borderId="0" xfId="0" applyNumberFormat="1" applyFont="1" applyBorder="1" applyAlignment="1">
      <alignment horizontal="center" vertical="center"/>
    </xf>
    <xf numFmtId="0" fontId="5" fillId="13" borderId="84" xfId="0" applyFont="1" applyFill="1" applyBorder="1" applyAlignment="1">
      <alignment horizontal="center" vertical="center"/>
    </xf>
    <xf numFmtId="0" fontId="5" fillId="13" borderId="73" xfId="0" applyFont="1" applyFill="1" applyBorder="1" applyAlignment="1">
      <alignment horizontal="center" vertical="center"/>
    </xf>
    <xf numFmtId="41" fontId="5" fillId="0" borderId="1" xfId="2" applyNumberFormat="1" applyFont="1" applyFill="1" applyBorder="1" applyAlignment="1">
      <alignment vertical="center"/>
    </xf>
    <xf numFmtId="0" fontId="4" fillId="0" borderId="0" xfId="0" applyFont="1"/>
    <xf numFmtId="0" fontId="35" fillId="0" borderId="0" xfId="0" applyFont="1"/>
    <xf numFmtId="0" fontId="35" fillId="13" borderId="1" xfId="0" applyFont="1" applyFill="1" applyBorder="1" applyAlignment="1">
      <alignment horizontal="center" vertical="center"/>
    </xf>
    <xf numFmtId="0" fontId="35" fillId="13" borderId="1" xfId="0" applyFont="1" applyFill="1" applyBorder="1"/>
    <xf numFmtId="0" fontId="35" fillId="0" borderId="0" xfId="0" applyFont="1" applyBorder="1"/>
    <xf numFmtId="0" fontId="35" fillId="13" borderId="1" xfId="0" quotePrefix="1" applyFont="1" applyFill="1" applyBorder="1" applyAlignment="1">
      <alignment horizontal="left" vertical="center"/>
    </xf>
    <xf numFmtId="0" fontId="35" fillId="13" borderId="1" xfId="0" quotePrefix="1" applyFont="1" applyFill="1" applyBorder="1" applyAlignment="1">
      <alignment horizontal="center" vertical="center"/>
    </xf>
    <xf numFmtId="0" fontId="35" fillId="1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5" fillId="13" borderId="0" xfId="0" applyFont="1" applyFill="1" applyBorder="1" applyAlignment="1">
      <alignment horizontal="center" vertical="center"/>
    </xf>
    <xf numFmtId="0" fontId="35" fillId="13" borderId="0" xfId="0" applyFont="1" applyFill="1" applyBorder="1"/>
    <xf numFmtId="0" fontId="0" fillId="0" borderId="1" xfId="0" applyBorder="1" applyAlignment="1">
      <alignment horizontal="center"/>
    </xf>
    <xf numFmtId="0" fontId="25" fillId="0" borderId="0" xfId="0" applyFont="1" applyBorder="1" applyAlignment="1">
      <alignment horizontal="left"/>
    </xf>
    <xf numFmtId="3" fontId="36" fillId="19" borderId="56" xfId="0" applyNumberFormat="1" applyFont="1" applyFill="1" applyBorder="1" applyAlignment="1">
      <alignment vertical="center"/>
    </xf>
    <xf numFmtId="0" fontId="36" fillId="0" borderId="56" xfId="0" applyFont="1" applyBorder="1" applyAlignment="1">
      <alignment vertical="center"/>
    </xf>
    <xf numFmtId="3" fontId="36" fillId="0" borderId="56" xfId="0" applyNumberFormat="1" applyFont="1" applyFill="1" applyBorder="1" applyAlignment="1">
      <alignment vertical="center"/>
    </xf>
    <xf numFmtId="3" fontId="36" fillId="0" borderId="56" xfId="0" applyNumberFormat="1" applyFont="1" applyBorder="1" applyAlignment="1">
      <alignment vertical="center"/>
    </xf>
    <xf numFmtId="3" fontId="36" fillId="13" borderId="56" xfId="0" applyNumberFormat="1" applyFont="1" applyFill="1" applyBorder="1" applyAlignment="1">
      <alignment vertical="center"/>
    </xf>
    <xf numFmtId="175" fontId="36" fillId="0" borderId="56" xfId="1" applyNumberFormat="1" applyFont="1" applyBorder="1" applyAlignment="1">
      <alignment vertical="center"/>
    </xf>
    <xf numFmtId="167" fontId="36" fillId="19" borderId="56" xfId="0" applyNumberFormat="1" applyFont="1" applyFill="1" applyBorder="1" applyAlignment="1">
      <alignment vertical="center"/>
    </xf>
    <xf numFmtId="166" fontId="36" fillId="19" borderId="56" xfId="0" applyNumberFormat="1" applyFont="1" applyFill="1" applyBorder="1" applyAlignment="1">
      <alignment vertical="center"/>
    </xf>
    <xf numFmtId="0" fontId="36" fillId="6" borderId="56" xfId="0" applyFont="1" applyFill="1" applyBorder="1" applyAlignment="1">
      <alignment vertical="center"/>
    </xf>
    <xf numFmtId="43" fontId="36" fillId="0" borderId="56" xfId="0" applyNumberFormat="1" applyFont="1" applyBorder="1" applyAlignment="1">
      <alignment vertical="center"/>
    </xf>
    <xf numFmtId="166" fontId="22" fillId="19" borderId="56" xfId="0" applyNumberFormat="1" applyFont="1" applyFill="1" applyBorder="1" applyAlignment="1">
      <alignment vertical="center"/>
    </xf>
    <xf numFmtId="175" fontId="36" fillId="0" borderId="56" xfId="0" applyNumberFormat="1" applyFont="1" applyBorder="1" applyAlignment="1">
      <alignment vertical="center"/>
    </xf>
    <xf numFmtId="0" fontId="36" fillId="0" borderId="57" xfId="0" applyFont="1" applyBorder="1" applyAlignment="1">
      <alignment vertical="center"/>
    </xf>
    <xf numFmtId="175" fontId="6" fillId="13" borderId="1" xfId="1" applyNumberFormat="1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6" fillId="13" borderId="9" xfId="0" applyFont="1" applyFill="1" applyBorder="1" applyAlignment="1">
      <alignment vertical="center"/>
    </xf>
    <xf numFmtId="0" fontId="6" fillId="13" borderId="74" xfId="0" applyFont="1" applyFill="1" applyBorder="1" applyAlignment="1">
      <alignment vertical="center"/>
    </xf>
    <xf numFmtId="3" fontId="5" fillId="13" borderId="1" xfId="0" applyNumberFormat="1" applyFont="1" applyFill="1" applyBorder="1" applyAlignment="1">
      <alignment vertical="center"/>
    </xf>
    <xf numFmtId="3" fontId="5" fillId="13" borderId="9" xfId="0" applyNumberFormat="1" applyFont="1" applyFill="1" applyBorder="1" applyAlignment="1">
      <alignment vertical="center"/>
    </xf>
    <xf numFmtId="3" fontId="5" fillId="13" borderId="74" xfId="0" applyNumberFormat="1" applyFont="1" applyFill="1" applyBorder="1" applyAlignment="1">
      <alignment vertical="center"/>
    </xf>
    <xf numFmtId="175" fontId="6" fillId="13" borderId="1" xfId="0" applyNumberFormat="1" applyFont="1" applyFill="1" applyBorder="1" applyAlignment="1">
      <alignment vertical="center"/>
    </xf>
    <xf numFmtId="175" fontId="6" fillId="13" borderId="9" xfId="0" applyNumberFormat="1" applyFont="1" applyFill="1" applyBorder="1" applyAlignment="1">
      <alignment vertical="center"/>
    </xf>
    <xf numFmtId="175" fontId="6" fillId="13" borderId="74" xfId="0" applyNumberFormat="1" applyFont="1" applyFill="1" applyBorder="1" applyAlignment="1">
      <alignment vertical="center"/>
    </xf>
    <xf numFmtId="175" fontId="6" fillId="13" borderId="9" xfId="1" applyNumberFormat="1" applyFont="1" applyFill="1" applyBorder="1" applyAlignment="1">
      <alignment vertical="center"/>
    </xf>
    <xf numFmtId="175" fontId="6" fillId="13" borderId="74" xfId="1" applyNumberFormat="1" applyFont="1" applyFill="1" applyBorder="1" applyAlignment="1">
      <alignment vertical="center"/>
    </xf>
    <xf numFmtId="3" fontId="36" fillId="21" borderId="56" xfId="0" applyNumberFormat="1" applyFont="1" applyFill="1" applyBorder="1" applyAlignment="1">
      <alignment vertical="center"/>
    </xf>
    <xf numFmtId="175" fontId="36" fillId="21" borderId="56" xfId="0" applyNumberFormat="1" applyFont="1" applyFill="1" applyBorder="1" applyAlignment="1">
      <alignment vertical="center"/>
    </xf>
    <xf numFmtId="175" fontId="36" fillId="21" borderId="56" xfId="1" applyNumberFormat="1" applyFont="1" applyFill="1" applyBorder="1" applyAlignment="1">
      <alignment vertical="center"/>
    </xf>
    <xf numFmtId="166" fontId="36" fillId="21" borderId="56" xfId="0" applyNumberFormat="1" applyFont="1" applyFill="1" applyBorder="1" applyAlignment="1">
      <alignment vertical="center"/>
    </xf>
    <xf numFmtId="175" fontId="22" fillId="21" borderId="56" xfId="1" applyNumberFormat="1" applyFont="1" applyFill="1" applyBorder="1" applyAlignment="1">
      <alignment vertical="center"/>
    </xf>
    <xf numFmtId="175" fontId="13" fillId="21" borderId="56" xfId="1" applyNumberFormat="1" applyFont="1" applyFill="1" applyBorder="1" applyAlignment="1">
      <alignment vertical="center"/>
    </xf>
    <xf numFmtId="175" fontId="6" fillId="21" borderId="56" xfId="1" applyNumberFormat="1" applyFont="1" applyFill="1" applyBorder="1" applyAlignment="1">
      <alignment vertical="center"/>
    </xf>
    <xf numFmtId="3" fontId="36" fillId="13" borderId="0" xfId="0" applyNumberFormat="1" applyFont="1" applyFill="1" applyBorder="1" applyAlignment="1">
      <alignment vertical="center"/>
    </xf>
    <xf numFmtId="3" fontId="22" fillId="13" borderId="0" xfId="0" applyNumberFormat="1" applyFont="1" applyFill="1" applyBorder="1" applyAlignment="1">
      <alignment vertical="center"/>
    </xf>
    <xf numFmtId="0" fontId="12" fillId="13" borderId="0" xfId="0" applyFont="1" applyFill="1" applyAlignment="1">
      <alignment vertical="center"/>
    </xf>
    <xf numFmtId="0" fontId="13" fillId="13" borderId="0" xfId="0" applyFont="1" applyFill="1" applyBorder="1" applyAlignment="1">
      <alignment horizontal="center" vertical="center"/>
    </xf>
    <xf numFmtId="175" fontId="36" fillId="13" borderId="0" xfId="0" applyNumberFormat="1" applyFont="1" applyFill="1" applyBorder="1" applyAlignment="1">
      <alignment vertical="center"/>
    </xf>
    <xf numFmtId="0" fontId="36" fillId="13" borderId="0" xfId="0" applyFont="1" applyFill="1" applyBorder="1" applyAlignment="1">
      <alignment vertical="center"/>
    </xf>
    <xf numFmtId="175" fontId="22" fillId="13" borderId="0" xfId="1" applyNumberFormat="1" applyFont="1" applyFill="1" applyBorder="1" applyAlignment="1">
      <alignment vertical="center"/>
    </xf>
    <xf numFmtId="175" fontId="22" fillId="13" borderId="0" xfId="0" applyNumberFormat="1" applyFont="1" applyFill="1" applyBorder="1" applyAlignment="1">
      <alignment vertical="center"/>
    </xf>
    <xf numFmtId="175" fontId="36" fillId="13" borderId="0" xfId="1" applyNumberFormat="1" applyFont="1" applyFill="1" applyBorder="1" applyAlignment="1">
      <alignment vertical="center"/>
    </xf>
    <xf numFmtId="167" fontId="36" fillId="13" borderId="0" xfId="0" applyNumberFormat="1" applyFont="1" applyFill="1" applyBorder="1" applyAlignment="1">
      <alignment vertical="center"/>
    </xf>
    <xf numFmtId="166" fontId="36" fillId="13" borderId="0" xfId="0" applyNumberFormat="1" applyFont="1" applyFill="1" applyBorder="1" applyAlignment="1">
      <alignment vertical="center"/>
    </xf>
    <xf numFmtId="43" fontId="36" fillId="13" borderId="0" xfId="0" applyNumberFormat="1" applyFont="1" applyFill="1" applyBorder="1" applyAlignment="1">
      <alignment vertical="center"/>
    </xf>
    <xf numFmtId="166" fontId="22" fillId="13" borderId="0" xfId="0" applyNumberFormat="1" applyFont="1" applyFill="1" applyBorder="1" applyAlignment="1">
      <alignment vertical="center"/>
    </xf>
    <xf numFmtId="0" fontId="5" fillId="0" borderId="56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vertical="center"/>
    </xf>
    <xf numFmtId="166" fontId="5" fillId="0" borderId="60" xfId="0" applyNumberFormat="1" applyFont="1" applyFill="1" applyBorder="1" applyAlignment="1">
      <alignment vertical="center"/>
    </xf>
    <xf numFmtId="171" fontId="5" fillId="0" borderId="0" xfId="0" applyNumberFormat="1" applyFont="1" applyAlignment="1">
      <alignment vertical="center"/>
    </xf>
    <xf numFmtId="166" fontId="5" fillId="0" borderId="0" xfId="0" applyNumberFormat="1" applyFont="1" applyBorder="1" applyAlignment="1">
      <alignment vertical="center"/>
    </xf>
    <xf numFmtId="4" fontId="5" fillId="0" borderId="1" xfId="0" applyNumberFormat="1" applyFont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176" fontId="5" fillId="0" borderId="1" xfId="2" applyNumberFormat="1" applyFont="1" applyBorder="1" applyAlignment="1">
      <alignment vertical="center"/>
    </xf>
    <xf numFmtId="166" fontId="33" fillId="0" borderId="0" xfId="0" applyNumberFormat="1" applyFont="1" applyBorder="1" applyAlignment="1">
      <alignment vertical="center"/>
    </xf>
    <xf numFmtId="0" fontId="5" fillId="0" borderId="56" xfId="0" applyFont="1" applyBorder="1" applyAlignment="1">
      <alignment horizontal="center" vertical="center"/>
    </xf>
    <xf numFmtId="0" fontId="5" fillId="7" borderId="56" xfId="0" applyFont="1" applyFill="1" applyBorder="1" applyAlignment="1">
      <alignment horizontal="center" vertical="center"/>
    </xf>
    <xf numFmtId="0" fontId="5" fillId="7" borderId="56" xfId="0" applyFont="1" applyFill="1" applyBorder="1" applyAlignment="1">
      <alignment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vertical="center"/>
    </xf>
    <xf numFmtId="175" fontId="5" fillId="7" borderId="60" xfId="1" applyNumberFormat="1" applyFont="1" applyFill="1" applyBorder="1" applyAlignment="1">
      <alignment vertical="center"/>
    </xf>
    <xf numFmtId="175" fontId="5" fillId="7" borderId="1" xfId="1" applyNumberFormat="1" applyFont="1" applyFill="1" applyBorder="1" applyAlignment="1">
      <alignment vertical="center"/>
    </xf>
    <xf numFmtId="175" fontId="5" fillId="7" borderId="9" xfId="1" applyNumberFormat="1" applyFont="1" applyFill="1" applyBorder="1" applyAlignment="1">
      <alignment vertical="center"/>
    </xf>
    <xf numFmtId="175" fontId="5" fillId="7" borderId="74" xfId="1" applyNumberFormat="1" applyFont="1" applyFill="1" applyBorder="1" applyAlignment="1">
      <alignment vertical="center"/>
    </xf>
    <xf numFmtId="175" fontId="19" fillId="7" borderId="1" xfId="1" applyNumberFormat="1" applyFont="1" applyFill="1" applyBorder="1" applyAlignment="1">
      <alignment vertical="center"/>
    </xf>
    <xf numFmtId="166" fontId="5" fillId="20" borderId="1" xfId="0" applyNumberFormat="1" applyFont="1" applyFill="1" applyBorder="1" applyAlignment="1">
      <alignment vertical="center"/>
    </xf>
    <xf numFmtId="166" fontId="5" fillId="20" borderId="9" xfId="0" applyNumberFormat="1" applyFont="1" applyFill="1" applyBorder="1" applyAlignment="1">
      <alignment vertical="center"/>
    </xf>
    <xf numFmtId="175" fontId="5" fillId="20" borderId="9" xfId="1" applyNumberFormat="1" applyFont="1" applyFill="1" applyBorder="1" applyAlignment="1">
      <alignment vertical="center"/>
    </xf>
    <xf numFmtId="175" fontId="5" fillId="20" borderId="78" xfId="1" applyNumberFormat="1" applyFont="1" applyFill="1" applyBorder="1" applyAlignment="1">
      <alignment vertical="center"/>
    </xf>
    <xf numFmtId="175" fontId="5" fillId="20" borderId="80" xfId="1" applyNumberFormat="1" applyFont="1" applyFill="1" applyBorder="1" applyAlignment="1">
      <alignment vertical="center"/>
    </xf>
    <xf numFmtId="0" fontId="6" fillId="8" borderId="66" xfId="0" applyFont="1" applyFill="1" applyBorder="1" applyAlignment="1">
      <alignment vertical="center"/>
    </xf>
    <xf numFmtId="0" fontId="6" fillId="0" borderId="71" xfId="0" applyFont="1" applyBorder="1" applyAlignment="1">
      <alignment horizontal="center" vertical="center"/>
    </xf>
    <xf numFmtId="0" fontId="6" fillId="0" borderId="46" xfId="0" applyFont="1" applyBorder="1" applyAlignment="1">
      <alignment vertical="center"/>
    </xf>
    <xf numFmtId="0" fontId="6" fillId="8" borderId="66" xfId="0" applyFont="1" applyFill="1" applyBorder="1" applyAlignment="1">
      <alignment horizontal="center" vertical="center"/>
    </xf>
    <xf numFmtId="41" fontId="6" fillId="8" borderId="66" xfId="2" applyFont="1" applyFill="1" applyBorder="1" applyAlignment="1">
      <alignment vertical="center"/>
    </xf>
    <xf numFmtId="175" fontId="6" fillId="8" borderId="66" xfId="1" applyNumberFormat="1" applyFont="1" applyFill="1" applyBorder="1" applyAlignment="1">
      <alignment vertical="center"/>
    </xf>
    <xf numFmtId="3" fontId="6" fillId="8" borderId="66" xfId="0" applyNumberFormat="1" applyFont="1" applyFill="1" applyBorder="1" applyAlignment="1">
      <alignment vertical="center"/>
    </xf>
    <xf numFmtId="175" fontId="6" fillId="8" borderId="70" xfId="1" applyNumberFormat="1" applyFont="1" applyFill="1" applyBorder="1" applyAlignment="1">
      <alignment vertical="center"/>
    </xf>
    <xf numFmtId="175" fontId="6" fillId="8" borderId="65" xfId="1" applyNumberFormat="1" applyFont="1" applyFill="1" applyBorder="1" applyAlignment="1">
      <alignment vertical="center"/>
    </xf>
    <xf numFmtId="175" fontId="6" fillId="8" borderId="79" xfId="1" applyNumberFormat="1" applyFont="1" applyFill="1" applyBorder="1" applyAlignment="1">
      <alignment vertical="center"/>
    </xf>
    <xf numFmtId="175" fontId="6" fillId="8" borderId="85" xfId="1" applyNumberFormat="1" applyFont="1" applyFill="1" applyBorder="1" applyAlignment="1">
      <alignment vertical="center"/>
    </xf>
    <xf numFmtId="164" fontId="37" fillId="0" borderId="1" xfId="5" applyFont="1" applyBorder="1"/>
    <xf numFmtId="0" fontId="39" fillId="0" borderId="1" xfId="3" applyFont="1" applyBorder="1"/>
    <xf numFmtId="0" fontId="39" fillId="0" borderId="1" xfId="3" applyFont="1" applyBorder="1" applyAlignment="1">
      <alignment wrapText="1"/>
    </xf>
    <xf numFmtId="0" fontId="39" fillId="6" borderId="1" xfId="3" applyFont="1" applyFill="1" applyBorder="1"/>
    <xf numFmtId="0" fontId="39" fillId="0" borderId="1" xfId="3" applyFont="1" applyBorder="1" applyAlignment="1">
      <alignment vertical="center" wrapText="1"/>
    </xf>
    <xf numFmtId="0" fontId="38" fillId="0" borderId="1" xfId="3" applyFont="1" applyBorder="1" applyAlignment="1">
      <alignment horizontal="center" vertical="center" wrapText="1"/>
    </xf>
    <xf numFmtId="0" fontId="38" fillId="0" borderId="1" xfId="3" applyFont="1" applyFill="1" applyBorder="1" applyAlignment="1">
      <alignment horizontal="center" vertical="center" wrapText="1"/>
    </xf>
    <xf numFmtId="0" fontId="39" fillId="6" borderId="1" xfId="3" applyFont="1" applyFill="1" applyBorder="1" applyAlignment="1">
      <alignment wrapText="1"/>
    </xf>
    <xf numFmtId="41" fontId="39" fillId="0" borderId="1" xfId="2" applyFont="1" applyBorder="1" applyAlignment="1">
      <alignment vertical="center" wrapText="1"/>
    </xf>
    <xf numFmtId="41" fontId="39" fillId="0" borderId="1" xfId="2" applyFont="1" applyBorder="1" applyAlignment="1">
      <alignment horizontal="right" wrapText="1"/>
    </xf>
    <xf numFmtId="41" fontId="39" fillId="0" borderId="1" xfId="2" applyFont="1" applyFill="1" applyBorder="1" applyAlignment="1">
      <alignment horizontal="right" wrapText="1"/>
    </xf>
    <xf numFmtId="41" fontId="39" fillId="0" borderId="1" xfId="2" applyFont="1" applyBorder="1" applyAlignment="1">
      <alignment wrapText="1"/>
    </xf>
    <xf numFmtId="41" fontId="39" fillId="0" borderId="1" xfId="2" applyFont="1" applyBorder="1" applyAlignment="1">
      <alignment horizontal="right" vertical="center" wrapText="1"/>
    </xf>
    <xf numFmtId="41" fontId="39" fillId="6" borderId="1" xfId="2" applyFont="1" applyFill="1" applyBorder="1" applyAlignment="1">
      <alignment horizontal="right" vertical="center" wrapText="1"/>
    </xf>
    <xf numFmtId="41" fontId="39" fillId="6" borderId="1" xfId="2" applyFont="1" applyFill="1" applyBorder="1" applyAlignment="1">
      <alignment horizontal="right" wrapText="1"/>
    </xf>
    <xf numFmtId="0" fontId="39" fillId="0" borderId="0" xfId="3" applyFont="1"/>
    <xf numFmtId="0" fontId="39" fillId="6" borderId="0" xfId="3" applyFont="1" applyFill="1"/>
    <xf numFmtId="0" fontId="38" fillId="0" borderId="1" xfId="3" applyFont="1" applyBorder="1"/>
    <xf numFmtId="0" fontId="41" fillId="0" borderId="68" xfId="3" applyFont="1" applyBorder="1" applyAlignment="1">
      <alignment vertical="center" wrapText="1"/>
    </xf>
    <xf numFmtId="0" fontId="41" fillId="0" borderId="1" xfId="3" applyFont="1" applyBorder="1" applyAlignment="1">
      <alignment vertical="center" wrapText="1"/>
    </xf>
    <xf numFmtId="165" fontId="37" fillId="0" borderId="0" xfId="4" applyFont="1"/>
    <xf numFmtId="2" fontId="37" fillId="0" borderId="0" xfId="5" applyNumberFormat="1" applyFont="1"/>
    <xf numFmtId="0" fontId="39" fillId="0" borderId="0" xfId="3" applyFont="1" applyFill="1" applyBorder="1"/>
    <xf numFmtId="0" fontId="39" fillId="0" borderId="0" xfId="3" applyFont="1" applyBorder="1"/>
    <xf numFmtId="0" fontId="39" fillId="13" borderId="1" xfId="3" applyFont="1" applyFill="1" applyBorder="1"/>
    <xf numFmtId="4" fontId="39" fillId="0" borderId="1" xfId="3" applyNumberFormat="1" applyFont="1" applyBorder="1"/>
    <xf numFmtId="4" fontId="39" fillId="13" borderId="1" xfId="3" applyNumberFormat="1" applyFont="1" applyFill="1" applyBorder="1"/>
    <xf numFmtId="0" fontId="38" fillId="13" borderId="1" xfId="3" applyFont="1" applyFill="1" applyBorder="1"/>
    <xf numFmtId="0" fontId="38" fillId="5" borderId="1" xfId="3" applyFont="1" applyFill="1" applyBorder="1"/>
    <xf numFmtId="41" fontId="38" fillId="5" borderId="1" xfId="2" applyFont="1" applyFill="1" applyBorder="1"/>
    <xf numFmtId="41" fontId="40" fillId="5" borderId="1" xfId="2" applyFont="1" applyFill="1" applyBorder="1"/>
    <xf numFmtId="4" fontId="39" fillId="6" borderId="1" xfId="3" applyNumberFormat="1" applyFont="1" applyFill="1" applyBorder="1"/>
    <xf numFmtId="165" fontId="37" fillId="6" borderId="0" xfId="4" applyFont="1" applyFill="1"/>
    <xf numFmtId="0" fontId="38" fillId="5" borderId="1" xfId="3" applyFont="1" applyFill="1" applyBorder="1" applyAlignment="1">
      <alignment wrapText="1"/>
    </xf>
    <xf numFmtId="41" fontId="38" fillId="5" borderId="1" xfId="2" applyFont="1" applyFill="1" applyBorder="1" applyAlignment="1">
      <alignment wrapText="1"/>
    </xf>
    <xf numFmtId="41" fontId="40" fillId="5" borderId="1" xfId="2" applyFont="1" applyFill="1" applyBorder="1" applyAlignment="1">
      <alignment wrapText="1"/>
    </xf>
    <xf numFmtId="0" fontId="39" fillId="5" borderId="1" xfId="3" applyFont="1" applyFill="1" applyBorder="1"/>
    <xf numFmtId="41" fontId="39" fillId="5" borderId="1" xfId="2" applyFont="1" applyFill="1" applyBorder="1"/>
    <xf numFmtId="41" fontId="39" fillId="0" borderId="0" xfId="2" applyFont="1" applyFill="1" applyBorder="1"/>
    <xf numFmtId="0" fontId="39" fillId="0" borderId="0" xfId="3" applyFont="1" applyFill="1"/>
    <xf numFmtId="41" fontId="6" fillId="21" borderId="1" xfId="2" applyFont="1" applyFill="1" applyBorder="1" applyAlignment="1">
      <alignment vertical="center"/>
    </xf>
    <xf numFmtId="41" fontId="5" fillId="21" borderId="1" xfId="0" applyNumberFormat="1" applyFont="1" applyFill="1" applyBorder="1" applyAlignment="1">
      <alignment vertical="center"/>
    </xf>
    <xf numFmtId="3" fontId="5" fillId="0" borderId="38" xfId="0" applyNumberFormat="1" applyFont="1" applyBorder="1" applyAlignment="1">
      <alignment vertical="center"/>
    </xf>
    <xf numFmtId="0" fontId="5" fillId="0" borderId="5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" fontId="5" fillId="0" borderId="56" xfId="0" applyNumberFormat="1" applyFont="1" applyBorder="1" applyAlignment="1">
      <alignment vertical="center"/>
    </xf>
    <xf numFmtId="0" fontId="5" fillId="16" borderId="56" xfId="0" applyFont="1" applyFill="1" applyBorder="1" applyAlignment="1">
      <alignment vertical="center"/>
    </xf>
    <xf numFmtId="0" fontId="5" fillId="16" borderId="8" xfId="0" applyFont="1" applyFill="1" applyBorder="1" applyAlignment="1">
      <alignment horizontal="center" vertical="center"/>
    </xf>
    <xf numFmtId="175" fontId="5" fillId="4" borderId="1" xfId="1" applyNumberFormat="1" applyFont="1" applyFill="1" applyBorder="1" applyAlignment="1">
      <alignment vertical="center"/>
    </xf>
    <xf numFmtId="43" fontId="34" fillId="0" borderId="9" xfId="0" applyNumberFormat="1" applyFont="1" applyFill="1" applyBorder="1" applyAlignment="1">
      <alignment vertical="center"/>
    </xf>
    <xf numFmtId="2" fontId="34" fillId="0" borderId="1" xfId="0" applyNumberFormat="1" applyFont="1" applyBorder="1" applyAlignment="1">
      <alignment vertical="center"/>
    </xf>
    <xf numFmtId="41" fontId="5" fillId="21" borderId="1" xfId="2" applyFont="1" applyFill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41" fontId="5" fillId="0" borderId="9" xfId="2" applyFont="1" applyFill="1" applyBorder="1" applyAlignment="1">
      <alignment vertical="center"/>
    </xf>
    <xf numFmtId="41" fontId="39" fillId="0" borderId="1" xfId="2" applyFont="1" applyBorder="1"/>
    <xf numFmtId="41" fontId="39" fillId="0" borderId="0" xfId="2" applyFont="1"/>
    <xf numFmtId="41" fontId="5" fillId="0" borderId="1" xfId="2" applyFont="1" applyFill="1" applyBorder="1" applyAlignment="1">
      <alignment vertical="center"/>
    </xf>
    <xf numFmtId="41" fontId="5" fillId="0" borderId="1" xfId="2" applyFont="1" applyBorder="1" applyAlignment="1">
      <alignment vertical="center"/>
    </xf>
    <xf numFmtId="41" fontId="5" fillId="0" borderId="9" xfId="2" applyFont="1" applyBorder="1" applyAlignment="1">
      <alignment vertical="center"/>
    </xf>
    <xf numFmtId="41" fontId="6" fillId="21" borderId="9" xfId="2" applyFont="1" applyFill="1" applyBorder="1" applyAlignment="1">
      <alignment vertical="center"/>
    </xf>
    <xf numFmtId="41" fontId="5" fillId="21" borderId="9" xfId="2" applyFont="1" applyFill="1" applyBorder="1" applyAlignment="1">
      <alignment vertical="center"/>
    </xf>
    <xf numFmtId="41" fontId="5" fillId="21" borderId="9" xfId="0" applyNumberFormat="1" applyFont="1" applyFill="1" applyBorder="1" applyAlignment="1">
      <alignment vertical="center"/>
    </xf>
    <xf numFmtId="41" fontId="5" fillId="0" borderId="95" xfId="2" applyFont="1" applyBorder="1" applyAlignment="1">
      <alignment vertical="center"/>
    </xf>
    <xf numFmtId="41" fontId="6" fillId="21" borderId="74" xfId="2" applyFont="1" applyFill="1" applyBorder="1" applyAlignment="1">
      <alignment vertical="center"/>
    </xf>
    <xf numFmtId="41" fontId="5" fillId="21" borderId="74" xfId="2" applyFont="1" applyFill="1" applyBorder="1" applyAlignment="1">
      <alignment vertical="center"/>
    </xf>
    <xf numFmtId="41" fontId="5" fillId="21" borderId="74" xfId="0" applyNumberFormat="1" applyFont="1" applyFill="1" applyBorder="1" applyAlignment="1">
      <alignment vertical="center"/>
    </xf>
    <xf numFmtId="41" fontId="5" fillId="0" borderId="76" xfId="2" applyFont="1" applyBorder="1" applyAlignment="1">
      <alignment vertical="center"/>
    </xf>
    <xf numFmtId="41" fontId="5" fillId="0" borderId="90" xfId="2" applyFont="1" applyBorder="1" applyAlignment="1">
      <alignment vertical="center"/>
    </xf>
    <xf numFmtId="2" fontId="6" fillId="0" borderId="0" xfId="0" applyNumberFormat="1" applyFont="1" applyFill="1" applyBorder="1" applyAlignment="1">
      <alignment vertical="center"/>
    </xf>
    <xf numFmtId="169" fontId="6" fillId="13" borderId="9" xfId="1" applyNumberFormat="1" applyFont="1" applyFill="1" applyBorder="1" applyAlignment="1">
      <alignment vertical="center"/>
    </xf>
    <xf numFmtId="169" fontId="6" fillId="4" borderId="9" xfId="1" applyNumberFormat="1" applyFont="1" applyFill="1" applyBorder="1" applyAlignment="1">
      <alignment vertical="center"/>
    </xf>
    <xf numFmtId="169" fontId="6" fillId="11" borderId="9" xfId="1" applyNumberFormat="1" applyFont="1" applyFill="1" applyBorder="1" applyAlignment="1">
      <alignment vertical="center"/>
    </xf>
    <xf numFmtId="169" fontId="6" fillId="0" borderId="9" xfId="1" applyNumberFormat="1" applyFont="1" applyFill="1" applyBorder="1" applyAlignment="1">
      <alignment vertical="center"/>
    </xf>
    <xf numFmtId="41" fontId="5" fillId="0" borderId="0" xfId="2" applyFont="1" applyAlignment="1">
      <alignment vertical="center"/>
    </xf>
    <xf numFmtId="0" fontId="5" fillId="0" borderId="0" xfId="0" applyFont="1" applyBorder="1" applyAlignment="1">
      <alignment vertical="center"/>
    </xf>
    <xf numFmtId="4" fontId="5" fillId="4" borderId="1" xfId="0" applyNumberFormat="1" applyFont="1" applyFill="1" applyBorder="1" applyAlignment="1">
      <alignment vertical="center"/>
    </xf>
    <xf numFmtId="4" fontId="5" fillId="11" borderId="1" xfId="0" applyNumberFormat="1" applyFont="1" applyFill="1" applyBorder="1" applyAlignment="1">
      <alignment vertical="center"/>
    </xf>
    <xf numFmtId="4" fontId="5" fillId="0" borderId="1" xfId="0" applyNumberFormat="1" applyFont="1" applyFill="1" applyBorder="1" applyAlignment="1">
      <alignment vertical="center"/>
    </xf>
    <xf numFmtId="4" fontId="5" fillId="13" borderId="1" xfId="0" applyNumberFormat="1" applyFont="1" applyFill="1" applyBorder="1" applyAlignment="1">
      <alignment vertical="center"/>
    </xf>
    <xf numFmtId="4" fontId="7" fillId="0" borderId="1" xfId="1" applyNumberFormat="1" applyFont="1" applyFill="1" applyBorder="1" applyAlignment="1">
      <alignment vertical="center"/>
    </xf>
    <xf numFmtId="4" fontId="5" fillId="0" borderId="1" xfId="1" applyNumberFormat="1" applyFont="1" applyFill="1" applyBorder="1" applyAlignment="1">
      <alignment horizontal="center" vertical="center"/>
    </xf>
    <xf numFmtId="4" fontId="7" fillId="11" borderId="1" xfId="1" applyNumberFormat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176" fontId="5" fillId="0" borderId="0" xfId="2" applyNumberFormat="1" applyFont="1" applyAlignment="1">
      <alignment vertical="center"/>
    </xf>
    <xf numFmtId="0" fontId="5" fillId="10" borderId="56" xfId="0" applyFont="1" applyFill="1" applyBorder="1" applyAlignment="1">
      <alignment horizontal="center" vertical="center"/>
    </xf>
    <xf numFmtId="0" fontId="5" fillId="10" borderId="56" xfId="0" applyFont="1" applyFill="1" applyBorder="1" applyAlignment="1">
      <alignment vertical="center"/>
    </xf>
    <xf numFmtId="0" fontId="5" fillId="10" borderId="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vertical="center"/>
    </xf>
    <xf numFmtId="0" fontId="5" fillId="10" borderId="56" xfId="0" applyFont="1" applyFill="1" applyBorder="1" applyAlignment="1">
      <alignment horizontal="center" vertical="center" wrapText="1"/>
    </xf>
    <xf numFmtId="3" fontId="5" fillId="10" borderId="56" xfId="0" applyNumberFormat="1" applyFont="1" applyFill="1" applyBorder="1" applyAlignment="1">
      <alignment vertical="center"/>
    </xf>
    <xf numFmtId="43" fontId="5" fillId="10" borderId="60" xfId="1" applyNumberFormat="1" applyFont="1" applyFill="1" applyBorder="1" applyAlignment="1">
      <alignment vertical="center"/>
    </xf>
    <xf numFmtId="43" fontId="5" fillId="10" borderId="1" xfId="1" applyNumberFormat="1" applyFont="1" applyFill="1" applyBorder="1" applyAlignment="1">
      <alignment vertical="center"/>
    </xf>
    <xf numFmtId="41" fontId="5" fillId="10" borderId="1" xfId="2" applyFont="1" applyFill="1" applyBorder="1" applyAlignment="1">
      <alignment vertical="center"/>
    </xf>
    <xf numFmtId="41" fontId="5" fillId="10" borderId="9" xfId="2" applyFont="1" applyFill="1" applyBorder="1" applyAlignment="1">
      <alignment vertical="center"/>
    </xf>
    <xf numFmtId="41" fontId="5" fillId="10" borderId="74" xfId="2" applyFont="1" applyFill="1" applyBorder="1" applyAlignment="1">
      <alignment vertical="center"/>
    </xf>
    <xf numFmtId="3" fontId="5" fillId="10" borderId="60" xfId="0" applyNumberFormat="1" applyFont="1" applyFill="1" applyBorder="1" applyAlignment="1">
      <alignment vertical="center"/>
    </xf>
    <xf numFmtId="3" fontId="5" fillId="10" borderId="1" xfId="0" applyNumberFormat="1" applyFont="1" applyFill="1" applyBorder="1" applyAlignment="1">
      <alignment vertical="center"/>
    </xf>
    <xf numFmtId="3" fontId="5" fillId="10" borderId="6" xfId="0" applyNumberFormat="1" applyFont="1" applyFill="1" applyBorder="1" applyAlignment="1">
      <alignment vertical="center"/>
    </xf>
    <xf numFmtId="3" fontId="5" fillId="10" borderId="7" xfId="0" applyNumberFormat="1" applyFont="1" applyFill="1" applyBorder="1" applyAlignment="1">
      <alignment vertical="center"/>
    </xf>
    <xf numFmtId="3" fontId="5" fillId="10" borderId="74" xfId="0" applyNumberFormat="1" applyFont="1" applyFill="1" applyBorder="1" applyAlignment="1">
      <alignment vertical="center"/>
    </xf>
    <xf numFmtId="43" fontId="6" fillId="0" borderId="0" xfId="0" applyNumberFormat="1" applyFont="1" applyAlignment="1">
      <alignment vertical="center"/>
    </xf>
    <xf numFmtId="175" fontId="34" fillId="0" borderId="9" xfId="0" applyNumberFormat="1" applyFont="1" applyFill="1" applyBorder="1" applyAlignment="1">
      <alignment vertical="center"/>
    </xf>
    <xf numFmtId="41" fontId="5" fillId="20" borderId="74" xfId="2" applyFont="1" applyFill="1" applyBorder="1" applyAlignment="1">
      <alignment vertical="center"/>
    </xf>
    <xf numFmtId="41" fontId="5" fillId="20" borderId="1" xfId="2" applyFont="1" applyFill="1" applyBorder="1" applyAlignment="1">
      <alignment vertical="center"/>
    </xf>
    <xf numFmtId="41" fontId="5" fillId="0" borderId="74" xfId="2" applyFont="1" applyFill="1" applyBorder="1" applyAlignment="1">
      <alignment vertical="center"/>
    </xf>
    <xf numFmtId="41" fontId="5" fillId="8" borderId="1" xfId="2" applyFont="1" applyFill="1" applyBorder="1" applyAlignment="1">
      <alignment vertical="center"/>
    </xf>
    <xf numFmtId="41" fontId="5" fillId="0" borderId="85" xfId="2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41" fontId="6" fillId="7" borderId="0" xfId="2" applyFont="1" applyFill="1" applyAlignment="1">
      <alignment vertical="center"/>
    </xf>
    <xf numFmtId="43" fontId="6" fillId="0" borderId="0" xfId="1" applyFont="1" applyAlignment="1">
      <alignment vertical="center"/>
    </xf>
    <xf numFmtId="0" fontId="6" fillId="24" borderId="0" xfId="0" applyFont="1" applyFill="1" applyAlignment="1">
      <alignment vertical="center"/>
    </xf>
    <xf numFmtId="0" fontId="42" fillId="24" borderId="0" xfId="12" applyFill="1" applyAlignment="1">
      <alignment vertical="center"/>
    </xf>
    <xf numFmtId="1" fontId="5" fillId="21" borderId="1" xfId="0" applyNumberFormat="1" applyFont="1" applyFill="1" applyBorder="1" applyAlignment="1">
      <alignment vertical="center"/>
    </xf>
    <xf numFmtId="175" fontId="19" fillId="20" borderId="1" xfId="1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53" xfId="0" applyFont="1" applyFill="1" applyBorder="1" applyAlignment="1">
      <alignment vertical="center"/>
    </xf>
    <xf numFmtId="0" fontId="6" fillId="0" borderId="47" xfId="0" applyFont="1" applyFill="1" applyBorder="1" applyAlignment="1">
      <alignment vertical="center"/>
    </xf>
    <xf numFmtId="0" fontId="6" fillId="0" borderId="67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19" fillId="0" borderId="0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5" fillId="0" borderId="69" xfId="0" applyFont="1" applyFill="1" applyBorder="1" applyAlignment="1">
      <alignment horizontal="center" vertical="center"/>
    </xf>
    <xf numFmtId="0" fontId="5" fillId="0" borderId="68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5" fontId="5" fillId="0" borderId="8" xfId="0" applyNumberFormat="1" applyFont="1" applyFill="1" applyBorder="1" applyAlignment="1">
      <alignment horizontal="center" vertical="center"/>
    </xf>
    <xf numFmtId="4" fontId="6" fillId="13" borderId="1" xfId="0" applyNumberFormat="1" applyFont="1" applyFill="1" applyBorder="1" applyAlignment="1">
      <alignment vertical="center"/>
    </xf>
    <xf numFmtId="41" fontId="5" fillId="13" borderId="1" xfId="2" applyFont="1" applyFill="1" applyBorder="1" applyAlignment="1">
      <alignment vertical="center"/>
    </xf>
    <xf numFmtId="41" fontId="34" fillId="13" borderId="1" xfId="2" applyFont="1" applyFill="1" applyBorder="1" applyAlignment="1">
      <alignment vertical="center"/>
    </xf>
    <xf numFmtId="41" fontId="5" fillId="13" borderId="1" xfId="2" applyNumberFormat="1" applyFont="1" applyFill="1" applyBorder="1" applyAlignment="1">
      <alignment vertical="center"/>
    </xf>
    <xf numFmtId="3" fontId="34" fillId="13" borderId="1" xfId="0" applyNumberFormat="1" applyFont="1" applyFill="1" applyBorder="1" applyAlignment="1">
      <alignment vertical="center"/>
    </xf>
    <xf numFmtId="175" fontId="34" fillId="7" borderId="1" xfId="1" applyNumberFormat="1" applyFont="1" applyFill="1" applyBorder="1" applyAlignment="1">
      <alignment vertical="center"/>
    </xf>
    <xf numFmtId="41" fontId="6" fillId="13" borderId="1" xfId="2" applyNumberFormat="1" applyFont="1" applyFill="1" applyBorder="1" applyAlignment="1">
      <alignment vertical="center"/>
    </xf>
    <xf numFmtId="3" fontId="6" fillId="13" borderId="1" xfId="0" applyNumberFormat="1" applyFont="1" applyFill="1" applyBorder="1" applyAlignment="1">
      <alignment vertical="center"/>
    </xf>
    <xf numFmtId="0" fontId="5" fillId="0" borderId="84" xfId="0" applyFont="1" applyFill="1" applyBorder="1" applyAlignment="1">
      <alignment horizontal="center" vertical="center"/>
    </xf>
    <xf numFmtId="0" fontId="5" fillId="15" borderId="84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40" fontId="5" fillId="0" borderId="8" xfId="0" applyNumberFormat="1" applyFont="1" applyFill="1" applyBorder="1" applyAlignment="1">
      <alignment horizontal="center" vertical="center"/>
    </xf>
    <xf numFmtId="40" fontId="5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vertical="center"/>
    </xf>
    <xf numFmtId="41" fontId="5" fillId="0" borderId="38" xfId="2" applyFont="1" applyFill="1" applyBorder="1" applyAlignment="1">
      <alignment vertical="center"/>
    </xf>
    <xf numFmtId="2" fontId="5" fillId="0" borderId="69" xfId="0" applyNumberFormat="1" applyFont="1" applyFill="1" applyBorder="1" applyAlignment="1">
      <alignment vertical="center"/>
    </xf>
    <xf numFmtId="0" fontId="5" fillId="0" borderId="68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2" fontId="5" fillId="0" borderId="38" xfId="0" applyNumberFormat="1" applyFont="1" applyFill="1" applyBorder="1" applyAlignment="1">
      <alignment vertical="center"/>
    </xf>
    <xf numFmtId="175" fontId="5" fillId="0" borderId="0" xfId="0" applyNumberFormat="1" applyFont="1" applyFill="1" applyAlignment="1">
      <alignment vertical="center"/>
    </xf>
    <xf numFmtId="2" fontId="5" fillId="0" borderId="68" xfId="0" applyNumberFormat="1" applyFont="1" applyFill="1" applyBorder="1" applyAlignment="1">
      <alignment vertical="center"/>
    </xf>
    <xf numFmtId="2" fontId="6" fillId="0" borderId="38" xfId="0" applyNumberFormat="1" applyFont="1" applyFill="1" applyBorder="1" applyAlignment="1">
      <alignment vertical="center"/>
    </xf>
    <xf numFmtId="2" fontId="6" fillId="0" borderId="69" xfId="0" applyNumberFormat="1" applyFont="1" applyFill="1" applyBorder="1" applyAlignment="1">
      <alignment vertical="center"/>
    </xf>
    <xf numFmtId="2" fontId="6" fillId="0" borderId="68" xfId="0" applyNumberFormat="1" applyFont="1" applyFill="1" applyBorder="1" applyAlignment="1">
      <alignment vertical="center"/>
    </xf>
    <xf numFmtId="175" fontId="5" fillId="0" borderId="0" xfId="1" applyNumberFormat="1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40" fontId="6" fillId="0" borderId="8" xfId="0" applyNumberFormat="1" applyFont="1" applyFill="1" applyBorder="1" applyAlignment="1">
      <alignment horizontal="center" vertical="center"/>
    </xf>
    <xf numFmtId="40" fontId="6" fillId="0" borderId="1" xfId="0" applyNumberFormat="1" applyFont="1" applyFill="1" applyBorder="1" applyAlignment="1">
      <alignment horizontal="center" vertical="center"/>
    </xf>
    <xf numFmtId="41" fontId="34" fillId="13" borderId="1" xfId="2" applyNumberFormat="1" applyFont="1" applyFill="1" applyBorder="1" applyAlignment="1">
      <alignment vertical="center"/>
    </xf>
    <xf numFmtId="41" fontId="20" fillId="4" borderId="1" xfId="2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vertical="center"/>
    </xf>
    <xf numFmtId="176" fontId="6" fillId="0" borderId="0" xfId="2" applyNumberFormat="1" applyFont="1" applyFill="1" applyBorder="1" applyAlignment="1">
      <alignment vertical="center"/>
    </xf>
    <xf numFmtId="4" fontId="6" fillId="0" borderId="0" xfId="0" applyNumberFormat="1" applyFont="1" applyFill="1" applyBorder="1" applyAlignment="1">
      <alignment vertical="center"/>
    </xf>
    <xf numFmtId="41" fontId="34" fillId="0" borderId="0" xfId="2" applyFont="1" applyFill="1" applyBorder="1" applyAlignment="1">
      <alignment vertical="center"/>
    </xf>
    <xf numFmtId="41" fontId="5" fillId="0" borderId="0" xfId="2" applyNumberFormat="1" applyFont="1" applyFill="1" applyBorder="1" applyAlignment="1">
      <alignment vertical="center"/>
    </xf>
    <xf numFmtId="3" fontId="34" fillId="0" borderId="0" xfId="0" applyNumberFormat="1" applyFont="1" applyFill="1" applyBorder="1" applyAlignment="1">
      <alignment vertical="center"/>
    </xf>
    <xf numFmtId="175" fontId="34" fillId="0" borderId="0" xfId="1" applyNumberFormat="1" applyFont="1" applyFill="1" applyBorder="1" applyAlignment="1">
      <alignment vertical="center"/>
    </xf>
    <xf numFmtId="175" fontId="5" fillId="0" borderId="0" xfId="1" applyNumberFormat="1" applyFont="1" applyFill="1" applyBorder="1" applyAlignment="1">
      <alignment vertical="center"/>
    </xf>
    <xf numFmtId="175" fontId="19" fillId="0" borderId="0" xfId="1" applyNumberFormat="1" applyFont="1" applyFill="1" applyBorder="1" applyAlignment="1">
      <alignment vertical="center"/>
    </xf>
    <xf numFmtId="41" fontId="34" fillId="0" borderId="0" xfId="2" applyNumberFormat="1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vertical="center"/>
    </xf>
    <xf numFmtId="175" fontId="20" fillId="0" borderId="0" xfId="0" applyNumberFormat="1" applyFont="1" applyFill="1" applyBorder="1" applyAlignment="1">
      <alignment vertical="center"/>
    </xf>
    <xf numFmtId="175" fontId="6" fillId="0" borderId="0" xfId="0" applyNumberFormat="1" applyFont="1" applyFill="1" applyBorder="1" applyAlignment="1">
      <alignment vertical="center"/>
    </xf>
    <xf numFmtId="41" fontId="5" fillId="0" borderId="0" xfId="2" applyFont="1" applyFill="1" applyBorder="1" applyAlignment="1">
      <alignment vertical="center"/>
    </xf>
    <xf numFmtId="166" fontId="5" fillId="0" borderId="0" xfId="0" applyNumberFormat="1" applyFont="1" applyFill="1" applyBorder="1" applyAlignment="1">
      <alignment vertical="center"/>
    </xf>
    <xf numFmtId="1" fontId="5" fillId="0" borderId="0" xfId="0" applyNumberFormat="1" applyFont="1" applyFill="1" applyBorder="1" applyAlignment="1">
      <alignment vertical="center"/>
    </xf>
    <xf numFmtId="175" fontId="6" fillId="0" borderId="0" xfId="1" applyNumberFormat="1" applyFont="1" applyFill="1" applyBorder="1" applyAlignment="1">
      <alignment vertical="center"/>
    </xf>
    <xf numFmtId="41" fontId="6" fillId="0" borderId="0" xfId="2" applyFont="1" applyFill="1" applyBorder="1" applyAlignment="1">
      <alignment vertical="center"/>
    </xf>
    <xf numFmtId="41" fontId="20" fillId="0" borderId="0" xfId="2" applyFont="1" applyFill="1" applyBorder="1" applyAlignment="1">
      <alignment vertical="center"/>
    </xf>
    <xf numFmtId="43" fontId="6" fillId="0" borderId="0" xfId="1" applyFont="1" applyFill="1" applyAlignment="1">
      <alignment vertical="center"/>
    </xf>
    <xf numFmtId="2" fontId="6" fillId="0" borderId="58" xfId="0" applyNumberFormat="1" applyFont="1" applyFill="1" applyBorder="1" applyAlignment="1">
      <alignment vertical="center"/>
    </xf>
    <xf numFmtId="2" fontId="6" fillId="0" borderId="62" xfId="0" applyNumberFormat="1" applyFont="1" applyFill="1" applyBorder="1" applyAlignment="1">
      <alignment vertical="center"/>
    </xf>
    <xf numFmtId="2" fontId="6" fillId="0" borderId="89" xfId="0" applyNumberFormat="1" applyFont="1" applyFill="1" applyBorder="1" applyAlignment="1">
      <alignment vertical="center"/>
    </xf>
    <xf numFmtId="2" fontId="6" fillId="0" borderId="6" xfId="0" applyNumberFormat="1" applyFont="1" applyFill="1" applyBorder="1" applyAlignment="1">
      <alignment vertical="center"/>
    </xf>
    <xf numFmtId="4" fontId="6" fillId="0" borderId="6" xfId="0" applyNumberFormat="1" applyFont="1" applyFill="1" applyBorder="1" applyAlignment="1">
      <alignment vertical="center"/>
    </xf>
    <xf numFmtId="4" fontId="6" fillId="0" borderId="96" xfId="0" applyNumberFormat="1" applyFont="1" applyFill="1" applyBorder="1" applyAlignment="1">
      <alignment vertical="center"/>
    </xf>
    <xf numFmtId="43" fontId="6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166" fontId="5" fillId="0" borderId="1" xfId="0" applyNumberFormat="1" applyFont="1" applyFill="1" applyBorder="1" applyAlignment="1">
      <alignment vertical="center"/>
    </xf>
    <xf numFmtId="166" fontId="5" fillId="4" borderId="1" xfId="0" applyNumberFormat="1" applyFont="1" applyFill="1" applyBorder="1" applyAlignment="1">
      <alignment vertical="center"/>
    </xf>
    <xf numFmtId="169" fontId="5" fillId="0" borderId="1" xfId="1" applyNumberFormat="1" applyFont="1" applyBorder="1" applyAlignment="1">
      <alignment vertical="center"/>
    </xf>
    <xf numFmtId="166" fontId="5" fillId="11" borderId="1" xfId="0" applyNumberFormat="1" applyFont="1" applyFill="1" applyBorder="1" applyAlignment="1">
      <alignment vertical="center"/>
    </xf>
    <xf numFmtId="169" fontId="7" fillId="0" borderId="1" xfId="1" applyNumberFormat="1" applyFont="1" applyBorder="1" applyAlignment="1">
      <alignment vertical="center"/>
    </xf>
    <xf numFmtId="166" fontId="7" fillId="0" borderId="1" xfId="1" applyNumberFormat="1" applyFont="1" applyBorder="1" applyAlignment="1">
      <alignment vertical="center"/>
    </xf>
    <xf numFmtId="166" fontId="7" fillId="0" borderId="1" xfId="1" applyNumberFormat="1" applyFont="1" applyFill="1" applyBorder="1" applyAlignment="1">
      <alignment vertical="center"/>
    </xf>
    <xf numFmtId="166" fontId="5" fillId="0" borderId="12" xfId="0" applyNumberFormat="1" applyFont="1" applyFill="1" applyBorder="1" applyAlignment="1">
      <alignment vertical="center"/>
    </xf>
    <xf numFmtId="166" fontId="5" fillId="4" borderId="12" xfId="0" applyNumberFormat="1" applyFont="1" applyFill="1" applyBorder="1" applyAlignment="1">
      <alignment vertical="center"/>
    </xf>
    <xf numFmtId="4" fontId="5" fillId="4" borderId="12" xfId="0" applyNumberFormat="1" applyFont="1" applyFill="1" applyBorder="1" applyAlignment="1">
      <alignment vertical="center"/>
    </xf>
    <xf numFmtId="4" fontId="5" fillId="4" borderId="9" xfId="0" applyNumberFormat="1" applyFont="1" applyFill="1" applyBorder="1" applyAlignment="1">
      <alignment vertical="center"/>
    </xf>
    <xf numFmtId="4" fontId="5" fillId="11" borderId="9" xfId="0" applyNumberFormat="1" applyFont="1" applyFill="1" applyBorder="1" applyAlignment="1">
      <alignment vertical="center"/>
    </xf>
    <xf numFmtId="4" fontId="5" fillId="0" borderId="9" xfId="0" applyNumberFormat="1" applyFont="1" applyFill="1" applyBorder="1" applyAlignment="1">
      <alignment vertical="center"/>
    </xf>
    <xf numFmtId="4" fontId="5" fillId="13" borderId="9" xfId="0" applyNumberFormat="1" applyFont="1" applyFill="1" applyBorder="1" applyAlignment="1">
      <alignment vertical="center"/>
    </xf>
    <xf numFmtId="4" fontId="7" fillId="0" borderId="9" xfId="1" applyNumberFormat="1" applyFont="1" applyFill="1" applyBorder="1" applyAlignment="1">
      <alignment vertical="center"/>
    </xf>
    <xf numFmtId="4" fontId="6" fillId="0" borderId="9" xfId="0" applyNumberFormat="1" applyFont="1" applyFill="1" applyBorder="1" applyAlignment="1">
      <alignment vertical="center"/>
    </xf>
    <xf numFmtId="4" fontId="5" fillId="4" borderId="13" xfId="0" applyNumberFormat="1" applyFont="1" applyFill="1" applyBorder="1" applyAlignment="1">
      <alignment vertical="center"/>
    </xf>
    <xf numFmtId="4" fontId="5" fillId="0" borderId="68" xfId="0" applyNumberFormat="1" applyFont="1" applyBorder="1" applyAlignment="1">
      <alignment vertical="center"/>
    </xf>
    <xf numFmtId="4" fontId="6" fillId="0" borderId="68" xfId="0" applyNumberFormat="1" applyFont="1" applyBorder="1" applyAlignment="1">
      <alignment vertical="center"/>
    </xf>
    <xf numFmtId="166" fontId="7" fillId="0" borderId="0" xfId="1" applyNumberFormat="1" applyFont="1" applyFill="1" applyBorder="1" applyAlignment="1">
      <alignment vertical="center"/>
    </xf>
    <xf numFmtId="166" fontId="6" fillId="0" borderId="0" xfId="0" applyNumberFormat="1" applyFont="1" applyFill="1" applyBorder="1" applyAlignment="1">
      <alignment vertical="center"/>
    </xf>
    <xf numFmtId="166" fontId="6" fillId="0" borderId="58" xfId="0" applyNumberFormat="1" applyFont="1" applyBorder="1" applyAlignment="1">
      <alignment vertical="center"/>
    </xf>
    <xf numFmtId="4" fontId="6" fillId="0" borderId="58" xfId="0" applyNumberFormat="1" applyFont="1" applyBorder="1" applyAlignment="1">
      <alignment vertical="center"/>
    </xf>
    <xf numFmtId="4" fontId="6" fillId="0" borderId="58" xfId="0" applyNumberFormat="1" applyFont="1" applyFill="1" applyBorder="1" applyAlignment="1">
      <alignment vertical="center"/>
    </xf>
    <xf numFmtId="4" fontId="6" fillId="0" borderId="62" xfId="0" applyNumberFormat="1" applyFont="1" applyFill="1" applyBorder="1" applyAlignment="1">
      <alignment vertical="center"/>
    </xf>
    <xf numFmtId="4" fontId="6" fillId="0" borderId="89" xfId="0" applyNumberFormat="1" applyFont="1" applyFill="1" applyBorder="1" applyAlignment="1">
      <alignment vertical="center"/>
    </xf>
    <xf numFmtId="169" fontId="5" fillId="0" borderId="1" xfId="1" applyNumberFormat="1" applyFont="1" applyBorder="1" applyAlignment="1">
      <alignment horizontal="center" vertical="center"/>
    </xf>
    <xf numFmtId="169" fontId="34" fillId="0" borderId="1" xfId="1" applyNumberFormat="1" applyFont="1" applyFill="1" applyBorder="1" applyAlignment="1">
      <alignment horizontal="center" vertical="center"/>
    </xf>
    <xf numFmtId="169" fontId="5" fillId="0" borderId="1" xfId="1" applyNumberFormat="1" applyFont="1" applyFill="1" applyBorder="1" applyAlignment="1">
      <alignment horizontal="center" vertical="center"/>
    </xf>
    <xf numFmtId="169" fontId="7" fillId="0" borderId="1" xfId="1" applyNumberFormat="1" applyFont="1" applyFill="1" applyBorder="1" applyAlignment="1">
      <alignment vertical="center"/>
    </xf>
    <xf numFmtId="166" fontId="5" fillId="0" borderId="12" xfId="0" applyNumberFormat="1" applyFont="1" applyBorder="1" applyAlignment="1">
      <alignment vertical="center"/>
    </xf>
    <xf numFmtId="4" fontId="5" fillId="0" borderId="12" xfId="0" applyNumberFormat="1" applyFont="1" applyFill="1" applyBorder="1" applyAlignment="1">
      <alignment vertical="center"/>
    </xf>
    <xf numFmtId="172" fontId="9" fillId="0" borderId="0" xfId="2" applyNumberFormat="1" applyFont="1" applyFill="1" applyBorder="1" applyAlignment="1">
      <alignment vertical="center"/>
    </xf>
    <xf numFmtId="166" fontId="6" fillId="11" borderId="0" xfId="0" applyNumberFormat="1" applyFont="1" applyFill="1" applyBorder="1" applyAlignment="1">
      <alignment vertical="center"/>
    </xf>
    <xf numFmtId="4" fontId="6" fillId="0" borderId="98" xfId="0" applyNumberFormat="1" applyFont="1" applyFill="1" applyBorder="1" applyAlignment="1">
      <alignment vertical="center"/>
    </xf>
    <xf numFmtId="4" fontId="6" fillId="8" borderId="58" xfId="0" applyNumberFormat="1" applyFont="1" applyFill="1" applyBorder="1" applyAlignment="1">
      <alignment vertical="center"/>
    </xf>
    <xf numFmtId="4" fontId="6" fillId="8" borderId="99" xfId="0" applyNumberFormat="1" applyFont="1" applyFill="1" applyBorder="1" applyAlignment="1">
      <alignment vertical="center"/>
    </xf>
    <xf numFmtId="176" fontId="5" fillId="0" borderId="1" xfId="2" applyNumberFormat="1" applyFont="1" applyFill="1" applyBorder="1" applyAlignment="1">
      <alignment vertical="center"/>
    </xf>
    <xf numFmtId="166" fontId="7" fillId="0" borderId="1" xfId="0" applyNumberFormat="1" applyFont="1" applyBorder="1" applyAlignment="1">
      <alignment vertical="center"/>
    </xf>
    <xf numFmtId="166" fontId="7" fillId="0" borderId="1" xfId="0" applyNumberFormat="1" applyFont="1" applyFill="1" applyBorder="1" applyAlignment="1">
      <alignment vertical="center"/>
    </xf>
    <xf numFmtId="166" fontId="7" fillId="6" borderId="1" xfId="0" applyNumberFormat="1" applyFont="1" applyFill="1" applyBorder="1" applyAlignment="1">
      <alignment vertical="center"/>
    </xf>
    <xf numFmtId="176" fontId="7" fillId="6" borderId="1" xfId="2" applyNumberFormat="1" applyFont="1" applyFill="1" applyBorder="1" applyAlignment="1">
      <alignment vertical="center"/>
    </xf>
    <xf numFmtId="176" fontId="7" fillId="23" borderId="1" xfId="2" applyNumberFormat="1" applyFont="1" applyFill="1" applyBorder="1" applyAlignment="1">
      <alignment vertical="center"/>
    </xf>
    <xf numFmtId="166" fontId="5" fillId="16" borderId="1" xfId="0" applyNumberFormat="1" applyFont="1" applyFill="1" applyBorder="1" applyAlignment="1">
      <alignment vertical="center"/>
    </xf>
    <xf numFmtId="166" fontId="7" fillId="16" borderId="1" xfId="0" applyNumberFormat="1" applyFont="1" applyFill="1" applyBorder="1" applyAlignment="1">
      <alignment vertical="center"/>
    </xf>
    <xf numFmtId="166" fontId="7" fillId="13" borderId="1" xfId="0" applyNumberFormat="1" applyFont="1" applyFill="1" applyBorder="1" applyAlignment="1">
      <alignment vertical="center"/>
    </xf>
    <xf numFmtId="166" fontId="7" fillId="14" borderId="1" xfId="0" applyNumberFormat="1" applyFont="1" applyFill="1" applyBorder="1" applyAlignment="1">
      <alignment vertical="center"/>
    </xf>
    <xf numFmtId="176" fontId="7" fillId="14" borderId="1" xfId="2" applyNumberFormat="1" applyFont="1" applyFill="1" applyBorder="1" applyAlignment="1">
      <alignment vertical="center"/>
    </xf>
    <xf numFmtId="176" fontId="7" fillId="0" borderId="1" xfId="2" applyNumberFormat="1" applyFont="1" applyFill="1" applyBorder="1" applyAlignment="1">
      <alignment vertical="center"/>
    </xf>
    <xf numFmtId="176" fontId="7" fillId="11" borderId="1" xfId="2" applyNumberFormat="1" applyFont="1" applyFill="1" applyBorder="1" applyAlignment="1">
      <alignment vertical="center"/>
    </xf>
    <xf numFmtId="176" fontId="5" fillId="0" borderId="12" xfId="2" applyNumberFormat="1" applyFont="1" applyFill="1" applyBorder="1" applyAlignment="1">
      <alignment vertical="center"/>
    </xf>
    <xf numFmtId="166" fontId="33" fillId="0" borderId="1" xfId="0" applyNumberFormat="1" applyFont="1" applyFill="1" applyBorder="1" applyAlignment="1">
      <alignment vertical="center"/>
    </xf>
    <xf numFmtId="4" fontId="33" fillId="0" borderId="1" xfId="0" applyNumberFormat="1" applyFont="1" applyFill="1" applyBorder="1" applyAlignment="1">
      <alignment vertical="center"/>
    </xf>
    <xf numFmtId="4" fontId="33" fillId="8" borderId="1" xfId="0" applyNumberFormat="1" applyFont="1" applyFill="1" applyBorder="1" applyAlignment="1">
      <alignment vertical="center"/>
    </xf>
    <xf numFmtId="166" fontId="7" fillId="0" borderId="0" xfId="0" applyNumberFormat="1" applyFont="1" applyFill="1" applyBorder="1" applyAlignment="1">
      <alignment vertical="center"/>
    </xf>
    <xf numFmtId="4" fontId="5" fillId="0" borderId="1" xfId="0" applyNumberFormat="1" applyFont="1" applyFill="1" applyBorder="1" applyAlignment="1">
      <alignment horizontal="center" vertical="center"/>
    </xf>
    <xf numFmtId="4" fontId="16" fillId="0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Fill="1" applyBorder="1" applyAlignment="1">
      <alignment horizontal="center" vertical="center"/>
    </xf>
    <xf numFmtId="173" fontId="6" fillId="0" borderId="68" xfId="0" applyNumberFormat="1" applyFont="1" applyBorder="1" applyAlignment="1">
      <alignment vertical="center"/>
    </xf>
    <xf numFmtId="166" fontId="5" fillId="0" borderId="68" xfId="0" applyNumberFormat="1" applyFont="1" applyBorder="1" applyAlignment="1">
      <alignment vertical="center"/>
    </xf>
    <xf numFmtId="166" fontId="5" fillId="16" borderId="68" xfId="0" applyNumberFormat="1" applyFont="1" applyFill="1" applyBorder="1" applyAlignment="1">
      <alignment vertical="center"/>
    </xf>
    <xf numFmtId="166" fontId="6" fillId="0" borderId="68" xfId="0" applyNumberFormat="1" applyFont="1" applyFill="1" applyBorder="1" applyAlignment="1">
      <alignment vertical="center"/>
    </xf>
    <xf numFmtId="166" fontId="5" fillId="0" borderId="101" xfId="0" applyNumberFormat="1" applyFont="1" applyFill="1" applyBorder="1" applyAlignment="1">
      <alignment vertical="center"/>
    </xf>
    <xf numFmtId="0" fontId="5" fillId="0" borderId="57" xfId="0" applyFont="1" applyBorder="1" applyAlignment="1">
      <alignment vertical="center"/>
    </xf>
    <xf numFmtId="166" fontId="6" fillId="0" borderId="68" xfId="0" applyNumberFormat="1" applyFont="1" applyBorder="1" applyAlignment="1">
      <alignment vertical="center"/>
    </xf>
    <xf numFmtId="166" fontId="5" fillId="0" borderId="101" xfId="0" applyNumberFormat="1" applyFont="1" applyBorder="1" applyAlignment="1">
      <alignment vertical="center"/>
    </xf>
    <xf numFmtId="0" fontId="5" fillId="0" borderId="55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5" fillId="0" borderId="57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9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 wrapText="1"/>
    </xf>
    <xf numFmtId="0" fontId="6" fillId="0" borderId="7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21" borderId="0" xfId="0" applyFont="1" applyFill="1" applyAlignment="1">
      <alignment horizontal="center" vertical="center" wrapText="1"/>
    </xf>
    <xf numFmtId="0" fontId="6" fillId="0" borderId="7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71" xfId="0" quotePrefix="1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8" fillId="0" borderId="1" xfId="3" applyFont="1" applyBorder="1" applyAlignment="1">
      <alignment horizontal="center" vertical="center"/>
    </xf>
    <xf numFmtId="0" fontId="38" fillId="0" borderId="1" xfId="3" applyFont="1" applyBorder="1" applyAlignment="1">
      <alignment horizontal="center"/>
    </xf>
    <xf numFmtId="41" fontId="39" fillId="6" borderId="1" xfId="2" applyFont="1" applyFill="1" applyBorder="1" applyAlignment="1">
      <alignment horizontal="right" vertical="center" wrapText="1"/>
    </xf>
    <xf numFmtId="0" fontId="38" fillId="0" borderId="1" xfId="3" applyFont="1" applyBorder="1" applyAlignment="1">
      <alignment horizontal="center" vertical="center" wrapText="1"/>
    </xf>
    <xf numFmtId="0" fontId="38" fillId="0" borderId="1" xfId="3" applyFont="1" applyBorder="1" applyAlignment="1">
      <alignment horizontal="center" wrapText="1"/>
    </xf>
    <xf numFmtId="0" fontId="5" fillId="0" borderId="5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00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4" borderId="47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22" borderId="47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5" fillId="0" borderId="68" xfId="0" applyFont="1" applyFill="1" applyBorder="1" applyAlignment="1">
      <alignment horizontal="center" vertical="center"/>
    </xf>
    <xf numFmtId="0" fontId="5" fillId="22" borderId="97" xfId="0" applyFont="1" applyFill="1" applyBorder="1" applyAlignment="1">
      <alignment horizontal="center" vertical="center"/>
    </xf>
    <xf numFmtId="0" fontId="5" fillId="22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0" fillId="0" borderId="0" xfId="0" applyFont="1" applyBorder="1" applyAlignment="1">
      <alignment horizontal="right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</cellXfs>
  <cellStyles count="13">
    <cellStyle name="Comma" xfId="1" builtinId="3"/>
    <cellStyle name="Comma [0]" xfId="2" builtinId="6"/>
    <cellStyle name="Comma [0] 2" xfId="5"/>
    <cellStyle name="Comma [0] 2 2" xfId="10"/>
    <cellStyle name="Comma [0] 3" xfId="7"/>
    <cellStyle name="Comma 2" xfId="4"/>
    <cellStyle name="Comma 2 2" xfId="9"/>
    <cellStyle name="Comma 3" xfId="6"/>
    <cellStyle name="Comma 4" xfId="11"/>
    <cellStyle name="Hyperlink" xfId="12" builtinId="8"/>
    <cellStyle name="Normal" xfId="0" builtinId="0"/>
    <cellStyle name="Normal 2" xfId="3"/>
    <cellStyle name="Normal 2 2" xf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2%20SISNERLING\SISNERLING%20Neraca%20Kayu\Statistik%20LHK\Data%20Statistik%20KLH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ork\Subdit%20Neraca%20Barang%20(09082019)\SEEA\Publikasi%20Sisnerling\Neraca%20Aset%20Sumber%20Daya%20Kayu\Neraca%20Aset%20Sumber%20Daya%20Kayu%202025\LK%202025\0.%20Permintaan%20BPS%20Tambaha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2%20SISNERLING\SISNERLING%20Neraca%20Kayu\PDB%20Kehutanan\A-2-0%20Kayu%20Bulat%20Menurut%20Provinsi%20Penghasil%20Kayu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.%20Permintaan%20BPS%20Tambah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luas kebakaran hutan"/>
      <sheetName val="2.realisasi reboisasi"/>
      <sheetName val="3. rehabilitasi lahan"/>
      <sheetName val="4. rehabilitasi lahan dan hutan"/>
      <sheetName val="5. Penanaman"/>
    </sheetNames>
    <sheetDataSet>
      <sheetData sheetId="0">
        <row r="46">
          <cell r="P46">
            <v>529266.64000000013</v>
          </cell>
          <cell r="Q46">
            <v>1649258</v>
          </cell>
          <cell r="R46">
            <v>296942</v>
          </cell>
          <cell r="S46">
            <v>358867</v>
          </cell>
          <cell r="T46">
            <v>204936</v>
          </cell>
        </row>
        <row r="48">
          <cell r="N48">
            <v>13555</v>
          </cell>
          <cell r="O48">
            <v>151929</v>
          </cell>
        </row>
        <row r="49">
          <cell r="J49">
            <v>891274</v>
          </cell>
          <cell r="K49">
            <v>1706559</v>
          </cell>
          <cell r="L49">
            <v>97788</v>
          </cell>
          <cell r="M49">
            <v>340576</v>
          </cell>
          <cell r="N49">
            <v>13555</v>
          </cell>
          <cell r="O49">
            <v>140137</v>
          </cell>
          <cell r="P49">
            <v>515944.07000000012</v>
          </cell>
          <cell r="Q49">
            <v>1611260</v>
          </cell>
          <cell r="R49">
            <v>267932</v>
          </cell>
          <cell r="S49">
            <v>341511</v>
          </cell>
          <cell r="T49">
            <v>200444</v>
          </cell>
        </row>
      </sheetData>
      <sheetData sheetId="1">
        <row r="50">
          <cell r="K50">
            <v>35123</v>
          </cell>
          <cell r="L50">
            <v>25188</v>
          </cell>
          <cell r="M50">
            <v>206000</v>
          </cell>
        </row>
        <row r="51">
          <cell r="K51">
            <v>13271</v>
          </cell>
          <cell r="L51">
            <v>17023</v>
          </cell>
          <cell r="M51">
            <v>156350</v>
          </cell>
        </row>
      </sheetData>
      <sheetData sheetId="2">
        <row r="52">
          <cell r="N52">
            <v>78275.570000000007</v>
          </cell>
          <cell r="O52">
            <v>81129.609999999986</v>
          </cell>
        </row>
      </sheetData>
      <sheetData sheetId="3"/>
      <sheetData sheetId="4">
        <row r="89">
          <cell r="H89">
            <v>156257</v>
          </cell>
          <cell r="I89">
            <v>220185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t Perhutani"/>
      <sheetName val="Rekap"/>
      <sheetName val="StatHut"/>
    </sheetNames>
    <sheetDataSet>
      <sheetData sheetId="0"/>
      <sheetData sheetId="1">
        <row r="7">
          <cell r="F7">
            <v>380868</v>
          </cell>
          <cell r="G7">
            <v>381328</v>
          </cell>
          <cell r="H7">
            <v>381242</v>
          </cell>
          <cell r="I7">
            <v>380527</v>
          </cell>
          <cell r="J7">
            <v>394212.1</v>
          </cell>
          <cell r="K7">
            <v>380931.2</v>
          </cell>
          <cell r="L7">
            <v>380931.2</v>
          </cell>
          <cell r="M7">
            <v>383395.35</v>
          </cell>
          <cell r="N7">
            <v>383374</v>
          </cell>
          <cell r="O7">
            <v>385660.5</v>
          </cell>
        </row>
        <row r="16">
          <cell r="G16">
            <v>968903.7230999975</v>
          </cell>
          <cell r="H16">
            <v>963117</v>
          </cell>
          <cell r="I16">
            <v>952725</v>
          </cell>
          <cell r="J16">
            <v>953270</v>
          </cell>
          <cell r="K16">
            <v>1222559.1000000001</v>
          </cell>
          <cell r="L16">
            <v>1222560</v>
          </cell>
          <cell r="M16">
            <v>1230563.49</v>
          </cell>
          <cell r="N16">
            <v>1094376</v>
          </cell>
          <cell r="O16">
            <v>1094380</v>
          </cell>
        </row>
        <row r="17">
          <cell r="G17">
            <v>435887</v>
          </cell>
          <cell r="H17">
            <v>441728</v>
          </cell>
          <cell r="I17">
            <v>457697</v>
          </cell>
          <cell r="J17">
            <v>450103.19999999995</v>
          </cell>
          <cell r="K17">
            <v>196273.89999999991</v>
          </cell>
          <cell r="L17">
            <v>196273</v>
          </cell>
          <cell r="M17">
            <v>187178.76</v>
          </cell>
          <cell r="N17">
            <v>713742</v>
          </cell>
          <cell r="O17">
            <v>713932</v>
          </cell>
        </row>
        <row r="19">
          <cell r="G19">
            <v>2863</v>
          </cell>
          <cell r="H19">
            <v>2356.1800000000003</v>
          </cell>
          <cell r="I19">
            <v>3264</v>
          </cell>
          <cell r="J19">
            <v>3338</v>
          </cell>
          <cell r="K19">
            <v>3382</v>
          </cell>
          <cell r="L19">
            <v>3307</v>
          </cell>
          <cell r="M19">
            <v>3024</v>
          </cell>
          <cell r="N19">
            <v>3601</v>
          </cell>
          <cell r="O19">
            <v>3807</v>
          </cell>
        </row>
        <row r="20">
          <cell r="G20">
            <v>928</v>
          </cell>
          <cell r="H20">
            <v>829.3499999999998</v>
          </cell>
          <cell r="I20">
            <v>1472</v>
          </cell>
          <cell r="J20">
            <v>1509</v>
          </cell>
          <cell r="K20">
            <v>2678</v>
          </cell>
          <cell r="L20">
            <v>2325</v>
          </cell>
          <cell r="M20">
            <v>2121</v>
          </cell>
          <cell r="N20">
            <v>1704</v>
          </cell>
          <cell r="O20">
            <v>1923</v>
          </cell>
        </row>
        <row r="22">
          <cell r="G22">
            <v>1617</v>
          </cell>
          <cell r="H22">
            <v>4905.18</v>
          </cell>
          <cell r="I22">
            <v>12043</v>
          </cell>
          <cell r="J22">
            <v>14532</v>
          </cell>
          <cell r="K22">
            <v>13469</v>
          </cell>
          <cell r="L22">
            <v>18537</v>
          </cell>
          <cell r="M22">
            <v>9997</v>
          </cell>
          <cell r="N22">
            <v>13258</v>
          </cell>
          <cell r="O22">
            <v>10269</v>
          </cell>
        </row>
        <row r="23">
          <cell r="G23">
            <v>3244</v>
          </cell>
          <cell r="H23">
            <v>10365.644</v>
          </cell>
          <cell r="I23">
            <v>6971</v>
          </cell>
          <cell r="J23">
            <v>11525</v>
          </cell>
          <cell r="K23">
            <v>15520</v>
          </cell>
          <cell r="L23">
            <v>17282</v>
          </cell>
          <cell r="M23">
            <v>9992</v>
          </cell>
          <cell r="N23">
            <v>7505</v>
          </cell>
          <cell r="O23">
            <v>4337</v>
          </cell>
        </row>
        <row r="28">
          <cell r="G28">
            <v>250638</v>
          </cell>
          <cell r="H28">
            <v>306217.076</v>
          </cell>
          <cell r="I28">
            <v>400112</v>
          </cell>
          <cell r="J28">
            <v>406076</v>
          </cell>
          <cell r="K28">
            <v>432817.3</v>
          </cell>
          <cell r="L28">
            <v>494760</v>
          </cell>
          <cell r="M28">
            <v>500476</v>
          </cell>
          <cell r="N28">
            <v>462955</v>
          </cell>
          <cell r="O28">
            <v>395508</v>
          </cell>
        </row>
        <row r="29">
          <cell r="G29">
            <v>297794</v>
          </cell>
          <cell r="H29">
            <v>330075.283</v>
          </cell>
          <cell r="I29">
            <v>409822</v>
          </cell>
          <cell r="J29">
            <v>377444</v>
          </cell>
          <cell r="K29">
            <v>413688.3</v>
          </cell>
          <cell r="L29">
            <v>491423</v>
          </cell>
          <cell r="M29">
            <v>425291</v>
          </cell>
          <cell r="N29">
            <v>453153</v>
          </cell>
          <cell r="O29">
            <v>408129</v>
          </cell>
        </row>
        <row r="31">
          <cell r="G31">
            <v>984.20184472649998</v>
          </cell>
          <cell r="H31">
            <v>1041.53824374441</v>
          </cell>
          <cell r="I31">
            <v>1225.6199999999999</v>
          </cell>
          <cell r="J31">
            <v>1174.9000000000001</v>
          </cell>
          <cell r="K31">
            <v>1225.9000000000001</v>
          </cell>
          <cell r="L31">
            <v>1424</v>
          </cell>
          <cell r="M31">
            <v>1466.8</v>
          </cell>
          <cell r="N31">
            <v>1329</v>
          </cell>
          <cell r="O31">
            <v>1173</v>
          </cell>
        </row>
        <row r="32">
          <cell r="G32">
            <v>243.20838078509999</v>
          </cell>
          <cell r="H32">
            <v>294.94393815222901</v>
          </cell>
          <cell r="I32">
            <v>307.7</v>
          </cell>
          <cell r="J32">
            <v>307.3</v>
          </cell>
          <cell r="K32">
            <v>410.6</v>
          </cell>
          <cell r="L32">
            <v>411.2</v>
          </cell>
          <cell r="M32">
            <v>340.72699999999998</v>
          </cell>
          <cell r="N32">
            <v>365</v>
          </cell>
          <cell r="O32">
            <v>340</v>
          </cell>
        </row>
        <row r="34">
          <cell r="G34">
            <v>283789.06294898834</v>
          </cell>
          <cell r="H34">
            <v>257404.1431362016</v>
          </cell>
          <cell r="I34">
            <v>347201</v>
          </cell>
          <cell r="J34">
            <v>407900</v>
          </cell>
          <cell r="K34">
            <v>423437</v>
          </cell>
          <cell r="L34">
            <v>474554</v>
          </cell>
          <cell r="M34">
            <v>472037</v>
          </cell>
          <cell r="N34">
            <v>431517</v>
          </cell>
          <cell r="O34">
            <v>399067</v>
          </cell>
        </row>
        <row r="35">
          <cell r="G35">
            <v>306326.24376399996</v>
          </cell>
          <cell r="H35">
            <v>299843.1776705177</v>
          </cell>
          <cell r="I35">
            <v>340906</v>
          </cell>
          <cell r="J35">
            <v>343919</v>
          </cell>
          <cell r="K35">
            <v>388150</v>
          </cell>
          <cell r="L35">
            <v>461843</v>
          </cell>
          <cell r="M35">
            <v>388663</v>
          </cell>
          <cell r="N35">
            <v>414842</v>
          </cell>
          <cell r="O35">
            <v>391282</v>
          </cell>
        </row>
        <row r="37">
          <cell r="G37">
            <v>38456014</v>
          </cell>
          <cell r="H37">
            <v>49292712</v>
          </cell>
          <cell r="I37">
            <v>38304975</v>
          </cell>
          <cell r="J37">
            <v>27329056</v>
          </cell>
          <cell r="K37">
            <v>23492087</v>
          </cell>
          <cell r="L37">
            <v>15976261</v>
          </cell>
          <cell r="M37">
            <v>20833308</v>
          </cell>
          <cell r="N37">
            <v>17758449</v>
          </cell>
          <cell r="O37">
            <v>16704952.000000002</v>
          </cell>
        </row>
        <row r="38">
          <cell r="G38">
            <v>305815</v>
          </cell>
          <cell r="H38">
            <v>211048</v>
          </cell>
          <cell r="I38">
            <v>84201</v>
          </cell>
          <cell r="J38">
            <v>288541</v>
          </cell>
          <cell r="K38">
            <v>18531</v>
          </cell>
          <cell r="L38">
            <v>44654</v>
          </cell>
          <cell r="M38">
            <v>39049</v>
          </cell>
          <cell r="N38">
            <v>318595</v>
          </cell>
          <cell r="O38">
            <v>160309</v>
          </cell>
        </row>
        <row r="39">
          <cell r="G39">
            <v>1120886</v>
          </cell>
          <cell r="H39">
            <v>1702742</v>
          </cell>
          <cell r="I39">
            <v>963923</v>
          </cell>
          <cell r="J39">
            <v>4125921</v>
          </cell>
          <cell r="K39">
            <v>1804012</v>
          </cell>
          <cell r="L39">
            <v>1142998</v>
          </cell>
          <cell r="M39">
            <v>5017771</v>
          </cell>
          <cell r="N39">
            <v>18942706</v>
          </cell>
          <cell r="O39">
            <v>4577197</v>
          </cell>
        </row>
        <row r="40">
          <cell r="G40">
            <v>107205</v>
          </cell>
          <cell r="H40">
            <v>184927</v>
          </cell>
          <cell r="I40">
            <v>18475</v>
          </cell>
          <cell r="J40">
            <v>143100</v>
          </cell>
          <cell r="K40">
            <v>4500</v>
          </cell>
          <cell r="L40">
            <v>15975</v>
          </cell>
          <cell r="M40">
            <v>0</v>
          </cell>
          <cell r="N40">
            <v>0</v>
          </cell>
          <cell r="O40">
            <v>57285</v>
          </cell>
        </row>
        <row r="41">
          <cell r="G41">
            <v>522062</v>
          </cell>
          <cell r="H41">
            <v>6089975</v>
          </cell>
          <cell r="I41">
            <v>8082052</v>
          </cell>
          <cell r="J41">
            <v>7782911</v>
          </cell>
          <cell r="K41">
            <v>2712738</v>
          </cell>
          <cell r="L41">
            <v>760082</v>
          </cell>
          <cell r="M41">
            <v>456726</v>
          </cell>
          <cell r="N41">
            <v>11577893</v>
          </cell>
          <cell r="O41">
            <v>3822440</v>
          </cell>
        </row>
        <row r="42">
          <cell r="G42">
            <v>31763130</v>
          </cell>
          <cell r="H42">
            <v>30855268</v>
          </cell>
          <cell r="I42">
            <v>47480576</v>
          </cell>
          <cell r="J42">
            <v>47764182</v>
          </cell>
          <cell r="K42">
            <v>45412984</v>
          </cell>
          <cell r="L42">
            <v>24178170</v>
          </cell>
          <cell r="M42">
            <v>25971685</v>
          </cell>
          <cell r="N42">
            <v>22888350</v>
          </cell>
          <cell r="O42">
            <v>30696326</v>
          </cell>
        </row>
      </sheetData>
      <sheetData sheetId="2">
        <row r="6">
          <cell r="F6">
            <v>5.5112465477574801</v>
          </cell>
          <cell r="G6">
            <v>-4.9496069817081718</v>
          </cell>
        </row>
        <row r="15">
          <cell r="F15">
            <v>-34.62914193624465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Asli Rinci"/>
      <sheetName val="Data Agregat Provinsi"/>
      <sheetName val="Data Agregat Nasional"/>
      <sheetName val="Olah"/>
    </sheetNames>
    <sheetDataSet>
      <sheetData sheetId="0"/>
      <sheetData sheetId="1"/>
      <sheetData sheetId="2"/>
      <sheetData sheetId="3">
        <row r="5">
          <cell r="L5">
            <v>27462980.292027432</v>
          </cell>
          <cell r="M5">
            <v>28653668.100842256</v>
          </cell>
          <cell r="N5">
            <v>30180975.944529958</v>
          </cell>
          <cell r="O5">
            <v>31865453.933318969</v>
          </cell>
          <cell r="P5">
            <v>31978702.094977107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t Perhutani"/>
      <sheetName val="Rekap"/>
      <sheetName val="StatHut"/>
    </sheetNames>
    <sheetDataSet>
      <sheetData sheetId="0" refreshError="1"/>
      <sheetData sheetId="1" refreshError="1"/>
      <sheetData sheetId="2">
        <row r="6">
          <cell r="G6">
            <v>-4.9496069817081718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atistik.menlhk.go.id/sisklhk/ditjen_pdashl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39997558519241921"/>
  </sheetPr>
  <dimension ref="A1:AR117"/>
  <sheetViews>
    <sheetView view="pageBreakPreview" zoomScale="90" zoomScaleNormal="100" zoomScaleSheetLayoutView="90" workbookViewId="0">
      <pane xSplit="18" ySplit="5" topLeftCell="S6" activePane="bottomRight" state="frozen"/>
      <selection pane="topRight" activeCell="S1" sqref="S1"/>
      <selection pane="bottomLeft" activeCell="A6" sqref="A6"/>
      <selection pane="bottomRight" activeCell="AD12" sqref="AD12"/>
    </sheetView>
  </sheetViews>
  <sheetFormatPr defaultColWidth="9.33203125" defaultRowHeight="13.5" x14ac:dyDescent="0.2"/>
  <cols>
    <col min="1" max="1" width="32" style="2" customWidth="1"/>
    <col min="2" max="19" width="13.83203125" style="2" hidden="1" customWidth="1"/>
    <col min="20" max="20" width="13.1640625" style="2" customWidth="1"/>
    <col min="21" max="21" width="13.5" style="2" customWidth="1"/>
    <col min="22" max="22" width="13.83203125" style="2" customWidth="1"/>
    <col min="23" max="23" width="14.5" style="2" customWidth="1"/>
    <col min="24" max="28" width="14.83203125" style="2" customWidth="1"/>
    <col min="29" max="29" width="5.83203125" style="2" customWidth="1"/>
    <col min="30" max="30" width="17.33203125" style="2" bestFit="1" customWidth="1"/>
    <col min="31" max="31" width="18.1640625" style="2" bestFit="1" customWidth="1"/>
    <col min="32" max="32" width="10.83203125" style="2" customWidth="1"/>
    <col min="33" max="33" width="13.33203125" style="2" customWidth="1"/>
    <col min="34" max="34" width="12.33203125" style="2" customWidth="1"/>
    <col min="35" max="35" width="7.33203125" style="2" customWidth="1"/>
    <col min="36" max="44" width="10.83203125" style="2" customWidth="1"/>
    <col min="45" max="16384" width="9.33203125" style="2"/>
  </cols>
  <sheetData>
    <row r="1" spans="1:44" ht="15" x14ac:dyDescent="0.2">
      <c r="A1" s="963" t="s">
        <v>123</v>
      </c>
      <c r="B1" s="963"/>
      <c r="C1" s="963"/>
      <c r="D1" s="963"/>
      <c r="E1" s="963"/>
      <c r="F1" s="963"/>
      <c r="G1" s="963"/>
      <c r="H1" s="963"/>
      <c r="I1" s="963"/>
      <c r="J1" s="963"/>
      <c r="K1" s="963"/>
      <c r="L1" s="963"/>
      <c r="M1" s="963"/>
      <c r="N1" s="963"/>
      <c r="O1" s="963"/>
      <c r="P1" s="963"/>
      <c r="Q1" s="963"/>
      <c r="R1" s="963"/>
      <c r="S1" s="963"/>
      <c r="T1" s="963"/>
      <c r="U1" s="183"/>
      <c r="V1" s="183"/>
      <c r="W1" s="183"/>
      <c r="X1" s="183"/>
      <c r="Y1" s="297"/>
      <c r="Z1" s="299"/>
      <c r="AA1" s="301"/>
      <c r="AB1" s="360"/>
      <c r="AC1" s="301"/>
      <c r="AD1" s="295"/>
    </row>
    <row r="2" spans="1:44" ht="15" x14ac:dyDescent="0.2">
      <c r="A2" s="964" t="s">
        <v>122</v>
      </c>
      <c r="B2" s="964"/>
      <c r="C2" s="964"/>
      <c r="D2" s="964"/>
      <c r="E2" s="964"/>
      <c r="F2" s="964"/>
      <c r="G2" s="964"/>
      <c r="H2" s="964"/>
      <c r="I2" s="964"/>
      <c r="J2" s="964"/>
      <c r="K2" s="964"/>
      <c r="L2" s="964"/>
      <c r="M2" s="964"/>
      <c r="N2" s="964"/>
      <c r="O2" s="964"/>
      <c r="P2" s="964"/>
      <c r="Q2" s="964"/>
      <c r="R2" s="964"/>
      <c r="S2" s="964"/>
      <c r="T2" s="964"/>
      <c r="U2" s="183"/>
      <c r="V2" s="183"/>
      <c r="W2" s="183"/>
      <c r="X2" s="183"/>
      <c r="Y2" s="297"/>
      <c r="Z2" s="299"/>
      <c r="AA2" s="301"/>
      <c r="AB2" s="360"/>
      <c r="AC2" s="301"/>
      <c r="AD2" s="295"/>
    </row>
    <row r="3" spans="1:44" ht="15.75" thickBot="1" x14ac:dyDescent="0.25">
      <c r="A3" s="79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</row>
    <row r="4" spans="1:44" ht="17.45" customHeight="1" thickTop="1" x14ac:dyDescent="0.2">
      <c r="A4" s="961" t="s">
        <v>0</v>
      </c>
      <c r="B4" s="961">
        <v>1990</v>
      </c>
      <c r="C4" s="961">
        <v>1991</v>
      </c>
      <c r="D4" s="961">
        <v>1992</v>
      </c>
      <c r="E4" s="961">
        <v>1993</v>
      </c>
      <c r="F4" s="961">
        <v>1994</v>
      </c>
      <c r="G4" s="961">
        <v>1995</v>
      </c>
      <c r="H4" s="961">
        <v>1996</v>
      </c>
      <c r="I4" s="961">
        <v>1997</v>
      </c>
      <c r="J4" s="961">
        <v>1998</v>
      </c>
      <c r="K4" s="961">
        <v>1999</v>
      </c>
      <c r="L4" s="961">
        <v>2000</v>
      </c>
      <c r="M4" s="961">
        <v>2001</v>
      </c>
      <c r="N4" s="961">
        <v>2002</v>
      </c>
      <c r="O4" s="965">
        <v>2003</v>
      </c>
      <c r="P4" s="965">
        <v>2004</v>
      </c>
      <c r="Q4" s="965">
        <v>2005</v>
      </c>
      <c r="R4" s="965">
        <v>2006</v>
      </c>
      <c r="S4" s="965">
        <v>2007</v>
      </c>
      <c r="T4" s="961">
        <v>2008</v>
      </c>
      <c r="U4" s="965">
        <v>2009</v>
      </c>
      <c r="V4" s="961">
        <v>2010</v>
      </c>
      <c r="W4" s="961">
        <v>2011</v>
      </c>
      <c r="X4" s="961">
        <v>2012</v>
      </c>
      <c r="Y4" s="961">
        <v>2013</v>
      </c>
      <c r="Z4" s="961">
        <v>2014</v>
      </c>
      <c r="AA4" s="961">
        <v>2015</v>
      </c>
      <c r="AB4" s="961">
        <v>2016</v>
      </c>
      <c r="AC4" s="112"/>
      <c r="AD4" s="112"/>
      <c r="AF4" s="967">
        <v>2004</v>
      </c>
      <c r="AG4" s="967">
        <v>2005</v>
      </c>
      <c r="AH4" s="967">
        <v>2006</v>
      </c>
      <c r="AI4" s="969">
        <v>2007</v>
      </c>
      <c r="AJ4" s="971">
        <v>2008</v>
      </c>
      <c r="AK4" s="969">
        <v>2009</v>
      </c>
      <c r="AL4" s="971">
        <v>2010</v>
      </c>
      <c r="AM4" s="961">
        <v>2011</v>
      </c>
      <c r="AN4" s="961">
        <v>2012</v>
      </c>
      <c r="AO4" s="961">
        <v>2013</v>
      </c>
      <c r="AP4" s="961">
        <v>2014</v>
      </c>
      <c r="AQ4" s="961">
        <v>2015</v>
      </c>
      <c r="AR4" s="961">
        <v>2016</v>
      </c>
    </row>
    <row r="5" spans="1:44" ht="17.45" customHeight="1" thickBot="1" x14ac:dyDescent="0.25">
      <c r="A5" s="962"/>
      <c r="B5" s="962"/>
      <c r="C5" s="962"/>
      <c r="D5" s="962"/>
      <c r="E5" s="962"/>
      <c r="F5" s="962"/>
      <c r="G5" s="962"/>
      <c r="H5" s="962"/>
      <c r="I5" s="962"/>
      <c r="J5" s="962"/>
      <c r="K5" s="962"/>
      <c r="L5" s="962"/>
      <c r="M5" s="962"/>
      <c r="N5" s="962"/>
      <c r="O5" s="966"/>
      <c r="P5" s="966"/>
      <c r="Q5" s="966"/>
      <c r="R5" s="966"/>
      <c r="S5" s="966"/>
      <c r="T5" s="962"/>
      <c r="U5" s="966"/>
      <c r="V5" s="962"/>
      <c r="W5" s="962"/>
      <c r="X5" s="962"/>
      <c r="Y5" s="962"/>
      <c r="Z5" s="962"/>
      <c r="AA5" s="962"/>
      <c r="AB5" s="962"/>
      <c r="AC5" s="112"/>
      <c r="AD5" s="112"/>
      <c r="AF5" s="968"/>
      <c r="AG5" s="968"/>
      <c r="AH5" s="968"/>
      <c r="AI5" s="970"/>
      <c r="AJ5" s="972"/>
      <c r="AK5" s="970"/>
      <c r="AL5" s="972"/>
      <c r="AM5" s="962"/>
      <c r="AN5" s="962"/>
      <c r="AO5" s="962"/>
      <c r="AP5" s="962"/>
      <c r="AQ5" s="962"/>
      <c r="AR5" s="962"/>
    </row>
    <row r="6" spans="1:44" ht="17.45" customHeight="1" thickTop="1" x14ac:dyDescent="0.2">
      <c r="A6" s="190" t="s">
        <v>187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2"/>
      <c r="AD6" s="12"/>
      <c r="AE6" s="54"/>
      <c r="AF6" s="2" t="s">
        <v>212</v>
      </c>
    </row>
    <row r="7" spans="1:44" ht="17.45" customHeight="1" x14ac:dyDescent="0.2">
      <c r="A7" s="185"/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2"/>
      <c r="AD7" s="194"/>
      <c r="AE7" s="296"/>
    </row>
    <row r="8" spans="1:44" ht="17.45" customHeight="1" x14ac:dyDescent="0.2">
      <c r="A8" s="185" t="s">
        <v>2</v>
      </c>
      <c r="B8" s="186">
        <f>'Rimba Luar Jawa'!B8+'Rimba Jawa'!B8+'Jati Jawa'!B8</f>
        <v>8644424.6000000015</v>
      </c>
      <c r="C8" s="186">
        <f>'Rimba Luar Jawa'!C8+'Rimba Jawa'!C8+'Jati Jawa'!C8</f>
        <v>8642977.8000000007</v>
      </c>
      <c r="D8" s="186">
        <f>'Rimba Luar Jawa'!D8+'Rimba Jawa'!D8+'Jati Jawa'!D8</f>
        <v>8640252.7455536071</v>
      </c>
      <c r="E8" s="186">
        <f>'Rimba Luar Jawa'!E8+'Rimba Jawa'!E8+'Jati Jawa'!E8</f>
        <v>8619007.1668181363</v>
      </c>
      <c r="F8" s="186">
        <f>'Rimba Luar Jawa'!F8+'Rimba Jawa'!F8+'Jati Jawa'!F8</f>
        <v>8589076.0102068204</v>
      </c>
      <c r="G8" s="186">
        <f>'Rimba Luar Jawa'!G8+'Rimba Jawa'!G8+'Jati Jawa'!G8</f>
        <v>8569181.9004384335</v>
      </c>
      <c r="H8" s="186">
        <f>'Rimba Luar Jawa'!H8+'Rimba Jawa'!H8+'Jati Jawa'!H8</f>
        <v>8548707.6104384344</v>
      </c>
      <c r="I8" s="186">
        <f>'Rimba Luar Jawa'!I8+'Rimba Jawa'!I8+'Jati Jawa'!I8</f>
        <v>8535616.3050000016</v>
      </c>
      <c r="J8" s="186">
        <f>'Rimba Luar Jawa'!J8+'Rimba Jawa'!J8+'Jati Jawa'!J8</f>
        <v>8478434.2400000021</v>
      </c>
      <c r="K8" s="186">
        <f>'Rimba Luar Jawa'!K8+'Rimba Jawa'!K8+'Jati Jawa'!K8</f>
        <v>8418105.0770000033</v>
      </c>
      <c r="L8" s="186">
        <f>'Rimba Luar Jawa'!L8+'Rimba Jawa'!L8+'Jati Jawa'!L8</f>
        <v>8345375.3486639448</v>
      </c>
      <c r="M8" s="186">
        <f>'Rimba Luar Jawa'!M8+'Rimba Jawa'!M8+'Jati Jawa'!M8</f>
        <v>8282251.7864561249</v>
      </c>
      <c r="N8" s="186">
        <f>'Rimba Luar Jawa'!N8+'Rimba Jawa'!N8+'Jati Jawa'!N8</f>
        <v>8191498.894572394</v>
      </c>
      <c r="O8" s="186">
        <f>'Rimba Luar Jawa'!O8+'Rimba Jawa'!O8+'Jati Jawa'!O8</f>
        <v>8068944.1353588831</v>
      </c>
      <c r="P8" s="186">
        <f>'Rimba Luar Jawa'!P8+'Rimba Jawa'!P8+'Jati Jawa'!P8</f>
        <v>7925081.7233114932</v>
      </c>
      <c r="Q8" s="186">
        <f>'Rimba Luar Jawa'!Q8+'Rimba Jawa'!Q8+'Jati Jawa'!Q8</f>
        <v>7753143.3643644927</v>
      </c>
      <c r="R8" s="186">
        <f>'Rimba Luar Jawa'!R8+'Rimba Jawa'!R8+'Jati Jawa'!R8</f>
        <v>7515887.7574744355</v>
      </c>
      <c r="S8" s="186">
        <f>'Rimba Luar Jawa'!S8+'Rimba Jawa'!S8+'Jati Jawa'!S8</f>
        <v>7232311.7491272604</v>
      </c>
      <c r="T8" s="186">
        <f>'Rimba Luar Jawa'!T8+'Rimba Jawa'!T8+'Jati Jawa'!T8</f>
        <v>6941231.3149276888</v>
      </c>
      <c r="U8" s="186">
        <f>'Rimba Luar Jawa'!U8+'Rimba Jawa'!U8+'Jati Jawa'!U8</f>
        <v>6742572.6057451833</v>
      </c>
      <c r="V8" s="186">
        <f>'Rimba Luar Jawa'!V8+'Rimba Jawa'!V8+'Jati Jawa'!V8</f>
        <v>6520095.2103007417</v>
      </c>
      <c r="W8" s="186">
        <f>'Rimba Luar Jawa'!W8+'Rimba Jawa'!W8+'Jati Jawa'!W8</f>
        <v>6271702.0579473851</v>
      </c>
      <c r="X8" s="186">
        <f>'Rimba Luar Jawa'!X8+'Rimba Jawa'!X8+'Jati Jawa'!X8</f>
        <v>5998732.6679871827</v>
      </c>
      <c r="Y8" s="186">
        <f>'Rimba Luar Jawa'!Y8+'Rimba Jawa'!Y8+'Jati Jawa'!Y8</f>
        <v>5670001.2408920629</v>
      </c>
      <c r="Z8" s="186">
        <f>'Rimba Luar Jawa'!Z8+'Rimba Jawa'!Z8+'Jati Jawa'!Z8</f>
        <v>5606293.1359572569</v>
      </c>
      <c r="AA8" s="186">
        <f>'Rimba Luar Jawa'!AA8+'Rimba Jawa'!AA8+'Jati Jawa'!AA8</f>
        <v>5423882.4098763661</v>
      </c>
      <c r="AB8" s="186">
        <f>'Rimba Luar Jawa'!AB8+'Rimba Jawa'!AB8+'Jati Jawa'!AB8</f>
        <v>4827604.4524949323</v>
      </c>
      <c r="AC8" s="85"/>
      <c r="AD8" s="52"/>
      <c r="AE8" s="159"/>
      <c r="AF8" s="6">
        <f>P8/O8*100-100</f>
        <v>-1.782914959306396</v>
      </c>
      <c r="AG8" s="6">
        <f t="shared" ref="AG8:AL14" si="0">Q8/P8*100-100</f>
        <v>-2.1695468255077657</v>
      </c>
      <c r="AH8" s="6">
        <f t="shared" si="0"/>
        <v>-3.0601214983402372</v>
      </c>
      <c r="AI8" s="6">
        <f t="shared" si="0"/>
        <v>-3.7730207993748053</v>
      </c>
      <c r="AJ8" s="6">
        <f t="shared" si="0"/>
        <v>-4.0247218910979115</v>
      </c>
      <c r="AK8" s="6">
        <f t="shared" si="0"/>
        <v>-2.8620096373286685</v>
      </c>
      <c r="AL8" s="6">
        <f t="shared" si="0"/>
        <v>-3.2995921357209284</v>
      </c>
      <c r="AM8" s="6">
        <f t="shared" ref="AM8" si="1">W8/V8*100-100</f>
        <v>-3.8096552940045143</v>
      </c>
      <c r="AN8" s="6">
        <f t="shared" ref="AN8" si="2">X8/W8*100-100</f>
        <v>-4.3523972828763533</v>
      </c>
      <c r="AO8" s="6">
        <f t="shared" ref="AO8:AO14" si="3">Y8/X8*100-100</f>
        <v>-5.4800146179113369</v>
      </c>
      <c r="AP8" s="6">
        <f t="shared" ref="AP8:AP14" si="4">Z8/Y8*100-100</f>
        <v>-1.1235994883977014</v>
      </c>
      <c r="AQ8" s="6">
        <f t="shared" ref="AQ8:AR14" si="5">AA8/Z8*100-100</f>
        <v>-3.2536779946620698</v>
      </c>
      <c r="AR8" s="6">
        <f t="shared" si="5"/>
        <v>-10.993563508966744</v>
      </c>
    </row>
    <row r="9" spans="1:44" ht="17.45" customHeight="1" x14ac:dyDescent="0.2">
      <c r="A9" s="185" t="s">
        <v>3</v>
      </c>
      <c r="B9" s="186">
        <f>'Rimba Luar Jawa'!B9+'Rimba Jawa'!B9+'Jati Jawa'!B9</f>
        <v>41982.9</v>
      </c>
      <c r="C9" s="186">
        <f>'Rimba Luar Jawa'!C9+'Rimba Jawa'!C9+'Jati Jawa'!C9</f>
        <v>43088.145553606788</v>
      </c>
      <c r="D9" s="186">
        <f>'Rimba Luar Jawa'!D9+'Rimba Jawa'!D9+'Jati Jawa'!D9</f>
        <v>44320.021264527517</v>
      </c>
      <c r="E9" s="186">
        <f>'Rimba Luar Jawa'!E9+'Rimba Jawa'!E9+'Jati Jawa'!E9</f>
        <v>45618.543388682301</v>
      </c>
      <c r="F9" s="186">
        <f>'Rimba Luar Jawa'!F9+'Rimba Jawa'!F9+'Jati Jawa'!F9</f>
        <v>47003.130231614057</v>
      </c>
      <c r="G9" s="186">
        <f>'Rimba Luar Jawa'!G9+'Rimba Jawa'!G9+'Jati Jawa'!G9</f>
        <v>48595.509999999995</v>
      </c>
      <c r="H9" s="186">
        <f>'Rimba Luar Jawa'!H9+'Rimba Jawa'!H9+'Jati Jawa'!H9</f>
        <v>54426.460000000006</v>
      </c>
      <c r="I9" s="186">
        <f>'Rimba Luar Jawa'!I9+'Rimba Jawa'!I9+'Jati Jawa'!I9</f>
        <v>55032.56</v>
      </c>
      <c r="J9" s="186">
        <f>'Rimba Luar Jawa'!J9+'Rimba Jawa'!J9+'Jati Jawa'!J9</f>
        <v>56761.47</v>
      </c>
      <c r="K9" s="186">
        <f>'Rimba Luar Jawa'!K9+'Rimba Jawa'!K9+'Jati Jawa'!K9</f>
        <v>60762.236570020184</v>
      </c>
      <c r="L9" s="186">
        <f>'Rimba Luar Jawa'!L9+'Rimba Jawa'!L9+'Jati Jawa'!L9</f>
        <v>57911.826798800001</v>
      </c>
      <c r="M9" s="186">
        <f>'Rimba Luar Jawa'!M9+'Rimba Jawa'!M9+'Jati Jawa'!M9</f>
        <v>57766.750116919859</v>
      </c>
      <c r="N9" s="186">
        <f>'Rimba Luar Jawa'!N9+'Rimba Jawa'!N9+'Jati Jawa'!N9</f>
        <v>57353.360425551073</v>
      </c>
      <c r="O9" s="186">
        <f>'Rimba Luar Jawa'!O9+'Rimba Jawa'!O9+'Jati Jawa'!O9</f>
        <v>54498.138918854827</v>
      </c>
      <c r="P9" s="186">
        <f>'Rimba Luar Jawa'!P9+'Rimba Jawa'!P9+'Jati Jawa'!P9</f>
        <v>58396.027802999997</v>
      </c>
      <c r="Q9" s="186">
        <f>'Rimba Luar Jawa'!Q9+'Rimba Jawa'!Q9+'Jati Jawa'!Q9</f>
        <v>53842.346460999994</v>
      </c>
      <c r="R9" s="186">
        <f>'Rimba Luar Jawa'!R9+'Rimba Jawa'!R9+'Jati Jawa'!R9</f>
        <v>52132.490530999996</v>
      </c>
      <c r="S9" s="186">
        <f>'Rimba Luar Jawa'!S9+'Rimba Jawa'!S9+'Jati Jawa'!S9</f>
        <v>51780.126382999995</v>
      </c>
      <c r="T9" s="186">
        <f>'Rimba Luar Jawa'!T9+'Rimba Jawa'!T9+'Jati Jawa'!T9</f>
        <v>50170.416650759995</v>
      </c>
      <c r="U9" s="186">
        <f>'Rimba Luar Jawa'!U9+'Rimba Jawa'!U9+'Jati Jawa'!U9</f>
        <v>51261.333912494134</v>
      </c>
      <c r="V9" s="186">
        <f>'Rimba Luar Jawa'!V9+'Rimba Jawa'!V9+'Jati Jawa'!V9</f>
        <v>50866.65119418659</v>
      </c>
      <c r="W9" s="186">
        <f>'Rimba Luar Jawa'!W9+'Rimba Jawa'!W9+'Jati Jawa'!W9</f>
        <v>51448.149614356968</v>
      </c>
      <c r="X9" s="186">
        <f>'Rimba Luar Jawa'!X9+'Rimba Jawa'!X9+'Jati Jawa'!X9</f>
        <v>52887.13322963145</v>
      </c>
      <c r="Y9" s="186">
        <f>'Rimba Luar Jawa'!Y9+'Rimba Jawa'!Y9+'Jati Jawa'!Y9</f>
        <v>58651.074841135232</v>
      </c>
      <c r="Z9" s="186">
        <f>'Rimba Luar Jawa'!Z9+'Rimba Jawa'!Z9+'Jati Jawa'!Z9</f>
        <v>46687.165089802118</v>
      </c>
      <c r="AA9" s="186">
        <f>'Rimba Luar Jawa'!AA9+'Rimba Jawa'!AA9+'Jati Jawa'!AA9</f>
        <v>46799.570508741323</v>
      </c>
      <c r="AB9" s="186">
        <f>'Rimba Luar Jawa'!AB9+'Rimba Jawa'!AB9+'Jati Jawa'!AB9</f>
        <v>39130.338927425328</v>
      </c>
      <c r="AC9" s="85"/>
      <c r="AD9" s="52"/>
      <c r="AE9" s="159"/>
      <c r="AF9" s="6">
        <f t="shared" ref="AF9:AF14" si="6">P9/O9*100-100</f>
        <v>7.1523339355660198</v>
      </c>
      <c r="AG9" s="6">
        <f t="shared" si="0"/>
        <v>-7.7979299505814339</v>
      </c>
      <c r="AH9" s="6">
        <f t="shared" si="0"/>
        <v>-3.1756712743537463</v>
      </c>
      <c r="AI9" s="6">
        <f t="shared" si="0"/>
        <v>-0.67590123627503829</v>
      </c>
      <c r="AJ9" s="6">
        <f t="shared" si="0"/>
        <v>-3.1087404467372721</v>
      </c>
      <c r="AK9" s="6">
        <f t="shared" si="0"/>
        <v>2.1744233645259357</v>
      </c>
      <c r="AL9" s="6">
        <f t="shared" ref="AL9:AL14" si="7">V9/U9*100-100</f>
        <v>-0.76994234871314404</v>
      </c>
      <c r="AM9" s="6">
        <f t="shared" ref="AM9:AM14" si="8">W9/V9*100-100</f>
        <v>1.1431820387594911</v>
      </c>
      <c r="AN9" s="6">
        <f t="shared" ref="AN9:AN14" si="9">X9/W9*100-100</f>
        <v>2.7969589306141387</v>
      </c>
      <c r="AO9" s="6">
        <f t="shared" si="3"/>
        <v>10.898570709963124</v>
      </c>
      <c r="AP9" s="6">
        <f t="shared" si="4"/>
        <v>-20.398449276060276</v>
      </c>
      <c r="AQ9" s="6">
        <f t="shared" si="5"/>
        <v>0.24076299925899036</v>
      </c>
      <c r="AR9" s="6">
        <f t="shared" si="5"/>
        <v>-16.387397358451224</v>
      </c>
    </row>
    <row r="10" spans="1:44" ht="17.45" customHeight="1" x14ac:dyDescent="0.2">
      <c r="A10" s="185" t="s">
        <v>4</v>
      </c>
      <c r="B10" s="186">
        <f>'Rimba Luar Jawa'!B10+'Rimba Jawa'!B10+'Jati Jawa'!B10</f>
        <v>789.99999999999989</v>
      </c>
      <c r="C10" s="186">
        <f>'Rimba Luar Jawa'!C10+'Rimba Jawa'!C10+'Jati Jawa'!C10</f>
        <v>1152.3</v>
      </c>
      <c r="D10" s="186">
        <f>'Rimba Luar Jawa'!D10+'Rimba Jawa'!D10+'Jati Jawa'!D10</f>
        <v>1131.1999999999998</v>
      </c>
      <c r="E10" s="186">
        <f>'Rimba Luar Jawa'!E10+'Rimba Jawa'!E10+'Jati Jawa'!E10</f>
        <v>1601.8</v>
      </c>
      <c r="F10" s="186">
        <f>'Rimba Luar Jawa'!F10+'Rimba Jawa'!F10+'Jati Jawa'!F10</f>
        <v>1367.46</v>
      </c>
      <c r="G10" s="186">
        <f>'Rimba Luar Jawa'!G10+'Rimba Jawa'!G10+'Jati Jawa'!G10</f>
        <v>1674.2</v>
      </c>
      <c r="H10" s="186">
        <f>'Rimba Luar Jawa'!H10+'Rimba Jawa'!H10+'Jati Jawa'!H10</f>
        <v>2654.0299999999997</v>
      </c>
      <c r="I10" s="186">
        <f>'Rimba Luar Jawa'!I10+'Rimba Jawa'!I10+'Jati Jawa'!I10</f>
        <v>2266.5899999999997</v>
      </c>
      <c r="J10" s="186">
        <f>'Rimba Luar Jawa'!J10+'Rimba Jawa'!J10+'Jati Jawa'!J10</f>
        <v>1681.4900000000002</v>
      </c>
      <c r="K10" s="186">
        <f>'Rimba Luar Jawa'!K10+'Rimba Jawa'!K10+'Jati Jawa'!K10</f>
        <v>1439.1996924109028</v>
      </c>
      <c r="L10" s="186">
        <f>'Rimba Luar Jawa'!L10+'Rimba Jawa'!L10+'Jati Jawa'!L10</f>
        <v>3484.984845821662</v>
      </c>
      <c r="M10" s="186">
        <f>'Rimba Luar Jawa'!M10+'Rimba Jawa'!M10+'Jati Jawa'!M10</f>
        <v>1406.3485546802056</v>
      </c>
      <c r="N10" s="186">
        <f>'Rimba Luar Jawa'!N10+'Rimba Jawa'!N10+'Jati Jawa'!N10</f>
        <v>5053.5776562208221</v>
      </c>
      <c r="O10" s="186">
        <f>'Rimba Luar Jawa'!O10+'Rimba Jawa'!O10+'Jati Jawa'!O10</f>
        <v>5971.3367500000004</v>
      </c>
      <c r="P10" s="186">
        <f>'Rimba Luar Jawa'!P10+'Rimba Jawa'!P10+'Jati Jawa'!P10</f>
        <v>5670.3172500000001</v>
      </c>
      <c r="Q10" s="186">
        <f>'Rimba Luar Jawa'!Q10+'Rimba Jawa'!Q10+'Jati Jawa'!Q10</f>
        <v>5580.4384000000009</v>
      </c>
      <c r="R10" s="186">
        <f>'Rimba Luar Jawa'!R10+'Rimba Jawa'!R10+'Jati Jawa'!R10</f>
        <v>7265.3378275000014</v>
      </c>
      <c r="S10" s="186">
        <f>'Rimba Luar Jawa'!S10+'Rimba Jawa'!S10+'Jati Jawa'!S10</f>
        <v>6472.968113915751</v>
      </c>
      <c r="T10" s="186">
        <f>'Rimba Luar Jawa'!T10+'Rimba Jawa'!T10+'Jati Jawa'!T10</f>
        <v>8137.2246285166129</v>
      </c>
      <c r="U10" s="186">
        <f>'Rimba Luar Jawa'!U10+'Rimba Jawa'!U10+'Jati Jawa'!U10</f>
        <v>6148.9568817272393</v>
      </c>
      <c r="V10" s="186">
        <f>'Rimba Luar Jawa'!V10+'Rimba Jawa'!V10+'Jati Jawa'!V10</f>
        <v>4580.279297174201</v>
      </c>
      <c r="W10" s="186">
        <f>'Rimba Luar Jawa'!W10+'Rimba Jawa'!W10+'Jati Jawa'!W10</f>
        <v>4895.5931058001488</v>
      </c>
      <c r="X10" s="186">
        <f>'Rimba Luar Jawa'!X10+'Rimba Jawa'!X10+'Jati Jawa'!X10</f>
        <v>6204.4543899184036</v>
      </c>
      <c r="Y10" s="186">
        <f>'Rimba Luar Jawa'!Y10+'Rimba Jawa'!Y10+'Jati Jawa'!Y10</f>
        <v>11106.951167862293</v>
      </c>
      <c r="Z10" s="186">
        <f>'Rimba Luar Jawa'!Z10+'Rimba Jawa'!Z10+'Jati Jawa'!Z10</f>
        <v>11194.955628775602</v>
      </c>
      <c r="AA10" s="349">
        <f>'Rimba Luar Jawa'!AA10+'Rimba Jawa'!AA10+'Jati Jawa'!AA10</f>
        <v>15687.855891145524</v>
      </c>
      <c r="AB10" s="349">
        <f>'Rimba Luar Jawa'!AB10+'Rimba Jawa'!AB10+'Jati Jawa'!AB10</f>
        <v>17114.781926880001</v>
      </c>
      <c r="AC10" s="85"/>
      <c r="AD10" s="52"/>
      <c r="AE10" s="159"/>
      <c r="AF10" s="6">
        <f t="shared" si="6"/>
        <v>-5.041073927039875</v>
      </c>
      <c r="AG10" s="6">
        <f t="shared" si="0"/>
        <v>-1.5850762142100479</v>
      </c>
      <c r="AH10" s="6">
        <f t="shared" si="0"/>
        <v>30.192958092683199</v>
      </c>
      <c r="AI10" s="6">
        <f t="shared" si="0"/>
        <v>-10.906164756510776</v>
      </c>
      <c r="AJ10" s="6">
        <f t="shared" si="0"/>
        <v>25.710871509207678</v>
      </c>
      <c r="AK10" s="6">
        <f t="shared" si="0"/>
        <v>-24.434224659616248</v>
      </c>
      <c r="AL10" s="6">
        <f t="shared" si="7"/>
        <v>-25.511279632073098</v>
      </c>
      <c r="AM10" s="6">
        <f t="shared" si="8"/>
        <v>6.8841611650293828</v>
      </c>
      <c r="AN10" s="6">
        <f t="shared" si="9"/>
        <v>26.735499781784483</v>
      </c>
      <c r="AO10" s="6">
        <f t="shared" si="3"/>
        <v>79.015759804922396</v>
      </c>
      <c r="AP10" s="6">
        <f t="shared" si="4"/>
        <v>0.79233679506891974</v>
      </c>
      <c r="AQ10" s="6">
        <f t="shared" si="5"/>
        <v>40.133256542985634</v>
      </c>
      <c r="AR10" s="6">
        <f t="shared" si="5"/>
        <v>9.0957365087720916</v>
      </c>
    </row>
    <row r="11" spans="1:44" ht="17.45" customHeight="1" x14ac:dyDescent="0.2">
      <c r="A11" s="185" t="s">
        <v>13</v>
      </c>
      <c r="B11" s="186">
        <f>'Rimba Luar Jawa'!B11+'Rimba Jawa'!B11+'Jati Jawa'!B11</f>
        <v>15665.800000000001</v>
      </c>
      <c r="C11" s="186">
        <f>'Rimba Luar Jawa'!C11+'Rimba Jawa'!C11+'Jati Jawa'!C11</f>
        <v>18825.8</v>
      </c>
      <c r="D11" s="186">
        <f>'Rimba Luar Jawa'!D11+'Rimba Jawa'!D11+'Jati Jawa'!D11</f>
        <v>38007.4</v>
      </c>
      <c r="E11" s="186">
        <f>'Rimba Luar Jawa'!E11+'Rimba Jawa'!E11+'Jati Jawa'!E11</f>
        <v>47597.7</v>
      </c>
      <c r="F11" s="186">
        <f>'Rimba Luar Jawa'!F11+'Rimba Jawa'!F11+'Jati Jawa'!F11</f>
        <v>38563.299999999996</v>
      </c>
      <c r="G11" s="186">
        <f>'Rimba Luar Jawa'!G11+'Rimba Jawa'!G11+'Jati Jawa'!G11</f>
        <v>41077.1</v>
      </c>
      <c r="H11" s="186">
        <f>'Rimba Luar Jawa'!H11+'Rimba Jawa'!H11+'Jati Jawa'!H11</f>
        <v>40078.83</v>
      </c>
      <c r="I11" s="186">
        <f>'Rimba Luar Jawa'!I11+'Rimba Jawa'!I11+'Jati Jawa'!I11</f>
        <v>80250.98</v>
      </c>
      <c r="J11" s="186">
        <f>'Rimba Luar Jawa'!J11+'Rimba Jawa'!J11+'Jati Jawa'!J11</f>
        <v>93239.37999999999</v>
      </c>
      <c r="K11" s="186">
        <f>'Rimba Luar Jawa'!K11+'Rimba Jawa'!K11+'Jati Jawa'!K11</f>
        <v>109191.15284669014</v>
      </c>
      <c r="L11" s="186">
        <f>'Rimba Luar Jawa'!L11+'Rimba Jawa'!L11+'Jati Jawa'!L11</f>
        <v>98258.310368640392</v>
      </c>
      <c r="M11" s="186">
        <f>'Rimba Luar Jawa'!M11+'Rimba Jawa'!M11+'Jati Jawa'!M11</f>
        <v>123847.91603265889</v>
      </c>
      <c r="N11" s="186">
        <f>'Rimba Luar Jawa'!N11+'Rimba Jawa'!N11+'Jati Jawa'!N11</f>
        <v>159469.83513567722</v>
      </c>
      <c r="O11" s="186">
        <f>'Rimba Luar Jawa'!O11+'Rimba Jawa'!O11+'Jati Jawa'!O11</f>
        <v>180187.66454722558</v>
      </c>
      <c r="P11" s="186">
        <f>'Rimba Luar Jawa'!P11+'Rimba Jawa'!P11+'Jati Jawa'!P11</f>
        <v>211464.91700000002</v>
      </c>
      <c r="Q11" s="186">
        <f>'Rimba Luar Jawa'!Q11+'Rimba Jawa'!Q11+'Jati Jawa'!Q11</f>
        <v>253701.29476995883</v>
      </c>
      <c r="R11" s="186">
        <f>'Rimba Luar Jawa'!R11+'Rimba Jawa'!R11+'Jati Jawa'!R11</f>
        <v>304112.88914633018</v>
      </c>
      <c r="S11" s="186">
        <f>'Rimba Luar Jawa'!S11+'Rimba Jawa'!S11+'Jati Jawa'!S11</f>
        <v>293287.97084457043</v>
      </c>
      <c r="T11" s="186">
        <f>'Rimba Luar Jawa'!T11+'Rimba Jawa'!T11+'Jati Jawa'!T11</f>
        <v>207360.79603614245</v>
      </c>
      <c r="U11" s="186">
        <f>'Rimba Luar Jawa'!U11+'Rimba Jawa'!U11+'Jati Jawa'!U11</f>
        <v>227997.26481064648</v>
      </c>
      <c r="V11" s="186">
        <f>'Rimba Luar Jawa'!V11+'Rimba Jawa'!V11+'Jati Jawa'!V11</f>
        <v>249399.68605971162</v>
      </c>
      <c r="W11" s="186">
        <f>'Rimba Luar Jawa'!W11+'Rimba Jawa'!W11+'Jati Jawa'!W11</f>
        <v>278383.2637246165</v>
      </c>
      <c r="X11" s="186">
        <f>'Rimba Luar Jawa'!X11+'Rimba Jawa'!X11+'Jati Jawa'!X11</f>
        <v>337879.87410877598</v>
      </c>
      <c r="Y11" s="186">
        <f>'Rimba Luar Jawa'!Y11+'Rimba Jawa'!Y11+'Jati Jawa'!Y11</f>
        <v>92474.44441363198</v>
      </c>
      <c r="Z11" s="186">
        <f>'Rimba Luar Jawa'!Z11+'Rimba Jawa'!Z11+'Jati Jawa'!Z11</f>
        <v>194261.59657411679</v>
      </c>
      <c r="AA11" s="186">
        <f>'Rimba Luar Jawa'!AA11+'Rimba Jawa'!AA11+'Jati Jawa'!AA11</f>
        <v>613364.47576151264</v>
      </c>
      <c r="AB11" s="186">
        <f>'Rimba Luar Jawa'!AB11+'Rimba Jawa'!AB11+'Jati Jawa'!AB11</f>
        <v>193747.58320447133</v>
      </c>
      <c r="AC11" s="85"/>
      <c r="AD11" s="52"/>
      <c r="AF11" s="6">
        <f t="shared" si="6"/>
        <v>17.358154084169811</v>
      </c>
      <c r="AG11" s="6">
        <f t="shared" si="0"/>
        <v>19.973231668475194</v>
      </c>
      <c r="AH11" s="6">
        <f t="shared" si="0"/>
        <v>19.870452148098636</v>
      </c>
      <c r="AI11" s="6">
        <f t="shared" si="0"/>
        <v>-3.5595065806471382</v>
      </c>
      <c r="AJ11" s="6">
        <f t="shared" si="0"/>
        <v>-29.297885815427989</v>
      </c>
      <c r="AK11" s="6">
        <f t="shared" si="0"/>
        <v>9.9519625546321322</v>
      </c>
      <c r="AL11" s="6">
        <f t="shared" si="7"/>
        <v>9.3871394759231066</v>
      </c>
      <c r="AM11" s="6">
        <f t="shared" si="8"/>
        <v>11.621336868068695</v>
      </c>
      <c r="AN11" s="6">
        <f t="shared" si="9"/>
        <v>21.372193711693455</v>
      </c>
      <c r="AO11" s="6">
        <f t="shared" si="3"/>
        <v>-72.630969909778926</v>
      </c>
      <c r="AP11" s="6">
        <f t="shared" si="4"/>
        <v>110.07057442291591</v>
      </c>
      <c r="AQ11" s="6">
        <f t="shared" si="5"/>
        <v>215.74149836017392</v>
      </c>
      <c r="AR11" s="6">
        <f t="shared" si="5"/>
        <v>-68.412324016005783</v>
      </c>
    </row>
    <row r="12" spans="1:44" ht="17.45" customHeight="1" x14ac:dyDescent="0.2">
      <c r="A12" s="185" t="s">
        <v>5</v>
      </c>
      <c r="B12" s="186">
        <f>'Rimba Luar Jawa'!B12+'Rimba Jawa'!B12+'Jati Jawa'!B12</f>
        <v>28553.899999999998</v>
      </c>
      <c r="C12" s="186">
        <f>'Rimba Luar Jawa'!C12+'Rimba Jawa'!C12+'Jati Jawa'!C12</f>
        <v>28139.699999999997</v>
      </c>
      <c r="D12" s="186">
        <f>'Rimba Luar Jawa'!D12+'Rimba Jawa'!D12+'Jati Jawa'!D12</f>
        <v>28689.399999999998</v>
      </c>
      <c r="E12" s="186">
        <f>'Rimba Luar Jawa'!E12+'Rimba Jawa'!E12+'Jati Jawa'!E12</f>
        <v>29553.8</v>
      </c>
      <c r="F12" s="186">
        <f>'Rimba Luar Jawa'!F12+'Rimba Jawa'!F12+'Jati Jawa'!F12</f>
        <v>29701.4</v>
      </c>
      <c r="G12" s="186">
        <f>'Rimba Luar Jawa'!G12+'Rimba Jawa'!G12+'Jati Jawa'!G12</f>
        <v>29666.9</v>
      </c>
      <c r="H12" s="186">
        <f>'Rimba Luar Jawa'!H12+'Rimba Jawa'!H12+'Jati Jawa'!H12</f>
        <v>30092.97</v>
      </c>
      <c r="I12" s="186">
        <f>'Rimba Luar Jawa'!I12+'Rimba Jawa'!I12+'Jati Jawa'!I12</f>
        <v>34230.234999999993</v>
      </c>
      <c r="J12" s="186">
        <f>'Rimba Luar Jawa'!J12+'Rimba Jawa'!J12+'Jati Jawa'!J12</f>
        <v>25532.743000000002</v>
      </c>
      <c r="K12" s="186">
        <f>'Rimba Luar Jawa'!K12+'Rimba Jawa'!K12+'Jati Jawa'!K12</f>
        <v>25740.011751800001</v>
      </c>
      <c r="L12" s="186">
        <f>'Rimba Luar Jawa'!L12+'Rimba Jawa'!L12+'Jati Jawa'!L12</f>
        <v>26262.063483800757</v>
      </c>
      <c r="M12" s="186">
        <f>'Rimba Luar Jawa'!M12+'Rimba Jawa'!M12+'Jati Jawa'!M12</f>
        <v>26078.074522671814</v>
      </c>
      <c r="N12" s="186">
        <f>'Rimba Luar Jawa'!N12+'Rimba Jawa'!N12+'Jati Jawa'!N12</f>
        <v>25491.862159605022</v>
      </c>
      <c r="O12" s="186">
        <f>'Rimba Luar Jawa'!O12+'Rimba Jawa'!O12+'Jati Jawa'!O12</f>
        <v>24144.223169018849</v>
      </c>
      <c r="P12" s="186">
        <f>'Rimba Luar Jawa'!P12+'Rimba Jawa'!P12+'Jati Jawa'!P12</f>
        <v>24539.786999999997</v>
      </c>
      <c r="Q12" s="186">
        <f>'Rimba Luar Jawa'!Q12+'Rimba Jawa'!Q12+'Jati Jawa'!Q12</f>
        <v>42977.096981098759</v>
      </c>
      <c r="R12" s="186">
        <f>'Rimba Luar Jawa'!R12+'Rimba Jawa'!R12+'Jati Jawa'!R12</f>
        <v>38860.94755934499</v>
      </c>
      <c r="S12" s="186">
        <f>'Rimba Luar Jawa'!S12+'Rimba Jawa'!S12+'Jati Jawa'!S12</f>
        <v>56045.557851917423</v>
      </c>
      <c r="T12" s="186">
        <f>'Rimba Luar Jawa'!T12+'Rimba Jawa'!T12+'Jati Jawa'!T12</f>
        <v>49605.554425640374</v>
      </c>
      <c r="U12" s="186">
        <f>'Rimba Luar Jawa'!U12+'Rimba Jawa'!U12+'Jati Jawa'!U12</f>
        <v>51890.421428016263</v>
      </c>
      <c r="V12" s="186">
        <f>'Rimba Luar Jawa'!V12+'Rimba Jawa'!V12+'Jati Jawa'!V12</f>
        <v>54440.396785007048</v>
      </c>
      <c r="W12" s="186">
        <f>'Rimba Luar Jawa'!W12+'Rimba Jawa'!W12+'Jati Jawa'!W12</f>
        <v>50929.868955743783</v>
      </c>
      <c r="X12" s="186">
        <f>'Rimba Luar Jawa'!X12+'Rimba Jawa'!X12+'Jati Jawa'!X12</f>
        <v>49943.140605893554</v>
      </c>
      <c r="Y12" s="186">
        <f>'Rimba Luar Jawa'!Y12+'Rimba Jawa'!Y12+'Jati Jawa'!Y12</f>
        <v>40991.686530172454</v>
      </c>
      <c r="Z12" s="186">
        <f>'Rimba Luar Jawa'!Z12+'Rimba Jawa'!Z12+'Jati Jawa'!Z12</f>
        <v>46031.250225351199</v>
      </c>
      <c r="AA12" s="349">
        <f>'Rimba Luar Jawa'!AA12+'Rimba Jawa'!AA12+'Jati Jawa'!AA12</f>
        <v>45400.908019806826</v>
      </c>
      <c r="AB12" s="349">
        <f>'Rimba Luar Jawa'!AB12+'Rimba Jawa'!AB12+'Jati Jawa'!AB12</f>
        <v>45208.181410318357</v>
      </c>
      <c r="AC12" s="85"/>
      <c r="AD12" s="52"/>
      <c r="AF12" s="6">
        <f t="shared" si="6"/>
        <v>1.6383373704428124</v>
      </c>
      <c r="AG12" s="6">
        <f t="shared" si="0"/>
        <v>75.132314641112288</v>
      </c>
      <c r="AH12" s="6">
        <f t="shared" si="0"/>
        <v>-9.5775417859518086</v>
      </c>
      <c r="AI12" s="6">
        <f t="shared" si="0"/>
        <v>44.22077013518421</v>
      </c>
      <c r="AJ12" s="6">
        <f t="shared" si="0"/>
        <v>-11.490658088001751</v>
      </c>
      <c r="AK12" s="6">
        <f t="shared" si="0"/>
        <v>4.6060708903091552</v>
      </c>
      <c r="AL12" s="6">
        <f t="shared" si="7"/>
        <v>4.9141542635728683</v>
      </c>
      <c r="AM12" s="6">
        <f t="shared" si="8"/>
        <v>-6.4483876616969695</v>
      </c>
      <c r="AN12" s="6">
        <f t="shared" si="9"/>
        <v>-1.9374256601909963</v>
      </c>
      <c r="AO12" s="6">
        <f t="shared" si="3"/>
        <v>-17.923290299979215</v>
      </c>
      <c r="AP12" s="6">
        <f t="shared" si="4"/>
        <v>12.294111615703613</v>
      </c>
      <c r="AQ12" s="6">
        <f t="shared" si="5"/>
        <v>-1.3693788512335914</v>
      </c>
      <c r="AR12" s="6">
        <f t="shared" si="5"/>
        <v>-0.4244994602407246</v>
      </c>
    </row>
    <row r="13" spans="1:44" ht="17.45" customHeight="1" x14ac:dyDescent="0.2">
      <c r="A13" s="185" t="s">
        <v>99</v>
      </c>
      <c r="B13" s="186">
        <f>'Rimba Luar Jawa'!B13+'Rimba Jawa'!B13+'Jati Jawa'!B13</f>
        <v>-1446.7999999992717</v>
      </c>
      <c r="C13" s="186">
        <f>'Rimba Luar Jawa'!C13+'Rimba Jawa'!C13+'Jati Jawa'!C13</f>
        <v>-2725.0544463924816</v>
      </c>
      <c r="D13" s="186">
        <f>'Rimba Luar Jawa'!D13+'Rimba Jawa'!D13+'Jati Jawa'!D13</f>
        <v>-21245.578735471739</v>
      </c>
      <c r="E13" s="186">
        <f>'Rimba Luar Jawa'!E13+'Rimba Jawa'!E13+'Jati Jawa'!E13</f>
        <v>-29931.156611316947</v>
      </c>
      <c r="F13" s="186">
        <f>'Rimba Luar Jawa'!F13+'Rimba Jawa'!F13+'Jati Jawa'!F13</f>
        <v>-19894.109768385788</v>
      </c>
      <c r="G13" s="186">
        <f>'Rimba Luar Jawa'!G13+'Rimba Jawa'!G13+'Jati Jawa'!G13</f>
        <v>-20474.289999999281</v>
      </c>
      <c r="H13" s="186">
        <f>'Rimba Luar Jawa'!H13+'Rimba Jawa'!H13+'Jati Jawa'!H13</f>
        <v>-13091.310000001482</v>
      </c>
      <c r="I13" s="186">
        <f>'Rimba Luar Jawa'!I13+'Rimba Jawa'!I13+'Jati Jawa'!I13</f>
        <v>-57182.065000000192</v>
      </c>
      <c r="J13" s="186">
        <f>'Rimba Luar Jawa'!J13+'Rimba Jawa'!J13+'Jati Jawa'!J13</f>
        <v>-60329.162999999571</v>
      </c>
      <c r="K13" s="186">
        <f>'Rimba Luar Jawa'!K13+'Rimba Jawa'!K13+'Jati Jawa'!K13</f>
        <v>-72729.72833605847</v>
      </c>
      <c r="L13" s="186">
        <f>'Rimba Luar Jawa'!L13+'Rimba Jawa'!L13+'Jati Jawa'!L13</f>
        <v>-63123.562207819195</v>
      </c>
      <c r="M13" s="186">
        <f>'Rimba Luar Jawa'!M13+'Rimba Jawa'!M13+'Jati Jawa'!M13</f>
        <v>-90752.89188373147</v>
      </c>
      <c r="N13" s="186">
        <f>'Rimba Luar Jawa'!N13+'Rimba Jawa'!N13+'Jati Jawa'!N13</f>
        <v>-122554.75921351033</v>
      </c>
      <c r="O13" s="186">
        <f>'Rimba Luar Jawa'!O13+'Rimba Jawa'!O13+'Jati Jawa'!O13</f>
        <v>-143862.41204738981</v>
      </c>
      <c r="P13" s="186">
        <f>'Rimba Luar Jawa'!P13+'Rimba Jawa'!P13+'Jati Jawa'!P13</f>
        <v>-171938.3589470007</v>
      </c>
      <c r="Q13" s="186">
        <f>'Rimba Luar Jawa'!Q13+'Rimba Jawa'!Q13+'Jati Jawa'!Q13</f>
        <v>-237255.60689005675</v>
      </c>
      <c r="R13" s="186">
        <f>'Rimba Luar Jawa'!R13+'Rimba Jawa'!R13+'Jati Jawa'!R13</f>
        <v>-283576.00834717584</v>
      </c>
      <c r="S13" s="186">
        <f>'Rimba Luar Jawa'!S13+'Rimba Jawa'!S13+'Jati Jawa'!S13</f>
        <v>-291080.43419957085</v>
      </c>
      <c r="T13" s="186">
        <f>'Rimba Luar Jawa'!T13+'Rimba Jawa'!T13+'Jati Jawa'!T13</f>
        <v>-198658.70918250579</v>
      </c>
      <c r="U13" s="186">
        <f>'Rimba Luar Jawa'!U13+'Rimba Jawa'!U13+'Jati Jawa'!U13</f>
        <v>-222477.39544444124</v>
      </c>
      <c r="V13" s="186">
        <f>'Rimba Luar Jawa'!V13+'Rimba Jawa'!V13+'Jati Jawa'!V13</f>
        <v>-248393.15235335752</v>
      </c>
      <c r="W13" s="186">
        <f>'Rimba Luar Jawa'!W13+'Rimba Jawa'!W13+'Jati Jawa'!W13</f>
        <v>-272969.38996020216</v>
      </c>
      <c r="X13" s="186">
        <f>'Rimba Luar Jawa'!X13+'Rimba Jawa'!X13+'Jati Jawa'!X13</f>
        <v>-328731.42709511943</v>
      </c>
      <c r="Y13" s="186">
        <f>'Rimba Luar Jawa'!Y13+'Rimba Jawa'!Y13+'Jati Jawa'!Y13</f>
        <v>-63708.104934806746</v>
      </c>
      <c r="Z13" s="186">
        <f>'Rimba Luar Jawa'!Z13+'Rimba Jawa'!Z13+'Jati Jawa'!Z13</f>
        <v>-182410.72608089057</v>
      </c>
      <c r="AA13" s="186">
        <f>'Rimba Luar Jawa'!AA13+'Rimba Jawa'!AA13+'Jati Jawa'!AA13</f>
        <v>-596277.95738143369</v>
      </c>
      <c r="AB13" s="186">
        <f>'Rimba Luar Jawa'!AB13+'Rimba Jawa'!AB13+'Jati Jawa'!AB13</f>
        <v>-182710.64376048415</v>
      </c>
      <c r="AC13" s="85"/>
      <c r="AD13" s="52"/>
      <c r="AF13" s="6">
        <f t="shared" si="6"/>
        <v>19.515832176067207</v>
      </c>
      <c r="AG13" s="6">
        <f t="shared" si="0"/>
        <v>37.988758496403847</v>
      </c>
      <c r="AH13" s="6">
        <f t="shared" si="0"/>
        <v>19.523416986551467</v>
      </c>
      <c r="AI13" s="6">
        <f t="shared" si="0"/>
        <v>2.6463542865049021</v>
      </c>
      <c r="AJ13" s="6">
        <f t="shared" si="0"/>
        <v>-31.751266714718028</v>
      </c>
      <c r="AK13" s="6">
        <f t="shared" si="0"/>
        <v>11.989751851278484</v>
      </c>
      <c r="AL13" s="6">
        <f t="shared" si="7"/>
        <v>11.648714628802907</v>
      </c>
      <c r="AM13" s="6">
        <f t="shared" si="8"/>
        <v>9.8940882121754754</v>
      </c>
      <c r="AN13" s="6">
        <f t="shared" si="9"/>
        <v>20.427945105144275</v>
      </c>
      <c r="AO13" s="6">
        <f t="shared" si="3"/>
        <v>-80.620013882526479</v>
      </c>
      <c r="AP13" s="6">
        <f t="shared" si="4"/>
        <v>186.32263707663822</v>
      </c>
      <c r="AQ13" s="6">
        <f t="shared" si="5"/>
        <v>226.88755217004757</v>
      </c>
      <c r="AR13" s="6">
        <f t="shared" si="5"/>
        <v>-69.358142205547637</v>
      </c>
    </row>
    <row r="14" spans="1:44" ht="17.45" customHeight="1" x14ac:dyDescent="0.2">
      <c r="A14" s="185" t="s">
        <v>10</v>
      </c>
      <c r="B14" s="186">
        <f>'Rimba Luar Jawa'!B14+'Rimba Jawa'!B14+'Jati Jawa'!B14</f>
        <v>8642977.8000000007</v>
      </c>
      <c r="C14" s="186">
        <f>'Rimba Luar Jawa'!C14+'Rimba Jawa'!C14+'Jati Jawa'!C14</f>
        <v>8640252.7455536071</v>
      </c>
      <c r="D14" s="186">
        <f>'Rimba Luar Jawa'!D14+'Rimba Jawa'!D14+'Jati Jawa'!D14</f>
        <v>8619007.1668181363</v>
      </c>
      <c r="E14" s="186">
        <f>'Rimba Luar Jawa'!E14+'Rimba Jawa'!E14+'Jati Jawa'!E14</f>
        <v>8589076.0102068204</v>
      </c>
      <c r="F14" s="186">
        <f>'Rimba Luar Jawa'!F14+'Rimba Jawa'!F14+'Jati Jawa'!F14</f>
        <v>8569181.9004384335</v>
      </c>
      <c r="G14" s="186">
        <f>'Rimba Luar Jawa'!G14+'Rimba Jawa'!G14+'Jati Jawa'!G14</f>
        <v>8548707.6104384344</v>
      </c>
      <c r="H14" s="186">
        <f>'Rimba Luar Jawa'!H14+'Rimba Jawa'!H14+'Jati Jawa'!H14</f>
        <v>8535616.3050000016</v>
      </c>
      <c r="I14" s="186">
        <f>'Rimba Luar Jawa'!I14+'Rimba Jawa'!I14+'Jati Jawa'!I14</f>
        <v>8478434.2400000021</v>
      </c>
      <c r="J14" s="186">
        <f>'Rimba Luar Jawa'!J14+'Rimba Jawa'!J14+'Jati Jawa'!J14</f>
        <v>8418105.0770000033</v>
      </c>
      <c r="K14" s="186">
        <f>'Rimba Luar Jawa'!K14+'Rimba Jawa'!K14+'Jati Jawa'!K14</f>
        <v>8345375.3486639448</v>
      </c>
      <c r="L14" s="186">
        <f>'Rimba Luar Jawa'!L14+'Rimba Jawa'!L14+'Jati Jawa'!L14</f>
        <v>8282251.7864561249</v>
      </c>
      <c r="M14" s="186">
        <f>'Rimba Luar Jawa'!M14+'Rimba Jawa'!M14+'Jati Jawa'!M14</f>
        <v>8191498.894572394</v>
      </c>
      <c r="N14" s="186">
        <f>'Rimba Luar Jawa'!N14+'Rimba Jawa'!N14+'Jati Jawa'!N14</f>
        <v>8068944.1353588831</v>
      </c>
      <c r="O14" s="186">
        <f>'Rimba Luar Jawa'!O14+'Rimba Jawa'!O14+'Jati Jawa'!O14</f>
        <v>7925081.7233114932</v>
      </c>
      <c r="P14" s="186">
        <f>'Rimba Luar Jawa'!P14+'Rimba Jawa'!P14+'Jati Jawa'!P14</f>
        <v>7753143.3643644927</v>
      </c>
      <c r="Q14" s="186">
        <f>'Rimba Luar Jawa'!Q14+'Rimba Jawa'!Q14+'Jati Jawa'!Q14</f>
        <v>7515887.7574744355</v>
      </c>
      <c r="R14" s="186">
        <f>'Rimba Luar Jawa'!R14+'Rimba Jawa'!R14+'Jati Jawa'!R14</f>
        <v>7232311.7491272604</v>
      </c>
      <c r="S14" s="186">
        <f>'Rimba Luar Jawa'!S14+'Rimba Jawa'!S14+'Jati Jawa'!S14</f>
        <v>6941231.3149276888</v>
      </c>
      <c r="T14" s="186">
        <f>'Rimba Luar Jawa'!T14+'Rimba Jawa'!T14+'Jati Jawa'!T14</f>
        <v>6742572.6057451833</v>
      </c>
      <c r="U14" s="186">
        <f>'Rimba Luar Jawa'!U14+'Rimba Jawa'!U14+'Jati Jawa'!U14</f>
        <v>6520095.2103007417</v>
      </c>
      <c r="V14" s="186">
        <f>'Rimba Luar Jawa'!V14+'Rimba Jawa'!V14+'Jati Jawa'!V14</f>
        <v>6271702.0579473851</v>
      </c>
      <c r="W14" s="186">
        <f>'Rimba Luar Jawa'!W14+'Rimba Jawa'!W14+'Jati Jawa'!W14</f>
        <v>5998732.6679871827</v>
      </c>
      <c r="X14" s="186">
        <f>'Rimba Luar Jawa'!X14+'Rimba Jawa'!X14+'Jati Jawa'!X14</f>
        <v>5670001.2408920629</v>
      </c>
      <c r="Y14" s="186">
        <f>'Rimba Luar Jawa'!Y14+'Rimba Jawa'!Y14+'Jati Jawa'!Y14</f>
        <v>5606293.1359572569</v>
      </c>
      <c r="Z14" s="186">
        <f>'Rimba Luar Jawa'!Z14+'Rimba Jawa'!Z14+'Jati Jawa'!Z14</f>
        <v>5423882.4098763661</v>
      </c>
      <c r="AA14" s="186">
        <f>'Rimba Luar Jawa'!AA14+'Rimba Jawa'!AA14+'Jati Jawa'!AA14</f>
        <v>4827604.4524949323</v>
      </c>
      <c r="AB14" s="186">
        <f>'Rimba Luar Jawa'!AB14+'Rimba Jawa'!AB14+'Jati Jawa'!AB14</f>
        <v>4644893.8087344477</v>
      </c>
      <c r="AC14" s="85"/>
      <c r="AD14" s="52"/>
      <c r="AF14" s="6">
        <f t="shared" si="6"/>
        <v>-2.1695468255077657</v>
      </c>
      <c r="AG14" s="6">
        <f t="shared" si="0"/>
        <v>-3.0601214983402372</v>
      </c>
      <c r="AH14" s="6">
        <f t="shared" si="0"/>
        <v>-3.7730207993748053</v>
      </c>
      <c r="AI14" s="6">
        <f t="shared" si="0"/>
        <v>-4.0247218910979115</v>
      </c>
      <c r="AJ14" s="6">
        <f t="shared" si="0"/>
        <v>-2.8620096373286685</v>
      </c>
      <c r="AK14" s="6">
        <f t="shared" si="0"/>
        <v>-3.2995921357209284</v>
      </c>
      <c r="AL14" s="6">
        <f t="shared" si="7"/>
        <v>-3.8096552940045143</v>
      </c>
      <c r="AM14" s="6">
        <f t="shared" si="8"/>
        <v>-4.3523972828763533</v>
      </c>
      <c r="AN14" s="6">
        <f t="shared" si="9"/>
        <v>-5.4800146179113369</v>
      </c>
      <c r="AO14" s="6">
        <f t="shared" si="3"/>
        <v>-1.1235994883977014</v>
      </c>
      <c r="AP14" s="6">
        <f t="shared" si="4"/>
        <v>-3.2536779946620698</v>
      </c>
      <c r="AQ14" s="6">
        <f t="shared" si="5"/>
        <v>-10.993563508966744</v>
      </c>
      <c r="AR14" s="6">
        <f t="shared" si="5"/>
        <v>-3.7847061738055032</v>
      </c>
    </row>
    <row r="15" spans="1:44" ht="17.45" customHeight="1" x14ac:dyDescent="0.2">
      <c r="A15" s="185"/>
      <c r="B15" s="185"/>
      <c r="C15" s="186"/>
      <c r="D15" s="186"/>
      <c r="E15" s="186"/>
      <c r="F15" s="186"/>
      <c r="G15" s="186"/>
      <c r="H15" s="186"/>
      <c r="I15" s="186"/>
      <c r="J15" s="186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1"/>
      <c r="AD15" s="181"/>
    </row>
    <row r="16" spans="1:44" ht="17.45" customHeight="1" x14ac:dyDescent="0.2">
      <c r="A16" s="185" t="s">
        <v>7</v>
      </c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2"/>
      <c r="AD16" s="12"/>
    </row>
    <row r="17" spans="1:44" ht="17.45" customHeight="1" x14ac:dyDescent="0.2">
      <c r="A17" s="185" t="s">
        <v>147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2"/>
      <c r="AD17" s="12"/>
    </row>
    <row r="18" spans="1:44" ht="17.45" customHeight="1" x14ac:dyDescent="0.2">
      <c r="A18" s="185"/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2"/>
      <c r="AD18" s="12"/>
    </row>
    <row r="19" spans="1:44" ht="17.45" customHeight="1" x14ac:dyDescent="0.2">
      <c r="A19" s="185" t="s">
        <v>2</v>
      </c>
      <c r="B19" s="186">
        <f>'Rimba Luar Jawa'!B21+'Rimba Jawa'!B21+'Jati Jawa'!B21</f>
        <v>74108.901999999987</v>
      </c>
      <c r="C19" s="186">
        <f>'Rimba Luar Jawa'!C21+'Rimba Jawa'!C21+'Jati Jawa'!C21</f>
        <v>83802.549727999984</v>
      </c>
      <c r="D19" s="186">
        <f>'Rimba Luar Jawa'!D21+'Rimba Jawa'!D21+'Jati Jawa'!D21</f>
        <v>97018.889627658704</v>
      </c>
      <c r="E19" s="186">
        <f>'Rimba Luar Jawa'!E21+'Rimba Jawa'!E21+'Jati Jawa'!E21</f>
        <v>92652.723639802221</v>
      </c>
      <c r="F19" s="186">
        <f>'Rimba Luar Jawa'!F21+'Rimba Jawa'!F21+'Jati Jawa'!F21</f>
        <v>104769.10283511928</v>
      </c>
      <c r="G19" s="186">
        <f>'Rimba Luar Jawa'!G21+'Rimba Jawa'!G21+'Jati Jawa'!G21</f>
        <v>128642.88767122281</v>
      </c>
      <c r="H19" s="186">
        <f>'Rimba Luar Jawa'!H21+'Rimba Jawa'!H21+'Jati Jawa'!H21</f>
        <v>138837.70604356041</v>
      </c>
      <c r="I19" s="186">
        <f>'Rimba Luar Jawa'!I21+'Rimba Jawa'!I21+'Jati Jawa'!I21</f>
        <v>149329.52311879012</v>
      </c>
      <c r="J19" s="186">
        <f>'Rimba Luar Jawa'!J21+'Rimba Jawa'!J21+'Jati Jawa'!J21</f>
        <v>160216.10899131268</v>
      </c>
      <c r="K19" s="186">
        <f>'Rimba Luar Jawa'!K21+'Rimba Jawa'!K21+'Jati Jawa'!K21</f>
        <v>197640.93133466129</v>
      </c>
      <c r="L19" s="186">
        <f>'Rimba Luar Jawa'!L21+'Rimba Jawa'!L21+'Jati Jawa'!L21</f>
        <v>244516.24932857003</v>
      </c>
      <c r="M19" s="186">
        <f>'Rimba Luar Jawa'!M21+'Rimba Jawa'!M21+'Jati Jawa'!M21</f>
        <v>255163.72132394946</v>
      </c>
      <c r="N19" s="186">
        <f>'Rimba Luar Jawa'!N21+'Rimba Jawa'!N21+'Jati Jawa'!N21</f>
        <v>245748.7064499509</v>
      </c>
      <c r="O19" s="186">
        <f>'Rimba Luar Jawa'!O21+'Rimba Jawa'!O21+'Jati Jawa'!O21</f>
        <v>251003.76130518134</v>
      </c>
      <c r="P19" s="186">
        <f>'Rimba Luar Jawa'!P21+'Rimba Jawa'!P21+'Jati Jawa'!P21</f>
        <v>261590.3938212358</v>
      </c>
      <c r="Q19" s="186">
        <f>'Rimba Luar Jawa'!Q21+'Rimba Jawa'!Q21+'Jati Jawa'!Q21</f>
        <v>280224.9530131761</v>
      </c>
      <c r="R19" s="186">
        <f>'Rimba Luar Jawa'!R21+'Rimba Jawa'!R21+'Jati Jawa'!R21</f>
        <v>308313.83951715706</v>
      </c>
      <c r="S19" s="186">
        <f>'Rimba Luar Jawa'!S21+'Rimba Jawa'!S21+'Jati Jawa'!S21</f>
        <v>423393.60660448088</v>
      </c>
      <c r="T19" s="186">
        <f>'Rimba Luar Jawa'!T21+'Rimba Jawa'!T21+'Jati Jawa'!T21</f>
        <v>484239.60300677037</v>
      </c>
      <c r="U19" s="186">
        <f>'Rimba Luar Jawa'!U21+'Rimba Jawa'!U21+'Jati Jawa'!U21</f>
        <v>522007.7509681994</v>
      </c>
      <c r="V19" s="186">
        <f>'Rimba Luar Jawa'!V21+'Rimba Jawa'!V21+'Jati Jawa'!V21</f>
        <v>554233.32689818961</v>
      </c>
      <c r="W19" s="186">
        <f>'Rimba Luar Jawa'!W21+'Rimba Jawa'!W21+'Jati Jawa'!W21</f>
        <v>553755.9849866915</v>
      </c>
      <c r="X19" s="186">
        <f>'Rimba Luar Jawa'!X21+'Rimba Jawa'!X21+'Jati Jawa'!X21</f>
        <v>533748.33934477542</v>
      </c>
      <c r="Y19" s="186">
        <f>'Rimba Luar Jawa'!Y21+'Rimba Jawa'!Y21+'Jati Jawa'!Y21</f>
        <v>557588.50693010574</v>
      </c>
      <c r="Z19" s="186">
        <f>'Rimba Luar Jawa'!Z21+'Rimba Jawa'!Z21+'Jati Jawa'!Z21</f>
        <v>995415.21912968764</v>
      </c>
      <c r="AA19" s="186">
        <f>'Rimba Luar Jawa'!AA21+'Rimba Jawa'!AA21+'Jati Jawa'!AA21</f>
        <v>1081592.7908928907</v>
      </c>
      <c r="AB19" s="186">
        <f>'Rimba Luar Jawa'!AB21+'Rimba Jawa'!AB21+'Jati Jawa'!AB21</f>
        <v>1001943.6733579547</v>
      </c>
      <c r="AC19" s="85"/>
      <c r="AD19" s="85"/>
      <c r="AF19" s="6">
        <f t="shared" ref="AF19:AL26" si="10">P19/O19*100-100</f>
        <v>4.2177186752124953</v>
      </c>
      <c r="AG19" s="6">
        <f t="shared" si="10"/>
        <v>7.1235640268482854</v>
      </c>
      <c r="AH19" s="6">
        <f t="shared" si="10"/>
        <v>10.023692109481857</v>
      </c>
      <c r="AI19" s="6">
        <f t="shared" si="10"/>
        <v>37.32552754282699</v>
      </c>
      <c r="AJ19" s="6">
        <f t="shared" si="10"/>
        <v>14.371023901437809</v>
      </c>
      <c r="AK19" s="6">
        <f t="shared" si="10"/>
        <v>7.799475244675719</v>
      </c>
      <c r="AL19" s="6">
        <f t="shared" si="10"/>
        <v>6.1733903127337584</v>
      </c>
      <c r="AM19" s="6">
        <f t="shared" ref="AM19" si="11">W19/V19*100-100</f>
        <v>-8.6126526199635123E-2</v>
      </c>
      <c r="AN19" s="6">
        <f t="shared" ref="AN19" si="12">X19/W19*100-100</f>
        <v>-3.6130798012768963</v>
      </c>
      <c r="AO19" s="6">
        <f t="shared" ref="AO19:AO26" si="13">Y19/X19*100-100</f>
        <v>4.4665558331471971</v>
      </c>
      <c r="AP19" s="6">
        <f t="shared" ref="AP19:AP26" si="14">Z19/Y19*100-100</f>
        <v>78.521473588131897</v>
      </c>
      <c r="AQ19" s="6">
        <f t="shared" ref="AQ19:AR26" si="15">AA19/Z19*100-100</f>
        <v>8.6574496860264816</v>
      </c>
      <c r="AR19" s="6">
        <f t="shared" si="15"/>
        <v>-7.3640577309305968</v>
      </c>
    </row>
    <row r="20" spans="1:44" ht="17.45" customHeight="1" x14ac:dyDescent="0.2">
      <c r="A20" s="185" t="s">
        <v>3</v>
      </c>
      <c r="B20" s="186">
        <f>'Rimba Luar Jawa'!B22+'Rimba Jawa'!B22+'Jati Jawa'!B22</f>
        <v>689.56158800000003</v>
      </c>
      <c r="C20" s="186">
        <f>'Rimba Luar Jawa'!C22+'Rimba Jawa'!C22+'Jati Jawa'!C22</f>
        <v>686.14114605873829</v>
      </c>
      <c r="D20" s="186">
        <f>'Rimba Luar Jawa'!D22+'Rimba Jawa'!D22+'Jati Jawa'!D22</f>
        <v>654.212509005892</v>
      </c>
      <c r="E20" s="186">
        <f>'Rimba Luar Jawa'!E22+'Rimba Jawa'!E22+'Jati Jawa'!E22</f>
        <v>1036.6144875369409</v>
      </c>
      <c r="F20" s="186">
        <f>'Rimba Luar Jawa'!F22+'Rimba Jawa'!F22+'Jati Jawa'!F22</f>
        <v>1466.4376696887882</v>
      </c>
      <c r="G20" s="186">
        <f>'Rimba Luar Jawa'!G22+'Rimba Jawa'!G22+'Jati Jawa'!G22</f>
        <v>1626.381141739043</v>
      </c>
      <c r="H20" s="186">
        <f>'Rimba Luar Jawa'!H22+'Rimba Jawa'!H22+'Jati Jawa'!H22</f>
        <v>2001.1504053938875</v>
      </c>
      <c r="I20" s="186">
        <f>'Rimba Luar Jawa'!I22+'Rimba Jawa'!I22+'Jati Jawa'!I22</f>
        <v>2825.2509923126045</v>
      </c>
      <c r="J20" s="186">
        <f>'Rimba Luar Jawa'!J22+'Rimba Jawa'!J22+'Jati Jawa'!J22</f>
        <v>3061.3911661659185</v>
      </c>
      <c r="K20" s="186">
        <f>'Rimba Luar Jawa'!K22+'Rimba Jawa'!K22+'Jati Jawa'!K22</f>
        <v>4046.3159272737958</v>
      </c>
      <c r="L20" s="186">
        <f>'Rimba Luar Jawa'!L22+'Rimba Jawa'!L22+'Jati Jawa'!L22</f>
        <v>4148.0219360651026</v>
      </c>
      <c r="M20" s="186">
        <f>'Rimba Luar Jawa'!M22+'Rimba Jawa'!M22+'Jati Jawa'!M22</f>
        <v>3363.0885132369003</v>
      </c>
      <c r="N20" s="186">
        <f>'Rimba Luar Jawa'!N22+'Rimba Jawa'!N22+'Jati Jawa'!N22</f>
        <v>3470.0660614083463</v>
      </c>
      <c r="O20" s="186">
        <f>'Rimba Luar Jawa'!O22+'Rimba Jawa'!O22+'Jati Jawa'!O22</f>
        <v>3412.1884524579286</v>
      </c>
      <c r="P20" s="186">
        <f>'Rimba Luar Jawa'!P22+'Rimba Jawa'!P22+'Jati Jawa'!P22</f>
        <v>3994.6146352811211</v>
      </c>
      <c r="Q20" s="186">
        <f>'Rimba Luar Jawa'!Q22+'Rimba Jawa'!Q22+'Jati Jawa'!Q22</f>
        <v>3863.6904637878724</v>
      </c>
      <c r="R20" s="186">
        <f>'Rimba Luar Jawa'!R22+'Rimba Jawa'!R22+'Jati Jawa'!R22</f>
        <v>5493.5605722992468</v>
      </c>
      <c r="S20" s="186">
        <f>'Rimba Luar Jawa'!S22+'Rimba Jawa'!S22+'Jati Jawa'!S22</f>
        <v>6518.4083816844468</v>
      </c>
      <c r="T20" s="186">
        <f>'Rimba Luar Jawa'!T22+'Rimba Jawa'!T22+'Jati Jawa'!T22</f>
        <v>6466.5155202480637</v>
      </c>
      <c r="U20" s="186">
        <f>'Rimba Luar Jawa'!U22+'Rimba Jawa'!U22+'Jati Jawa'!U22</f>
        <v>7032.439445703707</v>
      </c>
      <c r="V20" s="186">
        <f>'Rimba Luar Jawa'!V22+'Rimba Jawa'!V22+'Jati Jawa'!V22</f>
        <v>7006.6464841993102</v>
      </c>
      <c r="W20" s="186">
        <f>'Rimba Luar Jawa'!W22+'Rimba Jawa'!W22+'Jati Jawa'!W22</f>
        <v>6287.4066752837043</v>
      </c>
      <c r="X20" s="186">
        <f>'Rimba Luar Jawa'!X22+'Rimba Jawa'!X22+'Jati Jawa'!X22</f>
        <v>8071.3702044328584</v>
      </c>
      <c r="Y20" s="186">
        <f>'Rimba Luar Jawa'!Y22+'Rimba Jawa'!Y22+'Jati Jawa'!Y22</f>
        <v>19214.298930301291</v>
      </c>
      <c r="Z20" s="186">
        <f>'Rimba Luar Jawa'!Z22+'Rimba Jawa'!Z22+'Jati Jawa'!Z22</f>
        <v>17673.13126376933</v>
      </c>
      <c r="AA20" s="186">
        <f>'Rimba Luar Jawa'!AA22+'Rimba Jawa'!AA22+'Jati Jawa'!AA22</f>
        <v>15918.441695246069</v>
      </c>
      <c r="AB20" s="186">
        <f>'Rimba Luar Jawa'!AB22+'Rimba Jawa'!AB22+'Jati Jawa'!AB22</f>
        <v>-2525.7220562183352</v>
      </c>
      <c r="AC20" s="85"/>
      <c r="AD20" s="85"/>
      <c r="AF20" s="6">
        <f t="shared" si="10"/>
        <v>17.06899225931231</v>
      </c>
      <c r="AG20" s="6">
        <f t="shared" si="10"/>
        <v>-3.2775169433592879</v>
      </c>
      <c r="AH20" s="6">
        <f t="shared" si="10"/>
        <v>42.184282715895591</v>
      </c>
      <c r="AI20" s="6">
        <f t="shared" si="10"/>
        <v>18.655438415531393</v>
      </c>
      <c r="AJ20" s="6">
        <f t="shared" si="10"/>
        <v>-0.79609712061295568</v>
      </c>
      <c r="AK20" s="6">
        <f t="shared" si="10"/>
        <v>8.7516054617608603</v>
      </c>
      <c r="AL20" s="6">
        <f t="shared" ref="AL20:AL26" si="16">V20/U20*100-100</f>
        <v>-0.36677118521303953</v>
      </c>
      <c r="AM20" s="6">
        <f t="shared" ref="AM20:AM26" si="17">W20/V20*100-100</f>
        <v>-10.26510771647412</v>
      </c>
      <c r="AN20" s="6">
        <f t="shared" ref="AN20:AN26" si="18">X20/W20*100-100</f>
        <v>28.37359854838175</v>
      </c>
      <c r="AO20" s="6">
        <f t="shared" si="13"/>
        <v>138.05498253256494</v>
      </c>
      <c r="AP20" s="6">
        <f t="shared" si="14"/>
        <v>-8.020941446380391</v>
      </c>
      <c r="AQ20" s="6">
        <f t="shared" si="15"/>
        <v>-9.9285720359042955</v>
      </c>
      <c r="AR20" s="6">
        <f t="shared" si="15"/>
        <v>-115.86664137465556</v>
      </c>
    </row>
    <row r="21" spans="1:44" ht="17.45" customHeight="1" x14ac:dyDescent="0.2">
      <c r="A21" s="185" t="s">
        <v>4</v>
      </c>
      <c r="B21" s="186">
        <f>'Rimba Luar Jawa'!B23+'Rimba Jawa'!B23+'Jati Jawa'!B23</f>
        <v>9.748017599999999</v>
      </c>
      <c r="C21" s="186">
        <f>'Rimba Luar Jawa'!C23+'Rimba Jawa'!C23+'Jati Jawa'!C23</f>
        <v>14.1281126</v>
      </c>
      <c r="D21" s="186">
        <f>'Rimba Luar Jawa'!D23+'Rimba Jawa'!D23+'Jati Jawa'!D23</f>
        <v>12.86978675421588</v>
      </c>
      <c r="E21" s="186">
        <f>'Rimba Luar Jawa'!E23+'Rimba Jawa'!E23+'Jati Jawa'!E23</f>
        <v>21.547157806552612</v>
      </c>
      <c r="F21" s="186">
        <f>'Rimba Luar Jawa'!F23+'Rimba Jawa'!F23+'Jati Jawa'!F23</f>
        <v>23.634180710014935</v>
      </c>
      <c r="G21" s="186">
        <f>'Rimba Luar Jawa'!G23+'Rimba Jawa'!G23+'Jati Jawa'!G23</f>
        <v>30.602330077182231</v>
      </c>
      <c r="H21" s="186">
        <f>'Rimba Luar Jawa'!H23+'Rimba Jawa'!H23+'Jati Jawa'!H23</f>
        <v>45.79558658353664</v>
      </c>
      <c r="I21" s="186">
        <f>'Rimba Luar Jawa'!I23+'Rimba Jawa'!I23+'Jati Jawa'!I23</f>
        <v>44.783644245901762</v>
      </c>
      <c r="J21" s="186">
        <f>'Rimba Luar Jawa'!J23+'Rimba Jawa'!J23+'Jati Jawa'!J23</f>
        <v>41.357378738598257</v>
      </c>
      <c r="K21" s="186">
        <f>'Rimba Luar Jawa'!K23+'Rimba Jawa'!K23+'Jati Jawa'!K23</f>
        <v>53.677050815569153</v>
      </c>
      <c r="L21" s="186">
        <f>'Rimba Luar Jawa'!L23+'Rimba Jawa'!L23+'Jati Jawa'!L23</f>
        <v>116.11617413028107</v>
      </c>
      <c r="M21" s="186">
        <f>'Rimba Luar Jawa'!M23+'Rimba Jawa'!M23+'Jati Jawa'!M23</f>
        <v>53.49145552352573</v>
      </c>
      <c r="N21" s="186">
        <f>'Rimba Luar Jawa'!N23+'Rimba Jawa'!N23+'Jati Jawa'!N23</f>
        <v>156.99325376599185</v>
      </c>
      <c r="O21" s="186">
        <f>'Rimba Luar Jawa'!O23+'Rimba Jawa'!O23+'Jati Jawa'!O23</f>
        <v>189.6357504740281</v>
      </c>
      <c r="P21" s="186">
        <f>'Rimba Luar Jawa'!P23+'Rimba Jawa'!P23+'Jati Jawa'!P23</f>
        <v>195.59029392913885</v>
      </c>
      <c r="Q21" s="186">
        <f>'Rimba Luar Jawa'!Q23+'Rimba Jawa'!Q23+'Jati Jawa'!Q23</f>
        <v>220.39692739830195</v>
      </c>
      <c r="R21" s="186">
        <f>'Rimba Luar Jawa'!R23+'Rimba Jawa'!R23+'Jati Jawa'!R23</f>
        <v>399.72037277514994</v>
      </c>
      <c r="S21" s="186">
        <f>'Rimba Luar Jawa'!S23+'Rimba Jawa'!S23+'Jati Jawa'!S23</f>
        <v>436.70365544580443</v>
      </c>
      <c r="T21" s="186">
        <f>'Rimba Luar Jawa'!T23+'Rimba Jawa'!T23+'Jati Jawa'!T23</f>
        <v>578.94473447848281</v>
      </c>
      <c r="U21" s="186">
        <f>'Rimba Luar Jawa'!U23+'Rimba Jawa'!U23+'Jati Jawa'!U23</f>
        <v>473.21783610816516</v>
      </c>
      <c r="V21" s="186">
        <f>'Rimba Luar Jawa'!V23+'Rimba Jawa'!V23+'Jati Jawa'!V23</f>
        <v>370.36277616234179</v>
      </c>
      <c r="W21" s="186">
        <f>'Rimba Luar Jawa'!W23+'Rimba Jawa'!W23+'Jati Jawa'!W23</f>
        <v>409.175131093098</v>
      </c>
      <c r="X21" s="186">
        <f>'Rimba Luar Jawa'!X23+'Rimba Jawa'!X23+'Jati Jawa'!X23</f>
        <v>536.79858734542165</v>
      </c>
      <c r="Y21" s="186">
        <f>'Rimba Luar Jawa'!Y23+'Rimba Jawa'!Y23+'Jati Jawa'!Y23</f>
        <v>1611.3411464254054</v>
      </c>
      <c r="Z21" s="186">
        <f>'Rimba Luar Jawa'!Z23+'Rimba Jawa'!Z23+'Jati Jawa'!Z23</f>
        <v>1710.8440061718482</v>
      </c>
      <c r="AA21" s="344">
        <f>'Rimba Luar Jawa'!AA23+'Rimba Jawa'!AA23+'Jati Jawa'!AA23</f>
        <v>2583.3268963529245</v>
      </c>
      <c r="AB21" s="344">
        <f>'Rimba Luar Jawa'!AB23+'Rimba Jawa'!AB23+'Jati Jawa'!AB23</f>
        <v>2839.361700573204</v>
      </c>
      <c r="AC21" s="85"/>
      <c r="AD21" s="85"/>
      <c r="AF21" s="6">
        <f t="shared" si="10"/>
        <v>3.1399899229055137</v>
      </c>
      <c r="AG21" s="6">
        <f t="shared" si="10"/>
        <v>12.682957303673973</v>
      </c>
      <c r="AH21" s="6">
        <f t="shared" si="10"/>
        <v>81.363859058150183</v>
      </c>
      <c r="AI21" s="6">
        <f t="shared" si="10"/>
        <v>9.2522886471584087</v>
      </c>
      <c r="AJ21" s="6">
        <f t="shared" si="10"/>
        <v>32.57153386716513</v>
      </c>
      <c r="AK21" s="6">
        <f t="shared" si="10"/>
        <v>-18.262001893074839</v>
      </c>
      <c r="AL21" s="6">
        <f t="shared" si="16"/>
        <v>-21.735245820766863</v>
      </c>
      <c r="AM21" s="6">
        <f t="shared" si="17"/>
        <v>10.479550707802105</v>
      </c>
      <c r="AN21" s="6">
        <f t="shared" si="18"/>
        <v>31.190423501883345</v>
      </c>
      <c r="AO21" s="6">
        <f t="shared" si="13"/>
        <v>200.17611529005984</v>
      </c>
      <c r="AP21" s="6">
        <f t="shared" si="14"/>
        <v>6.1751578780930174</v>
      </c>
      <c r="AQ21" s="6">
        <f t="shared" si="15"/>
        <v>50.997220496644076</v>
      </c>
      <c r="AR21" s="6">
        <f t="shared" si="15"/>
        <v>9.911049375196896</v>
      </c>
    </row>
    <row r="22" spans="1:44" ht="17.45" customHeight="1" x14ac:dyDescent="0.2">
      <c r="A22" s="185" t="s">
        <v>13</v>
      </c>
      <c r="B22" s="186">
        <f>'Rimba Luar Jawa'!B24+'Rimba Jawa'!B24+'Jati Jawa'!B24</f>
        <v>157.28270879999999</v>
      </c>
      <c r="C22" s="186">
        <f>'Rimba Luar Jawa'!C24+'Rimba Jawa'!C24+'Jati Jawa'!C24</f>
        <v>214.51114239999998</v>
      </c>
      <c r="D22" s="186">
        <f>'Rimba Luar Jawa'!D24+'Rimba Jawa'!D24+'Jati Jawa'!D24</f>
        <v>407.8112709809854</v>
      </c>
      <c r="E22" s="186">
        <f>'Rimba Luar Jawa'!E24+'Rimba Jawa'!E24+'Jati Jawa'!E24</f>
        <v>579.81170038872961</v>
      </c>
      <c r="F22" s="186">
        <f>'Rimba Luar Jawa'!F24+'Rimba Jawa'!F24+'Jati Jawa'!F24</f>
        <v>578.67353459360152</v>
      </c>
      <c r="G22" s="186">
        <f>'Rimba Luar Jawa'!G24+'Rimba Jawa'!G24+'Jati Jawa'!G24</f>
        <v>660.4916980019965</v>
      </c>
      <c r="H22" s="186">
        <f>'Rimba Luar Jawa'!H24+'Rimba Jawa'!H24+'Jati Jawa'!H24</f>
        <v>693.76421463738927</v>
      </c>
      <c r="I22" s="186">
        <f>'Rimba Luar Jawa'!I24+'Rimba Jawa'!I24+'Jati Jawa'!I24</f>
        <v>1386.6881056711577</v>
      </c>
      <c r="J22" s="186">
        <f>'Rimba Luar Jawa'!J24+'Rimba Jawa'!J24+'Jati Jawa'!J24</f>
        <v>2140.4004145915064</v>
      </c>
      <c r="K22" s="186">
        <f>'Rimba Luar Jawa'!K24+'Rimba Jawa'!K24+'Jati Jawa'!K24</f>
        <v>3061.1595917775771</v>
      </c>
      <c r="L22" s="186">
        <f>'Rimba Luar Jawa'!L24+'Rimba Jawa'!L24+'Jati Jawa'!L24</f>
        <v>2904.07298675108</v>
      </c>
      <c r="M22" s="186">
        <f>'Rimba Luar Jawa'!M24+'Rimba Jawa'!M24+'Jati Jawa'!M24</f>
        <v>3510.4356586260765</v>
      </c>
      <c r="N22" s="186">
        <f>'Rimba Luar Jawa'!N24+'Rimba Jawa'!N24+'Jati Jawa'!N24</f>
        <v>4595.9861568879414</v>
      </c>
      <c r="O22" s="186">
        <f>'Rimba Luar Jawa'!O24+'Rimba Jawa'!O24+'Jati Jawa'!O24</f>
        <v>5460.4588386242931</v>
      </c>
      <c r="P22" s="186">
        <f>'Rimba Luar Jawa'!P24+'Rimba Jawa'!P24+'Jati Jawa'!P24</f>
        <v>6918.4262066709034</v>
      </c>
      <c r="Q22" s="186">
        <f>'Rimba Luar Jawa'!Q24+'Rimba Jawa'!Q24+'Jati Jawa'!Q24</f>
        <v>9443.8927935409556</v>
      </c>
      <c r="R22" s="186">
        <f>'Rimba Luar Jawa'!R24+'Rimba Jawa'!R24+'Jati Jawa'!R24</f>
        <v>15815.893237638662</v>
      </c>
      <c r="S22" s="186">
        <f>'Rimba Luar Jawa'!S24+'Rimba Jawa'!S24+'Jati Jawa'!S24</f>
        <v>17965.878630425341</v>
      </c>
      <c r="T22" s="186">
        <f>'Rimba Luar Jawa'!T24+'Rimba Jawa'!T24+'Jati Jawa'!T24</f>
        <v>14369.558562147638</v>
      </c>
      <c r="U22" s="186">
        <f>'Rimba Luar Jawa'!U24+'Rimba Jawa'!U24+'Jati Jawa'!U24</f>
        <v>17198.025372721313</v>
      </c>
      <c r="V22" s="186">
        <f>'Rimba Luar Jawa'!V24+'Rimba Jawa'!V24+'Jati Jawa'!V24</f>
        <v>19598.586265443402</v>
      </c>
      <c r="W22" s="186">
        <f>'Rimba Luar Jawa'!W24+'Rimba Jawa'!W24+'Jati Jawa'!W24</f>
        <v>22991.707944502879</v>
      </c>
      <c r="X22" s="186">
        <f>'Rimba Luar Jawa'!X24+'Rimba Jawa'!X24+'Jati Jawa'!X24</f>
        <v>29904.964895385736</v>
      </c>
      <c r="Y22" s="186">
        <f>'Rimba Luar Jawa'!Y24+'Rimba Jawa'!Y24+'Jati Jawa'!Y24</f>
        <v>15057.960010579745</v>
      </c>
      <c r="Z22" s="186">
        <f>'Rimba Luar Jawa'!Z24+'Rimba Jawa'!Z24+'Jati Jawa'!Z24</f>
        <v>30200.175618228815</v>
      </c>
      <c r="AA22" s="186">
        <f>'Rimba Luar Jawa'!AA24+'Rimba Jawa'!AA24+'Jati Jawa'!AA24</f>
        <v>101077.29363916686</v>
      </c>
      <c r="AB22" s="186">
        <f>'Rimba Luar Jawa'!AB24+'Rimba Jawa'!AB24+'Jati Jawa'!AB24</f>
        <v>31195.556838437595</v>
      </c>
      <c r="AC22" s="85"/>
      <c r="AD22" s="85"/>
      <c r="AF22" s="6">
        <f t="shared" si="10"/>
        <v>26.700455238921464</v>
      </c>
      <c r="AG22" s="6">
        <f t="shared" si="10"/>
        <v>36.503483761016923</v>
      </c>
      <c r="AH22" s="6">
        <f t="shared" si="10"/>
        <v>67.472181052878568</v>
      </c>
      <c r="AI22" s="6">
        <f t="shared" si="10"/>
        <v>13.593828438789316</v>
      </c>
      <c r="AJ22" s="6">
        <f t="shared" si="10"/>
        <v>-20.017501744597723</v>
      </c>
      <c r="AK22" s="6">
        <f t="shared" si="10"/>
        <v>19.683741837584591</v>
      </c>
      <c r="AL22" s="6">
        <f t="shared" si="16"/>
        <v>13.958351849682373</v>
      </c>
      <c r="AM22" s="6">
        <f t="shared" si="17"/>
        <v>17.313094082925232</v>
      </c>
      <c r="AN22" s="6">
        <f t="shared" si="18"/>
        <v>30.06847932989578</v>
      </c>
      <c r="AO22" s="6">
        <f t="shared" si="13"/>
        <v>-49.647290798515023</v>
      </c>
      <c r="AP22" s="6">
        <f t="shared" si="14"/>
        <v>100.5595419101268</v>
      </c>
      <c r="AQ22" s="6">
        <f t="shared" si="15"/>
        <v>234.69107900868181</v>
      </c>
      <c r="AR22" s="6">
        <f t="shared" si="15"/>
        <v>-69.136929061632998</v>
      </c>
    </row>
    <row r="23" spans="1:44" ht="17.45" customHeight="1" x14ac:dyDescent="0.2">
      <c r="A23" s="185" t="s">
        <v>5</v>
      </c>
      <c r="B23" s="186">
        <f>'Rimba Luar Jawa'!B25+'Rimba Jawa'!B25+'Jati Jawa'!B25</f>
        <v>349.11396880000001</v>
      </c>
      <c r="C23" s="186">
        <f>'Rimba Luar Jawa'!C25+'Rimba Jawa'!C25+'Jati Jawa'!C25</f>
        <v>369.30280780000004</v>
      </c>
      <c r="D23" s="186">
        <f>'Rimba Luar Jawa'!D25+'Rimba Jawa'!D25+'Jati Jawa'!D25</f>
        <v>347.5873317676411</v>
      </c>
      <c r="E23" s="186">
        <f>'Rimba Luar Jawa'!E25+'Rimba Jawa'!E25+'Jati Jawa'!E25</f>
        <v>463.06348084774015</v>
      </c>
      <c r="F23" s="186">
        <f>'Rimba Luar Jawa'!F25+'Rimba Jawa'!F25+'Jati Jawa'!F25</f>
        <v>602.22902818831449</v>
      </c>
      <c r="G23" s="186">
        <f>'Rimba Luar Jawa'!G25+'Rimba Jawa'!G25+'Jati Jawa'!G25</f>
        <v>649.12249843713016</v>
      </c>
      <c r="H23" s="186">
        <f>'Rimba Luar Jawa'!H25+'Rimba Jawa'!H25+'Jati Jawa'!H25</f>
        <v>666.73427518267158</v>
      </c>
      <c r="I23" s="186">
        <f>'Rimba Luar Jawa'!I25+'Rimba Jawa'!I25+'Jati Jawa'!I25</f>
        <v>876.02303574428413</v>
      </c>
      <c r="J23" s="186">
        <f>'Rimba Luar Jawa'!J25+'Rimba Jawa'!J25+'Jati Jawa'!J25</f>
        <v>804.41131013323866</v>
      </c>
      <c r="K23" s="186">
        <f>'Rimba Luar Jawa'!K25+'Rimba Jawa'!K25+'Jati Jawa'!K25</f>
        <v>1023.0923685358252</v>
      </c>
      <c r="L23" s="186">
        <f>'Rimba Luar Jawa'!L25+'Rimba Jawa'!L25+'Jati Jawa'!L25</f>
        <v>1050.2409582796754</v>
      </c>
      <c r="M23" s="186">
        <f>'Rimba Luar Jawa'!M25+'Rimba Jawa'!M25+'Jati Jawa'!M25</f>
        <v>899.1432663539772</v>
      </c>
      <c r="N23" s="186">
        <f>'Rimba Luar Jawa'!N25+'Rimba Jawa'!N25+'Jati Jawa'!N25</f>
        <v>916.83355739555066</v>
      </c>
      <c r="O23" s="186">
        <f>'Rimba Luar Jawa'!O25+'Rimba Jawa'!O25+'Jati Jawa'!O25</f>
        <v>839.95020777826812</v>
      </c>
      <c r="P23" s="186">
        <f>'Rimba Luar Jawa'!P25+'Rimba Jawa'!P25+'Jati Jawa'!P25</f>
        <v>951.2079293059337</v>
      </c>
      <c r="Q23" s="186">
        <f>'Rimba Luar Jawa'!Q25+'Rimba Jawa'!Q25+'Jati Jawa'!Q25</f>
        <v>1683.739993101253</v>
      </c>
      <c r="R23" s="186">
        <f>'Rimba Luar Jawa'!R25+'Rimba Jawa'!R25+'Jati Jawa'!R25</f>
        <v>2231.8436590876804</v>
      </c>
      <c r="S23" s="186">
        <f>'Rimba Luar Jawa'!S25+'Rimba Jawa'!S25+'Jati Jawa'!S25</f>
        <v>3712.0010726705891</v>
      </c>
      <c r="T23" s="186">
        <f>'Rimba Luar Jawa'!T25+'Rimba Jawa'!T25+'Jati Jawa'!T25</f>
        <v>3659.4818298190012</v>
      </c>
      <c r="U23" s="186">
        <f>'Rimba Luar Jawa'!U25+'Rimba Jawa'!U25+'Jati Jawa'!U25</f>
        <v>4122.4475338592856</v>
      </c>
      <c r="V23" s="186">
        <f>'Rimba Luar Jawa'!V25+'Rimba Jawa'!V25+'Jati Jawa'!V25</f>
        <v>4458.1093927264155</v>
      </c>
      <c r="W23" s="186">
        <f>'Rimba Luar Jawa'!W25+'Rimba Jawa'!W25+'Jati Jawa'!W25</f>
        <v>4303.3459997269747</v>
      </c>
      <c r="X23" s="186">
        <f>'Rimba Luar Jawa'!X25+'Rimba Jawa'!X25+'Jati Jawa'!X25</f>
        <v>4443.9655527768045</v>
      </c>
      <c r="Y23" s="186">
        <f>'Rimba Luar Jawa'!Y25+'Rimba Jawa'!Y25+'Jati Jawa'!Y25</f>
        <v>6446.7823457516261</v>
      </c>
      <c r="Z23" s="186">
        <f>'Rimba Luar Jawa'!Z25+'Rimba Jawa'!Z25+'Jati Jawa'!Z25</f>
        <v>7388.5529268091796</v>
      </c>
      <c r="AA23" s="344">
        <f>'Rimba Luar Jawa'!AA25+'Rimba Jawa'!AA25+'Jati Jawa'!AA25</f>
        <v>7732.0949045060106</v>
      </c>
      <c r="AB23" s="344">
        <f>'Rimba Luar Jawa'!AB25+'Rimba Jawa'!AB25+'Jati Jawa'!AB25</f>
        <v>7185.0842042536196</v>
      </c>
      <c r="AC23" s="85"/>
      <c r="AD23" s="85"/>
      <c r="AF23" s="6">
        <f t="shared" si="10"/>
        <v>13.245752009747179</v>
      </c>
      <c r="AG23" s="6">
        <f t="shared" si="10"/>
        <v>77.010718816213483</v>
      </c>
      <c r="AH23" s="6">
        <f t="shared" si="10"/>
        <v>32.552749725739062</v>
      </c>
      <c r="AI23" s="6">
        <f t="shared" si="10"/>
        <v>66.31994170182864</v>
      </c>
      <c r="AJ23" s="6">
        <f t="shared" si="10"/>
        <v>-1.414849883483555</v>
      </c>
      <c r="AK23" s="6">
        <f t="shared" si="10"/>
        <v>12.651127278945467</v>
      </c>
      <c r="AL23" s="6">
        <f t="shared" si="16"/>
        <v>8.1422954715665128</v>
      </c>
      <c r="AM23" s="6">
        <f t="shared" si="17"/>
        <v>-3.4715028135456549</v>
      </c>
      <c r="AN23" s="6">
        <f t="shared" si="18"/>
        <v>3.267679453586851</v>
      </c>
      <c r="AO23" s="6">
        <f t="shared" si="13"/>
        <v>45.068233972321508</v>
      </c>
      <c r="AP23" s="6">
        <f t="shared" si="14"/>
        <v>14.608381833740253</v>
      </c>
      <c r="AQ23" s="6">
        <f t="shared" si="15"/>
        <v>4.6496517125876835</v>
      </c>
      <c r="AR23" s="6">
        <f t="shared" si="15"/>
        <v>-7.0745471571179337</v>
      </c>
    </row>
    <row r="24" spans="1:44" ht="17.45" customHeight="1" x14ac:dyDescent="0.2">
      <c r="A24" s="185" t="s">
        <v>99</v>
      </c>
      <c r="B24" s="186">
        <f>'Rimba Luar Jawa'!B26+'Rimba Jawa'!B26+'Jati Jawa'!B26</f>
        <v>192.91292800000676</v>
      </c>
      <c r="C24" s="186">
        <f>'Rimba Luar Jawa'!C26+'Rimba Jawa'!C26+'Jati Jawa'!C26</f>
        <v>116.45530845874617</v>
      </c>
      <c r="D24" s="186">
        <f>'Rimba Luar Jawa'!D26+'Rimba Jawa'!D26+'Jati Jawa'!D26</f>
        <v>-88.316306988511144</v>
      </c>
      <c r="E24" s="186">
        <f>'Rimba Luar Jawa'!E26+'Rimba Jawa'!E26+'Jati Jawa'!E26</f>
        <v>15.286464107033737</v>
      </c>
      <c r="F24" s="186">
        <f>'Rimba Luar Jawa'!F26+'Rimba Jawa'!F26+'Jati Jawa'!F26</f>
        <v>309.16928761688911</v>
      </c>
      <c r="G24" s="186">
        <f>'Rimba Luar Jawa'!G26+'Rimba Jawa'!G26+'Jati Jawa'!G26</f>
        <v>347.36927537710892</v>
      </c>
      <c r="H24" s="186">
        <f>'Rimba Luar Jawa'!H26+'Rimba Jawa'!H26+'Jati Jawa'!H26</f>
        <v>686.44750215733848</v>
      </c>
      <c r="I24" s="186">
        <f>'Rimba Luar Jawa'!I26+'Rimba Jawa'!I26+'Jati Jawa'!I26</f>
        <v>607.32349514305986</v>
      </c>
      <c r="J24" s="186">
        <f>'Rimba Luar Jawa'!J26+'Rimba Jawa'!J26+'Jati Jawa'!J26</f>
        <v>157.93682017978358</v>
      </c>
      <c r="K24" s="186">
        <f>'Rimba Luar Jawa'!K26+'Rimba Jawa'!K26+'Jati Jawa'!K26</f>
        <v>15.741017775979799</v>
      </c>
      <c r="L24" s="186">
        <f>'Rimba Luar Jawa'!L26+'Rimba Jawa'!L26+'Jati Jawa'!L26</f>
        <v>309.82416516463945</v>
      </c>
      <c r="M24" s="186">
        <f>'Rimba Luar Jawa'!M26+'Rimba Jawa'!M26+'Jati Jawa'!M26</f>
        <v>-992.99895621964936</v>
      </c>
      <c r="N24" s="186">
        <f>'Rimba Luar Jawa'!N26+'Rimba Jawa'!N26+'Jati Jawa'!N26</f>
        <v>-1885.7603991091503</v>
      </c>
      <c r="O24" s="186">
        <f>'Rimba Luar Jawa'!O26+'Rimba Jawa'!O26+'Jati Jawa'!O26</f>
        <v>-2698.5848434706086</v>
      </c>
      <c r="P24" s="186">
        <f>'Rimba Luar Jawa'!P26+'Rimba Jawa'!P26+'Jati Jawa'!P26</f>
        <v>-3679.4292067665951</v>
      </c>
      <c r="Q24" s="186">
        <f>'Rimba Luar Jawa'!Q26+'Rimba Jawa'!Q26+'Jati Jawa'!Q26</f>
        <v>-7043.5453954560062</v>
      </c>
      <c r="R24" s="186">
        <f>'Rimba Luar Jawa'!R26+'Rimba Jawa'!R26+'Jati Jawa'!R26</f>
        <v>-12154.455951651978</v>
      </c>
      <c r="S24" s="186">
        <f>'Rimba Luar Jawa'!S26+'Rimba Jawa'!S26+'Jati Jawa'!S26</f>
        <v>-14722.767665965592</v>
      </c>
      <c r="T24" s="186">
        <f>'Rimba Luar Jawa'!T26+'Rimba Jawa'!T26+'Jati Jawa'!T26</f>
        <v>-10983.580137240067</v>
      </c>
      <c r="U24" s="186">
        <f>'Rimba Luar Jawa'!U26+'Rimba Jawa'!U26+'Jati Jawa'!U26</f>
        <v>-13814.815624768718</v>
      </c>
      <c r="V24" s="186">
        <f>'Rimba Luar Jawa'!V26+'Rimba Jawa'!V26+'Jati Jawa'!V26</f>
        <v>-16679.686397808149</v>
      </c>
      <c r="W24" s="186">
        <f>'Rimba Luar Jawa'!W26+'Rimba Jawa'!W26+'Jati Jawa'!W26</f>
        <v>-20598.472137852968</v>
      </c>
      <c r="X24" s="186">
        <f>'Rimba Luar Jawa'!X26+'Rimba Jawa'!X26+'Jati Jawa'!X26</f>
        <v>-25740.761656384242</v>
      </c>
      <c r="Y24" s="186">
        <f>'Rimba Luar Jawa'!Y26+'Rimba Jawa'!Y26+'Jati Jawa'!Y26</f>
        <v>-679.10227960464454</v>
      </c>
      <c r="Z24" s="186">
        <f>'Rimba Luar Jawa'!Z26+'Rimba Jawa'!Z26+'Jati Jawa'!Z26</f>
        <v>-18204.753275096831</v>
      </c>
      <c r="AA24" s="186">
        <f>'Rimba Luar Jawa'!AA26+'Rimba Jawa'!AA26+'Jati Jawa'!AA26</f>
        <v>-90307.619952074063</v>
      </c>
      <c r="AB24" s="186">
        <f>'Rimba Luar Jawa'!AB26+'Rimba Jawa'!AB26+'Jati Jawa'!AB26</f>
        <v>-38067.00139833631</v>
      </c>
      <c r="AC24" s="85"/>
      <c r="AD24" s="85"/>
      <c r="AF24" s="6">
        <f t="shared" si="10"/>
        <v>36.346619439044105</v>
      </c>
      <c r="AG24" s="6">
        <f t="shared" si="10"/>
        <v>91.430382258821197</v>
      </c>
      <c r="AH24" s="6">
        <f t="shared" si="10"/>
        <v>72.561618748040843</v>
      </c>
      <c r="AI24" s="6">
        <f t="shared" si="10"/>
        <v>21.130618470541577</v>
      </c>
      <c r="AJ24" s="6">
        <f t="shared" si="10"/>
        <v>-25.39731396678458</v>
      </c>
      <c r="AK24" s="6">
        <f t="shared" si="10"/>
        <v>25.776982114686689</v>
      </c>
      <c r="AL24" s="6">
        <f t="shared" si="16"/>
        <v>20.737669259247852</v>
      </c>
      <c r="AM24" s="6">
        <f t="shared" si="17"/>
        <v>23.494361024436159</v>
      </c>
      <c r="AN24" s="6">
        <f t="shared" si="18"/>
        <v>24.964422041193529</v>
      </c>
      <c r="AO24" s="6">
        <f t="shared" si="13"/>
        <v>-97.361763071854512</v>
      </c>
      <c r="AP24" s="6">
        <f t="shared" si="14"/>
        <v>2580.7086092679824</v>
      </c>
      <c r="AQ24" s="6">
        <f t="shared" si="15"/>
        <v>396.0661569394091</v>
      </c>
      <c r="AR24" s="6">
        <f t="shared" si="15"/>
        <v>-57.847409312150702</v>
      </c>
    </row>
    <row r="25" spans="1:44" ht="17.45" customHeight="1" x14ac:dyDescent="0.2">
      <c r="A25" s="185" t="s">
        <v>100</v>
      </c>
      <c r="B25" s="186">
        <f>'Rimba Luar Jawa'!B27+'Rimba Jawa'!B27+'Jati Jawa'!B27</f>
        <v>9500.7348000000002</v>
      </c>
      <c r="C25" s="186">
        <f>'Rimba Luar Jawa'!C27+'Rimba Jawa'!C27+'Jati Jawa'!C27</f>
        <v>13099.884591200002</v>
      </c>
      <c r="D25" s="186">
        <f>'Rimba Luar Jawa'!D27+'Rimba Jawa'!D27+'Jati Jawa'!D27</f>
        <v>-4277.8496808679665</v>
      </c>
      <c r="E25" s="186">
        <f>'Rimba Luar Jawa'!E27+'Rimba Jawa'!E27+'Jati Jawa'!E27</f>
        <v>12101.092731210041</v>
      </c>
      <c r="F25" s="186">
        <f>'Rimba Luar Jawa'!F27+'Rimba Jawa'!F27+'Jati Jawa'!F27</f>
        <v>23564.615548486639</v>
      </c>
      <c r="G25" s="186">
        <f>'Rimba Luar Jawa'!G27+'Rimba Jawa'!G27+'Jati Jawa'!G27</f>
        <v>9847.4490969605031</v>
      </c>
      <c r="H25" s="186">
        <f>'Rimba Luar Jawa'!H27+'Rimba Jawa'!H27+'Jati Jawa'!H27</f>
        <v>9805.3695730723703</v>
      </c>
      <c r="I25" s="186">
        <f>'Rimba Luar Jawa'!I27+'Rimba Jawa'!I27+'Jati Jawa'!I27</f>
        <v>10279.262377379444</v>
      </c>
      <c r="J25" s="186">
        <f>'Rimba Luar Jawa'!J27+'Rimba Jawa'!J27+'Jati Jawa'!J27</f>
        <v>37266.885523168887</v>
      </c>
      <c r="K25" s="186">
        <f>'Rimba Luar Jawa'!K27+'Rimba Jawa'!K27+'Jati Jawa'!K27</f>
        <v>46859.576976132783</v>
      </c>
      <c r="L25" s="186">
        <f>'Rimba Luar Jawa'!L27+'Rimba Jawa'!L27+'Jati Jawa'!L27</f>
        <v>10337.647830214781</v>
      </c>
      <c r="M25" s="186">
        <f>'Rimba Luar Jawa'!M27+'Rimba Jawa'!M27+'Jati Jawa'!M27</f>
        <v>-8422.0159177789137</v>
      </c>
      <c r="N25" s="186">
        <f>'Rimba Luar Jawa'!N27+'Rimba Jawa'!N27+'Jati Jawa'!N27</f>
        <v>7140.8152543395927</v>
      </c>
      <c r="O25" s="186">
        <f>'Rimba Luar Jawa'!O27+'Rimba Jawa'!O27+'Jati Jawa'!O27</f>
        <v>13285.217359525101</v>
      </c>
      <c r="P25" s="186">
        <f>'Rimba Luar Jawa'!P27+'Rimba Jawa'!P27+'Jati Jawa'!P27</f>
        <v>22313.98839870685</v>
      </c>
      <c r="Q25" s="186">
        <f>'Rimba Luar Jawa'!Q27+'Rimba Jawa'!Q27+'Jati Jawa'!Q27</f>
        <v>35132.43189943699</v>
      </c>
      <c r="R25" s="186">
        <f>'Rimba Luar Jawa'!R27+'Rimba Jawa'!R27+'Jati Jawa'!R27</f>
        <v>127234.22303897579</v>
      </c>
      <c r="S25" s="186">
        <f>'Rimba Luar Jawa'!S27+'Rimba Jawa'!S27+'Jati Jawa'!S27</f>
        <v>75568.764068255172</v>
      </c>
      <c r="T25" s="186">
        <f>'Rimba Luar Jawa'!T27+'Rimba Jawa'!T27+'Jati Jawa'!T27</f>
        <v>48751.728098669148</v>
      </c>
      <c r="U25" s="186">
        <f>'Rimba Luar Jawa'!U27+'Rimba Jawa'!U27+'Jati Jawa'!U27</f>
        <v>46040.391554758957</v>
      </c>
      <c r="V25" s="186">
        <f>'Rimba Luar Jawa'!V27+'Rimba Jawa'!V27+'Jati Jawa'!V27</f>
        <v>16202.344486310098</v>
      </c>
      <c r="W25" s="186">
        <f>'Rimba Luar Jawa'!W27+'Rimba Jawa'!W27+'Jati Jawa'!W27</f>
        <v>590.82649593693168</v>
      </c>
      <c r="X25" s="186">
        <f>'Rimba Luar Jawa'!X27+'Rimba Jawa'!X27+'Jati Jawa'!X27</f>
        <v>49580.92924171465</v>
      </c>
      <c r="Y25" s="186">
        <f>'Rimba Luar Jawa'!Y27+'Rimba Jawa'!Y27+'Jati Jawa'!Y27</f>
        <v>438505.81447918655</v>
      </c>
      <c r="Z25" s="186">
        <f>'Rimba Luar Jawa'!Z27+'Rimba Jawa'!Z27+'Jati Jawa'!Z27</f>
        <v>104382.32503829979</v>
      </c>
      <c r="AA25" s="186">
        <f>'Rimba Luar Jawa'!AA27+'Rimba Jawa'!AA27+'Jati Jawa'!AA27</f>
        <v>10658.502417137812</v>
      </c>
      <c r="AB25" s="186">
        <f>'Rimba Luar Jawa'!AB27+'Rimba Jawa'!AB27+'Jati Jawa'!AB27</f>
        <v>-546755.30868426792</v>
      </c>
      <c r="AC25" s="85"/>
      <c r="AD25" s="85"/>
      <c r="AF25" s="6">
        <f t="shared" si="10"/>
        <v>67.961033642467214</v>
      </c>
      <c r="AG25" s="6">
        <f t="shared" si="10"/>
        <v>57.445774693837336</v>
      </c>
      <c r="AH25" s="6">
        <f t="shared" si="10"/>
        <v>262.15603691532317</v>
      </c>
      <c r="AI25" s="6">
        <f t="shared" si="10"/>
        <v>-40.606574030710185</v>
      </c>
      <c r="AJ25" s="6">
        <f t="shared" si="10"/>
        <v>-35.486932068075589</v>
      </c>
      <c r="AK25" s="6">
        <f t="shared" si="10"/>
        <v>-5.5615188417991845</v>
      </c>
      <c r="AL25" s="6">
        <f t="shared" si="16"/>
        <v>-64.808412919252532</v>
      </c>
      <c r="AM25" s="6">
        <f t="shared" si="17"/>
        <v>-96.353450598238169</v>
      </c>
      <c r="AN25" s="6">
        <f t="shared" si="18"/>
        <v>8291.7917667333604</v>
      </c>
      <c r="AO25" s="6">
        <f t="shared" si="13"/>
        <v>784.42435667432392</v>
      </c>
      <c r="AP25" s="6">
        <f t="shared" si="14"/>
        <v>-76.195908562290171</v>
      </c>
      <c r="AQ25" s="6">
        <f t="shared" si="15"/>
        <v>-89.788977766851801</v>
      </c>
      <c r="AR25" s="6">
        <f t="shared" si="15"/>
        <v>-5229.7573269312179</v>
      </c>
    </row>
    <row r="26" spans="1:44" ht="17.45" customHeight="1" x14ac:dyDescent="0.2">
      <c r="A26" s="185" t="s">
        <v>101</v>
      </c>
      <c r="B26" s="186">
        <f>'Rimba Luar Jawa'!B28+'Rimba Jawa'!B28+'Jati Jawa'!B28</f>
        <v>83802.549727999984</v>
      </c>
      <c r="C26" s="186">
        <f>'Rimba Luar Jawa'!C28+'Rimba Jawa'!C28+'Jati Jawa'!C28</f>
        <v>97018.889627658704</v>
      </c>
      <c r="D26" s="186">
        <f>'Rimba Luar Jawa'!D28+'Rimba Jawa'!D28+'Jati Jawa'!D28</f>
        <v>92652.723639802221</v>
      </c>
      <c r="E26" s="186">
        <f>'Rimba Luar Jawa'!E28+'Rimba Jawa'!E28+'Jati Jawa'!E28</f>
        <v>104769.10283511928</v>
      </c>
      <c r="F26" s="186">
        <f>'Rimba Luar Jawa'!F28+'Rimba Jawa'!F28+'Jati Jawa'!F28</f>
        <v>128642.88767122281</v>
      </c>
      <c r="G26" s="186">
        <f>'Rimba Luar Jawa'!G28+'Rimba Jawa'!G28+'Jati Jawa'!G28</f>
        <v>138837.70604356041</v>
      </c>
      <c r="H26" s="186">
        <f>'Rimba Luar Jawa'!H28+'Rimba Jawa'!H28+'Jati Jawa'!H28</f>
        <v>149329.52311879012</v>
      </c>
      <c r="I26" s="186">
        <f>'Rimba Luar Jawa'!I28+'Rimba Jawa'!I28+'Jati Jawa'!I28</f>
        <v>160216.10899131268</v>
      </c>
      <c r="J26" s="186">
        <f>'Rimba Luar Jawa'!J28+'Rimba Jawa'!J28+'Jati Jawa'!J28</f>
        <v>197640.93133466129</v>
      </c>
      <c r="K26" s="186">
        <f>'Rimba Luar Jawa'!K28+'Rimba Jawa'!K28+'Jati Jawa'!K28</f>
        <v>244516.24932857003</v>
      </c>
      <c r="L26" s="186">
        <f>'Rimba Luar Jawa'!L28+'Rimba Jawa'!L28+'Jati Jawa'!L28</f>
        <v>255163.72132394946</v>
      </c>
      <c r="M26" s="186">
        <f>'Rimba Luar Jawa'!M28+'Rimba Jawa'!M28+'Jati Jawa'!M28</f>
        <v>245748.7064499509</v>
      </c>
      <c r="N26" s="186">
        <f>'Rimba Luar Jawa'!N28+'Rimba Jawa'!N28+'Jati Jawa'!N28</f>
        <v>251003.76130518134</v>
      </c>
      <c r="O26" s="186">
        <f>'Rimba Luar Jawa'!O28+'Rimba Jawa'!O28+'Jati Jawa'!O28</f>
        <v>261590.3938212358</v>
      </c>
      <c r="P26" s="186">
        <f>'Rimba Luar Jawa'!P28+'Rimba Jawa'!P28+'Jati Jawa'!P28</f>
        <v>280224.9530131761</v>
      </c>
      <c r="Q26" s="186">
        <f>'Rimba Luar Jawa'!Q28+'Rimba Jawa'!Q28+'Jati Jawa'!Q28</f>
        <v>308313.83951715706</v>
      </c>
      <c r="R26" s="186">
        <f>'Rimba Luar Jawa'!R28+'Rimba Jawa'!R28+'Jati Jawa'!R28</f>
        <v>423393.60660448088</v>
      </c>
      <c r="S26" s="186">
        <f>'Rimba Luar Jawa'!S28+'Rimba Jawa'!S28+'Jati Jawa'!S28</f>
        <v>484239.60300677037</v>
      </c>
      <c r="T26" s="186">
        <f>'Rimba Luar Jawa'!T28+'Rimba Jawa'!T28+'Jati Jawa'!T28</f>
        <v>522007.7509681994</v>
      </c>
      <c r="U26" s="186">
        <f>'Rimba Luar Jawa'!U28+'Rimba Jawa'!U28+'Jati Jawa'!U28</f>
        <v>554233.32689818961</v>
      </c>
      <c r="V26" s="186">
        <f>'Rimba Luar Jawa'!V28+'Rimba Jawa'!V28+'Jati Jawa'!V28</f>
        <v>553755.9849866915</v>
      </c>
      <c r="W26" s="186">
        <f>'Rimba Luar Jawa'!W28+'Rimba Jawa'!W28+'Jati Jawa'!W28</f>
        <v>533748.33934477542</v>
      </c>
      <c r="X26" s="186">
        <f>'Rimba Luar Jawa'!X28+'Rimba Jawa'!X28+'Jati Jawa'!X28</f>
        <v>557588.50693010574</v>
      </c>
      <c r="Y26" s="186">
        <f>'Rimba Luar Jawa'!Y28+'Rimba Jawa'!Y28+'Jati Jawa'!Y28</f>
        <v>995415.21912968764</v>
      </c>
      <c r="Z26" s="186">
        <f>'Rimba Luar Jawa'!Z28+'Rimba Jawa'!Z28+'Jati Jawa'!Z28</f>
        <v>1081592.7908928907</v>
      </c>
      <c r="AA26" s="186">
        <f>'Rimba Luar Jawa'!AA28+'Rimba Jawa'!AA28+'Jati Jawa'!AA28</f>
        <v>1001943.6733579547</v>
      </c>
      <c r="AB26" s="186">
        <f>'Rimba Luar Jawa'!AB28+'Rimba Jawa'!AB28+'Jati Jawa'!AB28</f>
        <v>417121.3632753503</v>
      </c>
      <c r="AC26" s="85"/>
      <c r="AD26" s="85"/>
      <c r="AF26" s="6">
        <f t="shared" si="10"/>
        <v>7.1235640268482854</v>
      </c>
      <c r="AG26" s="6">
        <f t="shared" si="10"/>
        <v>10.023692109481857</v>
      </c>
      <c r="AH26" s="6">
        <f t="shared" si="10"/>
        <v>37.32552754282699</v>
      </c>
      <c r="AI26" s="6">
        <f t="shared" si="10"/>
        <v>14.371023901437809</v>
      </c>
      <c r="AJ26" s="6">
        <f t="shared" si="10"/>
        <v>7.799475244675719</v>
      </c>
      <c r="AK26" s="6">
        <f t="shared" si="10"/>
        <v>6.1733903127337584</v>
      </c>
      <c r="AL26" s="6">
        <f t="shared" si="16"/>
        <v>-8.6126526199635123E-2</v>
      </c>
      <c r="AM26" s="6">
        <f t="shared" si="17"/>
        <v>-3.6130798012768963</v>
      </c>
      <c r="AN26" s="6">
        <f t="shared" si="18"/>
        <v>4.4665558331471971</v>
      </c>
      <c r="AO26" s="6">
        <f t="shared" si="13"/>
        <v>78.521473588131897</v>
      </c>
      <c r="AP26" s="6">
        <f t="shared" si="14"/>
        <v>8.6574496860264816</v>
      </c>
      <c r="AQ26" s="6">
        <f t="shared" si="15"/>
        <v>-7.3640577309305968</v>
      </c>
      <c r="AR26" s="6">
        <f t="shared" si="15"/>
        <v>-58.368781163376902</v>
      </c>
    </row>
    <row r="27" spans="1:44" ht="17.45" customHeight="1" thickBot="1" x14ac:dyDescent="0.25">
      <c r="A27" s="188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9"/>
      <c r="W27" s="189"/>
      <c r="X27" s="189"/>
      <c r="Y27" s="189"/>
      <c r="Z27" s="189"/>
      <c r="AA27" s="189"/>
      <c r="AB27" s="189"/>
      <c r="AC27" s="182"/>
      <c r="AD27" s="182"/>
    </row>
    <row r="28" spans="1:44" ht="17.45" customHeight="1" thickTop="1" x14ac:dyDescent="0.2"/>
    <row r="29" spans="1:44" ht="17.45" customHeight="1" x14ac:dyDescent="0.2"/>
    <row r="30" spans="1:44" ht="17.45" customHeight="1" x14ac:dyDescent="0.2"/>
    <row r="31" spans="1:44" ht="17.45" hidden="1" customHeight="1" x14ac:dyDescent="0.2">
      <c r="A31" s="79" t="s">
        <v>106</v>
      </c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</row>
    <row r="32" spans="1:44" ht="17.45" hidden="1" customHeight="1" thickBot="1" x14ac:dyDescent="0.25">
      <c r="A32" s="56"/>
    </row>
    <row r="33" spans="1:12" ht="17.45" hidden="1" customHeight="1" thickTop="1" x14ac:dyDescent="0.2">
      <c r="A33" s="80" t="s">
        <v>0</v>
      </c>
      <c r="B33" s="81">
        <v>1990</v>
      </c>
      <c r="C33" s="81">
        <v>1991</v>
      </c>
      <c r="D33" s="81">
        <v>1992</v>
      </c>
      <c r="E33" s="81">
        <v>1993</v>
      </c>
      <c r="F33" s="81">
        <v>1994</v>
      </c>
      <c r="G33" s="81">
        <v>1995</v>
      </c>
      <c r="H33" s="81">
        <v>1996</v>
      </c>
      <c r="I33" s="81">
        <v>1997</v>
      </c>
      <c r="J33" s="81">
        <v>1998</v>
      </c>
      <c r="K33" s="81">
        <v>1999</v>
      </c>
      <c r="L33" s="82">
        <v>2000</v>
      </c>
    </row>
    <row r="34" spans="1:12" ht="17.45" hidden="1" customHeight="1" thickBot="1" x14ac:dyDescent="0.25">
      <c r="A34" s="8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</row>
    <row r="35" spans="1:12" ht="17.45" hidden="1" customHeight="1" thickTop="1" x14ac:dyDescent="0.2">
      <c r="A35" s="84" t="s">
        <v>1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77"/>
    </row>
    <row r="36" spans="1:12" ht="17.45" hidden="1" customHeight="1" x14ac:dyDescent="0.2">
      <c r="A36" s="84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77"/>
    </row>
    <row r="37" spans="1:12" ht="17.45" hidden="1" customHeight="1" x14ac:dyDescent="0.2">
      <c r="A37" s="84" t="s">
        <v>2</v>
      </c>
      <c r="B37" s="85">
        <f>'Kayu Rimba Luar Jawa slh '!B94+'Kayu Rimba Jawa slh '!B59+'Kayu Jati Jawa slh'!B58</f>
        <v>8644424.6000000015</v>
      </c>
      <c r="C37" s="85">
        <f>'Kayu Rimba Luar Jawa slh '!C94+'Kayu Rimba Jawa slh '!C59+'Kayu Jati Jawa slh'!C58</f>
        <v>8642977.8000000007</v>
      </c>
      <c r="D37" s="85">
        <f>'Kayu Rimba Luar Jawa slh '!D94+'Kayu Rimba Jawa slh '!D59+'Kayu Jati Jawa slh'!D58</f>
        <v>8640252.7455536071</v>
      </c>
      <c r="E37" s="85">
        <f>'Kayu Rimba Luar Jawa slh '!E94+'Kayu Rimba Jawa slh '!E59+'Kayu Jati Jawa slh'!E58</f>
        <v>8619007.1668181363</v>
      </c>
      <c r="F37" s="85">
        <f>'Kayu Rimba Luar Jawa slh '!F94+'Kayu Rimba Jawa slh '!F59+'Kayu Jati Jawa slh'!F58</f>
        <v>8589076.0102068204</v>
      </c>
      <c r="G37" s="85">
        <f>'Kayu Rimba Luar Jawa slh '!G94+'Kayu Rimba Jawa slh '!G59+'Kayu Jati Jawa slh'!G58</f>
        <v>8569181.9004384335</v>
      </c>
      <c r="H37" s="85">
        <f>'Kayu Rimba Luar Jawa slh '!H94+'Kayu Rimba Jawa slh '!H59+'Kayu Jati Jawa slh'!H58</f>
        <v>8548707.6150000039</v>
      </c>
      <c r="I37" s="85">
        <f>'Kayu Rimba Luar Jawa slh '!I94+'Kayu Rimba Jawa slh '!I59+'Kayu Jati Jawa slh'!I58</f>
        <v>8535616.3050000016</v>
      </c>
      <c r="J37" s="85">
        <f>'Kayu Rimba Luar Jawa slh '!J94+'Kayu Rimba Jawa slh '!J59+'Kayu Jati Jawa slh'!J58</f>
        <v>8478434.2350000031</v>
      </c>
      <c r="K37" s="85">
        <f>'Kayu Rimba Luar Jawa slh '!K94+'Kayu Rimba Jawa slh '!K59+'Kayu Jati Jawa slh'!K58</f>
        <v>8418105.075000003</v>
      </c>
      <c r="L37" s="86">
        <f>'Kayu Rimba Luar Jawa slh '!L94+'Kayu Rimba Jawa slh '!L59+'Kayu Jati Jawa slh'!L58</f>
        <v>8345375.3466639444</v>
      </c>
    </row>
    <row r="38" spans="1:12" ht="17.45" hidden="1" customHeight="1" x14ac:dyDescent="0.2">
      <c r="A38" s="84" t="s">
        <v>3</v>
      </c>
      <c r="B38" s="85">
        <f>'Kayu Rimba Luar Jawa slh '!B95+'Kayu Rimba Jawa slh '!B60+'Kayu Jati Jawa slh'!B59</f>
        <v>41982.9</v>
      </c>
      <c r="C38" s="85">
        <f>'Kayu Rimba Luar Jawa slh '!C95+'Kayu Rimba Jawa slh '!C60+'Kayu Jati Jawa slh'!C59</f>
        <v>43088.145553606788</v>
      </c>
      <c r="D38" s="85">
        <f>'Kayu Rimba Luar Jawa slh '!D95+'Kayu Rimba Jawa slh '!D60+'Kayu Jati Jawa slh'!D59</f>
        <v>44320.021264527517</v>
      </c>
      <c r="E38" s="85">
        <f>'Kayu Rimba Luar Jawa slh '!E95+'Kayu Rimba Jawa slh '!E60+'Kayu Jati Jawa slh'!E59</f>
        <v>45618.543388682301</v>
      </c>
      <c r="F38" s="85">
        <f>'Kayu Rimba Luar Jawa slh '!F95+'Kayu Rimba Jawa slh '!F60+'Kayu Jati Jawa slh'!F59</f>
        <v>47003.130231614057</v>
      </c>
      <c r="G38" s="85">
        <f>'Kayu Rimba Luar Jawa slh '!G95+'Kayu Rimba Jawa slh '!G60+'Kayu Jati Jawa slh'!G59</f>
        <v>48595.509999999995</v>
      </c>
      <c r="H38" s="85">
        <f>'Kayu Rimba Luar Jawa slh '!H95+'Kayu Rimba Jawa slh '!H60+'Kayu Jati Jawa slh'!H59</f>
        <v>54426.460000000006</v>
      </c>
      <c r="I38" s="85">
        <f>'Kayu Rimba Luar Jawa slh '!I95+'Kayu Rimba Jawa slh '!I60+'Kayu Jati Jawa slh'!I59</f>
        <v>55032.56</v>
      </c>
      <c r="J38" s="85">
        <f>'Kayu Rimba Luar Jawa slh '!J95+'Kayu Rimba Jawa slh '!J60+'Kayu Jati Jawa slh'!J59</f>
        <v>56761.47</v>
      </c>
      <c r="K38" s="85">
        <f>'Kayu Rimba Luar Jawa slh '!K95+'Kayu Rimba Jawa slh '!K60+'Kayu Jati Jawa slh'!K59</f>
        <v>60762.236570020184</v>
      </c>
      <c r="L38" s="86">
        <f>'Kayu Rimba Luar Jawa slh '!L95+'Kayu Rimba Jawa slh '!L60+'Kayu Jati Jawa slh'!L59</f>
        <v>62462.421771626345</v>
      </c>
    </row>
    <row r="39" spans="1:12" ht="17.45" hidden="1" customHeight="1" x14ac:dyDescent="0.2">
      <c r="A39" s="84" t="s">
        <v>4</v>
      </c>
      <c r="B39" s="85">
        <f>'Kayu Rimba Luar Jawa slh '!B96+'Kayu Rimba Jawa slh '!B61+'Kayu Jati Jawa slh'!B60</f>
        <v>789.99999999999989</v>
      </c>
      <c r="C39" s="85">
        <f>'Kayu Rimba Luar Jawa slh '!C96+'Kayu Rimba Jawa slh '!C61+'Kayu Jati Jawa slh'!C60</f>
        <v>1152.3</v>
      </c>
      <c r="D39" s="85">
        <f>'Kayu Rimba Luar Jawa slh '!D96+'Kayu Rimba Jawa slh '!D61+'Kayu Jati Jawa slh'!D60</f>
        <v>1131.1999999999998</v>
      </c>
      <c r="E39" s="85">
        <f>'Kayu Rimba Luar Jawa slh '!E96+'Kayu Rimba Jawa slh '!E61+'Kayu Jati Jawa slh'!E60</f>
        <v>1601.8</v>
      </c>
      <c r="F39" s="85">
        <f>'Kayu Rimba Luar Jawa slh '!F96+'Kayu Rimba Jawa slh '!F61+'Kayu Jati Jawa slh'!F60</f>
        <v>1367.46</v>
      </c>
      <c r="G39" s="85">
        <f>'Kayu Rimba Luar Jawa slh '!G96+'Kayu Rimba Jawa slh '!G61+'Kayu Jati Jawa slh'!G60</f>
        <v>1674.2</v>
      </c>
      <c r="H39" s="85">
        <f>'Kayu Rimba Luar Jawa slh '!H96+'Kayu Rimba Jawa slh '!H61+'Kayu Jati Jawa slh'!H60</f>
        <v>2654.0299999999997</v>
      </c>
      <c r="I39" s="85">
        <f>'Kayu Rimba Luar Jawa slh '!I96+'Kayu Rimba Jawa slh '!I61+'Kayu Jati Jawa slh'!I60</f>
        <v>2266.5899999999997</v>
      </c>
      <c r="J39" s="85">
        <f>'Kayu Rimba Luar Jawa slh '!J96+'Kayu Rimba Jawa slh '!J61+'Kayu Jati Jawa slh'!J60</f>
        <v>1681.4900000000002</v>
      </c>
      <c r="K39" s="85">
        <f>'Kayu Rimba Luar Jawa slh '!K96+'Kayu Rimba Jawa slh '!K61+'Kayu Jati Jawa slh'!K60</f>
        <v>1439.1996924109028</v>
      </c>
      <c r="L39" s="86">
        <f>'Kayu Rimba Luar Jawa slh '!L96+'Kayu Rimba Jawa slh '!L61+'Kayu Jati Jawa slh'!L60</f>
        <v>1486.6886802975939</v>
      </c>
    </row>
    <row r="40" spans="1:12" ht="17.45" hidden="1" customHeight="1" x14ac:dyDescent="0.2">
      <c r="A40" s="84" t="s">
        <v>13</v>
      </c>
      <c r="B40" s="85">
        <f>'Kayu Rimba Luar Jawa slh '!B97+'Kayu Rimba Jawa slh '!B62+'Kayu Jati Jawa slh'!B61</f>
        <v>15665.800000000001</v>
      </c>
      <c r="C40" s="85">
        <f>'Kayu Rimba Luar Jawa slh '!C97+'Kayu Rimba Jawa slh '!C62+'Kayu Jati Jawa slh'!C61</f>
        <v>18825.8</v>
      </c>
      <c r="D40" s="85">
        <f>'Kayu Rimba Luar Jawa slh '!D97+'Kayu Rimba Jawa slh '!D62+'Kayu Jati Jawa slh'!D61</f>
        <v>38007.4</v>
      </c>
      <c r="E40" s="85">
        <f>'Kayu Rimba Luar Jawa slh '!E97+'Kayu Rimba Jawa slh '!E62+'Kayu Jati Jawa slh'!E61</f>
        <v>47597.7</v>
      </c>
      <c r="F40" s="85">
        <f>'Kayu Rimba Luar Jawa slh '!F97+'Kayu Rimba Jawa slh '!F62+'Kayu Jati Jawa slh'!F61</f>
        <v>38563.299999999996</v>
      </c>
      <c r="G40" s="85">
        <f>'Kayu Rimba Luar Jawa slh '!G97+'Kayu Rimba Jawa slh '!G62+'Kayu Jati Jawa slh'!G61</f>
        <v>41077.1</v>
      </c>
      <c r="H40" s="85">
        <f>'Kayu Rimba Luar Jawa slh '!H97+'Kayu Rimba Jawa slh '!H62+'Kayu Jati Jawa slh'!H61</f>
        <v>40078.83</v>
      </c>
      <c r="I40" s="85">
        <f>'Kayu Rimba Luar Jawa slh '!I97+'Kayu Rimba Jawa slh '!I62+'Kayu Jati Jawa slh'!I61</f>
        <v>80250.98</v>
      </c>
      <c r="J40" s="85">
        <f>'Kayu Rimba Luar Jawa slh '!J97+'Kayu Rimba Jawa slh '!J62+'Kayu Jati Jawa slh'!J61</f>
        <v>93239.37999999999</v>
      </c>
      <c r="K40" s="85">
        <f>'Kayu Rimba Luar Jawa slh '!K97+'Kayu Rimba Jawa slh '!K62+'Kayu Jati Jawa slh'!K61</f>
        <v>109191.15284669014</v>
      </c>
      <c r="L40" s="86">
        <f>'Kayu Rimba Luar Jawa slh '!L97+'Kayu Rimba Jawa slh '!L62+'Kayu Jati Jawa slh'!L61</f>
        <v>100341.42034049337</v>
      </c>
    </row>
    <row r="41" spans="1:12" ht="17.45" hidden="1" customHeight="1" x14ac:dyDescent="0.2">
      <c r="A41" s="84" t="s">
        <v>5</v>
      </c>
      <c r="B41" s="85">
        <f>'Kayu Rimba Luar Jawa slh '!B98+'Kayu Rimba Jawa slh '!B63+'Kayu Jati Jawa slh'!B62</f>
        <v>28553.899999999998</v>
      </c>
      <c r="C41" s="85">
        <f>'Kayu Rimba Luar Jawa slh '!C98+'Kayu Rimba Jawa slh '!C63+'Kayu Jati Jawa slh'!C62</f>
        <v>28139.699999999997</v>
      </c>
      <c r="D41" s="85">
        <f>'Kayu Rimba Luar Jawa slh '!D98+'Kayu Rimba Jawa slh '!D63+'Kayu Jati Jawa slh'!D62</f>
        <v>28689.399999999998</v>
      </c>
      <c r="E41" s="85">
        <f>'Kayu Rimba Luar Jawa slh '!E98+'Kayu Rimba Jawa slh '!E63+'Kayu Jati Jawa slh'!E62</f>
        <v>29553.8</v>
      </c>
      <c r="F41" s="85">
        <f>'Kayu Rimba Luar Jawa slh '!F98+'Kayu Rimba Jawa slh '!F63+'Kayu Jati Jawa slh'!F62</f>
        <v>29701.4</v>
      </c>
      <c r="G41" s="85">
        <f>'Kayu Rimba Luar Jawa slh '!G98+'Kayu Rimba Jawa slh '!G63+'Kayu Jati Jawa slh'!G62</f>
        <v>29666.9</v>
      </c>
      <c r="H41" s="85">
        <f>'Kayu Rimba Luar Jawa slh '!H98+'Kayu Rimba Jawa slh '!H63+'Kayu Jati Jawa slh'!H62</f>
        <v>30092.97</v>
      </c>
      <c r="I41" s="85">
        <f>'Kayu Rimba Luar Jawa slh '!I98+'Kayu Rimba Jawa slh '!I63+'Kayu Jati Jawa slh'!I62</f>
        <v>34230.239999999998</v>
      </c>
      <c r="J41" s="85">
        <f>'Kayu Rimba Luar Jawa slh '!J98+'Kayu Rimba Jawa slh '!J63+'Kayu Jati Jawa slh'!J62</f>
        <v>25532.74</v>
      </c>
      <c r="K41" s="85">
        <f>'Kayu Rimba Luar Jawa slh '!K98+'Kayu Rimba Jawa slh '!K63+'Kayu Jati Jawa slh'!K62</f>
        <v>25740.011751800001</v>
      </c>
      <c r="L41" s="86">
        <f>'Kayu Rimba Luar Jawa slh '!L98+'Kayu Rimba Jawa slh '!L63+'Kayu Jati Jawa slh'!L62</f>
        <v>26264.207162751114</v>
      </c>
    </row>
    <row r="42" spans="1:12" ht="17.45" hidden="1" customHeight="1" x14ac:dyDescent="0.2">
      <c r="A42" s="84" t="s">
        <v>99</v>
      </c>
      <c r="B42" s="85">
        <f>'Kayu Rimba Luar Jawa slh '!B99+'Kayu Rimba Jawa slh '!B64+'Kayu Jati Jawa slh'!B63</f>
        <v>-1446.7999999992717</v>
      </c>
      <c r="C42" s="85">
        <f>'Kayu Rimba Luar Jawa slh '!C99+'Kayu Rimba Jawa slh '!C64+'Kayu Jati Jawa slh'!C63</f>
        <v>-2725.0544463924816</v>
      </c>
      <c r="D42" s="85">
        <f>'Kayu Rimba Luar Jawa slh '!D99+'Kayu Rimba Jawa slh '!D64+'Kayu Jati Jawa slh'!D63</f>
        <v>-21245.578735471739</v>
      </c>
      <c r="E42" s="85">
        <f>'Kayu Rimba Luar Jawa slh '!E99+'Kayu Rimba Jawa slh '!E64+'Kayu Jati Jawa slh'!E63</f>
        <v>-29931.156611316947</v>
      </c>
      <c r="F42" s="85">
        <f>'Kayu Rimba Luar Jawa slh '!F99+'Kayu Rimba Jawa slh '!F64+'Kayu Jati Jawa slh'!F63</f>
        <v>-19894.109768385788</v>
      </c>
      <c r="G42" s="85">
        <f>'Kayu Rimba Luar Jawa slh '!G99+'Kayu Rimba Jawa slh '!G64+'Kayu Jati Jawa slh'!G63</f>
        <v>-20474.289999999281</v>
      </c>
      <c r="H42" s="85">
        <f>'Kayu Rimba Luar Jawa slh '!H99+'Kayu Rimba Jawa slh '!H64+'Kayu Jati Jawa slh'!H63</f>
        <v>-13091.310000001482</v>
      </c>
      <c r="I42" s="85">
        <f>'Kayu Rimba Luar Jawa slh '!I99+'Kayu Rimba Jawa slh '!I64+'Kayu Jati Jawa slh'!I63</f>
        <v>-57182.070000000196</v>
      </c>
      <c r="J42" s="85">
        <f>'Kayu Rimba Luar Jawa slh '!J99+'Kayu Rimba Jawa slh '!J64+'Kayu Jati Jawa slh'!J63</f>
        <v>-60329.159999999574</v>
      </c>
      <c r="K42" s="85">
        <f>'Kayu Rimba Luar Jawa slh '!K99+'Kayu Rimba Jawa slh '!K64+'Kayu Jati Jawa slh'!K63</f>
        <v>-72729.72833605847</v>
      </c>
      <c r="L42" s="86">
        <f>'Kayu Rimba Luar Jawa slh '!L99+'Kayu Rimba Jawa slh '!L64+'Kayu Jati Jawa slh'!L63</f>
        <v>-62656.517051320741</v>
      </c>
    </row>
    <row r="43" spans="1:12" ht="17.45" hidden="1" customHeight="1" x14ac:dyDescent="0.2">
      <c r="A43" s="84" t="s">
        <v>10</v>
      </c>
      <c r="B43" s="85">
        <f>'Kayu Rimba Luar Jawa slh '!B100+'Kayu Rimba Jawa slh '!B65+'Kayu Jati Jawa slh'!B64</f>
        <v>8642977.8000000007</v>
      </c>
      <c r="C43" s="85">
        <f>'Kayu Rimba Luar Jawa slh '!C100+'Kayu Rimba Jawa slh '!C65+'Kayu Jati Jawa slh'!C64</f>
        <v>8640252.7455536071</v>
      </c>
      <c r="D43" s="85">
        <f>'Kayu Rimba Luar Jawa slh '!D100+'Kayu Rimba Jawa slh '!D65+'Kayu Jati Jawa slh'!D64</f>
        <v>8619007.1668181363</v>
      </c>
      <c r="E43" s="85">
        <f>'Kayu Rimba Luar Jawa slh '!E100+'Kayu Rimba Jawa slh '!E65+'Kayu Jati Jawa slh'!E64</f>
        <v>8589076.0102068204</v>
      </c>
      <c r="F43" s="85">
        <f>'Kayu Rimba Luar Jawa slh '!F100+'Kayu Rimba Jawa slh '!F65+'Kayu Jati Jawa slh'!F64</f>
        <v>8569181.9004384335</v>
      </c>
      <c r="G43" s="85">
        <f>'Kayu Rimba Luar Jawa slh '!G100+'Kayu Rimba Jawa slh '!G65+'Kayu Jati Jawa slh'!G64</f>
        <v>8548707.6104384344</v>
      </c>
      <c r="H43" s="85">
        <f>'Kayu Rimba Luar Jawa slh '!H100+'Kayu Rimba Jawa slh '!H65+'Kayu Jati Jawa slh'!H64</f>
        <v>8535616.3050000016</v>
      </c>
      <c r="I43" s="85">
        <f>'Kayu Rimba Luar Jawa slh '!I100+'Kayu Rimba Jawa slh '!I65+'Kayu Jati Jawa slh'!I64</f>
        <v>8478434.2350000031</v>
      </c>
      <c r="J43" s="85">
        <f>'Kayu Rimba Luar Jawa slh '!J100+'Kayu Rimba Jawa slh '!J65+'Kayu Jati Jawa slh'!J64</f>
        <v>8418105.075000003</v>
      </c>
      <c r="K43" s="85">
        <f>'Kayu Rimba Luar Jawa slh '!K100+'Kayu Rimba Jawa slh '!K65+'Kayu Jati Jawa slh'!K64</f>
        <v>8345375.3466639444</v>
      </c>
      <c r="L43" s="86">
        <f>'Kayu Rimba Luar Jawa slh '!L100+'Kayu Rimba Jawa slh '!L65+'Kayu Jati Jawa slh'!L64</f>
        <v>8282718.8296126239</v>
      </c>
    </row>
    <row r="44" spans="1:12" ht="17.45" hidden="1" customHeight="1" x14ac:dyDescent="0.2">
      <c r="A44" s="84"/>
      <c r="L44" s="77"/>
    </row>
    <row r="45" spans="1:12" ht="17.45" hidden="1" customHeight="1" x14ac:dyDescent="0.2">
      <c r="A45" s="84" t="s">
        <v>7</v>
      </c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6"/>
    </row>
    <row r="46" spans="1:12" ht="17.45" hidden="1" customHeight="1" x14ac:dyDescent="0.2">
      <c r="A46" s="84" t="s">
        <v>8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6"/>
    </row>
    <row r="47" spans="1:12" ht="17.45" hidden="1" customHeight="1" x14ac:dyDescent="0.2">
      <c r="A47" s="84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6"/>
    </row>
    <row r="48" spans="1:12" ht="17.45" hidden="1" customHeight="1" x14ac:dyDescent="0.2">
      <c r="A48" s="84" t="s">
        <v>2</v>
      </c>
      <c r="B48" s="85">
        <f>'Kayu Rimba Luar Jawa slh '!B107+'Kayu Rimba Jawa slh '!B72+'Kayu Jati Jawa slh'!B71</f>
        <v>122116.3957659</v>
      </c>
      <c r="C48" s="85">
        <f>'Kayu Rimba Luar Jawa slh '!C107+'Kayu Rimba Jawa slh '!C72+'Kayu Jati Jawa slh'!C71</f>
        <v>122375.51990590002</v>
      </c>
      <c r="D48" s="85">
        <f>'Kayu Rimba Luar Jawa slh '!D107+'Kayu Rimba Jawa slh '!D72+'Kayu Jati Jawa slh'!D71</f>
        <v>122643.99151651778</v>
      </c>
      <c r="E48" s="85">
        <f>'Kayu Rimba Luar Jawa slh '!E107+'Kayu Rimba Jawa slh '!E72+'Kayu Jati Jawa slh'!E71</f>
        <v>122691.98864856552</v>
      </c>
      <c r="F48" s="85">
        <f>'Kayu Rimba Luar Jawa slh '!F107+'Kayu Rimba Jawa slh '!F72+'Kayu Jati Jawa slh'!F71</f>
        <v>122616.50910765609</v>
      </c>
      <c r="G48" s="85">
        <f>'Kayu Rimba Luar Jawa slh '!G107+'Kayu Rimba Jawa slh '!G72+'Kayu Jati Jawa slh'!G71</f>
        <v>122703.8207705049</v>
      </c>
      <c r="H48" s="85">
        <f>'Kayu Rimba Luar Jawa slh '!H107+'Kayu Rimba Jawa slh '!H72+'Kayu Jati Jawa slh'!H71</f>
        <v>122811.37675218492</v>
      </c>
      <c r="I48" s="85">
        <f>'Kayu Rimba Luar Jawa slh '!I107+'Kayu Rimba Jawa slh '!I72+'Kayu Jati Jawa slh'!I71</f>
        <v>123249.65506478489</v>
      </c>
      <c r="J48" s="85">
        <f>'Kayu Rimba Luar Jawa slh '!J107+'Kayu Rimba Jawa slh '!J72+'Kayu Jati Jawa slh'!J71</f>
        <v>123065.56087820489</v>
      </c>
      <c r="K48" s="85">
        <f>'Kayu Rimba Luar Jawa slh '!K107+'Kayu Rimba Jawa slh '!K72+'Kayu Jati Jawa slh'!K71</f>
        <v>122822.63268813491</v>
      </c>
      <c r="L48" s="86">
        <f>'Kayu Rimba Luar Jawa slh '!L107+'Kayu Rimba Jawa slh '!L72+'Kayu Jati Jawa slh'!L71</f>
        <v>122397.70469050593</v>
      </c>
    </row>
    <row r="49" spans="1:12" ht="17.45" hidden="1" customHeight="1" x14ac:dyDescent="0.2">
      <c r="A49" s="84" t="s">
        <v>3</v>
      </c>
      <c r="B49" s="85">
        <f>'Kayu Rimba Luar Jawa slh '!B108+'Kayu Rimba Jawa slh '!B73+'Kayu Jati Jawa slh'!B72</f>
        <v>972.99424299999998</v>
      </c>
      <c r="C49" s="85">
        <f>'Kayu Rimba Luar Jawa slh '!C108+'Kayu Rimba Jawa slh '!C73+'Kayu Jati Jawa slh'!C72</f>
        <v>1011.8987770177528</v>
      </c>
      <c r="D49" s="85">
        <f>'Kayu Rimba Luar Jawa slh '!D108+'Kayu Rimba Jawa slh '!D73+'Kayu Jati Jawa slh'!D72</f>
        <v>1054.9103417477434</v>
      </c>
      <c r="E49" s="85">
        <f>'Kayu Rimba Luar Jawa slh '!E108+'Kayu Rimba Jawa slh '!E73+'Kayu Jati Jawa slh'!E72</f>
        <v>1101.4977792905615</v>
      </c>
      <c r="F49" s="85">
        <f>'Kayu Rimba Luar Jawa slh '!F108+'Kayu Rimba Jawa slh '!F73+'Kayu Jati Jawa slh'!F72</f>
        <v>1149.0030281688096</v>
      </c>
      <c r="G49" s="85">
        <f>'Kayu Rimba Luar Jawa slh '!G108+'Kayu Rimba Jawa slh '!G73+'Kayu Jati Jawa slh'!G72</f>
        <v>1201.74635448</v>
      </c>
      <c r="H49" s="85">
        <f>'Kayu Rimba Luar Jawa slh '!H108+'Kayu Rimba Jawa slh '!H73+'Kayu Jati Jawa slh'!H72</f>
        <v>1504.0029677899997</v>
      </c>
      <c r="I49" s="85">
        <f>'Kayu Rimba Luar Jawa slh '!I108+'Kayu Rimba Jawa slh '!I73+'Kayu Jati Jawa slh'!I72</f>
        <v>1488.56618374</v>
      </c>
      <c r="J49" s="85">
        <f>'Kayu Rimba Luar Jawa slh '!J108+'Kayu Rimba Jawa slh '!J73+'Kayu Jati Jawa slh'!J72</f>
        <v>1531.6135633599999</v>
      </c>
      <c r="K49" s="85">
        <f>'Kayu Rimba Luar Jawa slh '!K108+'Kayu Rimba Jawa slh '!K73+'Kayu Jati Jawa slh'!K72</f>
        <v>1573.5390089133502</v>
      </c>
      <c r="L49" s="86">
        <f>'Kayu Rimba Luar Jawa slh '!L108+'Kayu Rimba Jawa slh '!L73+'Kayu Jati Jawa slh'!L72</f>
        <v>1578.3994205470594</v>
      </c>
    </row>
    <row r="50" spans="1:12" ht="17.45" hidden="1" customHeight="1" x14ac:dyDescent="0.2">
      <c r="A50" s="84" t="s">
        <v>4</v>
      </c>
      <c r="B50" s="85">
        <f>'Kayu Rimba Luar Jawa slh '!B109+'Kayu Rimba Jawa slh '!B74+'Kayu Jati Jawa slh'!B73</f>
        <v>14.075114599999997</v>
      </c>
      <c r="C50" s="85">
        <f>'Kayu Rimba Luar Jawa slh '!C109+'Kayu Rimba Jawa slh '!C74+'Kayu Jati Jawa slh'!C73</f>
        <v>19.592987899999997</v>
      </c>
      <c r="D50" s="85">
        <f>'Kayu Rimba Luar Jawa slh '!D109+'Kayu Rimba Jawa slh '!D74+'Kayu Jati Jawa slh'!D73</f>
        <v>18.591909799999996</v>
      </c>
      <c r="E50" s="85">
        <f>'Kayu Rimba Luar Jawa slh '!E109+'Kayu Rimba Jawa slh '!E74+'Kayu Jati Jawa slh'!E73</f>
        <v>24.626651499999998</v>
      </c>
      <c r="F50" s="85">
        <f>'Kayu Rimba Luar Jawa slh '!F109+'Kayu Rimba Jawa slh '!F74+'Kayu Jati Jawa slh'!F73</f>
        <v>21.394791479999999</v>
      </c>
      <c r="G50" s="85">
        <f>'Kayu Rimba Luar Jawa slh '!G109+'Kayu Rimba Jawa slh '!G74+'Kayu Jati Jawa slh'!G73</f>
        <v>26.030518900000001</v>
      </c>
      <c r="H50" s="85">
        <f>'Kayu Rimba Luar Jawa slh '!H109+'Kayu Rimba Jawa slh '!H74+'Kayu Jati Jawa slh'!H73</f>
        <v>37.901667989999993</v>
      </c>
      <c r="I50" s="85">
        <f>'Kayu Rimba Luar Jawa slh '!I109+'Kayu Rimba Jawa slh '!I74+'Kayu Jati Jawa slh'!I73</f>
        <v>33.511563800000005</v>
      </c>
      <c r="J50" s="85">
        <f>'Kayu Rimba Luar Jawa slh '!J109+'Kayu Rimba Jawa slh '!J74+'Kayu Jati Jawa slh'!J73</f>
        <v>25.26309273</v>
      </c>
      <c r="K50" s="85">
        <f>'Kayu Rimba Luar Jawa slh '!K109+'Kayu Rimba Jawa slh '!K74+'Kayu Jati Jawa slh'!K73</f>
        <v>24.599245124788261</v>
      </c>
      <c r="L50" s="86">
        <f>'Kayu Rimba Luar Jawa slh '!L109+'Kayu Rimba Jawa slh '!L74+'Kayu Jati Jawa slh'!L73</f>
        <v>26.432726319498467</v>
      </c>
    </row>
    <row r="51" spans="1:12" ht="17.45" hidden="1" customHeight="1" x14ac:dyDescent="0.2">
      <c r="A51" s="84" t="s">
        <v>13</v>
      </c>
      <c r="B51" s="85">
        <f>'Kayu Rimba Luar Jawa slh '!B110+'Kayu Rimba Jawa slh '!B75+'Kayu Jati Jawa slh'!B74</f>
        <v>228.81886129999998</v>
      </c>
      <c r="C51" s="85">
        <f>'Kayu Rimba Luar Jawa slh '!C110+'Kayu Rimba Jawa slh '!C75+'Kayu Jati Jawa slh'!C74</f>
        <v>271.91000550000001</v>
      </c>
      <c r="D51" s="85">
        <f>'Kayu Rimba Luar Jawa slh '!D110+'Kayu Rimba Jawa slh '!D75+'Kayu Jati Jawa slh'!D74</f>
        <v>537.4648347000001</v>
      </c>
      <c r="E51" s="85">
        <f>'Kayu Rimba Luar Jawa slh '!E110+'Kayu Rimba Jawa slh '!E75+'Kayu Jati Jawa slh'!E74</f>
        <v>679.50206460000004</v>
      </c>
      <c r="F51" s="85">
        <f>'Kayu Rimba Luar Jawa slh '!F110+'Kayu Rimba Jawa slh '!F75+'Kayu Jati Jawa slh'!F74</f>
        <v>553.13990760000002</v>
      </c>
      <c r="G51" s="85">
        <f>'Kayu Rimba Luar Jawa slh '!G110+'Kayu Rimba Jawa slh '!G75+'Kayu Jati Jawa slh'!G74</f>
        <v>587.06076359999997</v>
      </c>
      <c r="H51" s="85">
        <f>'Kayu Rimba Luar Jawa slh '!H110+'Kayu Rimba Jawa slh '!H75+'Kayu Jati Jawa slh'!H74</f>
        <v>573.51452848000008</v>
      </c>
      <c r="I51" s="85">
        <f>'Kayu Rimba Luar Jawa slh '!I110+'Kayu Rimba Jawa slh '!I75+'Kayu Jati Jawa slh'!I74</f>
        <v>1115.3043559099997</v>
      </c>
      <c r="J51" s="85">
        <f>'Kayu Rimba Luar Jawa slh '!J110+'Kayu Rimba Jawa slh '!J75+'Kayu Jati Jawa slh'!J74</f>
        <v>1341.7982393899997</v>
      </c>
      <c r="K51" s="85">
        <f>'Kayu Rimba Luar Jawa slh '!K110+'Kayu Rimba Jawa slh '!K75+'Kayu Jati Jawa slh'!K74</f>
        <v>1561.3618325564717</v>
      </c>
      <c r="L51" s="86">
        <f>'Kayu Rimba Luar Jawa slh '!L110+'Kayu Rimba Jawa slh '!L75+'Kayu Jati Jawa slh'!L74</f>
        <v>1441.9488852294289</v>
      </c>
    </row>
    <row r="52" spans="1:12" ht="17.45" hidden="1" customHeight="1" x14ac:dyDescent="0.2">
      <c r="A52" s="84" t="s">
        <v>5</v>
      </c>
      <c r="B52" s="85">
        <f>'Kayu Rimba Luar Jawa slh '!B111+'Kayu Rimba Jawa slh '!B76+'Kayu Jati Jawa slh'!B75</f>
        <v>499.1263563</v>
      </c>
      <c r="C52" s="85">
        <f>'Kayu Rimba Luar Jawa slh '!C111+'Kayu Rimba Jawa slh '!C76+'Kayu Jati Jawa slh'!C75</f>
        <v>491.11014879999999</v>
      </c>
      <c r="D52" s="85">
        <f>'Kayu Rimba Luar Jawa slh '!D111+'Kayu Rimba Jawa slh '!D76+'Kayu Jati Jawa slh'!D75</f>
        <v>488.04028479999999</v>
      </c>
      <c r="E52" s="85">
        <f>'Kayu Rimba Luar Jawa slh '!E111+'Kayu Rimba Jawa slh '!E76+'Kayu Jati Jawa slh'!E75</f>
        <v>522.10190710000006</v>
      </c>
      <c r="F52" s="85">
        <f>'Kayu Rimba Luar Jawa slh '!F111+'Kayu Rimba Jawa slh '!F76+'Kayu Jati Jawa slh'!F75</f>
        <v>529.94624920000001</v>
      </c>
      <c r="G52" s="85">
        <f>'Kayu Rimba Luar Jawa slh '!G111+'Kayu Rimba Jawa slh '!G76+'Kayu Jati Jawa slh'!G75</f>
        <v>533.16012809999995</v>
      </c>
      <c r="H52" s="85">
        <f>'Kayu Rimba Luar Jawa slh '!H111+'Kayu Rimba Jawa slh '!H76+'Kayu Jati Jawa slh'!H75</f>
        <v>530.11179470000002</v>
      </c>
      <c r="I52" s="85">
        <f>'Kayu Rimba Luar Jawa slh '!I111+'Kayu Rimba Jawa slh '!I76+'Kayu Jati Jawa slh'!I75</f>
        <v>590.86757821000003</v>
      </c>
      <c r="J52" s="85">
        <f>'Kayu Rimba Luar Jawa slh '!J111+'Kayu Rimba Jawa slh '!J76+'Kayu Jati Jawa slh'!J75</f>
        <v>458.00660677000002</v>
      </c>
      <c r="K52" s="85">
        <f>'Kayu Rimba Luar Jawa slh '!K111+'Kayu Rimba Jawa slh '!K76+'Kayu Jati Jawa slh'!K75</f>
        <v>461.70441911066342</v>
      </c>
      <c r="L52" s="86">
        <f>'Kayu Rimba Luar Jawa slh '!L111+'Kayu Rimba Jawa slh '!L76+'Kayu Jati Jawa slh'!L75</f>
        <v>457.9534950693934</v>
      </c>
    </row>
    <row r="53" spans="1:12" ht="17.45" hidden="1" customHeight="1" x14ac:dyDescent="0.2">
      <c r="A53" s="84" t="s">
        <v>99</v>
      </c>
      <c r="B53" s="85">
        <f>'Kayu Rimba Luar Jawa slh '!B112+'Kayu Rimba Jawa slh '!B77+'Kayu Jati Jawa slh'!B76</f>
        <v>259.1241400000099</v>
      </c>
      <c r="C53" s="85">
        <f>'Kayu Rimba Luar Jawa slh '!C112+'Kayu Rimba Jawa slh '!C77+'Kayu Jati Jawa slh'!C76</f>
        <v>268.47161061776234</v>
      </c>
      <c r="D53" s="85">
        <f>'Kayu Rimba Luar Jawa slh '!D112+'Kayu Rimba Jawa slh '!D77+'Kayu Jati Jawa slh'!D76</f>
        <v>47.997132047752928</v>
      </c>
      <c r="E53" s="85">
        <f>'Kayu Rimba Luar Jawa slh '!E112+'Kayu Rimba Jawa slh '!E77+'Kayu Jati Jawa slh'!E76</f>
        <v>-75.479540909427328</v>
      </c>
      <c r="F53" s="85">
        <f>'Kayu Rimba Luar Jawa slh '!F112+'Kayu Rimba Jawa slh '!F77+'Kayu Jati Jawa slh'!F76</f>
        <v>87.31166284881138</v>
      </c>
      <c r="G53" s="85">
        <f>'Kayu Rimba Luar Jawa slh '!G112+'Kayu Rimba Jawa slh '!G77+'Kayu Jati Jawa slh'!G76</f>
        <v>107.55598168000961</v>
      </c>
      <c r="H53" s="85">
        <f>'Kayu Rimba Luar Jawa slh '!H112+'Kayu Rimba Jawa slh '!H77+'Kayu Jati Jawa slh'!H76</f>
        <v>438.27831259997947</v>
      </c>
      <c r="I53" s="85">
        <f>'Kayu Rimba Luar Jawa slh '!I112+'Kayu Rimba Jawa slh '!I77+'Kayu Jati Jawa slh'!I76</f>
        <v>-184.09418658000357</v>
      </c>
      <c r="J53" s="85">
        <f>'Kayu Rimba Luar Jawa slh '!J112+'Kayu Rimba Jawa slh '!J77+'Kayu Jati Jawa slh'!J76</f>
        <v>-242.92819006999378</v>
      </c>
      <c r="K53" s="85">
        <f>'Kayu Rimba Luar Jawa slh '!K112+'Kayu Rimba Jawa slh '!K77+'Kayu Jati Jawa slh'!K76</f>
        <v>-424.9279976289879</v>
      </c>
      <c r="L53" s="86">
        <f>'Kayu Rimba Luar Jawa slh '!L112+'Kayu Rimba Jawa slh '!L77+'Kayu Jati Jawa slh'!L76</f>
        <v>-295.07023343226655</v>
      </c>
    </row>
    <row r="54" spans="1:12" ht="17.45" hidden="1" customHeight="1" x14ac:dyDescent="0.2">
      <c r="A54" s="84" t="s">
        <v>100</v>
      </c>
      <c r="B54" s="85">
        <f>'Kayu Rimba Luar Jawa slh '!B113+'Kayu Rimba Jawa slh '!B78+'Kayu Jati Jawa slh'!B77</f>
        <v>0</v>
      </c>
      <c r="C54" s="85">
        <f>'Kayu Rimba Luar Jawa slh '!C113+'Kayu Rimba Jawa slh '!C78+'Kayu Jati Jawa slh'!C77</f>
        <v>0</v>
      </c>
      <c r="D54" s="85">
        <f>'Kayu Rimba Luar Jawa slh '!D113+'Kayu Rimba Jawa slh '!D78+'Kayu Jati Jawa slh'!D77</f>
        <v>0</v>
      </c>
      <c r="E54" s="85">
        <f>'Kayu Rimba Luar Jawa slh '!E113+'Kayu Rimba Jawa slh '!E78+'Kayu Jati Jawa slh'!E77</f>
        <v>0</v>
      </c>
      <c r="F54" s="85">
        <f>'Kayu Rimba Luar Jawa slh '!F113+'Kayu Rimba Jawa slh '!F78+'Kayu Jati Jawa slh'!F77</f>
        <v>0</v>
      </c>
      <c r="G54" s="85">
        <f>'Kayu Rimba Luar Jawa slh '!G113+'Kayu Rimba Jawa slh '!G78+'Kayu Jati Jawa slh'!G77</f>
        <v>0</v>
      </c>
      <c r="H54" s="85">
        <f>'Kayu Rimba Luar Jawa slh '!H113+'Kayu Rimba Jawa slh '!H78+'Kayu Jati Jawa slh'!H77</f>
        <v>0</v>
      </c>
      <c r="I54" s="85">
        <f>'Kayu Rimba Luar Jawa slh '!I113+'Kayu Rimba Jawa slh '!I78+'Kayu Jati Jawa slh'!I77</f>
        <v>0</v>
      </c>
      <c r="J54" s="85">
        <f>'Kayu Rimba Luar Jawa slh '!J113+'Kayu Rimba Jawa slh '!J78+'Kayu Jati Jawa slh'!J77</f>
        <v>0</v>
      </c>
      <c r="K54" s="85">
        <f>'Kayu Rimba Luar Jawa slh '!K113+'Kayu Rimba Jawa slh '!K78+'Kayu Jati Jawa slh'!K77</f>
        <v>0</v>
      </c>
      <c r="L54" s="86">
        <f>'Kayu Rimba Luar Jawa slh '!L113+'Kayu Rimba Jawa slh '!L78+'Kayu Jati Jawa slh'!L77</f>
        <v>0</v>
      </c>
    </row>
    <row r="55" spans="1:12" ht="17.45" hidden="1" customHeight="1" x14ac:dyDescent="0.2">
      <c r="A55" s="84" t="s">
        <v>101</v>
      </c>
      <c r="B55" s="85">
        <f>'Kayu Rimba Luar Jawa slh '!B114+'Kayu Rimba Jawa slh '!B79+'Kayu Jati Jawa slh'!B78</f>
        <v>122375.51990590002</v>
      </c>
      <c r="C55" s="85">
        <f>'Kayu Rimba Luar Jawa slh '!C114+'Kayu Rimba Jawa slh '!C79+'Kayu Jati Jawa slh'!C78</f>
        <v>122643.99151651778</v>
      </c>
      <c r="D55" s="85">
        <f>'Kayu Rimba Luar Jawa slh '!D114+'Kayu Rimba Jawa slh '!D79+'Kayu Jati Jawa slh'!D78</f>
        <v>122691.98864856552</v>
      </c>
      <c r="E55" s="85">
        <f>'Kayu Rimba Luar Jawa slh '!E114+'Kayu Rimba Jawa slh '!E79+'Kayu Jati Jawa slh'!E78</f>
        <v>122616.50910765609</v>
      </c>
      <c r="F55" s="85">
        <f>'Kayu Rimba Luar Jawa slh '!F114+'Kayu Rimba Jawa slh '!F79+'Kayu Jati Jawa slh'!F78</f>
        <v>122703.8207705049</v>
      </c>
      <c r="G55" s="85">
        <f>'Kayu Rimba Luar Jawa slh '!G114+'Kayu Rimba Jawa slh '!G79+'Kayu Jati Jawa slh'!G78</f>
        <v>122811.37675218492</v>
      </c>
      <c r="H55" s="85">
        <f>'Kayu Rimba Luar Jawa slh '!H114+'Kayu Rimba Jawa slh '!H79+'Kayu Jati Jawa slh'!H78</f>
        <v>123249.65506478489</v>
      </c>
      <c r="I55" s="85">
        <f>'Kayu Rimba Luar Jawa slh '!I114+'Kayu Rimba Jawa slh '!I79+'Kayu Jati Jawa slh'!I78</f>
        <v>123065.56087820489</v>
      </c>
      <c r="J55" s="85">
        <f>'Kayu Rimba Luar Jawa slh '!J114+'Kayu Rimba Jawa slh '!J79+'Kayu Jati Jawa slh'!J78</f>
        <v>122822.63268813491</v>
      </c>
      <c r="K55" s="85">
        <f>'Kayu Rimba Luar Jawa slh '!K114+'Kayu Rimba Jawa slh '!K79+'Kayu Jati Jawa slh'!K78</f>
        <v>122397.70469050593</v>
      </c>
      <c r="L55" s="86">
        <f>'Kayu Rimba Luar Jawa slh '!L114+'Kayu Rimba Jawa slh '!L79+'Kayu Jati Jawa slh'!L78</f>
        <v>122102.63445707365</v>
      </c>
    </row>
    <row r="56" spans="1:12" ht="17.45" hidden="1" customHeight="1" thickBot="1" x14ac:dyDescent="0.25">
      <c r="A56" s="83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5"/>
    </row>
    <row r="57" spans="1:12" ht="17.45" customHeight="1" x14ac:dyDescent="0.2"/>
    <row r="58" spans="1:12" ht="17.45" customHeight="1" x14ac:dyDescent="0.2"/>
    <row r="59" spans="1:12" ht="17.45" customHeight="1" x14ac:dyDescent="0.2"/>
    <row r="60" spans="1:12" ht="17.45" customHeight="1" x14ac:dyDescent="0.2"/>
    <row r="61" spans="1:12" ht="17.45" customHeight="1" x14ac:dyDescent="0.2"/>
    <row r="62" spans="1:12" ht="17.45" customHeight="1" x14ac:dyDescent="0.2"/>
    <row r="63" spans="1:12" ht="17.45" customHeight="1" x14ac:dyDescent="0.2"/>
    <row r="64" spans="1:12" ht="17.45" customHeight="1" x14ac:dyDescent="0.2"/>
    <row r="65" ht="17.45" customHeight="1" x14ac:dyDescent="0.2"/>
    <row r="66" ht="17.45" customHeight="1" x14ac:dyDescent="0.2"/>
    <row r="67" ht="17.45" customHeight="1" x14ac:dyDescent="0.2"/>
    <row r="68" ht="17.45" customHeight="1" x14ac:dyDescent="0.2"/>
    <row r="69" ht="17.45" customHeight="1" x14ac:dyDescent="0.2"/>
    <row r="70" ht="17.45" customHeight="1" x14ac:dyDescent="0.2"/>
    <row r="71" ht="17.45" customHeight="1" x14ac:dyDescent="0.2"/>
    <row r="72" ht="17.45" customHeight="1" x14ac:dyDescent="0.2"/>
    <row r="73" ht="17.45" customHeight="1" x14ac:dyDescent="0.2"/>
    <row r="74" ht="17.45" customHeight="1" x14ac:dyDescent="0.2"/>
    <row r="75" ht="17.45" customHeight="1" x14ac:dyDescent="0.2"/>
    <row r="76" ht="17.45" customHeight="1" x14ac:dyDescent="0.2"/>
    <row r="77" ht="17.45" customHeight="1" x14ac:dyDescent="0.2"/>
    <row r="78" ht="17.45" customHeight="1" x14ac:dyDescent="0.2"/>
    <row r="79" ht="17.45" customHeight="1" x14ac:dyDescent="0.2"/>
    <row r="80" ht="17.45" customHeight="1" x14ac:dyDescent="0.2"/>
    <row r="81" ht="17.45" customHeight="1" x14ac:dyDescent="0.2"/>
    <row r="82" ht="17.45" customHeight="1" x14ac:dyDescent="0.2"/>
    <row r="83" ht="17.45" customHeight="1" x14ac:dyDescent="0.2"/>
    <row r="84" ht="17.45" customHeight="1" x14ac:dyDescent="0.2"/>
    <row r="85" ht="17.45" customHeight="1" x14ac:dyDescent="0.2"/>
    <row r="86" ht="17.45" customHeight="1" x14ac:dyDescent="0.2"/>
    <row r="87" ht="17.45" customHeight="1" x14ac:dyDescent="0.2"/>
    <row r="88" ht="17.45" customHeight="1" x14ac:dyDescent="0.2"/>
    <row r="89" ht="17.45" customHeight="1" x14ac:dyDescent="0.2"/>
    <row r="90" ht="17.45" customHeight="1" x14ac:dyDescent="0.2"/>
    <row r="91" ht="17.45" customHeight="1" x14ac:dyDescent="0.2"/>
    <row r="92" ht="17.45" customHeight="1" x14ac:dyDescent="0.2"/>
    <row r="93" ht="17.45" customHeight="1" x14ac:dyDescent="0.2"/>
    <row r="94" ht="17.45" customHeight="1" x14ac:dyDescent="0.2"/>
    <row r="95" ht="17.45" customHeight="1" x14ac:dyDescent="0.2"/>
    <row r="96" ht="17.45" customHeight="1" x14ac:dyDescent="0.2"/>
    <row r="97" ht="17.45" customHeight="1" x14ac:dyDescent="0.2"/>
    <row r="98" ht="17.45" customHeight="1" x14ac:dyDescent="0.2"/>
    <row r="99" ht="17.45" customHeight="1" x14ac:dyDescent="0.2"/>
    <row r="100" ht="17.45" customHeight="1" x14ac:dyDescent="0.2"/>
    <row r="101" ht="17.45" customHeight="1" x14ac:dyDescent="0.2"/>
    <row r="102" ht="17.45" customHeight="1" x14ac:dyDescent="0.2"/>
    <row r="103" ht="17.45" customHeight="1" x14ac:dyDescent="0.2"/>
    <row r="104" ht="17.45" customHeight="1" x14ac:dyDescent="0.2"/>
    <row r="105" ht="17.45" customHeight="1" x14ac:dyDescent="0.2"/>
    <row r="106" ht="17.45" customHeight="1" x14ac:dyDescent="0.2"/>
    <row r="107" ht="17.45" customHeight="1" x14ac:dyDescent="0.2"/>
    <row r="108" ht="17.45" customHeight="1" x14ac:dyDescent="0.2"/>
    <row r="109" ht="17.45" customHeight="1" x14ac:dyDescent="0.2"/>
    <row r="110" ht="17.45" customHeight="1" x14ac:dyDescent="0.2"/>
    <row r="111" ht="17.45" customHeight="1" x14ac:dyDescent="0.2"/>
    <row r="112" ht="17.45" customHeight="1" x14ac:dyDescent="0.2"/>
    <row r="113" ht="17.45" customHeight="1" x14ac:dyDescent="0.2"/>
    <row r="114" ht="17.45" customHeight="1" x14ac:dyDescent="0.2"/>
    <row r="115" ht="17.45" customHeight="1" x14ac:dyDescent="0.2"/>
    <row r="116" ht="17.45" customHeight="1" x14ac:dyDescent="0.2"/>
    <row r="117" ht="17.45" customHeight="1" x14ac:dyDescent="0.2"/>
  </sheetData>
  <mergeCells count="43">
    <mergeCell ref="AO4:AO5"/>
    <mergeCell ref="AP4:AP5"/>
    <mergeCell ref="AQ4:AQ5"/>
    <mergeCell ref="AN4:AN5"/>
    <mergeCell ref="AI4:AI5"/>
    <mergeCell ref="AJ4:AJ5"/>
    <mergeCell ref="AK4:AK5"/>
    <mergeCell ref="AL4:AL5"/>
    <mergeCell ref="R4:R5"/>
    <mergeCell ref="S4:S5"/>
    <mergeCell ref="X4:X5"/>
    <mergeCell ref="AM4:AM5"/>
    <mergeCell ref="U4:U5"/>
    <mergeCell ref="V4:V5"/>
    <mergeCell ref="W4:W5"/>
    <mergeCell ref="AF4:AF5"/>
    <mergeCell ref="AG4:AG5"/>
    <mergeCell ref="AH4:AH5"/>
    <mergeCell ref="Y4:Y5"/>
    <mergeCell ref="Z4:Z5"/>
    <mergeCell ref="AA4:AA5"/>
    <mergeCell ref="AB4:AB5"/>
    <mergeCell ref="M4:M5"/>
    <mergeCell ref="N4:N5"/>
    <mergeCell ref="O4:O5"/>
    <mergeCell ref="P4:P5"/>
    <mergeCell ref="Q4:Q5"/>
    <mergeCell ref="AR4:AR5"/>
    <mergeCell ref="A1:T1"/>
    <mergeCell ref="A2:T2"/>
    <mergeCell ref="A4:A5"/>
    <mergeCell ref="B4:B5"/>
    <mergeCell ref="C4:C5"/>
    <mergeCell ref="D4:D5"/>
    <mergeCell ref="E4:E5"/>
    <mergeCell ref="F4:F5"/>
    <mergeCell ref="G4:G5"/>
    <mergeCell ref="H4:H5"/>
    <mergeCell ref="T4:T5"/>
    <mergeCell ref="I4:I5"/>
    <mergeCell ref="J4:J5"/>
    <mergeCell ref="K4:K5"/>
    <mergeCell ref="L4:L5"/>
  </mergeCells>
  <printOptions horizontalCentered="1"/>
  <pageMargins left="0.38" right="0.5" top="1.26" bottom="0.75" header="0.49" footer="0.511811023622047"/>
  <pageSetup paperSize="9" scale="90" orientation="landscape" r:id="rId1"/>
  <headerFooter alignWithMargins="0">
    <oddHeader>&amp;C&amp;"Times New Roman,Bold"&amp;12NERACA FISIK DAN MONETER SUMBER DAYA HUTAN INDONESIA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BN107"/>
  <sheetViews>
    <sheetView tabSelected="1" zoomScaleNormal="100" zoomScaleSheetLayoutView="100" workbookViewId="0">
      <pane xSplit="28" ySplit="5" topLeftCell="AK6" activePane="bottomRight" state="frozen"/>
      <selection pane="topRight" activeCell="AC1" sqref="AC1"/>
      <selection pane="bottomLeft" activeCell="A6" sqref="A6"/>
      <selection pane="bottomRight" activeCell="AL7" sqref="AL7"/>
    </sheetView>
  </sheetViews>
  <sheetFormatPr defaultColWidth="9.33203125" defaultRowHeight="17.45" customHeight="1" x14ac:dyDescent="0.2"/>
  <cols>
    <col min="1" max="1" width="4.83203125" style="2" customWidth="1"/>
    <col min="2" max="2" width="39" style="2" customWidth="1"/>
    <col min="3" max="3" width="17.33203125" style="9" customWidth="1"/>
    <col min="4" max="4" width="10.6640625" style="2" customWidth="1"/>
    <col min="5" max="5" width="10.33203125" style="2" customWidth="1"/>
    <col min="6" max="12" width="14.33203125" style="2" hidden="1" customWidth="1"/>
    <col min="13" max="13" width="12.83203125" style="2" hidden="1" customWidth="1"/>
    <col min="14" max="14" width="14.1640625" style="2" hidden="1" customWidth="1"/>
    <col min="15" max="17" width="12.83203125" style="2" hidden="1" customWidth="1"/>
    <col min="18" max="18" width="10.33203125" style="2" hidden="1" customWidth="1"/>
    <col min="19" max="19" width="12" style="2" hidden="1" customWidth="1"/>
    <col min="20" max="20" width="14.5" style="2" hidden="1" customWidth="1"/>
    <col min="21" max="22" width="12.83203125" style="2" hidden="1" customWidth="1"/>
    <col min="23" max="23" width="15.33203125" style="2" hidden="1" customWidth="1"/>
    <col min="24" max="25" width="15.83203125" style="2" hidden="1" customWidth="1"/>
    <col min="26" max="26" width="16.1640625" style="2" hidden="1" customWidth="1"/>
    <col min="27" max="28" width="15.5" style="2" hidden="1" customWidth="1"/>
    <col min="29" max="29" width="17.6640625" style="2" bestFit="1" customWidth="1"/>
    <col min="30" max="30" width="17.33203125" style="2" bestFit="1" customWidth="1"/>
    <col min="31" max="31" width="18.1640625" style="2" bestFit="1" customWidth="1"/>
    <col min="32" max="40" width="15.5" style="2" customWidth="1"/>
    <col min="41" max="41" width="15.5" style="828" customWidth="1"/>
    <col min="42" max="42" width="14" style="2" bestFit="1" customWidth="1"/>
    <col min="43" max="44" width="15.5" style="2" hidden="1" customWidth="1"/>
    <col min="45" max="45" width="14.33203125" style="2" hidden="1" customWidth="1"/>
    <col min="46" max="53" width="14.5" style="2" hidden="1" customWidth="1"/>
    <col min="54" max="54" width="14.1640625" style="2" hidden="1" customWidth="1"/>
    <col min="55" max="55" width="15.33203125" style="2" hidden="1" customWidth="1"/>
    <col min="56" max="56" width="13" style="2" hidden="1" customWidth="1"/>
    <col min="57" max="57" width="13.6640625" style="2" hidden="1" customWidth="1"/>
    <col min="58" max="60" width="15.33203125" style="2" hidden="1" customWidth="1"/>
    <col min="61" max="62" width="14" style="2" hidden="1" customWidth="1"/>
    <col min="63" max="63" width="12.1640625" style="2" hidden="1" customWidth="1"/>
    <col min="64" max="65" width="0" style="2" hidden="1" customWidth="1"/>
    <col min="66" max="16384" width="9.33203125" style="2"/>
  </cols>
  <sheetData>
    <row r="1" spans="1:66" s="1" customFormat="1" ht="14.1" customHeight="1" x14ac:dyDescent="0.2">
      <c r="A1" s="1" t="s">
        <v>125</v>
      </c>
      <c r="C1" s="611" t="s">
        <v>308</v>
      </c>
    </row>
    <row r="2" spans="1:66" s="1" customFormat="1" ht="14.1" customHeight="1" x14ac:dyDescent="0.2">
      <c r="A2" s="1" t="s">
        <v>126</v>
      </c>
      <c r="C2" s="979" t="s">
        <v>295</v>
      </c>
      <c r="D2" s="432" t="s">
        <v>296</v>
      </c>
      <c r="AC2" s="559">
        <f>5307.51+170979.77</f>
        <v>176287.28</v>
      </c>
      <c r="AG2" s="782">
        <f>191633+27479.36+362574.64+784816.57</f>
        <v>1366503.5699999998</v>
      </c>
    </row>
    <row r="3" spans="1:66" ht="17.45" customHeight="1" thickBot="1" x14ac:dyDescent="0.25">
      <c r="A3" s="1" t="s">
        <v>272</v>
      </c>
      <c r="C3" s="979"/>
      <c r="AA3" s="757">
        <v>7089.58</v>
      </c>
      <c r="AB3" s="758">
        <f>(100+BF7)/100*AA3</f>
        <v>8124.0353493825105</v>
      </c>
      <c r="AC3" s="581">
        <v>4918.75</v>
      </c>
      <c r="AD3" s="159">
        <v>1491.6077740000001</v>
      </c>
      <c r="AG3" s="2">
        <f>13234.28+173.35</f>
        <v>13407.630000000001</v>
      </c>
      <c r="AO3" s="2"/>
    </row>
    <row r="4" spans="1:66" ht="17.45" customHeight="1" thickTop="1" thickBot="1" x14ac:dyDescent="0.25">
      <c r="B4" s="2" t="s">
        <v>293</v>
      </c>
      <c r="C4" s="413" t="s">
        <v>294</v>
      </c>
      <c r="X4" s="10"/>
      <c r="AA4" s="159"/>
      <c r="AB4" s="159"/>
      <c r="AC4" s="159"/>
      <c r="AD4" s="12"/>
      <c r="AE4" s="12"/>
      <c r="AF4" s="52">
        <v>102807.88555781645</v>
      </c>
      <c r="AG4" s="159"/>
      <c r="AO4" s="2"/>
      <c r="AP4" s="405"/>
      <c r="AQ4" s="825" t="s">
        <v>290</v>
      </c>
      <c r="AR4" s="826"/>
      <c r="AS4" s="826"/>
      <c r="AT4" s="826"/>
      <c r="AU4" s="826"/>
      <c r="AV4" s="826"/>
      <c r="AW4" s="827"/>
      <c r="AX4" s="405"/>
      <c r="AY4" s="828"/>
      <c r="AZ4" s="828"/>
      <c r="BA4" s="828"/>
      <c r="BB4" s="828"/>
      <c r="BC4" s="828"/>
      <c r="BD4" s="828"/>
      <c r="BE4" s="828"/>
      <c r="BF4" s="828"/>
      <c r="BG4" s="828"/>
      <c r="BH4" s="828"/>
      <c r="BI4" s="828"/>
      <c r="BJ4" s="828"/>
      <c r="BK4" s="828"/>
      <c r="BL4" s="828"/>
      <c r="BM4" s="828"/>
      <c r="BN4" s="828"/>
    </row>
    <row r="5" spans="1:66" s="3" customFormat="1" ht="17.45" customHeight="1" thickTop="1" x14ac:dyDescent="0.2">
      <c r="A5" s="191" t="s">
        <v>127</v>
      </c>
      <c r="B5" s="191" t="s">
        <v>98</v>
      </c>
      <c r="C5" s="378" t="s">
        <v>88</v>
      </c>
      <c r="D5" s="379" t="s">
        <v>289</v>
      </c>
      <c r="E5" s="191" t="s">
        <v>43</v>
      </c>
      <c r="F5" s="191">
        <v>1990</v>
      </c>
      <c r="G5" s="191">
        <v>1991</v>
      </c>
      <c r="H5" s="191">
        <v>1992</v>
      </c>
      <c r="I5" s="191">
        <v>1993</v>
      </c>
      <c r="J5" s="191">
        <v>1994</v>
      </c>
      <c r="K5" s="191">
        <v>1995</v>
      </c>
      <c r="L5" s="191">
        <v>1996</v>
      </c>
      <c r="M5" s="191">
        <v>1997</v>
      </c>
      <c r="N5" s="191">
        <v>1998</v>
      </c>
      <c r="O5" s="191">
        <v>1999</v>
      </c>
      <c r="P5" s="191">
        <v>2000</v>
      </c>
      <c r="Q5" s="191">
        <v>2001</v>
      </c>
      <c r="R5" s="191">
        <v>2002</v>
      </c>
      <c r="S5" s="191">
        <v>2003</v>
      </c>
      <c r="T5" s="191">
        <v>2004</v>
      </c>
      <c r="U5" s="191">
        <v>2005</v>
      </c>
      <c r="V5" s="191">
        <v>2006</v>
      </c>
      <c r="W5" s="191">
        <v>2007</v>
      </c>
      <c r="X5" s="302">
        <v>2008</v>
      </c>
      <c r="Y5" s="404">
        <v>2009</v>
      </c>
      <c r="Z5" s="404">
        <v>2010</v>
      </c>
      <c r="AA5" s="404">
        <v>2011</v>
      </c>
      <c r="AB5" s="472">
        <v>2012</v>
      </c>
      <c r="AC5" s="613">
        <v>2013</v>
      </c>
      <c r="AD5" s="612">
        <v>2014</v>
      </c>
      <c r="AE5" s="612">
        <v>2015</v>
      </c>
      <c r="AF5" s="612">
        <v>2016</v>
      </c>
      <c r="AG5" s="843">
        <v>2017</v>
      </c>
      <c r="AH5" s="843">
        <v>2018</v>
      </c>
      <c r="AI5" s="843">
        <v>2019</v>
      </c>
      <c r="AJ5" s="843">
        <v>2020</v>
      </c>
      <c r="AK5" s="844">
        <v>2021</v>
      </c>
      <c r="AL5" s="844">
        <v>2022</v>
      </c>
      <c r="AM5" s="844">
        <v>2023</v>
      </c>
      <c r="AN5" s="844">
        <v>2024</v>
      </c>
      <c r="AO5" s="184"/>
      <c r="AP5" s="829"/>
      <c r="AQ5" s="389">
        <v>2011</v>
      </c>
      <c r="AR5" s="824">
        <v>2012</v>
      </c>
      <c r="AS5" s="824">
        <v>2013</v>
      </c>
      <c r="AT5" s="824">
        <v>2014</v>
      </c>
      <c r="AU5" s="824">
        <v>2015</v>
      </c>
      <c r="AV5" s="824" t="s">
        <v>162</v>
      </c>
      <c r="AW5" s="830" t="s">
        <v>291</v>
      </c>
      <c r="AX5" s="831"/>
      <c r="AY5" s="832">
        <v>2005</v>
      </c>
      <c r="AZ5" s="824">
        <v>2006</v>
      </c>
      <c r="BA5" s="824">
        <v>2007</v>
      </c>
      <c r="BB5" s="824">
        <v>2008</v>
      </c>
      <c r="BC5" s="824">
        <v>2009</v>
      </c>
      <c r="BD5" s="824">
        <v>2010</v>
      </c>
      <c r="BE5" s="824">
        <v>2011</v>
      </c>
      <c r="BF5" s="824">
        <v>2012</v>
      </c>
      <c r="BG5" s="824">
        <v>2013</v>
      </c>
      <c r="BH5" s="824">
        <v>2014</v>
      </c>
      <c r="BI5" s="824"/>
      <c r="BJ5" s="184"/>
      <c r="BK5" s="833"/>
      <c r="BL5" s="833"/>
      <c r="BM5" s="833"/>
      <c r="BN5" s="833"/>
    </row>
    <row r="6" spans="1:66" s="3" customFormat="1" ht="17.45" customHeight="1" x14ac:dyDescent="0.2">
      <c r="A6" s="203"/>
      <c r="B6" s="204" t="s">
        <v>133</v>
      </c>
      <c r="C6" s="380"/>
      <c r="D6" s="381"/>
      <c r="E6" s="203" t="s">
        <v>366</v>
      </c>
      <c r="F6" s="203"/>
      <c r="G6" s="203"/>
      <c r="H6" s="203"/>
      <c r="I6" s="203"/>
      <c r="J6" s="203"/>
      <c r="K6" s="203"/>
      <c r="L6" s="203"/>
      <c r="M6" s="203"/>
      <c r="N6" s="203"/>
      <c r="O6" s="205"/>
      <c r="P6" s="205"/>
      <c r="Q6" s="205"/>
      <c r="R6" s="205"/>
      <c r="S6" s="205"/>
      <c r="T6" s="205"/>
      <c r="U6" s="205"/>
      <c r="V6" s="205"/>
      <c r="W6" s="205"/>
      <c r="X6" s="303"/>
      <c r="Y6" s="404"/>
      <c r="Z6" s="404"/>
      <c r="AA6" s="404"/>
      <c r="AB6" s="472"/>
      <c r="AC6" s="570">
        <f>AC3/AB3*100-100</f>
        <v>-39.454350104792901</v>
      </c>
      <c r="AD6" s="568">
        <f>AD7/AC3*100-100</f>
        <v>144.95959339263024</v>
      </c>
      <c r="AE6" s="568">
        <f>AE7/AD7*100-100</f>
        <v>9389.7983641728115</v>
      </c>
      <c r="AF6" s="568">
        <f t="shared" ref="AF6" si="0">AF7/AE7*100-100</f>
        <v>-83.366492305118115</v>
      </c>
      <c r="AG6" s="835">
        <f t="shared" ref="AG6:AL6" si="1">AG7/AF7*100-100</f>
        <v>-76.72887622513008</v>
      </c>
      <c r="AH6" s="835">
        <f t="shared" si="1"/>
        <v>294.32425831328305</v>
      </c>
      <c r="AI6" s="835">
        <f t="shared" si="1"/>
        <v>222.94589411452603</v>
      </c>
      <c r="AJ6" s="835">
        <f t="shared" si="1"/>
        <v>-82.067921622853419</v>
      </c>
      <c r="AK6" s="835">
        <f t="shared" si="1"/>
        <v>27.461818670408917</v>
      </c>
      <c r="AL6" s="835">
        <f t="shared" si="1"/>
        <v>-41.30672218464413</v>
      </c>
      <c r="AM6" s="835">
        <f t="shared" ref="AM6" si="2">AM7/AL7*100-100</f>
        <v>443.83432280337638</v>
      </c>
      <c r="AN6" s="835">
        <f t="shared" ref="AN6" si="3">AN7/AM7*100-100</f>
        <v>-68.153142098951761</v>
      </c>
      <c r="AO6" s="869"/>
      <c r="AP6" s="833"/>
      <c r="AQ6" s="834"/>
      <c r="AR6" s="824"/>
      <c r="AS6" s="824"/>
      <c r="AT6" s="824"/>
      <c r="AU6" s="824"/>
      <c r="AV6" s="824"/>
      <c r="AW6" s="830"/>
      <c r="AX6" s="831"/>
      <c r="AY6" s="832"/>
      <c r="AZ6" s="824"/>
      <c r="BA6" s="824"/>
      <c r="BB6" s="824"/>
      <c r="BC6" s="824"/>
      <c r="BD6" s="824"/>
      <c r="BE6" s="824"/>
      <c r="BF6" s="824"/>
      <c r="BG6" s="824"/>
      <c r="BH6" s="824"/>
      <c r="BI6" s="824"/>
      <c r="BJ6" s="184"/>
      <c r="BK6" s="833"/>
      <c r="BL6" s="833"/>
      <c r="BM6" s="833"/>
      <c r="BN6" s="833"/>
    </row>
    <row r="7" spans="1:66" s="1" customFormat="1" ht="17.45" customHeight="1" x14ac:dyDescent="0.2">
      <c r="A7" s="752">
        <v>1</v>
      </c>
      <c r="B7" s="461" t="s">
        <v>128</v>
      </c>
      <c r="C7" s="756" t="s">
        <v>285</v>
      </c>
      <c r="D7" s="510"/>
      <c r="E7" s="752" t="s">
        <v>129</v>
      </c>
      <c r="F7" s="207"/>
      <c r="G7" s="207"/>
      <c r="H7" s="207"/>
      <c r="I7" s="207"/>
      <c r="J7" s="207"/>
      <c r="K7" s="207"/>
      <c r="L7" s="207"/>
      <c r="M7" s="207"/>
      <c r="N7" s="207"/>
      <c r="O7" s="207">
        <v>44090</v>
      </c>
      <c r="P7" s="207">
        <v>3016.5</v>
      </c>
      <c r="Q7" s="207">
        <v>14329.5</v>
      </c>
      <c r="R7" s="207">
        <v>35496.730000000003</v>
      </c>
      <c r="S7" s="207">
        <v>3545.45</v>
      </c>
      <c r="T7" s="207">
        <v>3343.99</v>
      </c>
      <c r="U7" s="207">
        <v>5502.47</v>
      </c>
      <c r="V7" s="207">
        <v>4241.59</v>
      </c>
      <c r="W7" s="582">
        <v>6974.62</v>
      </c>
      <c r="X7" s="561">
        <v>6793.08</v>
      </c>
      <c r="Y7" s="562">
        <v>7619.41</v>
      </c>
      <c r="Z7" s="765">
        <v>3493.12</v>
      </c>
      <c r="AA7" s="766">
        <f>0+3107.06+0</f>
        <v>3107.06</v>
      </c>
      <c r="AB7" s="767">
        <f>0+1365.3+0</f>
        <v>1365.3</v>
      </c>
      <c r="AC7" s="771">
        <f>0+1723.59+0</f>
        <v>1723.59</v>
      </c>
      <c r="AD7" s="590">
        <f>0+12048.95+0</f>
        <v>12048.95</v>
      </c>
      <c r="AE7" s="590">
        <f>145035.24+734500.52+263885.3</f>
        <v>1143421.06</v>
      </c>
      <c r="AF7" s="765">
        <f>23473.33+96509.7+70208</f>
        <v>190191.03</v>
      </c>
      <c r="AG7" s="836">
        <f>9602.84+16781.88+17874.87</f>
        <v>44259.59</v>
      </c>
      <c r="AH7" s="836">
        <f>33289.79+77416.46+63820.05</f>
        <v>174526.3</v>
      </c>
      <c r="AI7" s="836">
        <f>78516.93+325970.15+159138.44</f>
        <v>563625.52</v>
      </c>
      <c r="AJ7" s="836">
        <f>20358.13+46490.52+34221.12</f>
        <v>101069.76999999999</v>
      </c>
      <c r="AK7" s="837">
        <f>(((AK81/AJ81*100-100)+100)*AJ7)/100</f>
        <v>128825.36696799933</v>
      </c>
      <c r="AL7" s="837">
        <f>(((AL81/AK81*100-100)+100)*AK7)/100</f>
        <v>75611.830531179541</v>
      </c>
      <c r="AM7" s="837">
        <f t="shared" ref="AM7:AN7" si="4">(((AM81/AL81*100-100)+100)*AL7)/100</f>
        <v>411203.08652847685</v>
      </c>
      <c r="AN7" s="837">
        <f t="shared" si="4"/>
        <v>130955.26265144846</v>
      </c>
      <c r="AO7" s="870"/>
      <c r="AQ7" s="390">
        <f>AA3/Z7-1</f>
        <v>1.0295838677171125</v>
      </c>
      <c r="AR7" s="391">
        <f>AB3/AA3-1</f>
        <v>0.14591207792034377</v>
      </c>
      <c r="AS7" s="391">
        <f>AC3/AB3-1</f>
        <v>-0.39454350104792901</v>
      </c>
      <c r="AT7" s="391">
        <f>AD7/AC3-1</f>
        <v>1.4495959339263025</v>
      </c>
      <c r="AU7" s="391">
        <f>AE7/AD7-1</f>
        <v>93.897983641728118</v>
      </c>
      <c r="AV7" s="467">
        <f>AVERAGE(AQ7:AU7)</f>
        <v>19.22570640404879</v>
      </c>
      <c r="AW7" s="468">
        <f>AVERAGE(AA7:AE7)</f>
        <v>232333.19199999998</v>
      </c>
      <c r="AX7" s="469">
        <f>(100+AV7)*AE7/100</f>
        <v>1363251.8359576627</v>
      </c>
      <c r="AY7" s="585"/>
      <c r="AZ7" s="467"/>
      <c r="BA7" s="467"/>
      <c r="BB7" s="467">
        <f t="shared" ref="BB7:BD10" si="5">X7/W7*100-100</f>
        <v>-2.6028658192130791</v>
      </c>
      <c r="BC7" s="467">
        <f t="shared" si="5"/>
        <v>12.164290719379125</v>
      </c>
      <c r="BD7" s="467">
        <f t="shared" si="5"/>
        <v>-54.154980503739793</v>
      </c>
      <c r="BE7" s="467">
        <f>AA3/Z7*100-100</f>
        <v>102.95838677171125</v>
      </c>
      <c r="BF7" s="759">
        <f>AVERAGE(BB7:BE7)</f>
        <v>14.591207792034375</v>
      </c>
      <c r="BG7" s="759">
        <f>AVERAGE(BB7:BF7)</f>
        <v>14.591207792034373</v>
      </c>
      <c r="BH7" s="759">
        <f>AVERAGE(BB7:BG7)</f>
        <v>14.591207792034373</v>
      </c>
      <c r="BI7" s="61"/>
      <c r="BJ7" s="783"/>
    </row>
    <row r="8" spans="1:66" s="1" customFormat="1" ht="17.45" customHeight="1" x14ac:dyDescent="0.2">
      <c r="A8" s="441">
        <v>2</v>
      </c>
      <c r="B8" s="461" t="s">
        <v>130</v>
      </c>
      <c r="C8" s="521" t="s">
        <v>285</v>
      </c>
      <c r="D8" s="510"/>
      <c r="E8" s="441" t="s">
        <v>129</v>
      </c>
      <c r="F8" s="207"/>
      <c r="G8" s="207"/>
      <c r="H8" s="207"/>
      <c r="I8" s="207"/>
      <c r="J8" s="207"/>
      <c r="K8" s="207">
        <v>41762</v>
      </c>
      <c r="L8" s="207">
        <v>44824</v>
      </c>
      <c r="M8" s="207">
        <v>35725</v>
      </c>
      <c r="N8" s="207">
        <v>23615</v>
      </c>
      <c r="O8" s="207">
        <v>12002</v>
      </c>
      <c r="P8" s="207">
        <v>8986</v>
      </c>
      <c r="Q8" s="207">
        <v>7049</v>
      </c>
      <c r="R8" s="207">
        <v>35433</v>
      </c>
      <c r="S8" s="207">
        <v>52200</v>
      </c>
      <c r="T8" s="207">
        <f>T10-T9</f>
        <v>332482</v>
      </c>
      <c r="U8" s="207">
        <f t="shared" ref="U8:Y8" si="6">U10-U9</f>
        <v>23709</v>
      </c>
      <c r="V8" s="207">
        <f t="shared" si="6"/>
        <v>242871</v>
      </c>
      <c r="W8" s="207">
        <f t="shared" si="6"/>
        <v>74968</v>
      </c>
      <c r="X8" s="586">
        <f t="shared" si="6"/>
        <v>266721</v>
      </c>
      <c r="Y8" s="511">
        <f t="shared" si="6"/>
        <v>200758</v>
      </c>
      <c r="Z8" s="511">
        <f>Z10-Z9</f>
        <v>142093.75</v>
      </c>
      <c r="AA8" s="511">
        <f t="shared" ref="AA8" si="7">AA10-AA9</f>
        <v>145332.14689478881</v>
      </c>
      <c r="AB8" s="512">
        <f t="shared" ref="AB8" si="8">AB10-AB9</f>
        <v>168787.5208942935</v>
      </c>
      <c r="AC8" s="584">
        <v>105656</v>
      </c>
      <c r="AD8" s="587">
        <f>23031.36+258097.65</f>
        <v>281129.01</v>
      </c>
      <c r="AE8" s="587">
        <f>179412.05+343310.13</f>
        <v>522722.18</v>
      </c>
      <c r="AF8" s="614">
        <f>33083.4+361249.7</f>
        <v>394333.10000000003</v>
      </c>
      <c r="AG8" s="838">
        <f>24865+219744.18</f>
        <v>244609.18</v>
      </c>
      <c r="AH8" s="838">
        <f>20864.87+282840.4</f>
        <v>303705.27</v>
      </c>
      <c r="AI8" s="838">
        <f>22723.05+384104.81</f>
        <v>406827.86</v>
      </c>
      <c r="AJ8" s="838">
        <f>15494.77+342787</f>
        <v>358281.77</v>
      </c>
      <c r="AK8" s="838">
        <f>'[1]5. Penanaman'!H89</f>
        <v>156257</v>
      </c>
      <c r="AL8" s="838">
        <f>'[1]5. Penanaman'!I89</f>
        <v>220185</v>
      </c>
      <c r="AM8" s="865">
        <f>(100+[2]StatHut!F15)/100*AL8</f>
        <v>143936.82382767973</v>
      </c>
      <c r="AN8" s="838">
        <f>AVERAGE(AI8:AM8)</f>
        <v>257097.69076553592</v>
      </c>
      <c r="AO8" s="871"/>
      <c r="AQ8" s="390">
        <f>AA8/Z8-1</f>
        <v>2.2790565347095226E-2</v>
      </c>
      <c r="AR8" s="391">
        <f t="shared" ref="AR8:AR9" si="9">AB8/AA8-1</f>
        <v>0.16139150560051174</v>
      </c>
      <c r="AS8" s="391">
        <f t="shared" ref="AS8:AS9" si="10">AC8/AB8-1</f>
        <v>-0.37402955242070801</v>
      </c>
      <c r="AT8" s="391">
        <f t="shared" ref="AT8:AT9" si="11">AD8/AC8-1</f>
        <v>1.6607955061709698</v>
      </c>
      <c r="AU8" s="391">
        <f t="shared" ref="AU8:AU9" si="12">AE8/AD8-1</f>
        <v>0.85936762627236507</v>
      </c>
      <c r="AV8" s="467">
        <f>AVERAGE(AQ8:AU8)</f>
        <v>0.46606313019404677</v>
      </c>
      <c r="AW8" s="468">
        <f>AVERAGE(AA8:AE8)</f>
        <v>244725.37155781646</v>
      </c>
      <c r="AX8" s="469">
        <f>AVERAGE(AA8:AE8)</f>
        <v>244725.37155781646</v>
      </c>
      <c r="AY8" s="514">
        <f>(1+AW8)*AE8</f>
        <v>127923902444.19182</v>
      </c>
      <c r="AZ8" s="61"/>
      <c r="BA8" s="61"/>
      <c r="BB8" s="467">
        <f t="shared" si="5"/>
        <v>255.77979938106927</v>
      </c>
      <c r="BC8" s="467">
        <f t="shared" si="5"/>
        <v>-24.7310860412191</v>
      </c>
      <c r="BD8" s="467">
        <f t="shared" si="5"/>
        <v>-29.221375985016778</v>
      </c>
      <c r="BE8" s="467">
        <f>AA8/Z8*100-100</f>
        <v>2.2790565347095253</v>
      </c>
      <c r="BF8" s="467">
        <f>AB8/AA8*100-100</f>
        <v>16.139150560051178</v>
      </c>
      <c r="BG8" s="467">
        <f>AC8/AB8*100-100</f>
        <v>-37.402955242070803</v>
      </c>
      <c r="BH8" s="467">
        <f>AVERAGE(BB8:BG8)</f>
        <v>30.473764867920551</v>
      </c>
      <c r="BI8" s="61"/>
      <c r="BJ8" s="783"/>
    </row>
    <row r="9" spans="1:66" s="1" customFormat="1" ht="17.45" customHeight="1" x14ac:dyDescent="0.2">
      <c r="A9" s="441">
        <v>3</v>
      </c>
      <c r="B9" s="461" t="s">
        <v>131</v>
      </c>
      <c r="C9" s="521" t="s">
        <v>285</v>
      </c>
      <c r="D9" s="510"/>
      <c r="E9" s="441" t="s">
        <v>129</v>
      </c>
      <c r="F9" s="207"/>
      <c r="G9" s="207"/>
      <c r="H9" s="207"/>
      <c r="I9" s="207"/>
      <c r="J9" s="207"/>
      <c r="K9" s="207">
        <v>17631</v>
      </c>
      <c r="L9" s="207">
        <v>11755</v>
      </c>
      <c r="M9" s="207">
        <v>7990</v>
      </c>
      <c r="N9" s="207">
        <v>7087</v>
      </c>
      <c r="O9" s="207">
        <v>850</v>
      </c>
      <c r="P9" s="207">
        <v>24556</v>
      </c>
      <c r="Q9" s="207">
        <v>5436</v>
      </c>
      <c r="R9" s="207">
        <v>13436</v>
      </c>
      <c r="S9" s="207">
        <v>9597</v>
      </c>
      <c r="T9" s="207">
        <v>6684</v>
      </c>
      <c r="U9" s="207">
        <v>3254</v>
      </c>
      <c r="V9" s="207">
        <v>3171</v>
      </c>
      <c r="W9" s="207">
        <v>1750</v>
      </c>
      <c r="X9" s="561">
        <v>200</v>
      </c>
      <c r="Y9" s="562">
        <v>2283</v>
      </c>
      <c r="Z9" s="562">
        <v>7329</v>
      </c>
      <c r="AA9" s="588">
        <f>(1+BE9)/100*Z9</f>
        <v>16586.853105211205</v>
      </c>
      <c r="AB9" s="589">
        <f>(1+BF9)/100*AA9</f>
        <v>37539.049793130667</v>
      </c>
      <c r="AC9" s="584">
        <v>265325</v>
      </c>
      <c r="AD9" s="590">
        <f>30064.24+42234.37+20219.27</f>
        <v>92517.88</v>
      </c>
      <c r="AE9" s="587">
        <f>127+1086.88+532</f>
        <v>1745.88</v>
      </c>
      <c r="AF9" s="581">
        <f>4+12.75+0+44970+107849.24+26700.31</f>
        <v>179536.3</v>
      </c>
      <c r="AG9" s="646">
        <f>98+55+212+274+230.2+364</f>
        <v>1233.2</v>
      </c>
      <c r="AH9" s="646">
        <f>120+75+645+75+267</f>
        <v>1182</v>
      </c>
      <c r="AI9" s="646">
        <f>75+75+60+12598.15+13201.22+1967</f>
        <v>27976.37</v>
      </c>
      <c r="AJ9" s="646">
        <f>0+82.21+564.51+207.71</f>
        <v>854.43000000000006</v>
      </c>
      <c r="AK9" s="839">
        <f>(((AK82/AJ82*100-100)+100)*AJ9)/100</f>
        <v>863.17507813022314</v>
      </c>
      <c r="AL9" s="839">
        <f>(((AL82/AK82*100-100)+100)*AK9)/100</f>
        <v>1000.6720764304811</v>
      </c>
      <c r="AM9" s="839">
        <f t="shared" ref="AM9:AN9" si="13">(((AM82/AL82*100-100)+100)*AL9)/100</f>
        <v>1114.1367082354811</v>
      </c>
      <c r="AN9" s="839">
        <f t="shared" si="13"/>
        <v>1274.809948401444</v>
      </c>
      <c r="AO9" s="872"/>
      <c r="AQ9" s="390">
        <f>AA9/Z9-1</f>
        <v>1.2631809394475653</v>
      </c>
      <c r="AR9" s="391">
        <f t="shared" si="9"/>
        <v>1.2631809394475657</v>
      </c>
      <c r="AS9" s="391">
        <f t="shared" si="10"/>
        <v>6.0679732561731559</v>
      </c>
      <c r="AT9" s="391">
        <f t="shared" si="11"/>
        <v>-0.65130357109205694</v>
      </c>
      <c r="AU9" s="391">
        <f t="shared" si="12"/>
        <v>-0.98112926928286726</v>
      </c>
      <c r="AV9" s="467">
        <f>AVERAGE(AQ9:AU9)</f>
        <v>1.3923804589386726</v>
      </c>
      <c r="AW9" s="468">
        <f>AVERAGE(AA9:AE9)</f>
        <v>82742.932579668384</v>
      </c>
      <c r="AX9" s="469">
        <f>AVERAGE(AA9:AE9)</f>
        <v>82742.932579668384</v>
      </c>
      <c r="AY9" s="514"/>
      <c r="AZ9" s="467">
        <f>V9/U9*100-100</f>
        <v>-2.5507068223724616</v>
      </c>
      <c r="BA9" s="467">
        <f>W9/V9*100-100</f>
        <v>-44.812362030905071</v>
      </c>
      <c r="BB9" s="467">
        <f t="shared" si="5"/>
        <v>-88.571428571428569</v>
      </c>
      <c r="BC9" s="467">
        <f t="shared" si="5"/>
        <v>1041.5</v>
      </c>
      <c r="BD9" s="467">
        <f t="shared" si="5"/>
        <v>221.02496714848883</v>
      </c>
      <c r="BE9" s="467">
        <f>AVERAGE(AZ9:BD9)</f>
        <v>225.31809394475653</v>
      </c>
      <c r="BF9" s="467">
        <f>AVERAGE(AZ9:BE9)</f>
        <v>225.31809394475655</v>
      </c>
      <c r="BG9" s="467">
        <f>AVERAGE(AZ9:BF9)</f>
        <v>225.31809394475655</v>
      </c>
      <c r="BH9" s="467">
        <f>AVERAGE(AZ9:BG9)</f>
        <v>225.31809394475655</v>
      </c>
      <c r="BI9" s="61"/>
      <c r="BJ9" s="783"/>
    </row>
    <row r="10" spans="1:66" s="1" customFormat="1" ht="17.45" customHeight="1" x14ac:dyDescent="0.2">
      <c r="A10" s="441">
        <v>4</v>
      </c>
      <c r="B10" s="461" t="s">
        <v>177</v>
      </c>
      <c r="C10" s="521" t="s">
        <v>285</v>
      </c>
      <c r="D10" s="510"/>
      <c r="E10" s="441" t="s">
        <v>129</v>
      </c>
      <c r="F10" s="207"/>
      <c r="G10" s="207"/>
      <c r="H10" s="207"/>
      <c r="I10" s="207"/>
      <c r="J10" s="207"/>
      <c r="K10" s="207">
        <v>59393</v>
      </c>
      <c r="L10" s="207">
        <v>56579</v>
      </c>
      <c r="M10" s="207">
        <v>43715</v>
      </c>
      <c r="N10" s="207">
        <v>30702</v>
      </c>
      <c r="O10" s="207">
        <v>12852</v>
      </c>
      <c r="P10" s="207">
        <v>33542</v>
      </c>
      <c r="Q10" s="207">
        <v>12485</v>
      </c>
      <c r="R10" s="207">
        <v>48869</v>
      </c>
      <c r="S10" s="207">
        <v>61797</v>
      </c>
      <c r="T10" s="207">
        <v>339166</v>
      </c>
      <c r="U10" s="207">
        <v>26963</v>
      </c>
      <c r="V10" s="207">
        <v>246042</v>
      </c>
      <c r="W10" s="582">
        <v>76718</v>
      </c>
      <c r="X10" s="561">
        <v>266921</v>
      </c>
      <c r="Y10" s="562">
        <f>113041+90000</f>
        <v>203041</v>
      </c>
      <c r="Z10" s="562">
        <f>149422.75</f>
        <v>149422.75</v>
      </c>
      <c r="AA10" s="562">
        <f>151498+10421</f>
        <v>161919</v>
      </c>
      <c r="AB10" s="583">
        <f>AA10*(100+BF10)/100</f>
        <v>206326.57068742416</v>
      </c>
      <c r="AC10" s="513">
        <f t="shared" ref="AC10:AG10" si="14">AC8+AC9</f>
        <v>370981</v>
      </c>
      <c r="AD10" s="511">
        <f t="shared" si="14"/>
        <v>373646.89</v>
      </c>
      <c r="AE10" s="511">
        <f t="shared" si="14"/>
        <v>524468.05999999994</v>
      </c>
      <c r="AF10" s="511">
        <f t="shared" si="14"/>
        <v>573869.4</v>
      </c>
      <c r="AG10" s="511">
        <f t="shared" si="14"/>
        <v>245842.38</v>
      </c>
      <c r="AH10" s="511">
        <f>AH8+AH9</f>
        <v>304887.27</v>
      </c>
      <c r="AI10" s="511">
        <f>AI8+AI9</f>
        <v>434804.23</v>
      </c>
      <c r="AJ10" s="511">
        <f>AJ8+AJ9</f>
        <v>359136.2</v>
      </c>
      <c r="AK10" s="511">
        <f>AK8+AK9</f>
        <v>157120.17507813021</v>
      </c>
      <c r="AL10" s="511">
        <f>AL8+AL9</f>
        <v>221185.67207643049</v>
      </c>
      <c r="AM10" s="511">
        <f t="shared" ref="AM10:AN10" si="15">AM8+AM9</f>
        <v>145050.96053591522</v>
      </c>
      <c r="AN10" s="511">
        <f t="shared" si="15"/>
        <v>258372.50071393736</v>
      </c>
      <c r="AO10" s="867"/>
      <c r="AQ10" s="390">
        <f t="shared" ref="AQ10:AQ71" si="16">AA10/Z10-1</f>
        <v>8.3630170104619372E-2</v>
      </c>
      <c r="AR10" s="391">
        <f t="shared" ref="AR10:AR71" si="17">AB10/AA10-1</f>
        <v>0.27425793568033496</v>
      </c>
      <c r="AS10" s="391">
        <f t="shared" ref="AS10:AS71" si="18">AC10/AB10-1</f>
        <v>0.79802823632454101</v>
      </c>
      <c r="AT10" s="391">
        <f t="shared" ref="AT10:AT21" si="19">AD10/AC10-1</f>
        <v>7.1860553505436187E-3</v>
      </c>
      <c r="AU10" s="391">
        <f t="shared" ref="AU10:AU71" si="20">AE10/AD10-1</f>
        <v>0.40364626077845833</v>
      </c>
      <c r="AV10" s="467">
        <f t="shared" ref="AV10:AV71" si="21">AVERAGE(AQ10:AU10)</f>
        <v>0.31334973164769947</v>
      </c>
      <c r="AW10" s="468">
        <f t="shared" ref="AW10:AW71" si="22">(1+AV10)*AE10</f>
        <v>688809.98585878941</v>
      </c>
      <c r="AX10" s="469"/>
      <c r="AY10" s="585">
        <f>U10/T10*100-100</f>
        <v>-92.050205504089448</v>
      </c>
      <c r="AZ10" s="467">
        <f>V10/U10*100-100</f>
        <v>812.51715313577859</v>
      </c>
      <c r="BA10" s="467">
        <f>W10/V10*100-100</f>
        <v>-68.819144698872549</v>
      </c>
      <c r="BB10" s="467">
        <f t="shared" si="5"/>
        <v>247.92486769728094</v>
      </c>
      <c r="BC10" s="467">
        <f t="shared" si="5"/>
        <v>-23.932174688390944</v>
      </c>
      <c r="BD10" s="467">
        <f t="shared" si="5"/>
        <v>-26.407597480311864</v>
      </c>
      <c r="BE10" s="467">
        <f>AA10/Z10*100-100</f>
        <v>8.363017010461931</v>
      </c>
      <c r="BF10" s="467">
        <f>AVERAGE(BA10:BE10)</f>
        <v>27.425793568033505</v>
      </c>
      <c r="BG10" s="467"/>
      <c r="BH10" s="467"/>
      <c r="BI10" s="61"/>
      <c r="BJ10" s="783"/>
    </row>
    <row r="11" spans="1:66" s="846" customFormat="1" ht="17.45" customHeight="1" x14ac:dyDescent="0.2">
      <c r="A11" s="684">
        <v>5</v>
      </c>
      <c r="B11" s="685" t="s">
        <v>132</v>
      </c>
      <c r="C11" s="686" t="s">
        <v>286</v>
      </c>
      <c r="D11" s="687"/>
      <c r="E11" s="684" t="s">
        <v>307</v>
      </c>
      <c r="F11" s="442"/>
      <c r="G11" s="442"/>
      <c r="H11" s="442"/>
      <c r="I11" s="442"/>
      <c r="J11" s="442"/>
      <c r="K11" s="442"/>
      <c r="L11" s="442"/>
      <c r="M11" s="442"/>
      <c r="N11" s="442"/>
      <c r="O11" s="442">
        <v>20619942.16</v>
      </c>
      <c r="P11" s="442">
        <v>13798240.050000001</v>
      </c>
      <c r="Q11" s="442">
        <v>11155400</v>
      </c>
      <c r="R11" s="442">
        <v>9004105</v>
      </c>
      <c r="S11" s="442">
        <v>11423501</v>
      </c>
      <c r="T11" s="442">
        <v>13548938</v>
      </c>
      <c r="U11" s="442">
        <v>24222638</v>
      </c>
      <c r="V11" s="442">
        <v>21792144</v>
      </c>
      <c r="W11" s="442">
        <v>31491584</v>
      </c>
      <c r="X11" s="688">
        <v>27837336.535834659</v>
      </c>
      <c r="Y11" s="689">
        <v>29207400</v>
      </c>
      <c r="Z11" s="689">
        <v>30721759</v>
      </c>
      <c r="AA11" s="689">
        <v>29630420.7718</v>
      </c>
      <c r="AB11" s="690">
        <v>29047187.223093599</v>
      </c>
      <c r="AC11" s="691">
        <f>23923.3225033*1000</f>
        <v>23923322.5033</v>
      </c>
      <c r="AD11" s="689">
        <v>26798624.786899999</v>
      </c>
      <c r="AE11" s="689">
        <v>26382721.761200007</v>
      </c>
      <c r="AF11" s="692">
        <v>26168644.14320115</v>
      </c>
      <c r="AG11" s="692">
        <v>27435099.754548568</v>
      </c>
      <c r="AH11" s="692">
        <f>[3]Olah!$L$5</f>
        <v>27462980.292027432</v>
      </c>
      <c r="AI11" s="689">
        <f>[3]Olah!$M$5</f>
        <v>28653668.100842256</v>
      </c>
      <c r="AJ11" s="689">
        <f>[3]Olah!$N$5</f>
        <v>30180975.944529958</v>
      </c>
      <c r="AK11" s="840">
        <f>[3]Olah!O$5</f>
        <v>31865453.933318969</v>
      </c>
      <c r="AL11" s="840">
        <f>[3]Olah!P$5</f>
        <v>31978702.094977107</v>
      </c>
      <c r="AM11" s="840">
        <f>(100+[2]StatHut!F6)/100*AL11</f>
        <v>33741127.210204177</v>
      </c>
      <c r="AN11" s="840">
        <f>(100+[2]StatHut!G6)/100*AM11</f>
        <v>32071074.022100873</v>
      </c>
      <c r="AO11" s="873">
        <f>(100+[4]StatHut!$G$6)/100*AM11</f>
        <v>32071074.022100873</v>
      </c>
      <c r="AQ11" s="847">
        <f t="shared" si="16"/>
        <v>-3.5523298916575685E-2</v>
      </c>
      <c r="AR11" s="848">
        <f t="shared" si="17"/>
        <v>-1.9683606695908962E-2</v>
      </c>
      <c r="AS11" s="848">
        <f t="shared" si="18"/>
        <v>-0.17639796516063133</v>
      </c>
      <c r="AT11" s="848">
        <f t="shared" si="19"/>
        <v>0.12018825074165096</v>
      </c>
      <c r="AU11" s="848">
        <f t="shared" si="20"/>
        <v>-1.5519565985464223E-2</v>
      </c>
      <c r="AV11" s="849">
        <f t="shared" si="21"/>
        <v>-2.538723720338585E-2</v>
      </c>
      <c r="AW11" s="850">
        <f t="shared" si="22"/>
        <v>25712937.345777493</v>
      </c>
      <c r="AX11" s="851"/>
      <c r="AY11" s="852"/>
      <c r="AZ11" s="853"/>
      <c r="BA11" s="853"/>
      <c r="BB11" s="853"/>
      <c r="BC11" s="853"/>
      <c r="BD11" s="853"/>
      <c r="BE11" s="853"/>
      <c r="BF11" s="853"/>
      <c r="BG11" s="853"/>
      <c r="BH11" s="853"/>
      <c r="BI11" s="853"/>
      <c r="BJ11" s="854"/>
    </row>
    <row r="12" spans="1:66" s="846" customFormat="1" ht="17.45" customHeight="1" thickBot="1" x14ac:dyDescent="0.25">
      <c r="A12" s="441"/>
      <c r="B12" s="461" t="s">
        <v>193</v>
      </c>
      <c r="C12" s="521" t="s">
        <v>287</v>
      </c>
      <c r="D12" s="510"/>
      <c r="E12" s="441" t="s">
        <v>307</v>
      </c>
      <c r="F12" s="207"/>
      <c r="G12" s="207"/>
      <c r="H12" s="207"/>
      <c r="I12" s="207"/>
      <c r="J12" s="207"/>
      <c r="K12" s="207"/>
      <c r="L12" s="207"/>
      <c r="M12" s="207"/>
      <c r="N12" s="207"/>
      <c r="O12" s="596">
        <f t="shared" ref="O12:X12" si="23">+O11-O13</f>
        <v>20618180.543000001</v>
      </c>
      <c r="P12" s="596">
        <f t="shared" si="23"/>
        <v>13796632.572000001</v>
      </c>
      <c r="Q12" s="596">
        <f t="shared" si="23"/>
        <v>11153944.460000001</v>
      </c>
      <c r="R12" s="596">
        <f t="shared" si="23"/>
        <v>9002620.1089999992</v>
      </c>
      <c r="S12" s="596">
        <f t="shared" si="23"/>
        <v>11422523.504000001</v>
      </c>
      <c r="T12" s="596">
        <f t="shared" si="23"/>
        <v>13548014.369000001</v>
      </c>
      <c r="U12" s="596">
        <f t="shared" si="23"/>
        <v>24221883.162</v>
      </c>
      <c r="V12" s="596">
        <f t="shared" si="23"/>
        <v>21791268.397</v>
      </c>
      <c r="W12" s="596">
        <f t="shared" si="23"/>
        <v>31490430.835000001</v>
      </c>
      <c r="X12" s="561">
        <f t="shared" si="23"/>
        <v>27836253.612834658</v>
      </c>
      <c r="Y12" s="597">
        <f t="shared" ref="Y12:Z12" si="24">+Y11-Y13</f>
        <v>29206420.609999999</v>
      </c>
      <c r="Z12" s="597">
        <f t="shared" si="24"/>
        <v>30720869.539000001</v>
      </c>
      <c r="AA12" s="598">
        <f>+AA11-AA13</f>
        <v>28661220.7718</v>
      </c>
      <c r="AB12" s="599">
        <f t="shared" ref="AB12:AF12" si="25">+AB11-AB13</f>
        <v>28118265.223093599</v>
      </c>
      <c r="AC12" s="600">
        <f t="shared" si="25"/>
        <v>22967738.195039999</v>
      </c>
      <c r="AD12" s="597">
        <f t="shared" si="25"/>
        <v>25880037.780899998</v>
      </c>
      <c r="AE12" s="597">
        <f t="shared" si="25"/>
        <v>25591481.541200008</v>
      </c>
      <c r="AF12" s="597">
        <f t="shared" si="25"/>
        <v>25620212.14320115</v>
      </c>
      <c r="AG12" s="597">
        <f t="shared" ref="AG12:AL12" si="26">+AG11-AG13</f>
        <v>26798807.395548567</v>
      </c>
      <c r="AH12" s="597">
        <f t="shared" si="26"/>
        <v>26653046.292027432</v>
      </c>
      <c r="AI12" s="597">
        <f t="shared" si="26"/>
        <v>27870148.100842256</v>
      </c>
      <c r="AJ12" s="597">
        <f t="shared" si="26"/>
        <v>29334470.344529957</v>
      </c>
      <c r="AK12" s="597">
        <f t="shared" si="26"/>
        <v>30879270.933318969</v>
      </c>
      <c r="AL12" s="597">
        <f t="shared" si="26"/>
        <v>31052935.094977107</v>
      </c>
      <c r="AM12" s="597">
        <f t="shared" ref="AM12:AN12" si="27">+AM11-AM13</f>
        <v>32825019.210204177</v>
      </c>
      <c r="AN12" s="597">
        <f t="shared" si="27"/>
        <v>31267437.022100873</v>
      </c>
      <c r="AO12" s="874">
        <f>AN12+AN13</f>
        <v>32071074.022100873</v>
      </c>
      <c r="AQ12" s="847">
        <f t="shared" si="16"/>
        <v>-6.7043960607471975E-2</v>
      </c>
      <c r="AR12" s="848">
        <f t="shared" si="17"/>
        <v>-1.8943908671211207E-2</v>
      </c>
      <c r="AS12" s="848">
        <f t="shared" si="18"/>
        <v>-0.18317371243171365</v>
      </c>
      <c r="AT12" s="848">
        <f t="shared" si="19"/>
        <v>0.12679958127043278</v>
      </c>
      <c r="AU12" s="848">
        <f t="shared" si="20"/>
        <v>-1.1149761145748838E-2</v>
      </c>
      <c r="AV12" s="849">
        <f t="shared" si="21"/>
        <v>-3.0702352317142578E-2</v>
      </c>
      <c r="AW12" s="855">
        <f t="shared" si="22"/>
        <v>24805762.858604435</v>
      </c>
      <c r="AX12" s="851"/>
      <c r="AY12" s="852"/>
      <c r="AZ12" s="853"/>
      <c r="BA12" s="853"/>
      <c r="BB12" s="853"/>
      <c r="BC12" s="853"/>
      <c r="BD12" s="853"/>
      <c r="BE12" s="853"/>
      <c r="BF12" s="853"/>
      <c r="BG12" s="853"/>
      <c r="BH12" s="853"/>
      <c r="BI12" s="853"/>
      <c r="BJ12" s="854"/>
    </row>
    <row r="13" spans="1:66" s="846" customFormat="1" ht="17.45" customHeight="1" thickBot="1" x14ac:dyDescent="0.25">
      <c r="A13" s="674"/>
      <c r="B13" s="461" t="s">
        <v>168</v>
      </c>
      <c r="C13" s="521" t="s">
        <v>288</v>
      </c>
      <c r="D13" s="510"/>
      <c r="E13" s="674" t="s">
        <v>307</v>
      </c>
      <c r="F13" s="596">
        <f t="shared" ref="F13:V13" si="28">+F50</f>
        <v>1267.7329999999999</v>
      </c>
      <c r="G13" s="596">
        <f t="shared" si="28"/>
        <v>1328.78</v>
      </c>
      <c r="H13" s="596">
        <f t="shared" si="28"/>
        <v>1315.452</v>
      </c>
      <c r="I13" s="596">
        <f t="shared" si="28"/>
        <v>1624.7909999999999</v>
      </c>
      <c r="J13" s="596">
        <f t="shared" si="28"/>
        <v>1711.463</v>
      </c>
      <c r="K13" s="596">
        <f t="shared" si="28"/>
        <v>1601.269</v>
      </c>
      <c r="L13" s="596">
        <f t="shared" si="28"/>
        <v>0</v>
      </c>
      <c r="M13" s="596">
        <f t="shared" si="28"/>
        <v>1861.8630000000001</v>
      </c>
      <c r="N13" s="596">
        <f t="shared" si="28"/>
        <v>1717.527</v>
      </c>
      <c r="O13" s="596">
        <f t="shared" si="28"/>
        <v>1761.6170000000002</v>
      </c>
      <c r="P13" s="596">
        <f t="shared" si="28"/>
        <v>1607.4780000000001</v>
      </c>
      <c r="Q13" s="596">
        <f t="shared" si="28"/>
        <v>1455.54</v>
      </c>
      <c r="R13" s="596">
        <f t="shared" si="28"/>
        <v>1484.8910000000001</v>
      </c>
      <c r="S13" s="596">
        <f t="shared" si="28"/>
        <v>977.49599999999998</v>
      </c>
      <c r="T13" s="596">
        <f t="shared" si="28"/>
        <v>923.63100000000009</v>
      </c>
      <c r="U13" s="596">
        <f t="shared" si="28"/>
        <v>754.83799999999997</v>
      </c>
      <c r="V13" s="596">
        <f t="shared" si="28"/>
        <v>875.60300000000007</v>
      </c>
      <c r="W13" s="596">
        <f t="shared" ref="W13:Z13" si="29">+W50</f>
        <v>1153.165</v>
      </c>
      <c r="X13" s="561">
        <f t="shared" si="29"/>
        <v>1082.923</v>
      </c>
      <c r="Y13" s="597">
        <f t="shared" si="29"/>
        <v>979.3900000000001</v>
      </c>
      <c r="Z13" s="695">
        <f t="shared" si="29"/>
        <v>889.46100000000001</v>
      </c>
      <c r="AA13" s="696">
        <f>+AA50*1000</f>
        <v>969199.99999999988</v>
      </c>
      <c r="AB13" s="697">
        <f>+AB50*1000</f>
        <v>928922</v>
      </c>
      <c r="AC13" s="600">
        <f>+AC50*1000</f>
        <v>955584.30825999985</v>
      </c>
      <c r="AD13" s="597">
        <f t="shared" ref="AD13:AF13" si="30">+AD50*1000</f>
        <v>918587.00599999994</v>
      </c>
      <c r="AE13" s="597">
        <f t="shared" si="30"/>
        <v>791240.22000000009</v>
      </c>
      <c r="AF13" s="823">
        <f t="shared" si="30"/>
        <v>548432</v>
      </c>
      <c r="AG13" s="823">
        <f t="shared" ref="AG13:AL13" si="31">+AG50*1000</f>
        <v>636292.35900000005</v>
      </c>
      <c r="AH13" s="823">
        <f t="shared" si="31"/>
        <v>809934</v>
      </c>
      <c r="AI13" s="823">
        <f t="shared" si="31"/>
        <v>783520</v>
      </c>
      <c r="AJ13" s="823">
        <f t="shared" si="31"/>
        <v>846505.6</v>
      </c>
      <c r="AK13" s="823">
        <f t="shared" si="31"/>
        <v>986183</v>
      </c>
      <c r="AL13" s="823">
        <f t="shared" si="31"/>
        <v>925767</v>
      </c>
      <c r="AM13" s="823">
        <f t="shared" ref="AM13:AN13" si="32">+AM50*1000</f>
        <v>916108</v>
      </c>
      <c r="AN13" s="823">
        <f t="shared" si="32"/>
        <v>803637</v>
      </c>
      <c r="AO13" s="875"/>
      <c r="AP13" s="856"/>
      <c r="AQ13" s="847">
        <f t="shared" si="16"/>
        <v>1088.6486748716356</v>
      </c>
      <c r="AR13" s="848">
        <f t="shared" si="17"/>
        <v>-4.1557985967808353E-2</v>
      </c>
      <c r="AS13" s="848">
        <f t="shared" si="18"/>
        <v>2.8702418782201145E-2</v>
      </c>
      <c r="AT13" s="848">
        <f t="shared" si="19"/>
        <v>-3.8716942021962852E-2</v>
      </c>
      <c r="AU13" s="848">
        <f t="shared" si="20"/>
        <v>-0.13863334139085337</v>
      </c>
      <c r="AV13" s="849">
        <f t="shared" si="21"/>
        <v>217.69169380420743</v>
      </c>
      <c r="AW13" s="855">
        <f t="shared" si="22"/>
        <v>173037663.91781375</v>
      </c>
      <c r="AX13" s="851"/>
      <c r="AY13" s="852"/>
      <c r="AZ13" s="853"/>
      <c r="BA13" s="853"/>
      <c r="BB13" s="853"/>
      <c r="BC13" s="853"/>
      <c r="BD13" s="853"/>
      <c r="BE13" s="853"/>
      <c r="BF13" s="853"/>
      <c r="BG13" s="853"/>
      <c r="BH13" s="853"/>
      <c r="BI13" s="853"/>
      <c r="BJ13" s="854"/>
    </row>
    <row r="14" spans="1:66" s="846" customFormat="1" ht="17.45" customHeight="1" x14ac:dyDescent="0.2">
      <c r="A14" s="794">
        <v>6</v>
      </c>
      <c r="B14" s="795" t="s">
        <v>166</v>
      </c>
      <c r="C14" s="796" t="s">
        <v>287</v>
      </c>
      <c r="D14" s="797" t="s">
        <v>237</v>
      </c>
      <c r="E14" s="794" t="s">
        <v>129</v>
      </c>
      <c r="F14" s="799"/>
      <c r="G14" s="799"/>
      <c r="H14" s="799"/>
      <c r="I14" s="799">
        <v>31387323.620000001</v>
      </c>
      <c r="J14" s="799"/>
      <c r="K14" s="799"/>
      <c r="L14" s="799">
        <v>31570725.899999999</v>
      </c>
      <c r="M14" s="799">
        <v>33134599.169999998</v>
      </c>
      <c r="N14" s="799">
        <v>31366473.600000001</v>
      </c>
      <c r="O14" s="799">
        <v>31366373.620000001</v>
      </c>
      <c r="P14" s="799">
        <v>26262311.100000001</v>
      </c>
      <c r="Q14" s="799">
        <v>26262311.100000001</v>
      </c>
      <c r="R14" s="799">
        <v>26262311.100000001</v>
      </c>
      <c r="S14" s="799">
        <v>35222373.100000001</v>
      </c>
      <c r="T14" s="799">
        <v>34669774.100000001</v>
      </c>
      <c r="U14" s="799">
        <v>34665978.700000003</v>
      </c>
      <c r="V14" s="799">
        <v>34665978.700000003</v>
      </c>
      <c r="W14" s="799">
        <v>34861921</v>
      </c>
      <c r="X14" s="805">
        <f t="shared" ref="X14:AA14" si="33">X15-X16</f>
        <v>33939195</v>
      </c>
      <c r="Y14" s="806">
        <f t="shared" si="33"/>
        <v>34716286.689999998</v>
      </c>
      <c r="Z14" s="806">
        <f t="shared" si="33"/>
        <v>34704564.899999999</v>
      </c>
      <c r="AA14" s="807">
        <f t="shared" si="33"/>
        <v>34969065.43</v>
      </c>
      <c r="AB14" s="808">
        <f>AB15-AB16</f>
        <v>34767270.222366005</v>
      </c>
      <c r="AC14" s="809">
        <f>AC15-AC16</f>
        <v>26452166.550000001</v>
      </c>
      <c r="AD14" s="806">
        <f>AD15-AD16</f>
        <v>27460289.609999999</v>
      </c>
      <c r="AE14" s="806">
        <f t="shared" ref="AE14:AF14" si="34">AE15-AE16</f>
        <v>27528701.510000002</v>
      </c>
      <c r="AF14" s="806">
        <f t="shared" si="34"/>
        <v>27934981.4769</v>
      </c>
      <c r="AG14" s="806">
        <f t="shared" ref="AG14:AH14" si="35">AG15-AG16</f>
        <v>27992806.710000001</v>
      </c>
      <c r="AH14" s="806">
        <f t="shared" si="35"/>
        <v>27969094.68</v>
      </c>
      <c r="AI14" s="806">
        <f t="shared" ref="AI14" si="36">AI15-AI16</f>
        <v>27996733</v>
      </c>
      <c r="AJ14" s="806">
        <f>AJ15-AJ16</f>
        <v>27955144.359999999</v>
      </c>
      <c r="AK14" s="806">
        <f>AK15-AK16</f>
        <v>27774667</v>
      </c>
      <c r="AL14" s="806">
        <f>AL15-AL16</f>
        <v>27770857.75</v>
      </c>
      <c r="AM14" s="806">
        <f t="shared" ref="AM14:AN14" si="37">AM15-AM16</f>
        <v>27499022.048</v>
      </c>
      <c r="AN14" s="806">
        <f t="shared" si="37"/>
        <v>27484352.721600004</v>
      </c>
      <c r="AO14" s="867"/>
      <c r="AQ14" s="847">
        <f t="shared" si="16"/>
        <v>7.6214910275391734E-3</v>
      </c>
      <c r="AR14" s="848">
        <f t="shared" si="17"/>
        <v>-5.7706777448182089E-3</v>
      </c>
      <c r="AS14" s="848">
        <f t="shared" si="18"/>
        <v>-0.23916469769366144</v>
      </c>
      <c r="AT14" s="848">
        <f t="shared" si="19"/>
        <v>3.8111171653725906E-2</v>
      </c>
      <c r="AU14" s="848"/>
      <c r="AV14" s="849">
        <f t="shared" si="21"/>
        <v>-4.9800678189303643E-2</v>
      </c>
      <c r="AW14" s="855">
        <f t="shared" si="22"/>
        <v>26157753.505131092</v>
      </c>
      <c r="AX14" s="851"/>
      <c r="AY14" s="852"/>
      <c r="AZ14" s="853"/>
      <c r="BA14" s="853"/>
      <c r="BB14" s="853"/>
      <c r="BC14" s="853"/>
      <c r="BD14" s="853"/>
      <c r="BE14" s="853"/>
      <c r="BF14" s="853"/>
      <c r="BG14" s="853"/>
      <c r="BH14" s="853"/>
      <c r="BI14" s="853"/>
      <c r="BJ14" s="854"/>
    </row>
    <row r="15" spans="1:66" s="846" customFormat="1" ht="17.45" customHeight="1" x14ac:dyDescent="0.2">
      <c r="A15" s="792"/>
      <c r="B15" s="461" t="s">
        <v>167</v>
      </c>
      <c r="C15" s="756" t="s">
        <v>285</v>
      </c>
      <c r="D15" s="510" t="s">
        <v>238</v>
      </c>
      <c r="E15" s="792" t="s">
        <v>129</v>
      </c>
      <c r="F15" s="207"/>
      <c r="G15" s="207"/>
      <c r="H15" s="207"/>
      <c r="I15" s="207">
        <v>33401655.120000001</v>
      </c>
      <c r="J15" s="207"/>
      <c r="K15" s="207"/>
      <c r="L15" s="207">
        <v>33203201.899999999</v>
      </c>
      <c r="M15" s="207">
        <v>34765452.119999997</v>
      </c>
      <c r="N15" s="207">
        <v>33238753.600000001</v>
      </c>
      <c r="O15" s="207">
        <v>33238653.620000001</v>
      </c>
      <c r="P15" s="207">
        <v>27823177.43</v>
      </c>
      <c r="Q15" s="207">
        <v>27823177.43</v>
      </c>
      <c r="R15" s="207">
        <v>27823177.43</v>
      </c>
      <c r="S15" s="207">
        <v>36608241.380000003</v>
      </c>
      <c r="T15" s="207">
        <v>36055156.149999999</v>
      </c>
      <c r="U15" s="207">
        <v>36056530.75</v>
      </c>
      <c r="V15" s="207">
        <v>36056530.75</v>
      </c>
      <c r="W15" s="207">
        <v>36279706</v>
      </c>
      <c r="X15" s="561">
        <v>35706500</v>
      </c>
      <c r="Y15" s="562">
        <v>36483591.689999998</v>
      </c>
      <c r="Z15" s="562">
        <v>36471869.600000001</v>
      </c>
      <c r="AA15" s="757">
        <v>36736370.43</v>
      </c>
      <c r="AB15" s="811">
        <f>(100+-0.38)/100*AA15</f>
        <v>36596772.222366005</v>
      </c>
      <c r="AC15" s="584">
        <v>28897172.550000001</v>
      </c>
      <c r="AD15" s="587">
        <v>29266919.609999999</v>
      </c>
      <c r="AE15" s="587">
        <v>29337689.91</v>
      </c>
      <c r="AF15" s="614">
        <v>29339772.199999999</v>
      </c>
      <c r="AG15" s="838">
        <f>29397651.71</f>
        <v>29397651.710000001</v>
      </c>
      <c r="AH15" s="614">
        <v>29379516.68</v>
      </c>
      <c r="AI15" s="614">
        <v>29400106.199999999</v>
      </c>
      <c r="AJ15" s="838">
        <v>29373977.359999999</v>
      </c>
      <c r="AK15" s="838">
        <v>29193500</v>
      </c>
      <c r="AL15" s="838">
        <v>29188600</v>
      </c>
      <c r="AM15" s="865">
        <f>AVERAGE(AH15:AL15)</f>
        <v>29307140.048</v>
      </c>
      <c r="AN15" s="865">
        <f>AVERAGE(AI15:AM15)</f>
        <v>29292664.721600004</v>
      </c>
      <c r="AO15" s="876"/>
      <c r="AQ15" s="847">
        <f>AA15/Z15-1</f>
        <v>7.25218731315036E-3</v>
      </c>
      <c r="AR15" s="848">
        <f t="shared" si="17"/>
        <v>-3.7999999999998035E-3</v>
      </c>
      <c r="AS15" s="848">
        <f t="shared" si="18"/>
        <v>-0.21039013018914321</v>
      </c>
      <c r="AT15" s="848">
        <f t="shared" si="19"/>
        <v>1.279526775016615E-2</v>
      </c>
      <c r="AU15" s="848">
        <f t="shared" ref="AU15" si="38">AE15/AD15-1</f>
        <v>2.4180986910498081E-3</v>
      </c>
      <c r="AV15" s="849">
        <f>AVERAGE(AQ15:AU15)</f>
        <v>-3.8344915286955342E-2</v>
      </c>
      <c r="AW15" s="855">
        <f>AVERAGE(AA15:AE15)</f>
        <v>32166984.9444732</v>
      </c>
      <c r="AX15" s="851">
        <f>AVERAGE(AA15:AE15)</f>
        <v>32166984.9444732</v>
      </c>
      <c r="AY15" s="857">
        <f t="shared" ref="AY15:BE18" si="39">U15/T15*100-100</f>
        <v>3.8124921558591041E-3</v>
      </c>
      <c r="AZ15" s="849">
        <f t="shared" si="39"/>
        <v>0</v>
      </c>
      <c r="BA15" s="849">
        <f t="shared" si="39"/>
        <v>0.61895929907234404</v>
      </c>
      <c r="BB15" s="849">
        <f t="shared" si="39"/>
        <v>-1.5799631893378603</v>
      </c>
      <c r="BC15" s="849">
        <f t="shared" si="39"/>
        <v>2.1763311721955318</v>
      </c>
      <c r="BD15" s="849">
        <f t="shared" si="39"/>
        <v>-3.2129758768263628E-2</v>
      </c>
      <c r="BE15" s="849">
        <f t="shared" si="39"/>
        <v>0.72521873131503867</v>
      </c>
      <c r="BF15" s="849">
        <f>AVERAGE(BA15:BE15)</f>
        <v>0.38168325089535815</v>
      </c>
      <c r="BG15" s="849"/>
      <c r="BH15" s="849"/>
      <c r="BI15" s="853"/>
      <c r="BJ15" s="854"/>
      <c r="BL15" s="846" t="s">
        <v>263</v>
      </c>
      <c r="BM15" s="846" t="s">
        <v>270</v>
      </c>
    </row>
    <row r="16" spans="1:66" s="828" customFormat="1" ht="17.45" customHeight="1" x14ac:dyDescent="0.2">
      <c r="A16" s="206"/>
      <c r="B16" s="185" t="s">
        <v>168</v>
      </c>
      <c r="C16" s="382" t="s">
        <v>288</v>
      </c>
      <c r="D16" s="120" t="s">
        <v>239</v>
      </c>
      <c r="E16" s="206" t="s">
        <v>129</v>
      </c>
      <c r="F16" s="195"/>
      <c r="G16" s="195"/>
      <c r="H16" s="195"/>
      <c r="I16" s="195">
        <v>2014331.5</v>
      </c>
      <c r="J16" s="195"/>
      <c r="K16" s="195"/>
      <c r="L16" s="195">
        <v>1632476</v>
      </c>
      <c r="M16" s="195">
        <v>1630852.95</v>
      </c>
      <c r="N16" s="195">
        <v>1872280</v>
      </c>
      <c r="O16" s="195">
        <v>1872280</v>
      </c>
      <c r="P16" s="195">
        <v>1560866.3299999998</v>
      </c>
      <c r="Q16" s="195">
        <v>1560866.3299999998</v>
      </c>
      <c r="R16" s="195">
        <v>1560866.3299999998</v>
      </c>
      <c r="S16" s="195">
        <v>1385868.28</v>
      </c>
      <c r="T16" s="195">
        <v>1385382.05</v>
      </c>
      <c r="U16" s="195">
        <v>1390552.05</v>
      </c>
      <c r="V16" s="195">
        <v>1390552.05</v>
      </c>
      <c r="W16" s="195">
        <v>1417785</v>
      </c>
      <c r="X16" s="306">
        <f t="shared" ref="X16:AE16" si="40">X37+X38</f>
        <v>1767305</v>
      </c>
      <c r="Y16" s="417">
        <f t="shared" si="40"/>
        <v>1767305</v>
      </c>
      <c r="Z16" s="417">
        <f t="shared" si="40"/>
        <v>1767304.7</v>
      </c>
      <c r="AA16" s="417">
        <f>AA37+AA38</f>
        <v>1767305</v>
      </c>
      <c r="AB16" s="440">
        <f t="shared" si="40"/>
        <v>1829502</v>
      </c>
      <c r="AC16" s="490">
        <f t="shared" si="40"/>
        <v>2445006</v>
      </c>
      <c r="AD16" s="417">
        <f t="shared" si="40"/>
        <v>1806630</v>
      </c>
      <c r="AE16" s="417">
        <f t="shared" si="40"/>
        <v>1808988.4</v>
      </c>
      <c r="AF16" s="417">
        <f t="shared" ref="AF16:AG16" si="41">AF37+AF38</f>
        <v>1404790.7230999975</v>
      </c>
      <c r="AG16" s="417">
        <f t="shared" si="41"/>
        <v>1404845</v>
      </c>
      <c r="AH16" s="417">
        <f t="shared" ref="AH16:AI16" si="42">AH37+AH38</f>
        <v>1410422</v>
      </c>
      <c r="AI16" s="417">
        <f t="shared" si="42"/>
        <v>1403373.2</v>
      </c>
      <c r="AJ16" s="417">
        <f t="shared" ref="AJ16:AK16" si="43">AJ37+AJ38</f>
        <v>1418833</v>
      </c>
      <c r="AK16" s="417">
        <f t="shared" si="43"/>
        <v>1418833</v>
      </c>
      <c r="AL16" s="417">
        <f t="shared" ref="AL16:AN16" si="44">AL37+AL38</f>
        <v>1417742.25</v>
      </c>
      <c r="AM16" s="417">
        <f t="shared" si="44"/>
        <v>1808118</v>
      </c>
      <c r="AN16" s="417">
        <f t="shared" si="44"/>
        <v>1808312</v>
      </c>
      <c r="AO16" s="877"/>
      <c r="AP16" s="846"/>
      <c r="AQ16" s="847">
        <f t="shared" si="16"/>
        <v>1.6975001537744561E-7</v>
      </c>
      <c r="AR16" s="848">
        <f t="shared" si="17"/>
        <v>3.519313304721039E-2</v>
      </c>
      <c r="AS16" s="848">
        <f t="shared" si="18"/>
        <v>0.33643253737902445</v>
      </c>
      <c r="AT16" s="848">
        <f t="shared" si="19"/>
        <v>-0.26109383780653295</v>
      </c>
      <c r="AU16" s="848">
        <f t="shared" si="20"/>
        <v>1.305413947515488E-3</v>
      </c>
      <c r="AV16" s="539">
        <f t="shared" si="21"/>
        <v>2.2367483263446553E-2</v>
      </c>
      <c r="AW16" s="858">
        <f t="shared" si="22"/>
        <v>1849450.9177607689</v>
      </c>
      <c r="AX16" s="859"/>
      <c r="AY16" s="860">
        <f t="shared" si="39"/>
        <v>0.37318225683667094</v>
      </c>
      <c r="AZ16" s="539">
        <f t="shared" si="39"/>
        <v>0</v>
      </c>
      <c r="BA16" s="539">
        <f t="shared" si="39"/>
        <v>1.9584272303938519</v>
      </c>
      <c r="BB16" s="539">
        <f t="shared" si="39"/>
        <v>24.652538995686939</v>
      </c>
      <c r="BC16" s="539">
        <f t="shared" si="39"/>
        <v>0</v>
      </c>
      <c r="BD16" s="539">
        <f t="shared" si="39"/>
        <v>-1.6974998658270124E-5</v>
      </c>
      <c r="BE16" s="539">
        <f t="shared" si="39"/>
        <v>1.6975001543073631E-5</v>
      </c>
      <c r="BF16" s="539">
        <f>AB16/AA16*100-100</f>
        <v>3.5193133047210381</v>
      </c>
      <c r="BG16" s="539"/>
      <c r="BH16" s="539"/>
      <c r="BI16" s="313"/>
      <c r="BJ16" s="405"/>
      <c r="BK16" s="828" t="s">
        <v>264</v>
      </c>
      <c r="BL16" s="828">
        <v>158.35</v>
      </c>
      <c r="BM16" s="828">
        <v>0</v>
      </c>
    </row>
    <row r="17" spans="1:66" s="828" customFormat="1" ht="17.45" customHeight="1" x14ac:dyDescent="0.2">
      <c r="A17" s="206">
        <v>7</v>
      </c>
      <c r="B17" s="185" t="s">
        <v>169</v>
      </c>
      <c r="C17" s="382" t="s">
        <v>287</v>
      </c>
      <c r="D17" s="120" t="s">
        <v>240</v>
      </c>
      <c r="E17" s="206" t="s">
        <v>129</v>
      </c>
      <c r="F17" s="195"/>
      <c r="G17" s="195"/>
      <c r="H17" s="195"/>
      <c r="I17" s="195">
        <v>29570656.469999999</v>
      </c>
      <c r="J17" s="195"/>
      <c r="K17" s="195"/>
      <c r="L17" s="195">
        <v>29445705.100000001</v>
      </c>
      <c r="M17" s="195">
        <v>23473987.059999999</v>
      </c>
      <c r="N17" s="195">
        <v>29607521.5</v>
      </c>
      <c r="O17" s="195">
        <v>28907521.469999999</v>
      </c>
      <c r="P17" s="195">
        <v>15821515.26</v>
      </c>
      <c r="Q17" s="195">
        <v>15828380.26</v>
      </c>
      <c r="R17" s="195">
        <v>15828380.26</v>
      </c>
      <c r="S17" s="195">
        <v>22060329.260000002</v>
      </c>
      <c r="T17" s="195">
        <v>22019690.259999998</v>
      </c>
      <c r="U17" s="195">
        <v>22019690.259999998</v>
      </c>
      <c r="V17" s="195">
        <v>22019690.259999998</v>
      </c>
      <c r="W17" s="195">
        <v>21293788</v>
      </c>
      <c r="X17" s="307">
        <v>24414500</v>
      </c>
      <c r="Y17" s="423">
        <f t="shared" ref="Y17:Z17" si="45">Y18-Y19</f>
        <v>21667856.68</v>
      </c>
      <c r="Z17" s="423">
        <f t="shared" si="45"/>
        <v>21587879.6384</v>
      </c>
      <c r="AA17" s="423">
        <f>AA18-AA19</f>
        <v>21920298.260000002</v>
      </c>
      <c r="AB17" s="475">
        <f>AB18-AB19</f>
        <v>21986428.809702002</v>
      </c>
      <c r="AC17" s="490">
        <f>AC18-AC19</f>
        <v>27263154.010000002</v>
      </c>
      <c r="AD17" s="417">
        <f>AD18-AD19</f>
        <v>26419581.84</v>
      </c>
      <c r="AE17" s="417">
        <f t="shared" ref="AE17:AF17" si="46">AE18-AE19</f>
        <v>26387879.98</v>
      </c>
      <c r="AF17" s="417">
        <f t="shared" si="46"/>
        <v>26312926.98</v>
      </c>
      <c r="AG17" s="417">
        <f t="shared" ref="AG17:AH17" si="47">AG18-AG19</f>
        <v>26354307.219999999</v>
      </c>
      <c r="AH17" s="417">
        <f t="shared" si="47"/>
        <v>26355323.219999999</v>
      </c>
      <c r="AI17" s="417">
        <f t="shared" ref="AI17:AJ17" si="48">AI18-AI19</f>
        <v>26328998.459999997</v>
      </c>
      <c r="AJ17" s="417">
        <f t="shared" si="48"/>
        <v>26365030.240000002</v>
      </c>
      <c r="AK17" s="417">
        <f t="shared" ref="AK17" si="49">AK18-AK19</f>
        <v>26410768.800000001</v>
      </c>
      <c r="AL17" s="417">
        <f t="shared" ref="AL17:AN17" si="50">AL18-AL19</f>
        <v>26376104.649999999</v>
      </c>
      <c r="AM17" s="417">
        <f t="shared" si="50"/>
        <v>26367870.443999998</v>
      </c>
      <c r="AN17" s="417">
        <f t="shared" si="50"/>
        <v>26368662.788800001</v>
      </c>
      <c r="AO17" s="877"/>
      <c r="AQ17" s="847">
        <f t="shared" si="16"/>
        <v>1.5398391466325601E-2</v>
      </c>
      <c r="AR17" s="848">
        <f t="shared" si="17"/>
        <v>3.0168635899756602E-3</v>
      </c>
      <c r="AS17" s="848">
        <f t="shared" si="18"/>
        <v>0.23999919431979455</v>
      </c>
      <c r="AT17" s="848">
        <f t="shared" si="19"/>
        <v>-3.0941840760265071E-2</v>
      </c>
      <c r="AU17" s="848"/>
      <c r="AV17" s="539">
        <f t="shared" si="21"/>
        <v>5.6868152153957685E-2</v>
      </c>
      <c r="AW17" s="858">
        <f t="shared" si="22"/>
        <v>27888509.95372301</v>
      </c>
      <c r="AX17" s="859"/>
      <c r="AY17" s="860">
        <f t="shared" si="39"/>
        <v>0</v>
      </c>
      <c r="AZ17" s="539">
        <f t="shared" si="39"/>
        <v>0</v>
      </c>
      <c r="BA17" s="539">
        <f t="shared" si="39"/>
        <v>-3.2966052266349948</v>
      </c>
      <c r="BB17" s="539">
        <f t="shared" si="39"/>
        <v>14.65550422498805</v>
      </c>
      <c r="BC17" s="539">
        <f t="shared" si="39"/>
        <v>-11.250049437834079</v>
      </c>
      <c r="BD17" s="539">
        <f t="shared" si="39"/>
        <v>-0.36910453480071226</v>
      </c>
      <c r="BE17" s="539">
        <f t="shared" si="39"/>
        <v>1.5398391466325592</v>
      </c>
      <c r="BF17" s="539">
        <f>AB17/AA17*100-100</f>
        <v>0.30168635899757135</v>
      </c>
      <c r="BG17" s="539"/>
      <c r="BH17" s="539"/>
      <c r="BI17" s="313"/>
      <c r="BJ17" s="405"/>
      <c r="BK17" s="828" t="s">
        <v>265</v>
      </c>
      <c r="BL17" s="828">
        <v>202965</v>
      </c>
      <c r="BM17" s="828">
        <v>190152</v>
      </c>
    </row>
    <row r="18" spans="1:66" s="828" customFormat="1" ht="17.45" customHeight="1" x14ac:dyDescent="0.2">
      <c r="A18" s="206"/>
      <c r="B18" s="185" t="s">
        <v>167</v>
      </c>
      <c r="C18" s="382" t="s">
        <v>285</v>
      </c>
      <c r="D18" s="120" t="s">
        <v>241</v>
      </c>
      <c r="E18" s="206" t="s">
        <v>129</v>
      </c>
      <c r="F18" s="195"/>
      <c r="G18" s="195"/>
      <c r="H18" s="195"/>
      <c r="I18" s="195">
        <v>29570656.469999999</v>
      </c>
      <c r="J18" s="195"/>
      <c r="K18" s="195"/>
      <c r="L18" s="195">
        <v>29833302.100000001</v>
      </c>
      <c r="M18" s="195">
        <v>23863206.309999999</v>
      </c>
      <c r="N18" s="195">
        <v>29607521.5</v>
      </c>
      <c r="O18" s="195">
        <v>28907521.469999999</v>
      </c>
      <c r="P18" s="195">
        <v>16209112.26</v>
      </c>
      <c r="Q18" s="195">
        <v>16215977.26</v>
      </c>
      <c r="R18" s="195">
        <v>16215977.26</v>
      </c>
      <c r="S18" s="195">
        <v>22451467.760000002</v>
      </c>
      <c r="T18" s="195">
        <v>22798381</v>
      </c>
      <c r="U18" s="195">
        <v>22325383</v>
      </c>
      <c r="V18" s="195">
        <v>22410792.949999999</v>
      </c>
      <c r="W18" s="195">
        <v>21717309</v>
      </c>
      <c r="X18" s="305">
        <v>24786100</v>
      </c>
      <c r="Y18" s="311">
        <v>22036483.879999999</v>
      </c>
      <c r="Z18" s="311">
        <v>21953004.879999999</v>
      </c>
      <c r="AA18" s="421">
        <v>22343819.260000002</v>
      </c>
      <c r="AB18" s="474">
        <f>(100+0.27)/100*AA18</f>
        <v>22404147.572002001</v>
      </c>
      <c r="AC18" s="491">
        <v>27686675.010000002</v>
      </c>
      <c r="AD18" s="399">
        <v>26808057.940000001</v>
      </c>
      <c r="AE18" s="399">
        <v>26768747.98</v>
      </c>
      <c r="AF18" s="610">
        <v>26694254.98</v>
      </c>
      <c r="AG18" s="841">
        <f>26735549.22</f>
        <v>26735549.219999999</v>
      </c>
      <c r="AH18" s="841">
        <v>26735850.219999999</v>
      </c>
      <c r="AI18" s="841">
        <v>26723210.559999999</v>
      </c>
      <c r="AJ18" s="841">
        <v>26745961.440000001</v>
      </c>
      <c r="AK18" s="841">
        <v>26791700</v>
      </c>
      <c r="AL18" s="841">
        <v>26759500</v>
      </c>
      <c r="AM18" s="865">
        <f>AVERAGE(AH18:AL18)</f>
        <v>26751244.443999998</v>
      </c>
      <c r="AN18" s="865">
        <f>AVERAGE(AI18:AM18)</f>
        <v>26754323.288800001</v>
      </c>
      <c r="AO18" s="876"/>
      <c r="AQ18" s="847">
        <f>AA18/Z18-1</f>
        <v>1.7802318276531226E-2</v>
      </c>
      <c r="AR18" s="848">
        <f t="shared" si="17"/>
        <v>2.6999999999999247E-3</v>
      </c>
      <c r="AS18" s="848">
        <f t="shared" si="18"/>
        <v>0.23578346022856356</v>
      </c>
      <c r="AT18" s="848">
        <f t="shared" si="19"/>
        <v>-3.1734293470872088E-2</v>
      </c>
      <c r="AU18" s="848">
        <f t="shared" ref="AU18" si="51">AE18/AD18-1</f>
        <v>-1.4663486660608793E-3</v>
      </c>
      <c r="AV18" s="539">
        <f>AVERAGE(AQ18:AU18)</f>
        <v>4.4617027273632349E-2</v>
      </c>
      <c r="AW18" s="858">
        <f>AVERAGE(AA18:AE18)</f>
        <v>25202289.552400403</v>
      </c>
      <c r="AX18" s="859">
        <f>AVERAGE(AA18:AE18)</f>
        <v>25202289.552400403</v>
      </c>
      <c r="AY18" s="860">
        <f t="shared" si="39"/>
        <v>-2.074699953474763</v>
      </c>
      <c r="AZ18" s="539">
        <f t="shared" si="39"/>
        <v>0.3825688007233623</v>
      </c>
      <c r="BA18" s="539">
        <f t="shared" si="39"/>
        <v>-3.0944195127196537</v>
      </c>
      <c r="BB18" s="539">
        <f t="shared" si="39"/>
        <v>14.130622721258888</v>
      </c>
      <c r="BC18" s="539">
        <f t="shared" si="39"/>
        <v>-11.09337943444109</v>
      </c>
      <c r="BD18" s="539">
        <f t="shared" si="39"/>
        <v>-0.378821777805328</v>
      </c>
      <c r="BE18" s="539">
        <f t="shared" si="39"/>
        <v>1.7802318276531253</v>
      </c>
      <c r="BF18" s="539">
        <f>AVERAGE(BA18:BE18)</f>
        <v>0.26884676478918834</v>
      </c>
      <c r="BG18" s="539"/>
      <c r="BH18" s="539"/>
      <c r="BI18" s="313"/>
      <c r="BJ18" s="405"/>
      <c r="BK18" s="828" t="s">
        <v>266</v>
      </c>
      <c r="BL18" s="828">
        <v>26998</v>
      </c>
      <c r="BM18" s="828">
        <v>49439</v>
      </c>
    </row>
    <row r="19" spans="1:66" s="828" customFormat="1" ht="17.45" customHeight="1" x14ac:dyDescent="0.2">
      <c r="A19" s="206"/>
      <c r="B19" s="185" t="s">
        <v>168</v>
      </c>
      <c r="C19" s="382" t="s">
        <v>288</v>
      </c>
      <c r="D19" s="120" t="s">
        <v>242</v>
      </c>
      <c r="E19" s="206" t="s">
        <v>129</v>
      </c>
      <c r="F19" s="195"/>
      <c r="G19" s="195"/>
      <c r="H19" s="195"/>
      <c r="I19" s="195">
        <v>0</v>
      </c>
      <c r="J19" s="195"/>
      <c r="K19" s="195"/>
      <c r="L19" s="195">
        <v>387597</v>
      </c>
      <c r="M19" s="195">
        <v>389219.25</v>
      </c>
      <c r="N19" s="195">
        <v>0</v>
      </c>
      <c r="O19" s="195">
        <v>0</v>
      </c>
      <c r="P19" s="195">
        <v>387597</v>
      </c>
      <c r="Q19" s="195">
        <v>387597</v>
      </c>
      <c r="R19" s="195">
        <v>387597</v>
      </c>
      <c r="S19" s="195">
        <v>391138.5</v>
      </c>
      <c r="T19" s="195">
        <v>391102.69</v>
      </c>
      <c r="U19" s="195">
        <v>391102.69</v>
      </c>
      <c r="V19" s="195">
        <v>391102.69</v>
      </c>
      <c r="W19" s="195">
        <v>423521</v>
      </c>
      <c r="X19" s="305">
        <v>371600</v>
      </c>
      <c r="Y19" s="433">
        <f>(100-0.8)/100*X19</f>
        <v>368627.20000000001</v>
      </c>
      <c r="Z19" s="433">
        <f>(100-0.95)/100*Y19</f>
        <v>365125.24160000001</v>
      </c>
      <c r="AA19" s="421">
        <f>190152+49439+183930</f>
        <v>423521</v>
      </c>
      <c r="AB19" s="476">
        <f>(100-1.37)/100*AA19</f>
        <v>417718.7623</v>
      </c>
      <c r="AC19" s="489">
        <f>SUM(BM16:BM21)</f>
        <v>423521</v>
      </c>
      <c r="AD19" s="310">
        <v>388476.1</v>
      </c>
      <c r="AE19" s="434">
        <f>[2]Rekap!F7</f>
        <v>380868</v>
      </c>
      <c r="AF19" s="434">
        <f>[2]Rekap!G7</f>
        <v>381328</v>
      </c>
      <c r="AG19" s="434">
        <f>[2]Rekap!H7</f>
        <v>381242</v>
      </c>
      <c r="AH19" s="434">
        <f>[2]Rekap!I7</f>
        <v>380527</v>
      </c>
      <c r="AI19" s="434">
        <f>[2]Rekap!J7</f>
        <v>394212.1</v>
      </c>
      <c r="AJ19" s="434">
        <f>[2]Rekap!K7</f>
        <v>380931.2</v>
      </c>
      <c r="AK19" s="434">
        <f>[2]Rekap!L7</f>
        <v>380931.2</v>
      </c>
      <c r="AL19" s="434">
        <f>[2]Rekap!M7</f>
        <v>383395.35</v>
      </c>
      <c r="AM19" s="434">
        <f>[2]Rekap!N7</f>
        <v>383374</v>
      </c>
      <c r="AN19" s="434">
        <f>[2]Rekap!O7</f>
        <v>385660.5</v>
      </c>
      <c r="AO19" s="877"/>
      <c r="AP19" s="861"/>
      <c r="AQ19" s="847">
        <f t="shared" si="16"/>
        <v>0.1599335015681369</v>
      </c>
      <c r="AR19" s="848">
        <f t="shared" si="17"/>
        <v>-1.3700000000000045E-2</v>
      </c>
      <c r="AS19" s="848">
        <f t="shared" si="18"/>
        <v>1.3890297069857116E-2</v>
      </c>
      <c r="AT19" s="848">
        <f t="shared" si="19"/>
        <v>-8.2746546216126315E-2</v>
      </c>
      <c r="AU19" s="848">
        <f>AE19/AD19-1</f>
        <v>-1.9584473793883284E-2</v>
      </c>
      <c r="AV19" s="539">
        <f t="shared" si="21"/>
        <v>1.1558555725596876E-2</v>
      </c>
      <c r="AW19" s="858">
        <f t="shared" si="22"/>
        <v>385270.28400209663</v>
      </c>
      <c r="AX19" s="859"/>
      <c r="AY19" s="860">
        <f t="shared" ref="AY19:AY34" si="52">U19/T19*100-100</f>
        <v>0</v>
      </c>
      <c r="AZ19" s="539">
        <f t="shared" ref="AZ19:AZ34" si="53">V19/U19*100-100</f>
        <v>0</v>
      </c>
      <c r="BA19" s="539">
        <f t="shared" ref="BA19:BA34" si="54">W19/V19*100-100</f>
        <v>8.2889509146561977</v>
      </c>
      <c r="BB19" s="539">
        <f t="shared" ref="BB19:BB34" si="55">X19/W19*100-100</f>
        <v>-12.259368484679626</v>
      </c>
      <c r="BC19" s="539">
        <f>AVERAGE(AV19:BB19)</f>
        <v>64211.054190513714</v>
      </c>
      <c r="BD19" s="539">
        <f>AVERAGE(AY19:BC19)</f>
        <v>12841.416754588738</v>
      </c>
      <c r="BE19" s="539">
        <f>AVERAGE(AZ19:BD19)</f>
        <v>15409.700105506485</v>
      </c>
      <c r="BF19" s="539">
        <f>AVERAGE(BA19:BE19)</f>
        <v>18491.640126607781</v>
      </c>
      <c r="BG19" s="539"/>
      <c r="BH19" s="539"/>
      <c r="BI19" s="313"/>
      <c r="BJ19" s="405"/>
      <c r="BK19" s="828" t="s">
        <v>267</v>
      </c>
      <c r="BL19" s="828">
        <v>362360</v>
      </c>
      <c r="BM19" s="828">
        <v>183930</v>
      </c>
    </row>
    <row r="20" spans="1:66" s="828" customFormat="1" ht="35.25" customHeight="1" x14ac:dyDescent="0.2">
      <c r="A20" s="206">
        <v>8</v>
      </c>
      <c r="B20" s="323" t="s">
        <v>277</v>
      </c>
      <c r="C20" s="382" t="s">
        <v>287</v>
      </c>
      <c r="D20" s="120" t="s">
        <v>243</v>
      </c>
      <c r="E20" s="206" t="s">
        <v>129</v>
      </c>
      <c r="F20" s="195"/>
      <c r="G20" s="195"/>
      <c r="H20" s="195"/>
      <c r="I20" s="195">
        <v>19039329</v>
      </c>
      <c r="J20" s="195"/>
      <c r="K20" s="195"/>
      <c r="L20" s="195">
        <v>18461538.300000001</v>
      </c>
      <c r="M20" s="195">
        <v>8350243.4299999997</v>
      </c>
      <c r="N20" s="195">
        <v>36701812</v>
      </c>
      <c r="O20" s="195">
        <v>18961249</v>
      </c>
      <c r="P20" s="195">
        <v>13670535</v>
      </c>
      <c r="Q20" s="195">
        <v>13670535</v>
      </c>
      <c r="R20" s="195">
        <v>13670535</v>
      </c>
      <c r="S20" s="195">
        <v>22792495</v>
      </c>
      <c r="T20" s="195">
        <v>22730824</v>
      </c>
      <c r="U20" s="195">
        <v>22683617.739999998</v>
      </c>
      <c r="V20" s="195">
        <v>22551179.609999999</v>
      </c>
      <c r="W20" s="195">
        <v>22795961</v>
      </c>
      <c r="X20" s="305">
        <v>22351500</v>
      </c>
      <c r="Y20" s="416">
        <f t="shared" ref="Y20:Z20" si="56">Y21-Y22</f>
        <v>19603161.920000002</v>
      </c>
      <c r="Z20" s="416">
        <f t="shared" si="56"/>
        <v>19665353.940000001</v>
      </c>
      <c r="AA20" s="416">
        <f t="shared" ref="AA20:AC20" si="57">AA21-AA22</f>
        <v>22744932</v>
      </c>
      <c r="AB20" s="460">
        <f t="shared" si="57"/>
        <v>22872303.619200002</v>
      </c>
      <c r="AC20" s="490">
        <f t="shared" si="57"/>
        <v>15525432.630000001</v>
      </c>
      <c r="AD20" s="417">
        <f t="shared" ref="AD20:AJ20" si="58">AD21-AD22</f>
        <v>12561893.41</v>
      </c>
      <c r="AE20" s="417">
        <f t="shared" si="58"/>
        <v>12228730.369999999</v>
      </c>
      <c r="AF20" s="417">
        <f t="shared" si="58"/>
        <v>11980830.949999999</v>
      </c>
      <c r="AG20" s="417">
        <f t="shared" si="58"/>
        <v>11745407.439999999</v>
      </c>
      <c r="AH20" s="417">
        <f t="shared" si="58"/>
        <v>11693458.359999999</v>
      </c>
      <c r="AI20" s="417">
        <f t="shared" si="58"/>
        <v>11572022.6</v>
      </c>
      <c r="AJ20" s="417">
        <f t="shared" si="58"/>
        <v>11554195.859999999</v>
      </c>
      <c r="AK20" s="417">
        <f t="shared" ref="AK20" si="59">AK21-AK22</f>
        <v>11335500</v>
      </c>
      <c r="AL20" s="417">
        <f t="shared" ref="AL20:AN20" si="60">AL21-AL22</f>
        <v>11215600</v>
      </c>
      <c r="AM20" s="417">
        <f t="shared" si="60"/>
        <v>11474155.364</v>
      </c>
      <c r="AN20" s="417">
        <f t="shared" si="60"/>
        <v>11430294.764800001</v>
      </c>
      <c r="AO20" s="877"/>
      <c r="AP20" s="861"/>
      <c r="AQ20" s="847">
        <f t="shared" si="16"/>
        <v>0.15659916772390403</v>
      </c>
      <c r="AR20" s="848">
        <f t="shared" si="17"/>
        <v>5.6000000000000494E-3</v>
      </c>
      <c r="AS20" s="848">
        <f t="shared" si="18"/>
        <v>-0.3212125508439263</v>
      </c>
      <c r="AT20" s="848">
        <f t="shared" si="19"/>
        <v>-0.19088287525550263</v>
      </c>
      <c r="AU20" s="848"/>
      <c r="AV20" s="539">
        <f t="shared" si="21"/>
        <v>-8.7474064593881212E-2</v>
      </c>
      <c r="AW20" s="858">
        <f t="shared" si="22"/>
        <v>11159033.619713463</v>
      </c>
      <c r="AX20" s="859"/>
      <c r="AY20" s="860">
        <f t="shared" si="52"/>
        <v>-0.20767509352059221</v>
      </c>
      <c r="AZ20" s="539">
        <f t="shared" si="53"/>
        <v>-0.58384924097208568</v>
      </c>
      <c r="BA20" s="539">
        <f t="shared" si="54"/>
        <v>1.0854482746944996</v>
      </c>
      <c r="BB20" s="539">
        <f t="shared" si="55"/>
        <v>-1.9497357448540953</v>
      </c>
      <c r="BC20" s="539">
        <f>Y20/X20*100-100</f>
        <v>-12.29598944142451</v>
      </c>
      <c r="BD20" s="539">
        <f>Z20/Y20*100-100</f>
        <v>0.31725504412911221</v>
      </c>
      <c r="BE20" s="539">
        <f>AA20/Z20*100-100</f>
        <v>15.659916772390403</v>
      </c>
      <c r="BF20" s="539">
        <f>AB20/AA20*100-100</f>
        <v>0.56000000000000227</v>
      </c>
      <c r="BG20" s="539"/>
      <c r="BH20" s="539"/>
      <c r="BI20" s="313"/>
      <c r="BJ20" s="405"/>
      <c r="BK20" s="828" t="s">
        <v>268</v>
      </c>
      <c r="BL20" s="828">
        <v>13851.28</v>
      </c>
      <c r="BM20" s="828">
        <v>0</v>
      </c>
    </row>
    <row r="21" spans="1:66" s="828" customFormat="1" ht="17.45" customHeight="1" x14ac:dyDescent="0.2">
      <c r="A21" s="206"/>
      <c r="B21" s="185" t="s">
        <v>167</v>
      </c>
      <c r="C21" s="382" t="s">
        <v>285</v>
      </c>
      <c r="D21" s="120" t="s">
        <v>244</v>
      </c>
      <c r="E21" s="206" t="s">
        <v>129</v>
      </c>
      <c r="F21" s="195"/>
      <c r="G21" s="195"/>
      <c r="H21" s="195"/>
      <c r="I21" s="195">
        <v>19039329</v>
      </c>
      <c r="J21" s="195"/>
      <c r="K21" s="195"/>
      <c r="L21" s="195">
        <v>18461538.300000001</v>
      </c>
      <c r="M21" s="195">
        <v>8350243.4299999997</v>
      </c>
      <c r="N21" s="195">
        <v>36701812</v>
      </c>
      <c r="O21" s="195">
        <v>18961249</v>
      </c>
      <c r="P21" s="195">
        <v>13670535</v>
      </c>
      <c r="Q21" s="195">
        <v>13670535</v>
      </c>
      <c r="R21" s="195">
        <v>13670535</v>
      </c>
      <c r="S21" s="195">
        <v>22792495</v>
      </c>
      <c r="T21" s="195">
        <v>22730824</v>
      </c>
      <c r="U21" s="195">
        <v>22683617.739999998</v>
      </c>
      <c r="V21" s="195">
        <v>22551179.609999999</v>
      </c>
      <c r="W21" s="195">
        <v>22795961</v>
      </c>
      <c r="X21" s="305">
        <v>22351500</v>
      </c>
      <c r="Y21" s="311">
        <v>19603161.920000002</v>
      </c>
      <c r="Z21" s="311">
        <v>19665353.940000001</v>
      </c>
      <c r="AA21" s="421">
        <v>22744932</v>
      </c>
      <c r="AB21" s="474">
        <f>(100+0.56)/100*AA21</f>
        <v>22872303.619200002</v>
      </c>
      <c r="AC21" s="489">
        <v>15525432.630000001</v>
      </c>
      <c r="AD21" s="398">
        <v>12561893.41</v>
      </c>
      <c r="AE21" s="398">
        <v>12228730.369999999</v>
      </c>
      <c r="AF21" s="610">
        <v>11980830.949999999</v>
      </c>
      <c r="AG21" s="610">
        <f>11745407.44</f>
        <v>11745407.439999999</v>
      </c>
      <c r="AH21" s="610">
        <v>11693458.359999999</v>
      </c>
      <c r="AI21" s="610">
        <v>11572022.6</v>
      </c>
      <c r="AJ21" s="841">
        <v>11554195.859999999</v>
      </c>
      <c r="AK21" s="841">
        <v>11335500</v>
      </c>
      <c r="AL21" s="841">
        <v>11215600</v>
      </c>
      <c r="AM21" s="865">
        <f>AVERAGE(AH21:AL21)</f>
        <v>11474155.364</v>
      </c>
      <c r="AN21" s="865">
        <f>AVERAGE(AI21:AM21)</f>
        <v>11430294.764800001</v>
      </c>
      <c r="AO21" s="876"/>
      <c r="AP21" s="861"/>
      <c r="AQ21" s="847">
        <f>AA21/Z21-1</f>
        <v>0.15659916772390403</v>
      </c>
      <c r="AR21" s="848">
        <f t="shared" si="17"/>
        <v>5.6000000000000494E-3</v>
      </c>
      <c r="AS21" s="848">
        <f t="shared" si="18"/>
        <v>-0.3212125508439263</v>
      </c>
      <c r="AT21" s="848">
        <f t="shared" si="19"/>
        <v>-0.19088287525550263</v>
      </c>
      <c r="AU21" s="848">
        <f t="shared" ref="AU21" si="61">AE21/AD21-1</f>
        <v>-2.6521721616805327E-2</v>
      </c>
      <c r="AV21" s="539">
        <f>AVERAGE(AQ21:AU21)</f>
        <v>-7.5283595998466041E-2</v>
      </c>
      <c r="AW21" s="858">
        <f>AVERAGE(AA21:AE21)</f>
        <v>17186658.405840002</v>
      </c>
      <c r="AX21" s="859">
        <f>AVERAGE(AA21:AE21)</f>
        <v>17186658.405840002</v>
      </c>
      <c r="AY21" s="860">
        <f t="shared" si="52"/>
        <v>-0.20767509352059221</v>
      </c>
      <c r="AZ21" s="539">
        <f t="shared" si="53"/>
        <v>-0.58384924097208568</v>
      </c>
      <c r="BA21" s="539">
        <f t="shared" si="54"/>
        <v>1.0854482746944996</v>
      </c>
      <c r="BB21" s="539">
        <f t="shared" si="55"/>
        <v>-1.9497357448540953</v>
      </c>
      <c r="BC21" s="539">
        <f t="shared" ref="BC21:BC33" si="62">Y21/X21*100-100</f>
        <v>-12.29598944142451</v>
      </c>
      <c r="BD21" s="539">
        <f t="shared" ref="BD21:BD33" si="63">Z21/Y21*100-100</f>
        <v>0.31725504412911221</v>
      </c>
      <c r="BE21" s="539">
        <f t="shared" ref="BE21:BE33" si="64">AA21/Z21*100-100</f>
        <v>15.659916772390403</v>
      </c>
      <c r="BF21" s="539">
        <f>AVERAGE(BA21:BE21)</f>
        <v>0.56337898098708195</v>
      </c>
      <c r="BG21" s="539"/>
      <c r="BH21" s="539"/>
      <c r="BI21" s="313"/>
      <c r="BJ21" s="405"/>
      <c r="BK21" s="828" t="s">
        <v>269</v>
      </c>
      <c r="BL21" s="828">
        <v>782772</v>
      </c>
      <c r="BM21" s="828">
        <v>0</v>
      </c>
    </row>
    <row r="22" spans="1:66" s="828" customFormat="1" ht="17.45" customHeight="1" x14ac:dyDescent="0.2">
      <c r="A22" s="206"/>
      <c r="B22" s="185" t="s">
        <v>168</v>
      </c>
      <c r="C22" s="382" t="s">
        <v>288</v>
      </c>
      <c r="D22" s="120" t="s">
        <v>245</v>
      </c>
      <c r="E22" s="206" t="s">
        <v>129</v>
      </c>
      <c r="F22" s="195"/>
      <c r="G22" s="195"/>
      <c r="H22" s="195"/>
      <c r="I22" s="195">
        <v>0</v>
      </c>
      <c r="J22" s="195"/>
      <c r="K22" s="195"/>
      <c r="L22" s="195">
        <v>0</v>
      </c>
      <c r="M22" s="195">
        <v>0</v>
      </c>
      <c r="N22" s="195">
        <v>0</v>
      </c>
      <c r="O22" s="195">
        <v>0</v>
      </c>
      <c r="P22" s="195">
        <v>0</v>
      </c>
      <c r="Q22" s="195">
        <v>0</v>
      </c>
      <c r="R22" s="195">
        <v>0</v>
      </c>
      <c r="S22" s="195">
        <v>0</v>
      </c>
      <c r="T22" s="195">
        <v>0</v>
      </c>
      <c r="U22" s="195">
        <v>0</v>
      </c>
      <c r="V22" s="195">
        <v>0</v>
      </c>
      <c r="W22" s="195">
        <v>0</v>
      </c>
      <c r="X22" s="305">
        <v>0</v>
      </c>
      <c r="Y22" s="311">
        <v>0</v>
      </c>
      <c r="Z22" s="311">
        <v>0</v>
      </c>
      <c r="AA22" s="424">
        <v>0</v>
      </c>
      <c r="AB22" s="477"/>
      <c r="AC22" s="489">
        <v>0</v>
      </c>
      <c r="AD22" s="310">
        <v>0</v>
      </c>
      <c r="AE22" s="310">
        <v>0</v>
      </c>
      <c r="AF22" s="310">
        <v>0</v>
      </c>
      <c r="AG22" s="842"/>
      <c r="AH22" s="842"/>
      <c r="AI22" s="842"/>
      <c r="AJ22" s="842"/>
      <c r="AK22" s="842"/>
      <c r="AL22" s="842"/>
      <c r="AM22" s="842"/>
      <c r="AN22" s="842"/>
      <c r="AO22" s="877"/>
      <c r="AP22" s="856"/>
      <c r="AQ22" s="847"/>
      <c r="AR22" s="848"/>
      <c r="AS22" s="848"/>
      <c r="AT22" s="848"/>
      <c r="AU22" s="848"/>
      <c r="AV22" s="539"/>
      <c r="AW22" s="858">
        <f t="shared" si="22"/>
        <v>0</v>
      </c>
      <c r="AX22" s="859"/>
      <c r="AY22" s="860" t="e">
        <f t="shared" si="52"/>
        <v>#DIV/0!</v>
      </c>
      <c r="AZ22" s="539" t="e">
        <f t="shared" si="53"/>
        <v>#DIV/0!</v>
      </c>
      <c r="BA22" s="539" t="e">
        <f t="shared" si="54"/>
        <v>#DIV/0!</v>
      </c>
      <c r="BB22" s="539" t="e">
        <f t="shared" si="55"/>
        <v>#DIV/0!</v>
      </c>
      <c r="BC22" s="539" t="e">
        <f t="shared" si="62"/>
        <v>#DIV/0!</v>
      </c>
      <c r="BD22" s="539" t="e">
        <f t="shared" si="63"/>
        <v>#DIV/0!</v>
      </c>
      <c r="BE22" s="539" t="e">
        <f t="shared" si="64"/>
        <v>#DIV/0!</v>
      </c>
      <c r="BF22" s="539" t="e">
        <f t="shared" ref="BF22:BF33" si="65">AB22/AA22*100-100</f>
        <v>#DIV/0!</v>
      </c>
      <c r="BG22" s="539"/>
      <c r="BH22" s="539"/>
      <c r="BI22" s="313"/>
      <c r="BJ22" s="405"/>
      <c r="BK22" s="828" t="s">
        <v>271</v>
      </c>
      <c r="BL22" s="828">
        <f>SUM(BL16:BL21)</f>
        <v>1389104.63</v>
      </c>
      <c r="BM22" s="828">
        <f>SUM(BM16:BM21)</f>
        <v>423521</v>
      </c>
    </row>
    <row r="23" spans="1:66" s="828" customFormat="1" ht="17.45" customHeight="1" x14ac:dyDescent="0.2">
      <c r="A23" s="206">
        <v>9</v>
      </c>
      <c r="B23" s="185" t="s">
        <v>170</v>
      </c>
      <c r="C23" s="976" t="s">
        <v>219</v>
      </c>
      <c r="D23" s="120"/>
      <c r="E23" s="206" t="s">
        <v>129</v>
      </c>
      <c r="F23" s="195"/>
      <c r="G23" s="195"/>
      <c r="H23" s="195"/>
      <c r="I23" s="195">
        <v>79997309.090000004</v>
      </c>
      <c r="J23" s="195"/>
      <c r="K23" s="195"/>
      <c r="L23" s="195">
        <v>79477969.299999997</v>
      </c>
      <c r="M23" s="195">
        <v>64958829.659999996</v>
      </c>
      <c r="N23" s="195">
        <v>97675807.099999994</v>
      </c>
      <c r="O23" s="195">
        <v>79235144.090000004</v>
      </c>
      <c r="P23" s="195">
        <v>55754361.359999999</v>
      </c>
      <c r="Q23" s="195">
        <v>55761226.359999999</v>
      </c>
      <c r="R23" s="195">
        <v>55761226.359999999</v>
      </c>
      <c r="S23" s="195">
        <v>80075197.359999999</v>
      </c>
      <c r="T23" s="195">
        <v>79420288.359999999</v>
      </c>
      <c r="U23" s="195">
        <v>79369286.700000003</v>
      </c>
      <c r="V23" s="237">
        <f t="shared" ref="V23:Z23" si="66">V20+V17+V14</f>
        <v>79236848.569999993</v>
      </c>
      <c r="W23" s="237">
        <f t="shared" si="66"/>
        <v>78951670</v>
      </c>
      <c r="X23" s="415">
        <f t="shared" si="66"/>
        <v>80705195</v>
      </c>
      <c r="Y23" s="417">
        <f t="shared" si="66"/>
        <v>75987305.289999992</v>
      </c>
      <c r="Z23" s="417">
        <f t="shared" si="66"/>
        <v>75957798.478399992</v>
      </c>
      <c r="AA23" s="417">
        <f t="shared" ref="AA23:AF23" si="67">AA20+AA17+AA14</f>
        <v>79634295.689999998</v>
      </c>
      <c r="AB23" s="440">
        <f t="shared" si="67"/>
        <v>79626002.651268005</v>
      </c>
      <c r="AC23" s="490">
        <f t="shared" si="67"/>
        <v>69240753.189999998</v>
      </c>
      <c r="AD23" s="417">
        <f>AD20+AD17+AD14</f>
        <v>66441764.859999999</v>
      </c>
      <c r="AE23" s="417">
        <f t="shared" si="67"/>
        <v>66145311.859999999</v>
      </c>
      <c r="AF23" s="417">
        <f t="shared" si="67"/>
        <v>66228739.406900004</v>
      </c>
      <c r="AG23" s="417">
        <f t="shared" ref="AG23:AH23" si="68">AG20+AG17+AG14</f>
        <v>66092521.369999997</v>
      </c>
      <c r="AH23" s="417">
        <f t="shared" si="68"/>
        <v>66017876.259999998</v>
      </c>
      <c r="AI23" s="417">
        <f t="shared" ref="AI23:AJ23" si="69">AI20+AI17+AI14</f>
        <v>65897754.059999995</v>
      </c>
      <c r="AJ23" s="417">
        <f t="shared" si="69"/>
        <v>65874370.460000001</v>
      </c>
      <c r="AK23" s="417">
        <f t="shared" ref="AK23" si="70">AK20+AK17+AK14</f>
        <v>65520935.799999997</v>
      </c>
      <c r="AL23" s="417">
        <f t="shared" ref="AL23:AN23" si="71">AL20+AL17+AL14</f>
        <v>65362562.399999999</v>
      </c>
      <c r="AM23" s="417">
        <f t="shared" si="71"/>
        <v>65341047.855999999</v>
      </c>
      <c r="AN23" s="417">
        <f t="shared" si="71"/>
        <v>65283310.275200002</v>
      </c>
      <c r="AO23" s="877"/>
      <c r="AQ23" s="847">
        <f t="shared" si="16"/>
        <v>4.840184003812964E-2</v>
      </c>
      <c r="AR23" s="848">
        <f t="shared" si="17"/>
        <v>-1.0413903532557889E-4</v>
      </c>
      <c r="AS23" s="848">
        <f t="shared" si="18"/>
        <v>-0.13042535246622267</v>
      </c>
      <c r="AT23" s="848">
        <f>AD23/AC23-1</f>
        <v>-4.0424001777095597E-2</v>
      </c>
      <c r="AU23" s="848"/>
      <c r="AV23" s="539">
        <f t="shared" si="21"/>
        <v>-3.0637913310128551E-2</v>
      </c>
      <c r="AW23" s="858">
        <f t="shared" si="22"/>
        <v>64118757.529361904</v>
      </c>
      <c r="AX23" s="859"/>
      <c r="AY23" s="860">
        <f t="shared" si="52"/>
        <v>-6.4217419822014676E-2</v>
      </c>
      <c r="AZ23" s="539">
        <f t="shared" si="53"/>
        <v>-0.16686319797808835</v>
      </c>
      <c r="BA23" s="539">
        <f t="shared" si="54"/>
        <v>-0.35990650202103325</v>
      </c>
      <c r="BB23" s="539">
        <f t="shared" si="55"/>
        <v>2.2210106511996628</v>
      </c>
      <c r="BC23" s="539">
        <f t="shared" si="62"/>
        <v>-5.8458314982077724</v>
      </c>
      <c r="BD23" s="539">
        <f t="shared" si="63"/>
        <v>-3.8831238306698879E-2</v>
      </c>
      <c r="BE23" s="539">
        <f t="shared" si="64"/>
        <v>4.8401840038129649</v>
      </c>
      <c r="BF23" s="539">
        <f t="shared" si="65"/>
        <v>-1.0413903532551672E-2</v>
      </c>
      <c r="BG23" s="539"/>
      <c r="BH23" s="539"/>
      <c r="BI23" s="313"/>
      <c r="BJ23" s="405"/>
    </row>
    <row r="24" spans="1:66" s="828" customFormat="1" ht="17.45" customHeight="1" x14ac:dyDescent="0.2">
      <c r="A24" s="206"/>
      <c r="B24" s="185" t="s">
        <v>167</v>
      </c>
      <c r="C24" s="977"/>
      <c r="D24" s="120"/>
      <c r="E24" s="206" t="s">
        <v>129</v>
      </c>
      <c r="F24" s="195"/>
      <c r="G24" s="195"/>
      <c r="H24" s="195"/>
      <c r="I24" s="195">
        <v>82011640.590000004</v>
      </c>
      <c r="J24" s="195"/>
      <c r="K24" s="195"/>
      <c r="L24" s="195">
        <v>81498042.299999997</v>
      </c>
      <c r="M24" s="195">
        <v>66978901.859999992</v>
      </c>
      <c r="N24" s="195">
        <v>99548087.099999994</v>
      </c>
      <c r="O24" s="195">
        <v>81107424.090000004</v>
      </c>
      <c r="P24" s="195">
        <v>57702824.689999998</v>
      </c>
      <c r="Q24" s="195">
        <v>57709689.689999998</v>
      </c>
      <c r="R24" s="195">
        <v>57709689.689999998</v>
      </c>
      <c r="S24" s="195">
        <v>81852204.140000001</v>
      </c>
      <c r="T24" s="195">
        <v>81196773.099999994</v>
      </c>
      <c r="U24" s="195">
        <v>81150941.439999998</v>
      </c>
      <c r="V24" s="195">
        <v>81018503.310000002</v>
      </c>
      <c r="W24" s="237">
        <f t="shared" ref="W24:AB25" si="72">W21+W18+W15</f>
        <v>80792976</v>
      </c>
      <c r="X24" s="415">
        <f t="shared" si="72"/>
        <v>82844100</v>
      </c>
      <c r="Y24" s="417">
        <f t="shared" si="72"/>
        <v>78123237.489999995</v>
      </c>
      <c r="Z24" s="417">
        <f t="shared" si="72"/>
        <v>78090228.420000002</v>
      </c>
      <c r="AA24" s="417">
        <f t="shared" si="72"/>
        <v>81825121.689999998</v>
      </c>
      <c r="AB24" s="440">
        <f t="shared" si="72"/>
        <v>81873223.413568005</v>
      </c>
      <c r="AC24" s="490">
        <f t="shared" ref="AC24" si="73">AC21+AC18+AC15</f>
        <v>72109280.189999998</v>
      </c>
      <c r="AD24" s="417">
        <f>AD21+AD18+AD15</f>
        <v>68636870.960000008</v>
      </c>
      <c r="AE24" s="417">
        <f t="shared" ref="AE24" si="74">AE21+AE18+AE15</f>
        <v>68335168.260000005</v>
      </c>
      <c r="AF24" s="417">
        <f t="shared" ref="AF24:AK24" si="75">AF21+AF18+AF15</f>
        <v>68014858.129999995</v>
      </c>
      <c r="AG24" s="417">
        <f t="shared" si="75"/>
        <v>67878608.370000005</v>
      </c>
      <c r="AH24" s="417">
        <f t="shared" si="75"/>
        <v>67808825.25999999</v>
      </c>
      <c r="AI24" s="417">
        <f t="shared" si="75"/>
        <v>67695339.359999999</v>
      </c>
      <c r="AJ24" s="417">
        <f t="shared" si="75"/>
        <v>67674134.659999996</v>
      </c>
      <c r="AK24" s="417">
        <f t="shared" si="75"/>
        <v>67320700</v>
      </c>
      <c r="AL24" s="417">
        <f t="shared" ref="AL24:AN24" si="76">AL21+AL18+AL15</f>
        <v>67163700</v>
      </c>
      <c r="AM24" s="417">
        <f t="shared" si="76"/>
        <v>67532539.856000006</v>
      </c>
      <c r="AN24" s="417">
        <f t="shared" si="76"/>
        <v>67477282.775200009</v>
      </c>
      <c r="AO24" s="877"/>
      <c r="AQ24" s="847">
        <f t="shared" si="16"/>
        <v>4.7827920926447609E-2</v>
      </c>
      <c r="AR24" s="848">
        <f t="shared" si="17"/>
        <v>5.878600920417032E-4</v>
      </c>
      <c r="AS24" s="848">
        <f t="shared" si="18"/>
        <v>-0.11925685610602121</v>
      </c>
      <c r="AT24" s="848">
        <f>AD24/AC24-1</f>
        <v>-4.8154817533202054E-2</v>
      </c>
      <c r="AU24" s="848"/>
      <c r="AV24" s="539">
        <f t="shared" si="21"/>
        <v>-2.9748973155183489E-2</v>
      </c>
      <c r="AW24" s="858">
        <f t="shared" si="22"/>
        <v>66302267.17387832</v>
      </c>
      <c r="AX24" s="859"/>
      <c r="AY24" s="860">
        <f t="shared" si="52"/>
        <v>-5.6445174174044155E-2</v>
      </c>
      <c r="AZ24" s="539">
        <f t="shared" si="53"/>
        <v>-0.16319974562206596</v>
      </c>
      <c r="BA24" s="539">
        <f t="shared" si="54"/>
        <v>-0.2783651891680563</v>
      </c>
      <c r="BB24" s="539">
        <f t="shared" si="55"/>
        <v>2.5387404964510836</v>
      </c>
      <c r="BC24" s="539">
        <f t="shared" si="62"/>
        <v>-5.698489705362249</v>
      </c>
      <c r="BD24" s="539">
        <f t="shared" si="63"/>
        <v>-4.2252562823222206E-2</v>
      </c>
      <c r="BE24" s="539">
        <f t="shared" si="64"/>
        <v>4.7827920926447547</v>
      </c>
      <c r="BF24" s="539">
        <f t="shared" si="65"/>
        <v>5.8786009204169432E-2</v>
      </c>
      <c r="BG24" s="539"/>
      <c r="BH24" s="539"/>
      <c r="BI24" s="313"/>
      <c r="BJ24" s="405"/>
    </row>
    <row r="25" spans="1:66" s="828" customFormat="1" ht="17.45" customHeight="1" x14ac:dyDescent="0.2">
      <c r="A25" s="206"/>
      <c r="B25" s="185" t="s">
        <v>168</v>
      </c>
      <c r="C25" s="978"/>
      <c r="D25" s="120"/>
      <c r="E25" s="206" t="s">
        <v>129</v>
      </c>
      <c r="F25" s="195"/>
      <c r="G25" s="195"/>
      <c r="H25" s="195"/>
      <c r="I25" s="195">
        <v>2014331.5</v>
      </c>
      <c r="J25" s="195"/>
      <c r="K25" s="195"/>
      <c r="L25" s="195">
        <v>2020073</v>
      </c>
      <c r="M25" s="195">
        <v>2020072.2</v>
      </c>
      <c r="N25" s="195">
        <v>1872280</v>
      </c>
      <c r="O25" s="195">
        <v>1872280</v>
      </c>
      <c r="P25" s="195">
        <v>1948463.3299999998</v>
      </c>
      <c r="Q25" s="195">
        <v>1948463.3299999998</v>
      </c>
      <c r="R25" s="195">
        <v>1948463.3299999998</v>
      </c>
      <c r="S25" s="195">
        <v>1777006.78</v>
      </c>
      <c r="T25" s="195">
        <v>1776484.74</v>
      </c>
      <c r="U25" s="195">
        <v>1781654.74</v>
      </c>
      <c r="V25" s="195">
        <v>1781654.74</v>
      </c>
      <c r="W25" s="237">
        <f t="shared" si="72"/>
        <v>1841306</v>
      </c>
      <c r="X25" s="415">
        <f t="shared" si="72"/>
        <v>2138905</v>
      </c>
      <c r="Y25" s="417">
        <f t="shared" si="72"/>
        <v>2135932.2000000002</v>
      </c>
      <c r="Z25" s="417">
        <f t="shared" si="72"/>
        <v>2132429.9416</v>
      </c>
      <c r="AA25" s="417">
        <f t="shared" si="72"/>
        <v>2190826</v>
      </c>
      <c r="AB25" s="440">
        <f t="shared" si="72"/>
        <v>2247220.7623000001</v>
      </c>
      <c r="AC25" s="490">
        <f t="shared" ref="AC25" si="77">AC22+AC19+AC16</f>
        <v>2868527</v>
      </c>
      <c r="AD25" s="417">
        <f>AD22+AD19+AD16</f>
        <v>2195106.1</v>
      </c>
      <c r="AE25" s="417">
        <f t="shared" ref="AE25:AF25" si="78">AE22+AE19+AE16</f>
        <v>2189856.4</v>
      </c>
      <c r="AF25" s="417">
        <f t="shared" si="78"/>
        <v>1786118.7230999975</v>
      </c>
      <c r="AG25" s="417">
        <f t="shared" ref="AG25:AH25" si="79">AG22+AG19+AG16</f>
        <v>1786087</v>
      </c>
      <c r="AH25" s="417">
        <f t="shared" si="79"/>
        <v>1790949</v>
      </c>
      <c r="AI25" s="417">
        <f t="shared" ref="AI25:AJ25" si="80">AI22+AI19+AI16</f>
        <v>1797585.2999999998</v>
      </c>
      <c r="AJ25" s="417">
        <f t="shared" si="80"/>
        <v>1799764.2</v>
      </c>
      <c r="AK25" s="417">
        <f t="shared" ref="AK25" si="81">AK22+AK19+AK16</f>
        <v>1799764.2</v>
      </c>
      <c r="AL25" s="417">
        <f t="shared" ref="AL25:AN25" si="82">AL22+AL19+AL16</f>
        <v>1801137.6</v>
      </c>
      <c r="AM25" s="417">
        <f t="shared" si="82"/>
        <v>2191492</v>
      </c>
      <c r="AN25" s="417">
        <f t="shared" si="82"/>
        <v>2193972.5</v>
      </c>
      <c r="AO25" s="877"/>
      <c r="AQ25" s="847">
        <f t="shared" si="16"/>
        <v>2.7384748854250462E-2</v>
      </c>
      <c r="AR25" s="848">
        <f t="shared" si="17"/>
        <v>2.57413241854898E-2</v>
      </c>
      <c r="AS25" s="848">
        <f t="shared" si="18"/>
        <v>0.27647761542755656</v>
      </c>
      <c r="AT25" s="848">
        <f>AD25/AC25-1</f>
        <v>-0.23476191787631773</v>
      </c>
      <c r="AU25" s="848">
        <f t="shared" si="20"/>
        <v>-2.3915472696286466E-3</v>
      </c>
      <c r="AV25" s="539">
        <f t="shared" si="21"/>
        <v>1.8490044664270087E-2</v>
      </c>
      <c r="AW25" s="858">
        <f t="shared" si="22"/>
        <v>2230346.9426443377</v>
      </c>
      <c r="AX25" s="859"/>
      <c r="AY25" s="860">
        <f t="shared" si="52"/>
        <v>0.29102417170214778</v>
      </c>
      <c r="AZ25" s="539">
        <f t="shared" si="53"/>
        <v>0</v>
      </c>
      <c r="BA25" s="539">
        <f t="shared" si="54"/>
        <v>3.3480819072723307</v>
      </c>
      <c r="BB25" s="539">
        <f t="shared" si="55"/>
        <v>16.162386914505248</v>
      </c>
      <c r="BC25" s="539">
        <f t="shared" si="62"/>
        <v>-0.13898700503294492</v>
      </c>
      <c r="BD25" s="539">
        <f t="shared" si="63"/>
        <v>-0.16396861286141018</v>
      </c>
      <c r="BE25" s="539">
        <f t="shared" si="64"/>
        <v>2.7384748854250489</v>
      </c>
      <c r="BF25" s="539">
        <f t="shared" si="65"/>
        <v>2.5741324185489844</v>
      </c>
      <c r="BG25" s="539"/>
      <c r="BH25" s="539"/>
      <c r="BI25" s="313"/>
      <c r="BJ25" s="405"/>
    </row>
    <row r="26" spans="1:66" s="828" customFormat="1" ht="36" customHeight="1" x14ac:dyDescent="0.2">
      <c r="A26" s="206">
        <v>10</v>
      </c>
      <c r="B26" s="323" t="s">
        <v>278</v>
      </c>
      <c r="C26" s="382" t="s">
        <v>285</v>
      </c>
      <c r="D26" s="120"/>
      <c r="E26" s="206" t="s">
        <v>180</v>
      </c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>
        <v>42466.6</v>
      </c>
      <c r="Q26" s="195">
        <v>279014.02</v>
      </c>
      <c r="R26" s="195">
        <v>233637.23</v>
      </c>
      <c r="S26" s="195">
        <v>228273.6</v>
      </c>
      <c r="T26" s="195"/>
      <c r="U26" s="195"/>
      <c r="V26" s="195"/>
      <c r="W26" s="195">
        <v>3650.59</v>
      </c>
      <c r="X26" s="305">
        <v>14632.36</v>
      </c>
      <c r="Y26" s="311"/>
      <c r="Z26" s="311"/>
      <c r="AA26" s="313"/>
      <c r="AB26" s="477"/>
      <c r="AC26" s="492"/>
      <c r="AD26" s="313"/>
      <c r="AE26" s="326"/>
      <c r="AF26" s="326"/>
      <c r="AG26" s="326"/>
      <c r="AH26" s="326"/>
      <c r="AI26" s="326"/>
      <c r="AJ26" s="326"/>
      <c r="AK26" s="326"/>
      <c r="AL26" s="326"/>
      <c r="AM26" s="326"/>
      <c r="AN26" s="326"/>
      <c r="AO26" s="405"/>
      <c r="AQ26" s="847"/>
      <c r="AR26" s="848"/>
      <c r="AS26" s="848"/>
      <c r="AT26" s="848"/>
      <c r="AU26" s="848"/>
      <c r="AV26" s="539"/>
      <c r="AW26" s="858">
        <f t="shared" si="22"/>
        <v>0</v>
      </c>
      <c r="AX26" s="859"/>
      <c r="AY26" s="860" t="e">
        <f t="shared" si="52"/>
        <v>#DIV/0!</v>
      </c>
      <c r="AZ26" s="539" t="e">
        <f t="shared" si="53"/>
        <v>#DIV/0!</v>
      </c>
      <c r="BA26" s="539" t="e">
        <f t="shared" si="54"/>
        <v>#DIV/0!</v>
      </c>
      <c r="BB26" s="539">
        <f t="shared" si="55"/>
        <v>300.82178497174431</v>
      </c>
      <c r="BC26" s="539">
        <f t="shared" si="62"/>
        <v>-100</v>
      </c>
      <c r="BD26" s="539" t="e">
        <f t="shared" si="63"/>
        <v>#DIV/0!</v>
      </c>
      <c r="BE26" s="539" t="e">
        <f t="shared" si="64"/>
        <v>#DIV/0!</v>
      </c>
      <c r="BF26" s="539" t="e">
        <f t="shared" si="65"/>
        <v>#DIV/0!</v>
      </c>
      <c r="BG26" s="539"/>
      <c r="BH26" s="539"/>
      <c r="BI26" s="313"/>
      <c r="BJ26" s="405"/>
    </row>
    <row r="27" spans="1:66" s="828" customFormat="1" ht="17.45" customHeight="1" x14ac:dyDescent="0.2">
      <c r="A27" s="206">
        <v>12</v>
      </c>
      <c r="B27" s="185" t="s">
        <v>178</v>
      </c>
      <c r="C27" s="382" t="s">
        <v>285</v>
      </c>
      <c r="D27" s="120"/>
      <c r="E27" s="206" t="s">
        <v>129</v>
      </c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>
        <v>253740.56</v>
      </c>
      <c r="Q27" s="195">
        <v>2747678.62</v>
      </c>
      <c r="R27" s="195">
        <v>2993759.1</v>
      </c>
      <c r="S27" s="195">
        <v>5384269.2800000003</v>
      </c>
      <c r="T27" s="195"/>
      <c r="U27" s="195"/>
      <c r="V27" s="195"/>
      <c r="W27" s="195"/>
      <c r="X27" s="305"/>
      <c r="Y27" s="310"/>
      <c r="Z27" s="311"/>
      <c r="AA27" s="313"/>
      <c r="AB27" s="477"/>
      <c r="AC27" s="489"/>
      <c r="AD27" s="310"/>
      <c r="AE27" s="325"/>
      <c r="AF27" s="325"/>
      <c r="AG27" s="325"/>
      <c r="AH27" s="325"/>
      <c r="AI27" s="325"/>
      <c r="AJ27" s="325"/>
      <c r="AK27" s="325"/>
      <c r="AL27" s="325"/>
      <c r="AM27" s="325"/>
      <c r="AN27" s="325"/>
      <c r="AO27" s="877"/>
      <c r="AQ27" s="847"/>
      <c r="AR27" s="848"/>
      <c r="AS27" s="848"/>
      <c r="AT27" s="848"/>
      <c r="AU27" s="848"/>
      <c r="AV27" s="539"/>
      <c r="AW27" s="858">
        <f t="shared" si="22"/>
        <v>0</v>
      </c>
      <c r="AX27" s="859"/>
      <c r="AY27" s="860" t="e">
        <f t="shared" si="52"/>
        <v>#DIV/0!</v>
      </c>
      <c r="AZ27" s="539" t="e">
        <f t="shared" si="53"/>
        <v>#DIV/0!</v>
      </c>
      <c r="BA27" s="539" t="e">
        <f t="shared" si="54"/>
        <v>#DIV/0!</v>
      </c>
      <c r="BB27" s="539" t="e">
        <f t="shared" si="55"/>
        <v>#DIV/0!</v>
      </c>
      <c r="BC27" s="539" t="e">
        <f t="shared" si="62"/>
        <v>#DIV/0!</v>
      </c>
      <c r="BD27" s="539" t="e">
        <f t="shared" si="63"/>
        <v>#DIV/0!</v>
      </c>
      <c r="BE27" s="539" t="e">
        <f t="shared" si="64"/>
        <v>#DIV/0!</v>
      </c>
      <c r="BF27" s="539" t="e">
        <f t="shared" si="65"/>
        <v>#DIV/0!</v>
      </c>
      <c r="BG27" s="539"/>
      <c r="BH27" s="539"/>
      <c r="BI27" s="313"/>
      <c r="BJ27" s="405"/>
    </row>
    <row r="28" spans="1:66" s="846" customFormat="1" ht="17.45" customHeight="1" x14ac:dyDescent="0.2">
      <c r="A28" s="752">
        <v>13</v>
      </c>
      <c r="B28" s="461" t="s">
        <v>171</v>
      </c>
      <c r="C28" s="521" t="s">
        <v>285</v>
      </c>
      <c r="D28" s="510" t="s">
        <v>242</v>
      </c>
      <c r="E28" s="752" t="s">
        <v>129</v>
      </c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754"/>
      <c r="R28" s="754"/>
      <c r="S28" s="207"/>
      <c r="T28" s="207"/>
      <c r="U28" s="207"/>
      <c r="V28" s="207"/>
      <c r="W28" s="207"/>
      <c r="X28" s="561">
        <v>43465</v>
      </c>
      <c r="Y28" s="581"/>
      <c r="Z28" s="562"/>
      <c r="AA28" s="562">
        <v>4051.61</v>
      </c>
      <c r="AB28" s="762">
        <v>6328.13</v>
      </c>
      <c r="AC28" s="648">
        <v>5307.51</v>
      </c>
      <c r="AD28" s="646">
        <f>993.25</f>
        <v>993.25</v>
      </c>
      <c r="AE28" s="845"/>
      <c r="AF28" s="646">
        <f>3774.43</f>
        <v>3774.43</v>
      </c>
      <c r="AG28" s="646">
        <v>195.76</v>
      </c>
      <c r="AH28" s="581">
        <v>0</v>
      </c>
      <c r="AI28" s="581">
        <v>2772.46</v>
      </c>
      <c r="AJ28" s="581">
        <v>0</v>
      </c>
      <c r="AK28" s="581">
        <v>0</v>
      </c>
      <c r="AL28" s="581">
        <v>0</v>
      </c>
      <c r="AM28" s="581">
        <v>0</v>
      </c>
      <c r="AN28" s="581">
        <v>0</v>
      </c>
      <c r="AO28" s="867"/>
      <c r="AQ28" s="847" t="e">
        <f t="shared" si="16"/>
        <v>#DIV/0!</v>
      </c>
      <c r="AR28" s="848">
        <f t="shared" si="17"/>
        <v>0.5618803389269944</v>
      </c>
      <c r="AS28" s="848">
        <f t="shared" si="18"/>
        <v>-0.16128303306031955</v>
      </c>
      <c r="AT28" s="848">
        <f t="shared" ref="AT28:AT71" si="83">AD28/AC28-1</f>
        <v>-0.81285951416012403</v>
      </c>
      <c r="AU28" s="848">
        <f>AE29/AD28-1</f>
        <v>66.615786559275108</v>
      </c>
      <c r="AV28" s="849" t="e">
        <f t="shared" si="21"/>
        <v>#DIV/0!</v>
      </c>
      <c r="AW28" s="855" t="e">
        <f>(1+AV28)*AE29</f>
        <v>#DIV/0!</v>
      </c>
      <c r="AX28" s="851"/>
      <c r="AY28" s="857" t="e">
        <f t="shared" si="52"/>
        <v>#DIV/0!</v>
      </c>
      <c r="AZ28" s="849" t="e">
        <f t="shared" si="53"/>
        <v>#DIV/0!</v>
      </c>
      <c r="BA28" s="849" t="e">
        <f t="shared" si="54"/>
        <v>#DIV/0!</v>
      </c>
      <c r="BB28" s="849" t="e">
        <f t="shared" si="55"/>
        <v>#DIV/0!</v>
      </c>
      <c r="BC28" s="849">
        <f t="shared" si="62"/>
        <v>-100</v>
      </c>
      <c r="BD28" s="849" t="e">
        <f t="shared" si="63"/>
        <v>#DIV/0!</v>
      </c>
      <c r="BE28" s="849" t="e">
        <f t="shared" si="64"/>
        <v>#DIV/0!</v>
      </c>
      <c r="BF28" s="849">
        <f t="shared" si="65"/>
        <v>56.188033892699451</v>
      </c>
      <c r="BG28" s="849"/>
      <c r="BH28" s="849"/>
      <c r="BI28" s="853"/>
      <c r="BJ28" s="854"/>
      <c r="BN28" s="846" t="s">
        <v>447</v>
      </c>
    </row>
    <row r="29" spans="1:66" s="846" customFormat="1" ht="17.45" customHeight="1" x14ac:dyDescent="0.2">
      <c r="A29" s="752">
        <v>14</v>
      </c>
      <c r="B29" s="461" t="s">
        <v>172</v>
      </c>
      <c r="C29" s="521" t="s">
        <v>285</v>
      </c>
      <c r="D29" s="510" t="s">
        <v>243</v>
      </c>
      <c r="E29" s="752" t="s">
        <v>129</v>
      </c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>
        <v>235101.65</v>
      </c>
      <c r="Q29" s="207">
        <v>13612.3</v>
      </c>
      <c r="R29" s="207">
        <v>0</v>
      </c>
      <c r="S29" s="207">
        <v>0</v>
      </c>
      <c r="T29" s="207">
        <v>0</v>
      </c>
      <c r="U29" s="207">
        <v>59744.56</v>
      </c>
      <c r="V29" s="207"/>
      <c r="W29" s="207"/>
      <c r="X29" s="561">
        <v>77216.73</v>
      </c>
      <c r="Y29" s="562"/>
      <c r="Z29" s="562"/>
      <c r="AA29" s="562">
        <v>540580.71</v>
      </c>
      <c r="AB29" s="762">
        <v>652130.77</v>
      </c>
      <c r="AC29" s="648">
        <v>170979.77</v>
      </c>
      <c r="AD29" s="646">
        <v>367931.98</v>
      </c>
      <c r="AE29" s="646">
        <f>67159.38</f>
        <v>67159.38</v>
      </c>
      <c r="AF29" s="646">
        <v>186579.89</v>
      </c>
      <c r="AG29" s="646">
        <v>249338.92</v>
      </c>
      <c r="AH29" s="646">
        <v>76719.08</v>
      </c>
      <c r="AI29" s="581">
        <v>75276.179999999993</v>
      </c>
      <c r="AJ29" s="581">
        <v>31234.22</v>
      </c>
      <c r="AK29" s="581">
        <v>86445.7</v>
      </c>
      <c r="AL29" s="581">
        <v>32943.5</v>
      </c>
      <c r="AM29" s="865">
        <f>AVERAGE(AH29:AL29)</f>
        <v>60523.735999999997</v>
      </c>
      <c r="AN29" s="865">
        <f>AVERAGE(AI29:AM29)</f>
        <v>57284.667199999989</v>
      </c>
      <c r="AO29" s="876"/>
      <c r="AP29" s="862"/>
      <c r="AQ29" s="847" t="e">
        <f t="shared" si="16"/>
        <v>#DIV/0!</v>
      </c>
      <c r="AR29" s="848">
        <f t="shared" si="17"/>
        <v>0.20635227624011976</v>
      </c>
      <c r="AS29" s="848">
        <f t="shared" si="18"/>
        <v>-0.7378136750087716</v>
      </c>
      <c r="AT29" s="848">
        <f t="shared" si="83"/>
        <v>1.1519035848510031</v>
      </c>
      <c r="AU29" s="848" t="e">
        <f>#REF!/AD29-1</f>
        <v>#REF!</v>
      </c>
      <c r="AV29" s="849" t="e">
        <f t="shared" si="21"/>
        <v>#DIV/0!</v>
      </c>
      <c r="AW29" s="855" t="e">
        <f>(1+AV29)*#REF!</f>
        <v>#DIV/0!</v>
      </c>
      <c r="AX29" s="851"/>
      <c r="AY29" s="857" t="e">
        <f t="shared" si="52"/>
        <v>#DIV/0!</v>
      </c>
      <c r="AZ29" s="849">
        <f t="shared" si="53"/>
        <v>-100</v>
      </c>
      <c r="BA29" s="849" t="e">
        <f t="shared" si="54"/>
        <v>#DIV/0!</v>
      </c>
      <c r="BB29" s="849" t="e">
        <f t="shared" si="55"/>
        <v>#DIV/0!</v>
      </c>
      <c r="BC29" s="849">
        <f t="shared" si="62"/>
        <v>-100</v>
      </c>
      <c r="BD29" s="849" t="e">
        <f t="shared" si="63"/>
        <v>#DIV/0!</v>
      </c>
      <c r="BE29" s="849" t="e">
        <f t="shared" si="64"/>
        <v>#DIV/0!</v>
      </c>
      <c r="BF29" s="849">
        <f t="shared" si="65"/>
        <v>20.635227624011975</v>
      </c>
      <c r="BG29" s="849"/>
      <c r="BH29" s="849"/>
      <c r="BI29" s="853"/>
      <c r="BJ29" s="854"/>
      <c r="BN29" s="846" t="s">
        <v>446</v>
      </c>
    </row>
    <row r="30" spans="1:66" s="828" customFormat="1" ht="17.45" customHeight="1" x14ac:dyDescent="0.2">
      <c r="A30" s="206">
        <v>15</v>
      </c>
      <c r="B30" s="185" t="s">
        <v>174</v>
      </c>
      <c r="C30" s="382" t="s">
        <v>285</v>
      </c>
      <c r="D30" s="120" t="s">
        <v>236</v>
      </c>
      <c r="E30" s="206" t="s">
        <v>129</v>
      </c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>
        <v>90022.080000000002</v>
      </c>
      <c r="Q30" s="195">
        <v>44494.369999999995</v>
      </c>
      <c r="R30" s="195">
        <v>21466.32</v>
      </c>
      <c r="S30" s="195">
        <v>13294.85</v>
      </c>
      <c r="T30" s="195"/>
      <c r="U30" s="195"/>
      <c r="V30" s="195"/>
      <c r="W30" s="195"/>
      <c r="X30" s="305"/>
      <c r="Y30" s="311"/>
      <c r="Z30" s="311"/>
      <c r="AA30" s="311">
        <v>41940.93</v>
      </c>
      <c r="AB30" s="477"/>
      <c r="AC30" s="492"/>
      <c r="AD30" s="400">
        <f>11214.82+34521.53+6320.36</f>
        <v>52056.71</v>
      </c>
      <c r="AE30" s="400">
        <f>3159.43+7522.92+1999.29</f>
        <v>12681.64</v>
      </c>
      <c r="AF30" s="313"/>
      <c r="AG30" s="313"/>
      <c r="AH30" s="313"/>
      <c r="AI30" s="313"/>
      <c r="AJ30" s="313"/>
      <c r="AK30" s="313"/>
      <c r="AL30" s="313"/>
      <c r="AM30" s="313"/>
      <c r="AN30" s="313"/>
      <c r="AO30" s="405"/>
      <c r="AQ30" s="847" t="e">
        <f t="shared" si="16"/>
        <v>#DIV/0!</v>
      </c>
      <c r="AR30" s="848">
        <f t="shared" si="17"/>
        <v>-1</v>
      </c>
      <c r="AS30" s="848" t="e">
        <f t="shared" si="18"/>
        <v>#DIV/0!</v>
      </c>
      <c r="AT30" s="848" t="e">
        <f t="shared" si="83"/>
        <v>#DIV/0!</v>
      </c>
      <c r="AU30" s="848">
        <f t="shared" si="20"/>
        <v>-0.75638798533368701</v>
      </c>
      <c r="AV30" s="539" t="e">
        <f t="shared" si="21"/>
        <v>#DIV/0!</v>
      </c>
      <c r="AW30" s="858" t="e">
        <f t="shared" si="22"/>
        <v>#DIV/0!</v>
      </c>
      <c r="AX30" s="859"/>
      <c r="AY30" s="860" t="e">
        <f t="shared" si="52"/>
        <v>#DIV/0!</v>
      </c>
      <c r="AZ30" s="539" t="e">
        <f t="shared" si="53"/>
        <v>#DIV/0!</v>
      </c>
      <c r="BA30" s="539" t="e">
        <f t="shared" si="54"/>
        <v>#DIV/0!</v>
      </c>
      <c r="BB30" s="539" t="e">
        <f t="shared" si="55"/>
        <v>#DIV/0!</v>
      </c>
      <c r="BC30" s="539" t="e">
        <f t="shared" si="62"/>
        <v>#DIV/0!</v>
      </c>
      <c r="BD30" s="539" t="e">
        <f t="shared" si="63"/>
        <v>#DIV/0!</v>
      </c>
      <c r="BE30" s="539" t="e">
        <f t="shared" si="64"/>
        <v>#DIV/0!</v>
      </c>
      <c r="BF30" s="539">
        <f t="shared" si="65"/>
        <v>-100</v>
      </c>
      <c r="BG30" s="539"/>
      <c r="BH30" s="539"/>
      <c r="BI30" s="313"/>
      <c r="BJ30" s="405"/>
    </row>
    <row r="31" spans="1:66" s="828" customFormat="1" ht="17.45" customHeight="1" x14ac:dyDescent="0.2">
      <c r="A31" s="206">
        <v>16</v>
      </c>
      <c r="B31" s="185" t="s">
        <v>173</v>
      </c>
      <c r="C31" s="382" t="s">
        <v>285</v>
      </c>
      <c r="D31" s="120"/>
      <c r="E31" s="206" t="s">
        <v>129</v>
      </c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>
        <v>325123.73</v>
      </c>
      <c r="Q31" s="195">
        <v>58106.67</v>
      </c>
      <c r="R31" s="195">
        <v>21466.32</v>
      </c>
      <c r="S31" s="195">
        <v>13294.85</v>
      </c>
      <c r="T31" s="195"/>
      <c r="U31" s="195"/>
      <c r="V31" s="195"/>
      <c r="W31" s="289"/>
      <c r="X31" s="304"/>
      <c r="Y31" s="311"/>
      <c r="Z31" s="311"/>
      <c r="AA31" s="313"/>
      <c r="AB31" s="477"/>
      <c r="AC31" s="489"/>
      <c r="AD31" s="310"/>
      <c r="AE31" s="325"/>
      <c r="AF31" s="325"/>
      <c r="AG31" s="325"/>
      <c r="AH31" s="325"/>
      <c r="AI31" s="325"/>
      <c r="AJ31" s="325"/>
      <c r="AK31" s="325"/>
      <c r="AL31" s="325"/>
      <c r="AM31" s="325"/>
      <c r="AN31" s="325"/>
      <c r="AO31" s="877"/>
      <c r="AQ31" s="863" t="e">
        <f t="shared" si="16"/>
        <v>#DIV/0!</v>
      </c>
      <c r="AR31" s="864" t="e">
        <f t="shared" si="17"/>
        <v>#DIV/0!</v>
      </c>
      <c r="AS31" s="864" t="e">
        <f t="shared" si="18"/>
        <v>#DIV/0!</v>
      </c>
      <c r="AT31" s="864" t="e">
        <f t="shared" si="83"/>
        <v>#DIV/0!</v>
      </c>
      <c r="AU31" s="864" t="e">
        <f t="shared" si="20"/>
        <v>#DIV/0!</v>
      </c>
      <c r="AV31" s="539" t="e">
        <f t="shared" si="21"/>
        <v>#DIV/0!</v>
      </c>
      <c r="AW31" s="858" t="e">
        <f t="shared" si="22"/>
        <v>#DIV/0!</v>
      </c>
      <c r="AX31" s="859"/>
      <c r="AY31" s="860" t="e">
        <f t="shared" si="52"/>
        <v>#DIV/0!</v>
      </c>
      <c r="AZ31" s="539" t="e">
        <f t="shared" si="53"/>
        <v>#DIV/0!</v>
      </c>
      <c r="BA31" s="539" t="e">
        <f t="shared" si="54"/>
        <v>#DIV/0!</v>
      </c>
      <c r="BB31" s="539" t="e">
        <f t="shared" si="55"/>
        <v>#DIV/0!</v>
      </c>
      <c r="BC31" s="539" t="e">
        <f t="shared" si="62"/>
        <v>#DIV/0!</v>
      </c>
      <c r="BD31" s="539" t="e">
        <f t="shared" si="63"/>
        <v>#DIV/0!</v>
      </c>
      <c r="BE31" s="539" t="e">
        <f t="shared" si="64"/>
        <v>#DIV/0!</v>
      </c>
      <c r="BF31" s="539" t="e">
        <f t="shared" si="65"/>
        <v>#DIV/0!</v>
      </c>
      <c r="BG31" s="539"/>
      <c r="BH31" s="539"/>
      <c r="BI31" s="313"/>
      <c r="BJ31" s="405"/>
    </row>
    <row r="32" spans="1:66" s="828" customFormat="1" ht="17.45" customHeight="1" x14ac:dyDescent="0.2">
      <c r="A32" s="206">
        <v>17</v>
      </c>
      <c r="B32" s="185" t="s">
        <v>191</v>
      </c>
      <c r="C32" s="382" t="s">
        <v>285</v>
      </c>
      <c r="D32" s="120" t="s">
        <v>247</v>
      </c>
      <c r="E32" s="206" t="s">
        <v>129</v>
      </c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>
        <v>38341</v>
      </c>
      <c r="S32" s="195">
        <v>214296</v>
      </c>
      <c r="T32" s="195">
        <v>333291</v>
      </c>
      <c r="U32" s="195">
        <v>32164</v>
      </c>
      <c r="V32" s="195">
        <v>248133</v>
      </c>
      <c r="W32" s="290">
        <f>(100-(Y32/X32))/100*X32</f>
        <v>56144.322</v>
      </c>
      <c r="X32" s="304">
        <f>(100-(Z32/Y32))/100*Y32</f>
        <v>56713.83</v>
      </c>
      <c r="Y32" s="311">
        <v>56950.8</v>
      </c>
      <c r="Z32" s="311">
        <v>23697</v>
      </c>
      <c r="AA32" s="311">
        <v>51654.44</v>
      </c>
      <c r="AB32" s="474">
        <f>(100+(AA32/Z32))/100*AA32</f>
        <v>52780.397366634432</v>
      </c>
      <c r="AC32" s="494">
        <f>(100+(AB32/AA32))/100*AB32</f>
        <v>53319.706348820633</v>
      </c>
      <c r="AD32" s="314">
        <f>(100+(AC32/AB32))/100*AC32</f>
        <v>53858.351608608253</v>
      </c>
      <c r="AE32" s="358"/>
      <c r="AF32" s="358"/>
      <c r="AG32" s="358"/>
      <c r="AH32" s="358"/>
      <c r="AI32" s="358"/>
      <c r="AJ32" s="358"/>
      <c r="AK32" s="358"/>
      <c r="AL32" s="358"/>
      <c r="AM32" s="358"/>
      <c r="AN32" s="358"/>
      <c r="AO32" s="878"/>
      <c r="AQ32" s="847">
        <f t="shared" si="16"/>
        <v>1.1797881588386718</v>
      </c>
      <c r="AR32" s="848">
        <f t="shared" si="17"/>
        <v>2.1797881588386803E-2</v>
      </c>
      <c r="AS32" s="848">
        <f t="shared" si="18"/>
        <v>1.0217978815883821E-2</v>
      </c>
      <c r="AT32" s="848">
        <f t="shared" si="83"/>
        <v>1.010217978815886E-2</v>
      </c>
      <c r="AU32" s="848">
        <f t="shared" si="20"/>
        <v>-1</v>
      </c>
      <c r="AV32" s="539">
        <f t="shared" si="21"/>
        <v>4.438123980622026E-2</v>
      </c>
      <c r="AW32" s="858">
        <f t="shared" si="22"/>
        <v>0</v>
      </c>
      <c r="AX32" s="859"/>
      <c r="AY32" s="860">
        <f t="shared" si="52"/>
        <v>-90.349574395948281</v>
      </c>
      <c r="AZ32" s="539">
        <f t="shared" si="53"/>
        <v>671.46188285039182</v>
      </c>
      <c r="BA32" s="539">
        <f t="shared" si="54"/>
        <v>-77.373294966812153</v>
      </c>
      <c r="BB32" s="539">
        <f t="shared" si="55"/>
        <v>1.0143643733020866</v>
      </c>
      <c r="BC32" s="539">
        <f t="shared" si="62"/>
        <v>0.41783459166838099</v>
      </c>
      <c r="BD32" s="539">
        <f t="shared" si="63"/>
        <v>-58.390400134853245</v>
      </c>
      <c r="BE32" s="539">
        <f t="shared" si="64"/>
        <v>117.97881588386718</v>
      </c>
      <c r="BF32" s="539">
        <f t="shared" si="65"/>
        <v>2.1797881588386758</v>
      </c>
      <c r="BG32" s="539"/>
      <c r="BH32" s="539"/>
      <c r="BI32" s="313"/>
      <c r="BJ32" s="405"/>
    </row>
    <row r="33" spans="1:62" s="828" customFormat="1" ht="17.45" customHeight="1" x14ac:dyDescent="0.2">
      <c r="A33" s="206">
        <v>18</v>
      </c>
      <c r="B33" s="185" t="s">
        <v>192</v>
      </c>
      <c r="C33" s="382" t="s">
        <v>285</v>
      </c>
      <c r="D33" s="120" t="s">
        <v>236</v>
      </c>
      <c r="E33" s="206" t="s">
        <v>129</v>
      </c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>
        <v>4297</v>
      </c>
      <c r="S33" s="195">
        <v>1655</v>
      </c>
      <c r="T33" s="195">
        <v>9536</v>
      </c>
      <c r="U33" s="195">
        <v>2775</v>
      </c>
      <c r="V33" s="195">
        <v>7952</v>
      </c>
      <c r="W33" s="289">
        <f>(100-(Y33/X33))/100*X33</f>
        <v>78996.485000000001</v>
      </c>
      <c r="X33" s="305">
        <v>79269</v>
      </c>
      <c r="Y33" s="311">
        <v>27251.5</v>
      </c>
      <c r="Z33" s="311">
        <v>69005.42</v>
      </c>
      <c r="AA33" s="311">
        <v>2920.09</v>
      </c>
      <c r="AB33" s="474">
        <f>(100+(AA33/Z33))/100*AA33</f>
        <v>2921.3256892557279</v>
      </c>
      <c r="AC33" s="491">
        <v>12403</v>
      </c>
      <c r="AD33" s="312"/>
      <c r="AE33" s="327"/>
      <c r="AF33" s="327"/>
      <c r="AG33" s="327"/>
      <c r="AH33" s="327"/>
      <c r="AI33" s="327"/>
      <c r="AJ33" s="327"/>
      <c r="AK33" s="327"/>
      <c r="AL33" s="327"/>
      <c r="AM33" s="327"/>
      <c r="AN33" s="327"/>
      <c r="AO33" s="879"/>
      <c r="AQ33" s="847">
        <f t="shared" si="16"/>
        <v>-0.9576831790894107</v>
      </c>
      <c r="AR33" s="848">
        <f t="shared" si="17"/>
        <v>4.2316820910581754E-4</v>
      </c>
      <c r="AS33" s="848">
        <f t="shared" si="18"/>
        <v>3.2456751897320757</v>
      </c>
      <c r="AT33" s="848">
        <f t="shared" si="83"/>
        <v>-1</v>
      </c>
      <c r="AU33" s="848" t="e">
        <f t="shared" si="20"/>
        <v>#DIV/0!</v>
      </c>
      <c r="AV33" s="539" t="e">
        <f t="shared" si="21"/>
        <v>#DIV/0!</v>
      </c>
      <c r="AW33" s="858" t="e">
        <f t="shared" si="22"/>
        <v>#DIV/0!</v>
      </c>
      <c r="AX33" s="859"/>
      <c r="AY33" s="860">
        <f t="shared" si="52"/>
        <v>-70.899748322147644</v>
      </c>
      <c r="AZ33" s="539">
        <f t="shared" si="53"/>
        <v>186.55855855855856</v>
      </c>
      <c r="BA33" s="539">
        <f t="shared" si="54"/>
        <v>893.41656187122749</v>
      </c>
      <c r="BB33" s="539">
        <f t="shared" si="55"/>
        <v>0.3449710452306789</v>
      </c>
      <c r="BC33" s="539">
        <f t="shared" si="62"/>
        <v>-65.621491377461552</v>
      </c>
      <c r="BD33" s="539">
        <f t="shared" si="63"/>
        <v>153.21696053428252</v>
      </c>
      <c r="BE33" s="539">
        <f t="shared" si="64"/>
        <v>-95.768317908941071</v>
      </c>
      <c r="BF33" s="539">
        <f t="shared" si="65"/>
        <v>4.2316820910585307E-2</v>
      </c>
      <c r="BG33" s="539"/>
      <c r="BH33" s="539"/>
      <c r="BI33" s="313"/>
      <c r="BJ33" s="405"/>
    </row>
    <row r="34" spans="1:62" s="828" customFormat="1" ht="17.45" customHeight="1" x14ac:dyDescent="0.2">
      <c r="A34" s="206">
        <v>19</v>
      </c>
      <c r="B34" s="185" t="s">
        <v>194</v>
      </c>
      <c r="C34" s="382" t="s">
        <v>285</v>
      </c>
      <c r="D34" s="383" t="s">
        <v>246</v>
      </c>
      <c r="E34" s="206" t="s">
        <v>129</v>
      </c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>
        <v>118508</v>
      </c>
      <c r="S34" s="195">
        <v>124691</v>
      </c>
      <c r="T34" s="195">
        <v>131914</v>
      </c>
      <c r="U34" s="195">
        <v>163125</v>
      </c>
      <c r="V34" s="195">
        <v>231953.87</v>
      </c>
      <c r="W34" s="195">
        <v>334838.71000000002</v>
      </c>
      <c r="X34" s="305">
        <v>291984</v>
      </c>
      <c r="Y34" s="422">
        <f>(100+20.64)/100*X34</f>
        <v>352249.4976</v>
      </c>
      <c r="Z34" s="425">
        <f>(100+23.61)/100*Y34</f>
        <v>435415.60398335999</v>
      </c>
      <c r="AA34" s="312">
        <f>458675+135004.39</f>
        <v>593679.39</v>
      </c>
      <c r="AB34" s="474">
        <f>(100+19.88)/100*AA34</f>
        <v>711702.85273199994</v>
      </c>
      <c r="AC34" s="494">
        <f>(100+19.88)/100*AB34</f>
        <v>853189.37985512149</v>
      </c>
      <c r="AD34" s="314">
        <f>(100+19.88)/100*AC34</f>
        <v>1022803.4285703195</v>
      </c>
      <c r="AE34" s="358"/>
      <c r="AF34" s="358"/>
      <c r="AG34" s="358"/>
      <c r="AH34" s="358"/>
      <c r="AI34" s="358"/>
      <c r="AJ34" s="358"/>
      <c r="AK34" s="358"/>
      <c r="AL34" s="358"/>
      <c r="AM34" s="358"/>
      <c r="AN34" s="358"/>
      <c r="AO34" s="878"/>
      <c r="AQ34" s="847">
        <f t="shared" si="16"/>
        <v>0.36347752484931228</v>
      </c>
      <c r="AR34" s="848">
        <f t="shared" si="17"/>
        <v>0.19879999999999987</v>
      </c>
      <c r="AS34" s="848">
        <f t="shared" si="18"/>
        <v>0.19879999999999987</v>
      </c>
      <c r="AT34" s="848">
        <f t="shared" si="83"/>
        <v>0.19879999999999987</v>
      </c>
      <c r="AU34" s="848">
        <f t="shared" si="20"/>
        <v>-1</v>
      </c>
      <c r="AV34" s="539">
        <f t="shared" si="21"/>
        <v>-8.0244950301376246E-3</v>
      </c>
      <c r="AW34" s="858">
        <f t="shared" si="22"/>
        <v>0</v>
      </c>
      <c r="AX34" s="859"/>
      <c r="AY34" s="860">
        <f t="shared" si="52"/>
        <v>23.660111891080547</v>
      </c>
      <c r="AZ34" s="539">
        <f t="shared" si="53"/>
        <v>42.193943295019153</v>
      </c>
      <c r="BA34" s="539">
        <f t="shared" si="54"/>
        <v>44.355733318870705</v>
      </c>
      <c r="BB34" s="539">
        <f t="shared" si="55"/>
        <v>-12.798612800772062</v>
      </c>
      <c r="BC34" s="539">
        <f>AVERAGE(AV34:BB34)</f>
        <v>16.233858534861366</v>
      </c>
      <c r="BD34" s="539">
        <f>AVERAGE(AY34:BC34)</f>
        <v>22.729006847811942</v>
      </c>
      <c r="BE34" s="539">
        <f>AVERAGE(AZ34:BD34)</f>
        <v>22.542785839158221</v>
      </c>
      <c r="BF34" s="539">
        <f>AVERAGE(BA34:BE34)</f>
        <v>18.612554347986038</v>
      </c>
      <c r="BG34" s="539"/>
      <c r="BH34" s="539"/>
      <c r="BI34" s="313"/>
      <c r="BJ34" s="405"/>
    </row>
    <row r="35" spans="1:62" s="846" customFormat="1" ht="27.75" customHeight="1" x14ac:dyDescent="0.2">
      <c r="A35" s="794"/>
      <c r="B35" s="795" t="s">
        <v>200</v>
      </c>
      <c r="C35" s="796"/>
      <c r="D35" s="797"/>
      <c r="E35" s="798" t="s">
        <v>426</v>
      </c>
      <c r="F35" s="799"/>
      <c r="G35" s="799"/>
      <c r="H35" s="799"/>
      <c r="I35" s="799"/>
      <c r="J35" s="799"/>
      <c r="K35" s="799"/>
      <c r="L35" s="799"/>
      <c r="M35" s="799"/>
      <c r="N35" s="799"/>
      <c r="O35" s="799"/>
      <c r="P35" s="799"/>
      <c r="Q35" s="799"/>
      <c r="R35" s="799"/>
      <c r="S35" s="799"/>
      <c r="T35" s="799"/>
      <c r="U35" s="799"/>
      <c r="V35" s="799"/>
      <c r="W35" s="799"/>
      <c r="X35" s="800">
        <v>52.15</v>
      </c>
      <c r="Y35" s="801"/>
      <c r="Z35" s="802"/>
      <c r="AA35" s="802">
        <f>$X$35*AA84/1000</f>
        <v>28564.608667</v>
      </c>
      <c r="AB35" s="803">
        <f>$X$35*AB84/1000</f>
        <v>34409.832029999998</v>
      </c>
      <c r="AC35" s="804">
        <f>$X$35*AC84/1000</f>
        <v>9283.2668704999996</v>
      </c>
      <c r="AD35" s="802">
        <f t="shared" ref="AD35:AG35" si="84">$X$35*AD84/1000</f>
        <v>19867.803487000001</v>
      </c>
      <c r="AE35" s="802">
        <f t="shared" si="84"/>
        <v>63131.769945999993</v>
      </c>
      <c r="AF35" s="802">
        <f t="shared" si="84"/>
        <v>19845.440002499996</v>
      </c>
      <c r="AG35" s="802">
        <f t="shared" si="84"/>
        <v>15321.3711805</v>
      </c>
      <c r="AH35" s="802">
        <f>$X$35*AH84/1000</f>
        <v>13102.446566999999</v>
      </c>
      <c r="AI35" s="802">
        <f t="shared" ref="AI35" si="85">$X$35*AI84/1000</f>
        <v>33463.307443999991</v>
      </c>
      <c r="AJ35" s="802">
        <f>$X$35*AJ84/1000</f>
        <v>6899.6530784999986</v>
      </c>
      <c r="AK35" s="802">
        <f>$X$35*AK84/1000</f>
        <v>11226.386142381165</v>
      </c>
      <c r="AL35" s="802">
        <f>$X$35*AL84/1000</f>
        <v>5661.160487201013</v>
      </c>
      <c r="AM35" s="802">
        <f t="shared" ref="AM35:AN35" si="86">$X$35*AM84/1000</f>
        <v>24600.553794860065</v>
      </c>
      <c r="AN35" s="802">
        <f t="shared" si="86"/>
        <v>9816.7123417530365</v>
      </c>
      <c r="AO35" s="880"/>
      <c r="AQ35" s="847" t="e">
        <f t="shared" si="16"/>
        <v>#DIV/0!</v>
      </c>
      <c r="AR35" s="848">
        <f t="shared" si="17"/>
        <v>0.20463166259836929</v>
      </c>
      <c r="AS35" s="848">
        <f t="shared" si="18"/>
        <v>-0.73021469961241192</v>
      </c>
      <c r="AT35" s="848">
        <f t="shared" si="83"/>
        <v>1.1401736871461838</v>
      </c>
      <c r="AU35" s="848">
        <f t="shared" si="20"/>
        <v>2.177591825251779</v>
      </c>
      <c r="AV35" s="849" t="e">
        <f t="shared" si="21"/>
        <v>#DIV/0!</v>
      </c>
      <c r="AW35" s="855" t="e">
        <f t="shared" si="22"/>
        <v>#DIV/0!</v>
      </c>
      <c r="AX35" s="851"/>
      <c r="AY35" s="852"/>
      <c r="AZ35" s="853"/>
      <c r="BA35" s="853"/>
      <c r="BB35" s="853"/>
      <c r="BC35" s="853"/>
      <c r="BD35" s="853"/>
      <c r="BE35" s="853"/>
      <c r="BF35" s="853"/>
      <c r="BG35" s="853"/>
      <c r="BH35" s="853"/>
      <c r="BI35" s="853"/>
      <c r="BJ35" s="854"/>
    </row>
    <row r="36" spans="1:62" ht="17.45" customHeight="1" x14ac:dyDescent="0.2">
      <c r="A36" s="371"/>
      <c r="B36" s="372" t="s">
        <v>292</v>
      </c>
      <c r="C36" s="384"/>
      <c r="D36" s="120"/>
      <c r="E36" s="371"/>
      <c r="F36" s="373"/>
      <c r="G36" s="373"/>
      <c r="H36" s="373"/>
      <c r="I36" s="373"/>
      <c r="J36" s="373"/>
      <c r="K36" s="373"/>
      <c r="L36" s="373"/>
      <c r="M36" s="373"/>
      <c r="N36" s="373"/>
      <c r="O36" s="373"/>
      <c r="P36" s="374">
        <v>-0.89812239783519487</v>
      </c>
      <c r="Q36" s="374"/>
      <c r="R36" s="373"/>
      <c r="S36" s="375"/>
      <c r="T36" s="375"/>
      <c r="U36" s="376"/>
      <c r="V36" s="376"/>
      <c r="W36" s="375"/>
      <c r="X36" s="418"/>
      <c r="Y36" s="426"/>
      <c r="Z36" s="426"/>
      <c r="AA36" s="377"/>
      <c r="AB36" s="478"/>
      <c r="AC36" s="495"/>
      <c r="AD36" s="377"/>
      <c r="AE36" s="377"/>
      <c r="AF36" s="377"/>
      <c r="AG36" s="377"/>
      <c r="AH36" s="377"/>
      <c r="AI36" s="377"/>
      <c r="AJ36" s="377"/>
      <c r="AK36" s="377"/>
      <c r="AL36" s="377"/>
      <c r="AM36" s="377"/>
      <c r="AN36" s="377"/>
      <c r="AO36" s="877"/>
      <c r="AP36" s="2">
        <v>2015</v>
      </c>
      <c r="AQ36" s="390" t="e">
        <f t="shared" si="16"/>
        <v>#DIV/0!</v>
      </c>
      <c r="AR36" s="391" t="e">
        <f t="shared" si="17"/>
        <v>#DIV/0!</v>
      </c>
      <c r="AS36" s="391" t="e">
        <f t="shared" si="18"/>
        <v>#DIV/0!</v>
      </c>
      <c r="AT36" s="391" t="e">
        <f t="shared" si="83"/>
        <v>#DIV/0!</v>
      </c>
      <c r="AU36" s="391" t="e">
        <f t="shared" si="20"/>
        <v>#DIV/0!</v>
      </c>
      <c r="AV36" s="320" t="e">
        <f t="shared" si="21"/>
        <v>#DIV/0!</v>
      </c>
      <c r="AW36" s="392" t="e">
        <f t="shared" si="22"/>
        <v>#DIV/0!</v>
      </c>
      <c r="AX36" s="401"/>
      <c r="AY36" s="388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12"/>
    </row>
    <row r="37" spans="1:62" s="1" customFormat="1" ht="27" customHeight="1" x14ac:dyDescent="0.2">
      <c r="A37" s="441">
        <v>1</v>
      </c>
      <c r="B37" s="461" t="s">
        <v>134</v>
      </c>
      <c r="C37" s="462" t="s">
        <v>303</v>
      </c>
      <c r="D37" s="385" t="s">
        <v>209</v>
      </c>
      <c r="E37" s="441" t="s">
        <v>129</v>
      </c>
      <c r="F37" s="207"/>
      <c r="G37" s="207"/>
      <c r="H37" s="207">
        <v>1028817.13</v>
      </c>
      <c r="I37" s="207">
        <v>1066532.07</v>
      </c>
      <c r="J37" s="207">
        <v>1059585</v>
      </c>
      <c r="K37" s="207">
        <v>1106189</v>
      </c>
      <c r="L37" s="463">
        <v>1103608.261063</v>
      </c>
      <c r="M37" s="463">
        <v>1101033.5429899399</v>
      </c>
      <c r="N37" s="463">
        <v>1098464.8317341444</v>
      </c>
      <c r="O37" s="463">
        <v>1095902.1132817087</v>
      </c>
      <c r="P37" s="207">
        <v>1093345.6100000001</v>
      </c>
      <c r="Q37" s="207">
        <v>1083924.6499999999</v>
      </c>
      <c r="R37" s="207">
        <v>1048896.22</v>
      </c>
      <c r="S37" s="207">
        <v>1074270.05</v>
      </c>
      <c r="T37" s="207">
        <v>1079908.21</v>
      </c>
      <c r="U37" s="207">
        <v>1099411.27</v>
      </c>
      <c r="V37" s="207">
        <v>1100533.67</v>
      </c>
      <c r="W37" s="207">
        <v>1099402.3700000001</v>
      </c>
      <c r="X37" s="464">
        <v>1100534</v>
      </c>
      <c r="Y37" s="646">
        <v>1100534</v>
      </c>
      <c r="Z37" s="646">
        <v>1100533.67</v>
      </c>
      <c r="AA37" s="646">
        <v>1100533.67</v>
      </c>
      <c r="AB37" s="647">
        <v>1100534</v>
      </c>
      <c r="AC37" s="648">
        <v>1238372</v>
      </c>
      <c r="AD37" s="646">
        <v>1075441</v>
      </c>
      <c r="AE37" s="646">
        <v>1076844.89568113</v>
      </c>
      <c r="AF37" s="465">
        <f>[2]Rekap!G16</f>
        <v>968903.7230999975</v>
      </c>
      <c r="AG37" s="465">
        <f>[2]Rekap!H16</f>
        <v>963117</v>
      </c>
      <c r="AH37" s="465">
        <f>[2]Rekap!I16</f>
        <v>952725</v>
      </c>
      <c r="AI37" s="465">
        <f>[2]Rekap!J16</f>
        <v>953270</v>
      </c>
      <c r="AJ37" s="465">
        <f>[2]Rekap!K16</f>
        <v>1222559.1000000001</v>
      </c>
      <c r="AK37" s="465">
        <f>[2]Rekap!L16</f>
        <v>1222560</v>
      </c>
      <c r="AL37" s="465">
        <f>[2]Rekap!M16</f>
        <v>1230563.49</v>
      </c>
      <c r="AM37" s="465">
        <f>[2]Rekap!N16</f>
        <v>1094376</v>
      </c>
      <c r="AN37" s="465">
        <f>[2]Rekap!O16</f>
        <v>1094380</v>
      </c>
      <c r="AO37" s="867"/>
      <c r="AP37" s="466">
        <f>(AE37/AD37)</f>
        <v>1.0013054139475155</v>
      </c>
      <c r="AQ37" s="390">
        <f t="shared" si="16"/>
        <v>0</v>
      </c>
      <c r="AR37" s="391">
        <f t="shared" si="17"/>
        <v>2.9985452432157444E-7</v>
      </c>
      <c r="AS37" s="391">
        <f t="shared" si="18"/>
        <v>0.12524647125849819</v>
      </c>
      <c r="AT37" s="391">
        <f t="shared" si="83"/>
        <v>-0.13156870471877591</v>
      </c>
      <c r="AU37" s="391">
        <f t="shared" si="20"/>
        <v>1.305413947515488E-3</v>
      </c>
      <c r="AV37" s="467">
        <f t="shared" si="21"/>
        <v>-1.0033039316475812E-3</v>
      </c>
      <c r="AW37" s="468">
        <f t="shared" si="22"/>
        <v>1075764.4929635185</v>
      </c>
      <c r="AX37" s="469"/>
      <c r="AY37" s="470"/>
      <c r="AZ37" s="471"/>
      <c r="BA37" s="471"/>
      <c r="BB37" s="61"/>
      <c r="BC37" s="61"/>
      <c r="BD37" s="61"/>
      <c r="BE37" s="61"/>
      <c r="BF37" s="61"/>
      <c r="BG37" s="61"/>
      <c r="BH37" s="61"/>
      <c r="BI37" s="61"/>
      <c r="BJ37" s="783"/>
    </row>
    <row r="38" spans="1:62" s="1" customFormat="1" ht="27" customHeight="1" x14ac:dyDescent="0.2">
      <c r="A38" s="441">
        <v>2</v>
      </c>
      <c r="B38" s="461" t="s">
        <v>135</v>
      </c>
      <c r="C38" s="462" t="s">
        <v>305</v>
      </c>
      <c r="D38" s="385" t="s">
        <v>210</v>
      </c>
      <c r="E38" s="441" t="s">
        <v>129</v>
      </c>
      <c r="F38" s="207"/>
      <c r="G38" s="207"/>
      <c r="H38" s="207">
        <v>907349.96000000008</v>
      </c>
      <c r="I38" s="207">
        <v>890242.57999999984</v>
      </c>
      <c r="J38" s="207">
        <v>879231</v>
      </c>
      <c r="K38" s="207">
        <v>861622</v>
      </c>
      <c r="L38" s="463">
        <v>853883.60049360001</v>
      </c>
      <c r="M38" s="463">
        <v>846214.70110084687</v>
      </c>
      <c r="N38" s="463">
        <v>838614.67762731994</v>
      </c>
      <c r="O38" s="463">
        <v>831082.91148461343</v>
      </c>
      <c r="P38" s="207">
        <v>823618.69</v>
      </c>
      <c r="Q38" s="207">
        <v>833038.91000000015</v>
      </c>
      <c r="R38" s="207">
        <v>821985.87000000011</v>
      </c>
      <c r="S38" s="207">
        <v>705374.61999999988</v>
      </c>
      <c r="T38" s="207">
        <v>863541.34</v>
      </c>
      <c r="U38" s="207">
        <v>695530.32</v>
      </c>
      <c r="V38" s="207">
        <v>666771.03</v>
      </c>
      <c r="W38" s="207">
        <v>692698.32</v>
      </c>
      <c r="X38" s="464">
        <v>666771</v>
      </c>
      <c r="Y38" s="646">
        <v>666771</v>
      </c>
      <c r="Z38" s="646">
        <v>666771.03</v>
      </c>
      <c r="AA38" s="646">
        <v>666771.33000000007</v>
      </c>
      <c r="AB38" s="647">
        <v>728968</v>
      </c>
      <c r="AC38" s="648">
        <v>1206634</v>
      </c>
      <c r="AD38" s="646">
        <v>731189</v>
      </c>
      <c r="AE38" s="646">
        <v>732143.50431886991</v>
      </c>
      <c r="AF38" s="465">
        <f>[2]Rekap!G17</f>
        <v>435887</v>
      </c>
      <c r="AG38" s="465">
        <f>[2]Rekap!H17</f>
        <v>441728</v>
      </c>
      <c r="AH38" s="465">
        <f>[2]Rekap!I17</f>
        <v>457697</v>
      </c>
      <c r="AI38" s="465">
        <f>[2]Rekap!J17</f>
        <v>450103.19999999995</v>
      </c>
      <c r="AJ38" s="465">
        <f>[2]Rekap!K17</f>
        <v>196273.89999999991</v>
      </c>
      <c r="AK38" s="465">
        <f>[2]Rekap!L17</f>
        <v>196273</v>
      </c>
      <c r="AL38" s="465">
        <f>[2]Rekap!M17</f>
        <v>187178.76</v>
      </c>
      <c r="AM38" s="465">
        <f>[2]Rekap!N17</f>
        <v>713742</v>
      </c>
      <c r="AN38" s="465">
        <f>[2]Rekap!O17</f>
        <v>713932</v>
      </c>
      <c r="AO38" s="867"/>
      <c r="AP38" s="466">
        <f t="shared" ref="AP38:AP70" si="87">(AE38/AD38)</f>
        <v>1.0013054139475155</v>
      </c>
      <c r="AQ38" s="390">
        <f t="shared" si="16"/>
        <v>4.4992956582667887E-7</v>
      </c>
      <c r="AR38" s="391">
        <f t="shared" si="17"/>
        <v>9.3280360449811139E-2</v>
      </c>
      <c r="AS38" s="391">
        <f t="shared" si="18"/>
        <v>0.65526333117503111</v>
      </c>
      <c r="AT38" s="391">
        <f t="shared" si="83"/>
        <v>-0.39402586036859566</v>
      </c>
      <c r="AU38" s="391">
        <f t="shared" si="20"/>
        <v>1.305413947515488E-3</v>
      </c>
      <c r="AV38" s="467">
        <f t="shared" si="21"/>
        <v>7.1164739026665577E-2</v>
      </c>
      <c r="AW38" s="468">
        <f t="shared" si="22"/>
        <v>784246.30573379074</v>
      </c>
      <c r="AX38" s="469"/>
      <c r="AY38" s="577"/>
      <c r="AZ38" s="578"/>
      <c r="BA38" s="578"/>
      <c r="BB38" s="61"/>
      <c r="BC38" s="61"/>
      <c r="BD38" s="61"/>
      <c r="BE38" s="61"/>
      <c r="BF38" s="61"/>
      <c r="BG38" s="61"/>
      <c r="BH38" s="61"/>
      <c r="BI38" s="61"/>
      <c r="BJ38" s="783"/>
    </row>
    <row r="39" spans="1:62" s="1" customFormat="1" ht="17.45" customHeight="1" x14ac:dyDescent="0.2">
      <c r="A39" s="441">
        <v>3</v>
      </c>
      <c r="B39" s="461" t="s">
        <v>160</v>
      </c>
      <c r="C39" s="601"/>
      <c r="D39" s="385" t="s">
        <v>213</v>
      </c>
      <c r="E39" s="441" t="s">
        <v>129</v>
      </c>
      <c r="F39" s="207"/>
      <c r="G39" s="207"/>
      <c r="H39" s="207"/>
      <c r="I39" s="207">
        <v>-37714.940000000061</v>
      </c>
      <c r="J39" s="207">
        <v>6947.0700000000652</v>
      </c>
      <c r="K39" s="207">
        <v>-46604</v>
      </c>
      <c r="L39" s="207">
        <v>2580.7389370000456</v>
      </c>
      <c r="M39" s="207">
        <v>2574.7180730600376</v>
      </c>
      <c r="N39" s="207">
        <v>2568.7112557955552</v>
      </c>
      <c r="O39" s="207">
        <v>2562.7184524356853</v>
      </c>
      <c r="P39" s="207">
        <v>2556.5032817085739</v>
      </c>
      <c r="Q39" s="207">
        <v>-9420.9600000001956</v>
      </c>
      <c r="R39" s="207">
        <v>-35028.429999999935</v>
      </c>
      <c r="S39" s="207">
        <v>25373.830000000075</v>
      </c>
      <c r="T39" s="207">
        <v>5638.1599999999162</v>
      </c>
      <c r="U39" s="207">
        <v>19503.060000000056</v>
      </c>
      <c r="V39" s="207">
        <v>1122.3999999999069</v>
      </c>
      <c r="W39" s="602">
        <f t="shared" ref="W39:W40" si="88">W37-V37</f>
        <v>-1131.2999999998137</v>
      </c>
      <c r="X39" s="603">
        <f t="shared" ref="X39:X40" si="89">X37-W37</f>
        <v>1131.6299999998882</v>
      </c>
      <c r="Y39" s="511">
        <f t="shared" ref="Y39:Y40" si="90">Y37-X37</f>
        <v>0</v>
      </c>
      <c r="Z39" s="511">
        <f t="shared" ref="Z39:Z40" si="91">Z37-Y37</f>
        <v>-0.33000000007450581</v>
      </c>
      <c r="AA39" s="511">
        <f t="shared" ref="AA39:AA40" si="92">AA37-Z37</f>
        <v>0</v>
      </c>
      <c r="AB39" s="512">
        <f t="shared" ref="AB39:AC40" si="93">AB37-AA37</f>
        <v>0.33000000007450581</v>
      </c>
      <c r="AC39" s="513">
        <f t="shared" si="93"/>
        <v>137838</v>
      </c>
      <c r="AD39" s="511">
        <f t="shared" ref="AD39:AF40" si="94">AD37-AC37</f>
        <v>-162931</v>
      </c>
      <c r="AE39" s="511">
        <f t="shared" si="94"/>
        <v>1403.8956811300013</v>
      </c>
      <c r="AF39" s="511">
        <f t="shared" si="94"/>
        <v>-107941.1725811325</v>
      </c>
      <c r="AG39" s="511">
        <f t="shared" ref="AG39:AG40" si="95">AG37-AF37</f>
        <v>-5786.7230999975</v>
      </c>
      <c r="AH39" s="511">
        <f t="shared" ref="AH39:AH40" si="96">AH37-AG37</f>
        <v>-10392</v>
      </c>
      <c r="AI39" s="511">
        <f t="shared" ref="AI39:AI40" si="97">AI37-AH37</f>
        <v>545</v>
      </c>
      <c r="AJ39" s="511">
        <f t="shared" ref="AJ39:AJ40" si="98">AJ37-AI37</f>
        <v>269289.10000000009</v>
      </c>
      <c r="AK39" s="511">
        <f t="shared" ref="AK39:AK40" si="99">AK37-AJ37</f>
        <v>0.89999999990686774</v>
      </c>
      <c r="AL39" s="511">
        <f t="shared" ref="AL39:AL40" si="100">AL37-AK37</f>
        <v>8003.4899999999907</v>
      </c>
      <c r="AM39" s="511">
        <f t="shared" ref="AM39:AM40" si="101">AM37-AL37</f>
        <v>-136187.49</v>
      </c>
      <c r="AN39" s="511">
        <f t="shared" ref="AN39:AN40" si="102">AN37-AM37</f>
        <v>4</v>
      </c>
      <c r="AO39" s="867"/>
      <c r="AP39" s="466">
        <f t="shared" si="87"/>
        <v>-8.6165044167776633E-3</v>
      </c>
      <c r="AQ39" s="390">
        <f t="shared" si="16"/>
        <v>-1</v>
      </c>
      <c r="AR39" s="391"/>
      <c r="AS39" s="391">
        <f t="shared" si="18"/>
        <v>417689.90899660485</v>
      </c>
      <c r="AT39" s="391">
        <f t="shared" si="83"/>
        <v>-2.1820470407289716</v>
      </c>
      <c r="AU39" s="391">
        <f t="shared" si="20"/>
        <v>-1.0086165044167776</v>
      </c>
      <c r="AV39" s="467">
        <f t="shared" si="21"/>
        <v>104421.42958326492</v>
      </c>
      <c r="AW39" s="468">
        <f t="shared" si="22"/>
        <v>146598197.9050473</v>
      </c>
      <c r="AX39" s="469"/>
      <c r="AY39" s="604"/>
      <c r="AZ39" s="605"/>
      <c r="BA39" s="605"/>
      <c r="BB39" s="61"/>
      <c r="BC39" s="61"/>
      <c r="BD39" s="61"/>
      <c r="BE39" s="61"/>
      <c r="BF39" s="61"/>
      <c r="BG39" s="61"/>
      <c r="BH39" s="61"/>
      <c r="BI39" s="61"/>
      <c r="BJ39" s="783"/>
    </row>
    <row r="40" spans="1:62" s="1" customFormat="1" ht="17.45" customHeight="1" x14ac:dyDescent="0.2">
      <c r="A40" s="441">
        <v>4</v>
      </c>
      <c r="B40" s="461" t="s">
        <v>161</v>
      </c>
      <c r="C40" s="606"/>
      <c r="D40" s="607" t="s">
        <v>216</v>
      </c>
      <c r="E40" s="441" t="s">
        <v>129</v>
      </c>
      <c r="F40" s="207"/>
      <c r="G40" s="207"/>
      <c r="H40" s="207"/>
      <c r="I40" s="207">
        <v>17107.380000000237</v>
      </c>
      <c r="J40" s="207">
        <v>11011.579999999842</v>
      </c>
      <c r="K40" s="207">
        <v>17609</v>
      </c>
      <c r="L40" s="207">
        <v>7738.3995063999901</v>
      </c>
      <c r="M40" s="207">
        <v>7668.899392753141</v>
      </c>
      <c r="N40" s="207">
        <v>7600.0234735269332</v>
      </c>
      <c r="O40" s="207">
        <v>7531.7661427065032</v>
      </c>
      <c r="P40" s="207">
        <v>7464.2214846134884</v>
      </c>
      <c r="Q40" s="207">
        <v>9420.2200000002049</v>
      </c>
      <c r="R40" s="207">
        <v>-11053.040000000037</v>
      </c>
      <c r="S40" s="207">
        <v>-116611.25000000023</v>
      </c>
      <c r="T40" s="207">
        <v>158166.72000000009</v>
      </c>
      <c r="U40" s="207">
        <v>-168011.02000000002</v>
      </c>
      <c r="V40" s="207">
        <v>-28759.289999999921</v>
      </c>
      <c r="W40" s="602">
        <f t="shared" si="88"/>
        <v>25927.289999999921</v>
      </c>
      <c r="X40" s="603">
        <f t="shared" si="89"/>
        <v>-25927.319999999949</v>
      </c>
      <c r="Y40" s="511">
        <f t="shared" si="90"/>
        <v>0</v>
      </c>
      <c r="Z40" s="511">
        <f t="shared" si="91"/>
        <v>3.0000000027939677E-2</v>
      </c>
      <c r="AA40" s="511">
        <f t="shared" si="92"/>
        <v>0.30000000004656613</v>
      </c>
      <c r="AB40" s="512">
        <f t="shared" si="93"/>
        <v>62196.669999999925</v>
      </c>
      <c r="AC40" s="513">
        <f t="shared" si="93"/>
        <v>477666</v>
      </c>
      <c r="AD40" s="511">
        <f t="shared" si="94"/>
        <v>-475445</v>
      </c>
      <c r="AE40" s="511">
        <f t="shared" si="94"/>
        <v>954.50431886990555</v>
      </c>
      <c r="AF40" s="511">
        <f t="shared" si="94"/>
        <v>-296256.50431886991</v>
      </c>
      <c r="AG40" s="511">
        <f t="shared" si="95"/>
        <v>5841</v>
      </c>
      <c r="AH40" s="511">
        <f t="shared" si="96"/>
        <v>15969</v>
      </c>
      <c r="AI40" s="511">
        <f t="shared" si="97"/>
        <v>-7593.8000000000466</v>
      </c>
      <c r="AJ40" s="511">
        <f t="shared" si="98"/>
        <v>-253829.30000000005</v>
      </c>
      <c r="AK40" s="511">
        <f t="shared" si="99"/>
        <v>-0.89999999990686774</v>
      </c>
      <c r="AL40" s="511">
        <f t="shared" si="100"/>
        <v>-9094.2399999999907</v>
      </c>
      <c r="AM40" s="511">
        <f t="shared" si="101"/>
        <v>526563.24</v>
      </c>
      <c r="AN40" s="511">
        <f t="shared" si="102"/>
        <v>190</v>
      </c>
      <c r="AO40" s="867"/>
      <c r="AP40" s="466">
        <f t="shared" si="87"/>
        <v>-2.0076019705116376E-3</v>
      </c>
      <c r="AQ40" s="390">
        <f t="shared" si="16"/>
        <v>8.999999992238978</v>
      </c>
      <c r="AR40" s="391">
        <f t="shared" si="17"/>
        <v>207321.23330115245</v>
      </c>
      <c r="AS40" s="391">
        <f t="shared" si="18"/>
        <v>6.679928845065187</v>
      </c>
      <c r="AT40" s="391">
        <f t="shared" si="83"/>
        <v>-1.9953503075370658</v>
      </c>
      <c r="AU40" s="391">
        <f t="shared" si="20"/>
        <v>-1.0020076019705115</v>
      </c>
      <c r="AV40" s="467">
        <f t="shared" si="21"/>
        <v>41466.78317441605</v>
      </c>
      <c r="AW40" s="468">
        <f t="shared" si="22"/>
        <v>39581178.13394092</v>
      </c>
      <c r="AX40" s="469"/>
      <c r="AY40" s="608"/>
      <c r="AZ40" s="609"/>
      <c r="BA40" s="609"/>
      <c r="BB40" s="61"/>
      <c r="BC40" s="61"/>
      <c r="BD40" s="61"/>
      <c r="BE40" s="61"/>
      <c r="BF40" s="61"/>
      <c r="BG40" s="61"/>
      <c r="BH40" s="61"/>
      <c r="BI40" s="61"/>
      <c r="BJ40" s="783"/>
    </row>
    <row r="41" spans="1:62" ht="17.45" customHeight="1" x14ac:dyDescent="0.2">
      <c r="A41" s="206">
        <v>5</v>
      </c>
      <c r="B41" s="185" t="s">
        <v>139</v>
      </c>
      <c r="C41" s="386"/>
      <c r="D41" s="120"/>
      <c r="E41" s="206" t="s">
        <v>129</v>
      </c>
      <c r="F41" s="195">
        <v>11719.560000000001</v>
      </c>
      <c r="G41" s="195">
        <v>14193.380000000001</v>
      </c>
      <c r="H41" s="195">
        <v>9368.92</v>
      </c>
      <c r="I41" s="195">
        <v>9928.42</v>
      </c>
      <c r="J41" s="195">
        <v>10205.200000000001</v>
      </c>
      <c r="K41" s="195">
        <v>9775</v>
      </c>
      <c r="L41" s="195"/>
      <c r="M41" s="195">
        <v>9656</v>
      </c>
      <c r="N41" s="195">
        <v>9266</v>
      </c>
      <c r="O41" s="195">
        <v>10566</v>
      </c>
      <c r="P41" s="195">
        <v>9966</v>
      </c>
      <c r="Q41" s="195">
        <v>9765</v>
      </c>
      <c r="R41" s="195">
        <v>8770</v>
      </c>
      <c r="S41" s="195">
        <v>7101.2000000000007</v>
      </c>
      <c r="T41" s="195">
        <v>7003</v>
      </c>
      <c r="U41" s="195">
        <v>5249</v>
      </c>
      <c r="V41" s="195">
        <v>3657</v>
      </c>
      <c r="W41" s="195">
        <v>5046</v>
      </c>
      <c r="X41" s="306">
        <v>3922</v>
      </c>
      <c r="Y41" s="417">
        <f t="shared" ref="Y41:AB41" si="103">+Y42+Y43</f>
        <v>3082</v>
      </c>
      <c r="Z41" s="417">
        <f t="shared" si="103"/>
        <v>4192.63</v>
      </c>
      <c r="AA41" s="417">
        <f t="shared" si="103"/>
        <v>3810</v>
      </c>
      <c r="AB41" s="440">
        <f t="shared" si="103"/>
        <v>3173</v>
      </c>
      <c r="AC41" s="490">
        <v>3614.75</v>
      </c>
      <c r="AD41" s="417">
        <v>4184</v>
      </c>
      <c r="AE41" s="417">
        <v>4001.63</v>
      </c>
      <c r="AF41" s="417">
        <f t="shared" ref="AF41:AL41" si="104">+AF42+AF43</f>
        <v>3791</v>
      </c>
      <c r="AG41" s="417">
        <f t="shared" si="104"/>
        <v>3185.53</v>
      </c>
      <c r="AH41" s="417">
        <f t="shared" si="104"/>
        <v>4736</v>
      </c>
      <c r="AI41" s="417">
        <f t="shared" si="104"/>
        <v>4847</v>
      </c>
      <c r="AJ41" s="417">
        <f t="shared" si="104"/>
        <v>6060</v>
      </c>
      <c r="AK41" s="417">
        <f t="shared" si="104"/>
        <v>5632</v>
      </c>
      <c r="AL41" s="417">
        <f t="shared" si="104"/>
        <v>5145</v>
      </c>
      <c r="AM41" s="417">
        <f t="shared" ref="AM41:AN41" si="105">+AM42+AM43</f>
        <v>5305</v>
      </c>
      <c r="AN41" s="417">
        <f t="shared" si="105"/>
        <v>5730</v>
      </c>
      <c r="AO41" s="877"/>
      <c r="AP41" s="359">
        <f t="shared" si="87"/>
        <v>0.95641252390057363</v>
      </c>
      <c r="AQ41" s="390">
        <f t="shared" si="16"/>
        <v>-9.1262524954503488E-2</v>
      </c>
      <c r="AR41" s="391">
        <f t="shared" si="17"/>
        <v>-0.16719160104986874</v>
      </c>
      <c r="AS41" s="391">
        <f t="shared" si="18"/>
        <v>0.13922155688622762</v>
      </c>
      <c r="AT41" s="391">
        <f t="shared" si="83"/>
        <v>0.15747977038522709</v>
      </c>
      <c r="AU41" s="391">
        <f t="shared" si="20"/>
        <v>-4.358747609942637E-2</v>
      </c>
      <c r="AV41" s="320">
        <f t="shared" si="21"/>
        <v>-1.0680549664687788E-3</v>
      </c>
      <c r="AW41" s="392">
        <f t="shared" si="22"/>
        <v>3997.3560392045297</v>
      </c>
      <c r="AX41" s="401"/>
      <c r="AY41" s="388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12"/>
    </row>
    <row r="42" spans="1:62" ht="17.45" customHeight="1" x14ac:dyDescent="0.2">
      <c r="A42" s="206"/>
      <c r="B42" s="185" t="s">
        <v>137</v>
      </c>
      <c r="C42" s="980" t="s">
        <v>298</v>
      </c>
      <c r="D42" s="120"/>
      <c r="E42" s="206" t="s">
        <v>129</v>
      </c>
      <c r="F42" s="195">
        <v>6357.6</v>
      </c>
      <c r="G42" s="195">
        <v>5811.45</v>
      </c>
      <c r="H42" s="195">
        <v>5556.6</v>
      </c>
      <c r="I42" s="195">
        <v>4590.17</v>
      </c>
      <c r="J42" s="195">
        <v>5710.2</v>
      </c>
      <c r="K42" s="195">
        <v>5544.14</v>
      </c>
      <c r="L42" s="195"/>
      <c r="M42" s="195">
        <v>4963</v>
      </c>
      <c r="N42" s="195">
        <v>4775</v>
      </c>
      <c r="O42" s="195">
        <v>5873</v>
      </c>
      <c r="P42" s="195">
        <v>5746</v>
      </c>
      <c r="Q42" s="195">
        <v>4984</v>
      </c>
      <c r="R42" s="195">
        <v>4678</v>
      </c>
      <c r="S42" s="195">
        <v>4348.6000000000004</v>
      </c>
      <c r="T42" s="195">
        <v>3705</v>
      </c>
      <c r="U42" s="195">
        <v>4059</v>
      </c>
      <c r="V42" s="195">
        <v>2438</v>
      </c>
      <c r="W42" s="195">
        <v>3374</v>
      </c>
      <c r="X42" s="305">
        <v>2566</v>
      </c>
      <c r="Y42" s="642">
        <v>2170</v>
      </c>
      <c r="Z42" s="642">
        <v>2344</v>
      </c>
      <c r="AA42" s="643">
        <v>2604</v>
      </c>
      <c r="AB42" s="644">
        <v>2554</v>
      </c>
      <c r="AC42" s="645">
        <v>2277.75</v>
      </c>
      <c r="AD42" s="643">
        <v>2938</v>
      </c>
      <c r="AE42" s="643">
        <v>2600.34</v>
      </c>
      <c r="AF42" s="434">
        <f>[2]Rekap!G19</f>
        <v>2863</v>
      </c>
      <c r="AG42" s="434">
        <f>[2]Rekap!H19</f>
        <v>2356.1800000000003</v>
      </c>
      <c r="AH42" s="434">
        <f>[2]Rekap!I19</f>
        <v>3264</v>
      </c>
      <c r="AI42" s="434">
        <f>[2]Rekap!J19</f>
        <v>3338</v>
      </c>
      <c r="AJ42" s="434">
        <f>[2]Rekap!K19</f>
        <v>3382</v>
      </c>
      <c r="AK42" s="434">
        <f>[2]Rekap!L19</f>
        <v>3307</v>
      </c>
      <c r="AL42" s="434">
        <f>[2]Rekap!M19</f>
        <v>3024</v>
      </c>
      <c r="AM42" s="434">
        <f>[2]Rekap!N19</f>
        <v>3601</v>
      </c>
      <c r="AN42" s="434">
        <f>[2]Rekap!O19</f>
        <v>3807</v>
      </c>
      <c r="AO42" s="877"/>
      <c r="AP42" s="359">
        <f t="shared" si="87"/>
        <v>0.88507147719537105</v>
      </c>
      <c r="AQ42" s="390">
        <f t="shared" si="16"/>
        <v>0.11092150170648463</v>
      </c>
      <c r="AR42" s="391">
        <f t="shared" si="17"/>
        <v>-1.920122887864828E-2</v>
      </c>
      <c r="AS42" s="391">
        <f t="shared" si="18"/>
        <v>-0.10816366483946749</v>
      </c>
      <c r="AT42" s="391">
        <f t="shared" si="83"/>
        <v>0.28986938865108103</v>
      </c>
      <c r="AU42" s="391">
        <f t="shared" si="20"/>
        <v>-0.11492852280462895</v>
      </c>
      <c r="AV42" s="320">
        <f t="shared" si="21"/>
        <v>3.1699494766964188E-2</v>
      </c>
      <c r="AW42" s="392">
        <f t="shared" si="22"/>
        <v>2682.7694642223278</v>
      </c>
      <c r="AX42" s="401"/>
      <c r="AY42" s="388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12"/>
    </row>
    <row r="43" spans="1:62" ht="17.45" customHeight="1" x14ac:dyDescent="0.2">
      <c r="A43" s="206"/>
      <c r="B43" s="185" t="s">
        <v>138</v>
      </c>
      <c r="C43" s="981"/>
      <c r="D43" s="120"/>
      <c r="E43" s="206" t="s">
        <v>129</v>
      </c>
      <c r="F43" s="195">
        <v>5361.96</v>
      </c>
      <c r="G43" s="195">
        <v>8381.93</v>
      </c>
      <c r="H43" s="195">
        <v>3812.32</v>
      </c>
      <c r="I43" s="195">
        <v>5338.25</v>
      </c>
      <c r="J43" s="195">
        <v>4495</v>
      </c>
      <c r="K43" s="195">
        <v>4230.8599999999997</v>
      </c>
      <c r="L43" s="195"/>
      <c r="M43" s="195">
        <v>4693</v>
      </c>
      <c r="N43" s="195">
        <v>4491</v>
      </c>
      <c r="O43" s="195">
        <v>4693</v>
      </c>
      <c r="P43" s="195">
        <v>4220</v>
      </c>
      <c r="Q43" s="195">
        <v>4781</v>
      </c>
      <c r="R43" s="195">
        <v>4092</v>
      </c>
      <c r="S43" s="195">
        <v>2752.6</v>
      </c>
      <c r="T43" s="195">
        <v>3298</v>
      </c>
      <c r="U43" s="195">
        <v>1190</v>
      </c>
      <c r="V43" s="195">
        <v>1219</v>
      </c>
      <c r="W43" s="195">
        <v>1672</v>
      </c>
      <c r="X43" s="305">
        <v>1356</v>
      </c>
      <c r="Y43" s="642">
        <v>912</v>
      </c>
      <c r="Z43" s="642">
        <v>1848.63</v>
      </c>
      <c r="AA43" s="643">
        <v>1206</v>
      </c>
      <c r="AB43" s="644">
        <v>619</v>
      </c>
      <c r="AC43" s="645">
        <v>1337</v>
      </c>
      <c r="AD43" s="643">
        <v>1246</v>
      </c>
      <c r="AE43" s="643">
        <v>1401.29</v>
      </c>
      <c r="AF43" s="434">
        <f>[2]Rekap!G20</f>
        <v>928</v>
      </c>
      <c r="AG43" s="434">
        <f>[2]Rekap!H20</f>
        <v>829.3499999999998</v>
      </c>
      <c r="AH43" s="434">
        <f>[2]Rekap!I20</f>
        <v>1472</v>
      </c>
      <c r="AI43" s="434">
        <f>[2]Rekap!J20</f>
        <v>1509</v>
      </c>
      <c r="AJ43" s="434">
        <f>[2]Rekap!K20</f>
        <v>2678</v>
      </c>
      <c r="AK43" s="434">
        <f>[2]Rekap!L20</f>
        <v>2325</v>
      </c>
      <c r="AL43" s="434">
        <f>[2]Rekap!M20</f>
        <v>2121</v>
      </c>
      <c r="AM43" s="434">
        <f>[2]Rekap!N20</f>
        <v>1704</v>
      </c>
      <c r="AN43" s="434">
        <f>[2]Rekap!O20</f>
        <v>1923</v>
      </c>
      <c r="AO43" s="877"/>
      <c r="AP43" s="359">
        <f t="shared" si="87"/>
        <v>1.1246308186195826</v>
      </c>
      <c r="AQ43" s="390">
        <f t="shared" si="16"/>
        <v>-0.34762499797147084</v>
      </c>
      <c r="AR43" s="391">
        <f t="shared" si="17"/>
        <v>-0.48673300165837474</v>
      </c>
      <c r="AS43" s="391">
        <f t="shared" si="18"/>
        <v>1.1599353796445881</v>
      </c>
      <c r="AT43" s="391">
        <f t="shared" si="83"/>
        <v>-6.8062827225130906E-2</v>
      </c>
      <c r="AU43" s="391">
        <f t="shared" si="20"/>
        <v>0.12463081861958258</v>
      </c>
      <c r="AV43" s="320">
        <f t="shared" si="21"/>
        <v>7.6429074281838844E-2</v>
      </c>
      <c r="AW43" s="392">
        <f t="shared" si="22"/>
        <v>1508.3892975003978</v>
      </c>
      <c r="AX43" s="401"/>
      <c r="AY43" s="388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12"/>
    </row>
    <row r="44" spans="1:62" ht="17.45" customHeight="1" x14ac:dyDescent="0.2">
      <c r="A44" s="206">
        <v>6</v>
      </c>
      <c r="B44" s="185" t="s">
        <v>140</v>
      </c>
      <c r="C44" s="386"/>
      <c r="D44" s="120"/>
      <c r="E44" s="206" t="s">
        <v>129</v>
      </c>
      <c r="F44" s="195">
        <v>44088.63</v>
      </c>
      <c r="G44" s="195">
        <v>57605.409999999996</v>
      </c>
      <c r="H44" s="195">
        <v>49673.65</v>
      </c>
      <c r="I44" s="195">
        <v>37676.1</v>
      </c>
      <c r="J44" s="195">
        <v>32153.899999999998</v>
      </c>
      <c r="K44" s="195">
        <v>34008.94</v>
      </c>
      <c r="L44" s="195"/>
      <c r="M44" s="195">
        <v>39181</v>
      </c>
      <c r="N44" s="195">
        <v>40522</v>
      </c>
      <c r="O44" s="195">
        <v>61260</v>
      </c>
      <c r="P44" s="195">
        <v>65398</v>
      </c>
      <c r="Q44" s="195">
        <v>72750</v>
      </c>
      <c r="R44" s="195">
        <v>80208</v>
      </c>
      <c r="S44" s="195">
        <v>64473</v>
      </c>
      <c r="T44" s="195">
        <v>63585</v>
      </c>
      <c r="U44" s="195">
        <v>78063</v>
      </c>
      <c r="V44" s="195">
        <v>93603</v>
      </c>
      <c r="W44" s="195">
        <v>159376</v>
      </c>
      <c r="X44" s="306">
        <v>94553</v>
      </c>
      <c r="Y44" s="417">
        <f t="shared" ref="Y44:AB44" si="106">+Y45+Y46</f>
        <v>50952</v>
      </c>
      <c r="Z44" s="417">
        <f t="shared" si="106"/>
        <v>62730</v>
      </c>
      <c r="AA44" s="417">
        <f t="shared" si="106"/>
        <v>43939</v>
      </c>
      <c r="AB44" s="440">
        <f t="shared" si="106"/>
        <v>35234</v>
      </c>
      <c r="AC44" s="490">
        <v>28357</v>
      </c>
      <c r="AD44" s="417">
        <v>35535</v>
      </c>
      <c r="AE44" s="417">
        <v>33396.630000000005</v>
      </c>
      <c r="AF44" s="417">
        <f t="shared" ref="AF44:AN44" si="107">+AF45+AF46</f>
        <v>4861</v>
      </c>
      <c r="AG44" s="417">
        <f t="shared" si="107"/>
        <v>15270.824000000001</v>
      </c>
      <c r="AH44" s="417">
        <f t="shared" si="107"/>
        <v>19014</v>
      </c>
      <c r="AI44" s="417">
        <f t="shared" si="107"/>
        <v>26057</v>
      </c>
      <c r="AJ44" s="417">
        <f t="shared" si="107"/>
        <v>28989</v>
      </c>
      <c r="AK44" s="417">
        <f t="shared" si="107"/>
        <v>35819</v>
      </c>
      <c r="AL44" s="417">
        <f t="shared" si="107"/>
        <v>19989</v>
      </c>
      <c r="AM44" s="417">
        <f t="shared" si="107"/>
        <v>20763</v>
      </c>
      <c r="AN44" s="417">
        <f t="shared" si="107"/>
        <v>14606</v>
      </c>
      <c r="AO44" s="877"/>
      <c r="AP44" s="359">
        <f t="shared" si="87"/>
        <v>0.93982355424229647</v>
      </c>
      <c r="AQ44" s="390">
        <f t="shared" si="16"/>
        <v>-0.29955364259524953</v>
      </c>
      <c r="AR44" s="391">
        <f t="shared" si="17"/>
        <v>-0.19811556931200069</v>
      </c>
      <c r="AS44" s="391">
        <f t="shared" si="18"/>
        <v>-0.19518079128114885</v>
      </c>
      <c r="AT44" s="391">
        <f t="shared" si="83"/>
        <v>0.2531297386888598</v>
      </c>
      <c r="AU44" s="391">
        <f t="shared" si="20"/>
        <v>-6.0176445757703534E-2</v>
      </c>
      <c r="AV44" s="320">
        <f t="shared" si="21"/>
        <v>-9.9979342051448566E-2</v>
      </c>
      <c r="AW44" s="392">
        <f t="shared" si="22"/>
        <v>30057.656905864336</v>
      </c>
      <c r="AX44" s="401"/>
      <c r="AY44" s="38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12"/>
    </row>
    <row r="45" spans="1:62" ht="17.45" customHeight="1" x14ac:dyDescent="0.2">
      <c r="A45" s="206"/>
      <c r="B45" s="185" t="s">
        <v>137</v>
      </c>
      <c r="C45" s="980" t="s">
        <v>297</v>
      </c>
      <c r="D45" s="120" t="s">
        <v>217</v>
      </c>
      <c r="E45" s="206" t="s">
        <v>129</v>
      </c>
      <c r="F45" s="195">
        <v>2853.7</v>
      </c>
      <c r="G45" s="195">
        <v>4745.2</v>
      </c>
      <c r="H45" s="195">
        <v>3099.8</v>
      </c>
      <c r="I45" s="195">
        <v>3410.4</v>
      </c>
      <c r="J45" s="195">
        <v>2402.6</v>
      </c>
      <c r="K45" s="195">
        <v>4236.45</v>
      </c>
      <c r="L45" s="195"/>
      <c r="M45" s="195">
        <v>9967</v>
      </c>
      <c r="N45" s="195">
        <v>14204</v>
      </c>
      <c r="O45" s="195">
        <v>26030</v>
      </c>
      <c r="P45" s="195">
        <v>38414</v>
      </c>
      <c r="Q45" s="195">
        <v>41603</v>
      </c>
      <c r="R45" s="195">
        <v>40191</v>
      </c>
      <c r="S45" s="195">
        <v>36400</v>
      </c>
      <c r="T45" s="195">
        <v>33914</v>
      </c>
      <c r="U45" s="195">
        <v>38905</v>
      </c>
      <c r="V45" s="195">
        <v>39184</v>
      </c>
      <c r="W45" s="208">
        <v>59231</v>
      </c>
      <c r="X45" s="305">
        <v>29450</v>
      </c>
      <c r="Y45" s="642">
        <v>16980</v>
      </c>
      <c r="Z45" s="642">
        <v>16980</v>
      </c>
      <c r="AA45" s="649">
        <v>27264</v>
      </c>
      <c r="AB45" s="650">
        <v>21975</v>
      </c>
      <c r="AC45" s="651">
        <v>13955</v>
      </c>
      <c r="AD45" s="649">
        <v>20402</v>
      </c>
      <c r="AE45" s="649">
        <v>17728.03</v>
      </c>
      <c r="AF45" s="435">
        <f>[2]Rekap!G22</f>
        <v>1617</v>
      </c>
      <c r="AG45" s="435">
        <f>[2]Rekap!H22</f>
        <v>4905.18</v>
      </c>
      <c r="AH45" s="435">
        <f>[2]Rekap!I22</f>
        <v>12043</v>
      </c>
      <c r="AI45" s="435">
        <f>[2]Rekap!J22</f>
        <v>14532</v>
      </c>
      <c r="AJ45" s="435">
        <f>[2]Rekap!K22</f>
        <v>13469</v>
      </c>
      <c r="AK45" s="435">
        <f>[2]Rekap!L22</f>
        <v>18537</v>
      </c>
      <c r="AL45" s="435">
        <f>[2]Rekap!M22</f>
        <v>9997</v>
      </c>
      <c r="AM45" s="435">
        <f>[2]Rekap!N22</f>
        <v>13258</v>
      </c>
      <c r="AN45" s="435">
        <f>[2]Rekap!O22</f>
        <v>10269</v>
      </c>
      <c r="AO45" s="879"/>
      <c r="AP45" s="359">
        <f t="shared" si="87"/>
        <v>0.86893588863836868</v>
      </c>
      <c r="AQ45" s="390">
        <f t="shared" si="16"/>
        <v>0.60565371024734982</v>
      </c>
      <c r="AR45" s="391">
        <f t="shared" si="17"/>
        <v>-0.19399207746478875</v>
      </c>
      <c r="AS45" s="391">
        <f t="shared" si="18"/>
        <v>-0.36496018202502845</v>
      </c>
      <c r="AT45" s="391">
        <f t="shared" si="83"/>
        <v>0.46198495163024011</v>
      </c>
      <c r="AU45" s="391">
        <f t="shared" si="20"/>
        <v>-0.13106411136163132</v>
      </c>
      <c r="AV45" s="320">
        <f t="shared" si="21"/>
        <v>7.5524458205228281E-2</v>
      </c>
      <c r="AW45" s="392">
        <f t="shared" si="22"/>
        <v>19066.929860796034</v>
      </c>
      <c r="AX45" s="401"/>
      <c r="AY45" s="388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12"/>
    </row>
    <row r="46" spans="1:62" ht="17.45" customHeight="1" x14ac:dyDescent="0.2">
      <c r="A46" s="206"/>
      <c r="B46" s="185" t="s">
        <v>138</v>
      </c>
      <c r="C46" s="981"/>
      <c r="D46" s="120"/>
      <c r="E46" s="206" t="s">
        <v>129</v>
      </c>
      <c r="F46" s="195">
        <v>41234.93</v>
      </c>
      <c r="G46" s="195">
        <v>52860.21</v>
      </c>
      <c r="H46" s="195">
        <v>46573.85</v>
      </c>
      <c r="I46" s="195">
        <v>34265.699999999997</v>
      </c>
      <c r="J46" s="195">
        <v>29751.3</v>
      </c>
      <c r="K46" s="195">
        <v>29772.49</v>
      </c>
      <c r="L46" s="195"/>
      <c r="M46" s="195">
        <v>29214</v>
      </c>
      <c r="N46" s="195">
        <v>26318</v>
      </c>
      <c r="O46" s="195">
        <v>35230</v>
      </c>
      <c r="P46" s="195">
        <v>26984</v>
      </c>
      <c r="Q46" s="195">
        <v>31147</v>
      </c>
      <c r="R46" s="195">
        <v>40017</v>
      </c>
      <c r="S46" s="195">
        <v>28073</v>
      </c>
      <c r="T46" s="195">
        <v>29671</v>
      </c>
      <c r="U46" s="195">
        <v>39158</v>
      </c>
      <c r="V46" s="195">
        <v>54419</v>
      </c>
      <c r="W46" s="208">
        <v>100145</v>
      </c>
      <c r="X46" s="305">
        <v>65103</v>
      </c>
      <c r="Y46" s="642">
        <v>33972</v>
      </c>
      <c r="Z46" s="642">
        <v>45750</v>
      </c>
      <c r="AA46" s="649">
        <v>16675</v>
      </c>
      <c r="AB46" s="650">
        <v>13259</v>
      </c>
      <c r="AC46" s="651">
        <v>14402</v>
      </c>
      <c r="AD46" s="649">
        <v>15133</v>
      </c>
      <c r="AE46" s="649">
        <v>15668.600000000002</v>
      </c>
      <c r="AF46" s="435">
        <f>[2]Rekap!G23</f>
        <v>3244</v>
      </c>
      <c r="AG46" s="435">
        <f>[2]Rekap!H23</f>
        <v>10365.644</v>
      </c>
      <c r="AH46" s="435">
        <f>[2]Rekap!I23</f>
        <v>6971</v>
      </c>
      <c r="AI46" s="435">
        <f>[2]Rekap!J23</f>
        <v>11525</v>
      </c>
      <c r="AJ46" s="435">
        <f>[2]Rekap!K23</f>
        <v>15520</v>
      </c>
      <c r="AK46" s="435">
        <f>[2]Rekap!L23</f>
        <v>17282</v>
      </c>
      <c r="AL46" s="435">
        <f>[2]Rekap!M23</f>
        <v>9992</v>
      </c>
      <c r="AM46" s="435">
        <f>[2]Rekap!N23</f>
        <v>7505</v>
      </c>
      <c r="AN46" s="435">
        <f>[2]Rekap!O23</f>
        <v>4337</v>
      </c>
      <c r="AO46" s="879"/>
      <c r="AP46" s="359">
        <f t="shared" si="87"/>
        <v>1.0353928500627769</v>
      </c>
      <c r="AQ46" s="390">
        <f t="shared" si="16"/>
        <v>-0.63551912568306013</v>
      </c>
      <c r="AR46" s="391">
        <f t="shared" si="17"/>
        <v>-0.20485757121439285</v>
      </c>
      <c r="AS46" s="391">
        <f t="shared" si="18"/>
        <v>8.620559619880841E-2</v>
      </c>
      <c r="AT46" s="391">
        <f t="shared" si="83"/>
        <v>5.0756839327871228E-2</v>
      </c>
      <c r="AU46" s="391">
        <f t="shared" si="20"/>
        <v>3.5392850062776926E-2</v>
      </c>
      <c r="AV46" s="320">
        <f t="shared" si="21"/>
        <v>-0.13360428226159929</v>
      </c>
      <c r="AW46" s="392">
        <f t="shared" si="22"/>
        <v>13575.207942955907</v>
      </c>
      <c r="AX46" s="401"/>
      <c r="AY46" s="388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12"/>
    </row>
    <row r="47" spans="1:62" s="1" customFormat="1" ht="17.45" customHeight="1" x14ac:dyDescent="0.2">
      <c r="A47" s="683">
        <v>7</v>
      </c>
      <c r="B47" s="461" t="s">
        <v>136</v>
      </c>
      <c r="C47" s="982" t="s">
        <v>299</v>
      </c>
      <c r="D47" s="751"/>
      <c r="E47" s="683" t="s">
        <v>129</v>
      </c>
      <c r="F47" s="207">
        <v>55808.19</v>
      </c>
      <c r="G47" s="207">
        <v>71798.789999999994</v>
      </c>
      <c r="H47" s="207">
        <v>59042.57</v>
      </c>
      <c r="I47" s="207">
        <v>47604.52</v>
      </c>
      <c r="J47" s="207">
        <v>42359.100000000006</v>
      </c>
      <c r="K47" s="207">
        <v>43783.94</v>
      </c>
      <c r="L47" s="207"/>
      <c r="M47" s="207">
        <v>48837</v>
      </c>
      <c r="N47" s="207">
        <v>49788</v>
      </c>
      <c r="O47" s="207">
        <v>71826</v>
      </c>
      <c r="P47" s="207">
        <v>75364</v>
      </c>
      <c r="Q47" s="207">
        <v>82515</v>
      </c>
      <c r="R47" s="207">
        <v>88978</v>
      </c>
      <c r="S47" s="207">
        <v>71574.2</v>
      </c>
      <c r="T47" s="207">
        <v>70588</v>
      </c>
      <c r="U47" s="207">
        <v>83312</v>
      </c>
      <c r="V47" s="207">
        <v>97260</v>
      </c>
      <c r="W47" s="207">
        <v>164422</v>
      </c>
      <c r="X47" s="464">
        <v>98475</v>
      </c>
      <c r="Y47" s="511">
        <f t="shared" ref="Y47:Z47" si="108">+Y48+Y49</f>
        <v>54034</v>
      </c>
      <c r="Z47" s="511">
        <f t="shared" si="108"/>
        <v>66922.63</v>
      </c>
      <c r="AA47" s="511">
        <f t="shared" ref="AA47:AB47" si="109">+AA48+AA49</f>
        <v>47749</v>
      </c>
      <c r="AB47" s="512">
        <f t="shared" si="109"/>
        <v>38407</v>
      </c>
      <c r="AC47" s="513">
        <f t="shared" ref="AC47:AD47" si="110">+AC48+AC49</f>
        <v>31971.75</v>
      </c>
      <c r="AD47" s="511">
        <f t="shared" si="110"/>
        <v>39719</v>
      </c>
      <c r="AE47" s="511">
        <f t="shared" ref="AE47:AF47" si="111">+AE48+AE49</f>
        <v>37398.26</v>
      </c>
      <c r="AF47" s="511">
        <f t="shared" si="111"/>
        <v>8652</v>
      </c>
      <c r="AG47" s="511">
        <f t="shared" ref="AG47:AL47" si="112">+AG48+AG49</f>
        <v>18456.353999999999</v>
      </c>
      <c r="AH47" s="511">
        <f t="shared" si="112"/>
        <v>23750</v>
      </c>
      <c r="AI47" s="511">
        <f t="shared" si="112"/>
        <v>30904</v>
      </c>
      <c r="AJ47" s="511">
        <f t="shared" si="112"/>
        <v>35049</v>
      </c>
      <c r="AK47" s="511">
        <f t="shared" si="112"/>
        <v>41451</v>
      </c>
      <c r="AL47" s="511">
        <f t="shared" si="112"/>
        <v>25134</v>
      </c>
      <c r="AM47" s="511">
        <f t="shared" ref="AM47:AN47" si="113">+AM48+AM49</f>
        <v>26068</v>
      </c>
      <c r="AN47" s="511">
        <f t="shared" si="113"/>
        <v>20336</v>
      </c>
      <c r="AO47" s="867"/>
      <c r="AP47" s="466">
        <f t="shared" si="87"/>
        <v>0.94157103653163476</v>
      </c>
      <c r="AQ47" s="390">
        <f t="shared" si="16"/>
        <v>-0.28650443056407082</v>
      </c>
      <c r="AR47" s="391">
        <f t="shared" si="17"/>
        <v>-0.19564807639950577</v>
      </c>
      <c r="AS47" s="391">
        <f t="shared" si="18"/>
        <v>-0.1675540917020335</v>
      </c>
      <c r="AT47" s="391">
        <f t="shared" si="83"/>
        <v>0.24231548163613192</v>
      </c>
      <c r="AU47" s="391">
        <f t="shared" si="20"/>
        <v>-5.8428963468365236E-2</v>
      </c>
      <c r="AV47" s="467">
        <f t="shared" si="21"/>
        <v>-9.3164016099568675E-2</v>
      </c>
      <c r="AW47" s="468">
        <f t="shared" si="22"/>
        <v>33914.087903264146</v>
      </c>
      <c r="AX47" s="469"/>
      <c r="AY47" s="514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783"/>
    </row>
    <row r="48" spans="1:62" s="1" customFormat="1" ht="17.45" customHeight="1" x14ac:dyDescent="0.2">
      <c r="A48" s="441"/>
      <c r="B48" s="461" t="s">
        <v>137</v>
      </c>
      <c r="C48" s="983"/>
      <c r="D48" s="510"/>
      <c r="E48" s="441" t="s">
        <v>129</v>
      </c>
      <c r="F48" s="207">
        <v>9211.2999999999993</v>
      </c>
      <c r="G48" s="207">
        <v>10556.65</v>
      </c>
      <c r="H48" s="207">
        <v>8656.4000000000015</v>
      </c>
      <c r="I48" s="207">
        <v>8000.57</v>
      </c>
      <c r="J48" s="207">
        <v>8112.7999999999993</v>
      </c>
      <c r="K48" s="207">
        <v>9780.59</v>
      </c>
      <c r="L48" s="207"/>
      <c r="M48" s="207">
        <v>14930</v>
      </c>
      <c r="N48" s="207">
        <v>18979</v>
      </c>
      <c r="O48" s="207">
        <v>31903</v>
      </c>
      <c r="P48" s="207">
        <v>44160</v>
      </c>
      <c r="Q48" s="207">
        <v>46587</v>
      </c>
      <c r="R48" s="207">
        <v>44869</v>
      </c>
      <c r="S48" s="207">
        <v>40748.6</v>
      </c>
      <c r="T48" s="207">
        <v>37619</v>
      </c>
      <c r="U48" s="207">
        <v>42964</v>
      </c>
      <c r="V48" s="207">
        <v>41622</v>
      </c>
      <c r="W48" s="209">
        <v>62605</v>
      </c>
      <c r="X48" s="464">
        <v>32016</v>
      </c>
      <c r="Y48" s="511">
        <f t="shared" ref="Y48:Z49" si="114">Y42+Y45</f>
        <v>19150</v>
      </c>
      <c r="Z48" s="511">
        <f t="shared" si="114"/>
        <v>19324</v>
      </c>
      <c r="AA48" s="511">
        <f t="shared" ref="AA48:AB48" si="115">AA42+AA45</f>
        <v>29868</v>
      </c>
      <c r="AB48" s="512">
        <f t="shared" si="115"/>
        <v>24529</v>
      </c>
      <c r="AC48" s="513">
        <f t="shared" ref="AC48:AD48" si="116">AC42+AC45</f>
        <v>16232.75</v>
      </c>
      <c r="AD48" s="511">
        <f t="shared" si="116"/>
        <v>23340</v>
      </c>
      <c r="AE48" s="511">
        <f t="shared" ref="AE48:AF49" si="117">AE42+AE45</f>
        <v>20328.37</v>
      </c>
      <c r="AF48" s="511">
        <f t="shared" si="117"/>
        <v>4480</v>
      </c>
      <c r="AG48" s="511">
        <f t="shared" ref="AG48:AL48" si="118">AG42+AG45</f>
        <v>7261.3600000000006</v>
      </c>
      <c r="AH48" s="511">
        <f t="shared" si="118"/>
        <v>15307</v>
      </c>
      <c r="AI48" s="511">
        <f t="shared" si="118"/>
        <v>17870</v>
      </c>
      <c r="AJ48" s="511">
        <f t="shared" si="118"/>
        <v>16851</v>
      </c>
      <c r="AK48" s="511">
        <f t="shared" si="118"/>
        <v>21844</v>
      </c>
      <c r="AL48" s="511">
        <f t="shared" si="118"/>
        <v>13021</v>
      </c>
      <c r="AM48" s="511">
        <f t="shared" ref="AM48:AN48" si="119">AM42+AM45</f>
        <v>16859</v>
      </c>
      <c r="AN48" s="511">
        <f t="shared" si="119"/>
        <v>14076</v>
      </c>
      <c r="AO48" s="867"/>
      <c r="AP48" s="466">
        <f t="shared" si="87"/>
        <v>0.87096700942587824</v>
      </c>
      <c r="AQ48" s="390">
        <f t="shared" si="16"/>
        <v>0.54564272407369074</v>
      </c>
      <c r="AR48" s="391">
        <f t="shared" si="17"/>
        <v>-0.17875318066157764</v>
      </c>
      <c r="AS48" s="391">
        <f t="shared" si="18"/>
        <v>-0.33822210444779643</v>
      </c>
      <c r="AT48" s="391">
        <f t="shared" si="83"/>
        <v>0.4378340084089265</v>
      </c>
      <c r="AU48" s="391">
        <f t="shared" si="20"/>
        <v>-0.12903299057412176</v>
      </c>
      <c r="AV48" s="467">
        <f t="shared" si="21"/>
        <v>6.7493691359824276E-2</v>
      </c>
      <c r="AW48" s="468">
        <f t="shared" si="22"/>
        <v>21700.40673062831</v>
      </c>
      <c r="AX48" s="469"/>
      <c r="AY48" s="514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783"/>
    </row>
    <row r="49" spans="1:62" s="1" customFormat="1" ht="17.45" customHeight="1" x14ac:dyDescent="0.2">
      <c r="A49" s="441"/>
      <c r="B49" s="461" t="s">
        <v>138</v>
      </c>
      <c r="C49" s="984"/>
      <c r="D49" s="510"/>
      <c r="E49" s="441" t="s">
        <v>129</v>
      </c>
      <c r="F49" s="207">
        <v>46596.89</v>
      </c>
      <c r="G49" s="207">
        <v>61242.14</v>
      </c>
      <c r="H49" s="207">
        <v>50386.17</v>
      </c>
      <c r="I49" s="207">
        <v>39603.949999999997</v>
      </c>
      <c r="J49" s="207">
        <v>34246.300000000003</v>
      </c>
      <c r="K49" s="207">
        <v>34003.35</v>
      </c>
      <c r="L49" s="207"/>
      <c r="M49" s="207">
        <v>33907</v>
      </c>
      <c r="N49" s="207">
        <v>30809</v>
      </c>
      <c r="O49" s="207">
        <v>39923</v>
      </c>
      <c r="P49" s="207">
        <v>31204</v>
      </c>
      <c r="Q49" s="207">
        <v>35928</v>
      </c>
      <c r="R49" s="207">
        <v>44109</v>
      </c>
      <c r="S49" s="207">
        <v>30825.599999999999</v>
      </c>
      <c r="T49" s="207">
        <v>32969</v>
      </c>
      <c r="U49" s="207">
        <v>40348</v>
      </c>
      <c r="V49" s="207">
        <v>55638</v>
      </c>
      <c r="W49" s="209">
        <v>101817</v>
      </c>
      <c r="X49" s="464">
        <v>66459</v>
      </c>
      <c r="Y49" s="511">
        <f t="shared" si="114"/>
        <v>34884</v>
      </c>
      <c r="Z49" s="511">
        <f t="shared" si="114"/>
        <v>47598.63</v>
      </c>
      <c r="AA49" s="511">
        <f t="shared" ref="AA49:AB49" si="120">AA43+AA46</f>
        <v>17881</v>
      </c>
      <c r="AB49" s="512">
        <f t="shared" si="120"/>
        <v>13878</v>
      </c>
      <c r="AC49" s="513">
        <f t="shared" ref="AC49:AD49" si="121">AC43+AC46</f>
        <v>15739</v>
      </c>
      <c r="AD49" s="511">
        <f t="shared" si="121"/>
        <v>16379</v>
      </c>
      <c r="AE49" s="511">
        <f t="shared" ref="AE49" si="122">AE43+AE46</f>
        <v>17069.890000000003</v>
      </c>
      <c r="AF49" s="511">
        <f t="shared" si="117"/>
        <v>4172</v>
      </c>
      <c r="AG49" s="511">
        <f t="shared" ref="AG49:AL49" si="123">AG43+AG46</f>
        <v>11194.994000000001</v>
      </c>
      <c r="AH49" s="511">
        <f t="shared" si="123"/>
        <v>8443</v>
      </c>
      <c r="AI49" s="511">
        <f t="shared" si="123"/>
        <v>13034</v>
      </c>
      <c r="AJ49" s="511">
        <f t="shared" si="123"/>
        <v>18198</v>
      </c>
      <c r="AK49" s="511">
        <f t="shared" si="123"/>
        <v>19607</v>
      </c>
      <c r="AL49" s="511">
        <f t="shared" si="123"/>
        <v>12113</v>
      </c>
      <c r="AM49" s="511">
        <f t="shared" ref="AM49:AN49" si="124">AM43+AM46</f>
        <v>9209</v>
      </c>
      <c r="AN49" s="511">
        <f t="shared" si="124"/>
        <v>6260</v>
      </c>
      <c r="AO49" s="867"/>
      <c r="AP49" s="466">
        <f t="shared" si="87"/>
        <v>1.0421814518590879</v>
      </c>
      <c r="AQ49" s="390">
        <f t="shared" si="16"/>
        <v>-0.62433792737311977</v>
      </c>
      <c r="AR49" s="391">
        <f t="shared" si="17"/>
        <v>-0.22386891113472396</v>
      </c>
      <c r="AS49" s="391">
        <f t="shared" si="18"/>
        <v>0.1340971321516069</v>
      </c>
      <c r="AT49" s="391">
        <f t="shared" si="83"/>
        <v>4.0663320414257687E-2</v>
      </c>
      <c r="AU49" s="391">
        <f t="shared" si="20"/>
        <v>4.2181451859087948E-2</v>
      </c>
      <c r="AV49" s="467">
        <f t="shared" si="21"/>
        <v>-0.12625298681657823</v>
      </c>
      <c r="AW49" s="468">
        <f t="shared" si="22"/>
        <v>14914.765402869562</v>
      </c>
      <c r="AX49" s="469"/>
      <c r="AY49" s="514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783"/>
    </row>
    <row r="50" spans="1:62" s="1" customFormat="1" ht="17.45" customHeight="1" x14ac:dyDescent="0.2">
      <c r="A50" s="674">
        <v>8</v>
      </c>
      <c r="B50" s="461" t="s">
        <v>431</v>
      </c>
      <c r="C50" s="521"/>
      <c r="D50" s="510"/>
      <c r="E50" s="674" t="s">
        <v>304</v>
      </c>
      <c r="F50" s="560">
        <v>1267.7329999999999</v>
      </c>
      <c r="G50" s="560">
        <v>1328.78</v>
      </c>
      <c r="H50" s="560">
        <v>1315.452</v>
      </c>
      <c r="I50" s="560">
        <v>1624.7909999999999</v>
      </c>
      <c r="J50" s="560">
        <v>1711.463</v>
      </c>
      <c r="K50" s="560">
        <v>1601.269</v>
      </c>
      <c r="L50" s="560"/>
      <c r="M50" s="560">
        <v>1861.8630000000001</v>
      </c>
      <c r="N50" s="560">
        <v>1717.527</v>
      </c>
      <c r="O50" s="560">
        <v>1761.6170000000002</v>
      </c>
      <c r="P50" s="560">
        <v>1607.4780000000001</v>
      </c>
      <c r="Q50" s="560">
        <v>1455.54</v>
      </c>
      <c r="R50" s="560">
        <v>1484.8910000000001</v>
      </c>
      <c r="S50" s="560">
        <v>977.49599999999998</v>
      </c>
      <c r="T50" s="560">
        <v>923.63100000000009</v>
      </c>
      <c r="U50" s="560">
        <v>754.83799999999997</v>
      </c>
      <c r="V50" s="560">
        <v>875.60300000000007</v>
      </c>
      <c r="W50" s="560">
        <v>1153.165</v>
      </c>
      <c r="X50" s="676">
        <v>1082.923</v>
      </c>
      <c r="Y50" s="693">
        <f t="shared" ref="Y50:AB50" si="125">+Y51+Y52</f>
        <v>979.3900000000001</v>
      </c>
      <c r="Z50" s="693">
        <f t="shared" si="125"/>
        <v>889.46100000000001</v>
      </c>
      <c r="AA50" s="693">
        <f t="shared" si="125"/>
        <v>969.19999999999993</v>
      </c>
      <c r="AB50" s="694">
        <f t="shared" si="125"/>
        <v>928.92200000000003</v>
      </c>
      <c r="AC50" s="812">
        <v>955.58430825999983</v>
      </c>
      <c r="AD50" s="813">
        <v>918.58700599999997</v>
      </c>
      <c r="AE50" s="813">
        <v>791.24022000000014</v>
      </c>
      <c r="AF50" s="693">
        <f t="shared" ref="AF50:AL50" si="126">+AF51+AF52</f>
        <v>548.43200000000002</v>
      </c>
      <c r="AG50" s="693">
        <f t="shared" si="126"/>
        <v>636.29235900000003</v>
      </c>
      <c r="AH50" s="693">
        <f t="shared" si="126"/>
        <v>809.93399999999997</v>
      </c>
      <c r="AI50" s="693">
        <f t="shared" si="126"/>
        <v>783.52</v>
      </c>
      <c r="AJ50" s="693">
        <f t="shared" si="126"/>
        <v>846.50559999999996</v>
      </c>
      <c r="AK50" s="693">
        <f t="shared" si="126"/>
        <v>986.18299999999999</v>
      </c>
      <c r="AL50" s="693">
        <f t="shared" si="126"/>
        <v>925.76700000000005</v>
      </c>
      <c r="AM50" s="693">
        <f t="shared" ref="AM50:AN50" si="127">+AM51+AM52</f>
        <v>916.10799999999995</v>
      </c>
      <c r="AN50" s="693">
        <f t="shared" si="127"/>
        <v>803.63699999999994</v>
      </c>
      <c r="AO50" s="881"/>
      <c r="AP50" s="466">
        <f t="shared" si="87"/>
        <v>0.86136665860914663</v>
      </c>
      <c r="AQ50" s="390">
        <f t="shared" si="16"/>
        <v>8.9648674871635636E-2</v>
      </c>
      <c r="AR50" s="391">
        <f t="shared" si="17"/>
        <v>-4.1557985967808353E-2</v>
      </c>
      <c r="AS50" s="391">
        <f t="shared" si="18"/>
        <v>2.8702418782201145E-2</v>
      </c>
      <c r="AT50" s="391">
        <f t="shared" si="83"/>
        <v>-3.8716942021962852E-2</v>
      </c>
      <c r="AU50" s="391">
        <f t="shared" si="20"/>
        <v>-0.13863334139085337</v>
      </c>
      <c r="AV50" s="467">
        <f t="shared" si="21"/>
        <v>-2.011143514535756E-2</v>
      </c>
      <c r="AW50" s="468">
        <f t="shared" si="22"/>
        <v>775.32724363107172</v>
      </c>
      <c r="AX50" s="469"/>
      <c r="AY50" s="514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783"/>
    </row>
    <row r="51" spans="1:62" s="1" customFormat="1" ht="17.45" customHeight="1" x14ac:dyDescent="0.2">
      <c r="A51" s="441"/>
      <c r="B51" s="461" t="s">
        <v>137</v>
      </c>
      <c r="C51" s="976" t="s">
        <v>302</v>
      </c>
      <c r="D51" s="510"/>
      <c r="E51" s="441" t="s">
        <v>304</v>
      </c>
      <c r="F51" s="560">
        <v>781.846</v>
      </c>
      <c r="G51" s="560">
        <v>757.64599999999996</v>
      </c>
      <c r="H51" s="560">
        <v>680.846</v>
      </c>
      <c r="I51" s="560">
        <v>834.07399999999996</v>
      </c>
      <c r="J51" s="560">
        <v>874.03</v>
      </c>
      <c r="K51" s="560">
        <v>661.07100000000003</v>
      </c>
      <c r="L51" s="560"/>
      <c r="M51" s="560">
        <v>865.11500000000001</v>
      </c>
      <c r="N51" s="560">
        <v>760.75300000000004</v>
      </c>
      <c r="O51" s="560">
        <v>765.73800000000006</v>
      </c>
      <c r="P51" s="560">
        <v>694.24199999999996</v>
      </c>
      <c r="Q51" s="560">
        <v>654.93899999999996</v>
      </c>
      <c r="R51" s="560">
        <v>668.404</v>
      </c>
      <c r="S51" s="560">
        <v>427.84699999999998</v>
      </c>
      <c r="T51" s="560">
        <v>524.745</v>
      </c>
      <c r="U51" s="560">
        <v>361.15199999999999</v>
      </c>
      <c r="V51" s="560">
        <v>491.262</v>
      </c>
      <c r="W51" s="560">
        <v>521.06899999999996</v>
      </c>
      <c r="X51" s="561">
        <v>477.71</v>
      </c>
      <c r="Y51" s="562">
        <v>455.2</v>
      </c>
      <c r="Z51" s="562">
        <v>450.03199999999998</v>
      </c>
      <c r="AA51" s="563">
        <v>435.4</v>
      </c>
      <c r="AB51" s="564">
        <v>403.43200000000002</v>
      </c>
      <c r="AC51" s="814">
        <v>431.51659775999997</v>
      </c>
      <c r="AD51" s="815">
        <v>455.99527599999999</v>
      </c>
      <c r="AE51" s="765">
        <v>392.65651400000002</v>
      </c>
      <c r="AF51" s="822">
        <f>[2]Rekap!G28/1000</f>
        <v>250.63800000000001</v>
      </c>
      <c r="AG51" s="822">
        <f>[2]Rekap!H28/1000</f>
        <v>306.21707600000002</v>
      </c>
      <c r="AH51" s="822">
        <f>[2]Rekap!I28/1000</f>
        <v>400.11200000000002</v>
      </c>
      <c r="AI51" s="822">
        <f>[2]Rekap!J28/1000</f>
        <v>406.07600000000002</v>
      </c>
      <c r="AJ51" s="822">
        <f>[2]Rekap!K28/1000</f>
        <v>432.81729999999999</v>
      </c>
      <c r="AK51" s="822">
        <f>[2]Rekap!L28/1000</f>
        <v>494.76</v>
      </c>
      <c r="AL51" s="822">
        <f>[2]Rekap!M28/1000</f>
        <v>500.476</v>
      </c>
      <c r="AM51" s="822">
        <f>[2]Rekap!N28/1000</f>
        <v>462.95499999999998</v>
      </c>
      <c r="AN51" s="822">
        <f>[2]Rekap!O28/1000</f>
        <v>395.50799999999998</v>
      </c>
      <c r="AO51" s="882"/>
      <c r="AP51" s="466">
        <f t="shared" si="87"/>
        <v>0.86109776716195641</v>
      </c>
      <c r="AQ51" s="390">
        <f t="shared" si="16"/>
        <v>-3.2513243502684253E-2</v>
      </c>
      <c r="AR51" s="391">
        <f t="shared" si="17"/>
        <v>-7.3422140560404192E-2</v>
      </c>
      <c r="AS51" s="391">
        <f t="shared" si="18"/>
        <v>6.9614204525173973E-2</v>
      </c>
      <c r="AT51" s="391">
        <f t="shared" si="83"/>
        <v>5.6727083887546215E-2</v>
      </c>
      <c r="AU51" s="391">
        <f t="shared" si="20"/>
        <v>-0.13890223283804359</v>
      </c>
      <c r="AV51" s="467">
        <f t="shared" si="21"/>
        <v>-2.3699265697682371E-2</v>
      </c>
      <c r="AW51" s="468">
        <f t="shared" si="22"/>
        <v>383.3508429467883</v>
      </c>
      <c r="AX51" s="469"/>
      <c r="AY51" s="514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783"/>
    </row>
    <row r="52" spans="1:62" s="1" customFormat="1" ht="17.45" customHeight="1" thickBot="1" x14ac:dyDescent="0.25">
      <c r="A52" s="441"/>
      <c r="B52" s="461" t="s">
        <v>138</v>
      </c>
      <c r="C52" s="978"/>
      <c r="D52" s="510"/>
      <c r="E52" s="441" t="s">
        <v>306</v>
      </c>
      <c r="F52" s="560">
        <v>485.887</v>
      </c>
      <c r="G52" s="560">
        <v>571.13400000000001</v>
      </c>
      <c r="H52" s="560">
        <v>634.60599999999999</v>
      </c>
      <c r="I52" s="560">
        <v>790.71699999999998</v>
      </c>
      <c r="J52" s="560">
        <v>837.43299999999999</v>
      </c>
      <c r="K52" s="560">
        <v>940.19799999999998</v>
      </c>
      <c r="L52" s="560"/>
      <c r="M52" s="560">
        <v>996.74800000000005</v>
      </c>
      <c r="N52" s="560">
        <v>956.774</v>
      </c>
      <c r="O52" s="560">
        <v>995.87900000000002</v>
      </c>
      <c r="P52" s="560">
        <v>913.23599999999999</v>
      </c>
      <c r="Q52" s="560">
        <v>800.601</v>
      </c>
      <c r="R52" s="560">
        <v>816.48699999999997</v>
      </c>
      <c r="S52" s="560">
        <v>549.649</v>
      </c>
      <c r="T52" s="560">
        <v>398.88600000000002</v>
      </c>
      <c r="U52" s="560">
        <v>393.68599999999998</v>
      </c>
      <c r="V52" s="560">
        <v>384.34100000000001</v>
      </c>
      <c r="W52" s="579">
        <v>632.096</v>
      </c>
      <c r="X52" s="561">
        <v>605.21299999999997</v>
      </c>
      <c r="Y52" s="562">
        <v>524.19000000000005</v>
      </c>
      <c r="Z52" s="562">
        <v>439.42899999999997</v>
      </c>
      <c r="AA52" s="563">
        <v>533.79999999999995</v>
      </c>
      <c r="AB52" s="580">
        <v>525.49</v>
      </c>
      <c r="AC52" s="816">
        <v>524.06771049999998</v>
      </c>
      <c r="AD52" s="815">
        <v>462.59172999999993</v>
      </c>
      <c r="AE52" s="765">
        <v>398.58370600000006</v>
      </c>
      <c r="AF52" s="822">
        <f>[2]Rekap!G29/1000</f>
        <v>297.79399999999998</v>
      </c>
      <c r="AG52" s="822">
        <f>[2]Rekap!H29/1000</f>
        <v>330.07528300000001</v>
      </c>
      <c r="AH52" s="822">
        <f>[2]Rekap!I29/1000</f>
        <v>409.822</v>
      </c>
      <c r="AI52" s="822">
        <f>[2]Rekap!J29/1000</f>
        <v>377.44400000000002</v>
      </c>
      <c r="AJ52" s="822">
        <f>[2]Rekap!K29/1000</f>
        <v>413.68829999999997</v>
      </c>
      <c r="AK52" s="822">
        <f>[2]Rekap!L29/1000</f>
        <v>491.423</v>
      </c>
      <c r="AL52" s="822">
        <f>[2]Rekap!M29/1000</f>
        <v>425.291</v>
      </c>
      <c r="AM52" s="822">
        <f>[2]Rekap!N29/1000</f>
        <v>453.15300000000002</v>
      </c>
      <c r="AN52" s="822">
        <f>[2]Rekap!O29/1000</f>
        <v>408.12900000000002</v>
      </c>
      <c r="AO52" s="882"/>
      <c r="AP52" s="466">
        <f t="shared" si="87"/>
        <v>0.8616317157247928</v>
      </c>
      <c r="AQ52" s="390">
        <f t="shared" si="16"/>
        <v>0.21475824308363811</v>
      </c>
      <c r="AR52" s="391">
        <f t="shared" si="17"/>
        <v>-1.5567628325215299E-2</v>
      </c>
      <c r="AS52" s="391">
        <f t="shared" si="18"/>
        <v>-2.7065967002226632E-3</v>
      </c>
      <c r="AT52" s="391">
        <f t="shared" si="83"/>
        <v>-0.11730541544211404</v>
      </c>
      <c r="AU52" s="391">
        <f t="shared" si="20"/>
        <v>-0.1383682842752072</v>
      </c>
      <c r="AV52" s="467">
        <f t="shared" si="21"/>
        <v>-1.1837936331824218E-2</v>
      </c>
      <c r="AW52" s="468">
        <f t="shared" si="22"/>
        <v>393.86529746546955</v>
      </c>
      <c r="AX52" s="469"/>
      <c r="AY52" s="514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783"/>
    </row>
    <row r="53" spans="1:62" ht="17.45" customHeight="1" x14ac:dyDescent="0.2">
      <c r="A53" s="206">
        <v>9</v>
      </c>
      <c r="B53" s="185" t="s">
        <v>153</v>
      </c>
      <c r="C53" s="976" t="s">
        <v>301</v>
      </c>
      <c r="D53" s="120"/>
      <c r="E53" s="206" t="s">
        <v>273</v>
      </c>
      <c r="F53" s="195">
        <v>181468222</v>
      </c>
      <c r="G53" s="195">
        <v>198462749</v>
      </c>
      <c r="H53" s="195">
        <v>217966019</v>
      </c>
      <c r="I53" s="195">
        <v>294086536</v>
      </c>
      <c r="J53" s="195">
        <v>352609942</v>
      </c>
      <c r="K53" s="195">
        <v>400196667</v>
      </c>
      <c r="L53" s="195">
        <v>0</v>
      </c>
      <c r="M53" s="195">
        <v>488646168</v>
      </c>
      <c r="N53" s="195">
        <v>667703121</v>
      </c>
      <c r="O53" s="195">
        <v>812749938</v>
      </c>
      <c r="P53" s="195">
        <v>952932796</v>
      </c>
      <c r="Q53" s="195">
        <v>979158902</v>
      </c>
      <c r="R53" s="195">
        <v>1026223795</v>
      </c>
      <c r="S53" s="195">
        <v>960914414</v>
      </c>
      <c r="T53" s="195">
        <v>1070397593</v>
      </c>
      <c r="U53" s="195">
        <v>906586167</v>
      </c>
      <c r="V53" s="195">
        <v>933034215</v>
      </c>
      <c r="W53" s="195">
        <v>1316379764</v>
      </c>
      <c r="X53" s="306">
        <v>1369294702</v>
      </c>
      <c r="Y53" s="427">
        <f t="shared" ref="Y53:AB53" si="128">+Y54+Y55</f>
        <v>1293158814</v>
      </c>
      <c r="Z53" s="427">
        <f t="shared" si="128"/>
        <v>1348650057</v>
      </c>
      <c r="AA53" s="436">
        <f t="shared" si="128"/>
        <v>1401262735</v>
      </c>
      <c r="AB53" s="479">
        <f t="shared" si="128"/>
        <v>1522833352</v>
      </c>
      <c r="AC53" s="498">
        <v>1604.078422</v>
      </c>
      <c r="AD53" s="438">
        <v>1794.421788868</v>
      </c>
      <c r="AE53" s="417">
        <v>1468.067603</v>
      </c>
      <c r="AF53" s="417">
        <f t="shared" ref="AF53:AN53" si="129">+AF54+AF55</f>
        <v>1227.4102255115999</v>
      </c>
      <c r="AG53" s="417">
        <f t="shared" si="129"/>
        <v>1336.4821818966391</v>
      </c>
      <c r="AH53" s="417">
        <f t="shared" si="129"/>
        <v>1533.32</v>
      </c>
      <c r="AI53" s="417">
        <f t="shared" si="129"/>
        <v>1482.2</v>
      </c>
      <c r="AJ53" s="417">
        <f t="shared" si="129"/>
        <v>1636.5</v>
      </c>
      <c r="AK53" s="417">
        <f t="shared" si="129"/>
        <v>1835.2</v>
      </c>
      <c r="AL53" s="417">
        <f t="shared" si="129"/>
        <v>1807.527</v>
      </c>
      <c r="AM53" s="417">
        <f t="shared" si="129"/>
        <v>1694</v>
      </c>
      <c r="AN53" s="417">
        <f t="shared" si="129"/>
        <v>1513</v>
      </c>
      <c r="AO53" s="877"/>
      <c r="AP53" s="359">
        <f t="shared" si="87"/>
        <v>0.81812849805291399</v>
      </c>
      <c r="AQ53" s="390">
        <f t="shared" si="16"/>
        <v>3.9011363790718345E-2</v>
      </c>
      <c r="AR53" s="391">
        <f t="shared" si="17"/>
        <v>8.6757903399179437E-2</v>
      </c>
      <c r="AS53" s="391">
        <f t="shared" si="18"/>
        <v>-0.99999894664874533</v>
      </c>
      <c r="AT53" s="391">
        <f t="shared" si="83"/>
        <v>0.11866213288417393</v>
      </c>
      <c r="AU53" s="391">
        <f t="shared" si="20"/>
        <v>-0.18187150194708601</v>
      </c>
      <c r="AV53" s="320">
        <f t="shared" si="21"/>
        <v>-0.18748780970435192</v>
      </c>
      <c r="AW53" s="392">
        <f t="shared" si="22"/>
        <v>1192.8228236156119</v>
      </c>
      <c r="AX53" s="401"/>
      <c r="AY53" s="388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12"/>
    </row>
    <row r="54" spans="1:62" ht="17.45" customHeight="1" x14ac:dyDescent="0.2">
      <c r="A54" s="206"/>
      <c r="B54" s="185" t="s">
        <v>137</v>
      </c>
      <c r="C54" s="977"/>
      <c r="D54" s="120"/>
      <c r="E54" s="206" t="s">
        <v>273</v>
      </c>
      <c r="F54" s="195">
        <v>155004065</v>
      </c>
      <c r="G54" s="195">
        <v>165745473</v>
      </c>
      <c r="H54" s="195">
        <v>180654219</v>
      </c>
      <c r="I54" s="195">
        <v>242615455</v>
      </c>
      <c r="J54" s="195">
        <v>289373384</v>
      </c>
      <c r="K54" s="195">
        <v>323336592</v>
      </c>
      <c r="L54" s="195"/>
      <c r="M54" s="195">
        <v>392361233</v>
      </c>
      <c r="N54" s="195">
        <v>558490021</v>
      </c>
      <c r="O54" s="195">
        <v>662329199</v>
      </c>
      <c r="P54" s="195">
        <v>775922149</v>
      </c>
      <c r="Q54" s="195">
        <v>821638771</v>
      </c>
      <c r="R54" s="195">
        <v>848794590</v>
      </c>
      <c r="S54" s="195">
        <v>818455747</v>
      </c>
      <c r="T54" s="195">
        <v>943619324</v>
      </c>
      <c r="U54" s="195">
        <v>757769672</v>
      </c>
      <c r="V54" s="195">
        <v>758098225</v>
      </c>
      <c r="W54" s="208">
        <v>1038775770</v>
      </c>
      <c r="X54" s="305">
        <v>1062134047</v>
      </c>
      <c r="Y54" s="422">
        <v>1001177990</v>
      </c>
      <c r="Z54" s="422">
        <v>1100645245</v>
      </c>
      <c r="AA54" s="437">
        <v>1063191279</v>
      </c>
      <c r="AB54" s="480">
        <v>1115969382</v>
      </c>
      <c r="AC54" s="499">
        <v>1244.7</v>
      </c>
      <c r="AD54" s="439">
        <v>1491.6</v>
      </c>
      <c r="AE54" s="311">
        <v>1199.7313469999999</v>
      </c>
      <c r="AF54" s="431">
        <f>[2]Rekap!G31</f>
        <v>984.20184472649998</v>
      </c>
      <c r="AG54" s="431">
        <f>[2]Rekap!H31</f>
        <v>1041.53824374441</v>
      </c>
      <c r="AH54" s="431">
        <f>[2]Rekap!I31</f>
        <v>1225.6199999999999</v>
      </c>
      <c r="AI54" s="431">
        <f>[2]Rekap!J31</f>
        <v>1174.9000000000001</v>
      </c>
      <c r="AJ54" s="431">
        <f>[2]Rekap!K31</f>
        <v>1225.9000000000001</v>
      </c>
      <c r="AK54" s="431">
        <f>[2]Rekap!L31</f>
        <v>1424</v>
      </c>
      <c r="AL54" s="431">
        <f>[2]Rekap!M31</f>
        <v>1466.8</v>
      </c>
      <c r="AM54" s="431">
        <f>[2]Rekap!N31</f>
        <v>1329</v>
      </c>
      <c r="AN54" s="431">
        <f>[2]Rekap!O31</f>
        <v>1173</v>
      </c>
      <c r="AO54" s="883"/>
      <c r="AP54" s="359">
        <f t="shared" si="87"/>
        <v>0.80432511866452128</v>
      </c>
      <c r="AQ54" s="390">
        <f t="shared" si="16"/>
        <v>-3.4029098994562967E-2</v>
      </c>
      <c r="AR54" s="391">
        <f t="shared" si="17"/>
        <v>4.9641211362870807E-2</v>
      </c>
      <c r="AS54" s="391">
        <f t="shared" si="18"/>
        <v>-0.99999888464681908</v>
      </c>
      <c r="AT54" s="391">
        <f t="shared" si="83"/>
        <v>0.19836105085562772</v>
      </c>
      <c r="AU54" s="391">
        <f t="shared" si="20"/>
        <v>-0.19567488133547872</v>
      </c>
      <c r="AV54" s="320">
        <f t="shared" si="21"/>
        <v>-0.19634012055167244</v>
      </c>
      <c r="AW54" s="392">
        <f t="shared" si="22"/>
        <v>964.17594970039966</v>
      </c>
      <c r="AX54" s="401"/>
      <c r="AY54" s="388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12"/>
    </row>
    <row r="55" spans="1:62" ht="17.45" customHeight="1" thickBot="1" x14ac:dyDescent="0.25">
      <c r="A55" s="206"/>
      <c r="B55" s="185" t="s">
        <v>138</v>
      </c>
      <c r="C55" s="977"/>
      <c r="D55" s="120"/>
      <c r="E55" s="206" t="s">
        <v>273</v>
      </c>
      <c r="F55" s="195">
        <v>26464157</v>
      </c>
      <c r="G55" s="195">
        <v>32717276</v>
      </c>
      <c r="H55" s="195">
        <v>37311800</v>
      </c>
      <c r="I55" s="195">
        <v>51471081</v>
      </c>
      <c r="J55" s="195">
        <v>63236558</v>
      </c>
      <c r="K55" s="195">
        <v>76860075</v>
      </c>
      <c r="L55" s="195"/>
      <c r="M55" s="195">
        <v>96284935</v>
      </c>
      <c r="N55" s="195">
        <v>109213100</v>
      </c>
      <c r="O55" s="195">
        <v>150420739</v>
      </c>
      <c r="P55" s="195">
        <v>177010647</v>
      </c>
      <c r="Q55" s="195">
        <v>157520131</v>
      </c>
      <c r="R55" s="195">
        <v>177429205</v>
      </c>
      <c r="S55" s="195">
        <v>142458667</v>
      </c>
      <c r="T55" s="195">
        <v>126778269</v>
      </c>
      <c r="U55" s="195">
        <v>148816495</v>
      </c>
      <c r="V55" s="195">
        <v>174935990</v>
      </c>
      <c r="W55" s="208">
        <v>277603994</v>
      </c>
      <c r="X55" s="305">
        <v>295545248</v>
      </c>
      <c r="Y55" s="422">
        <v>291980824</v>
      </c>
      <c r="Z55" s="422">
        <v>248004812</v>
      </c>
      <c r="AA55" s="437">
        <v>338071456</v>
      </c>
      <c r="AB55" s="481">
        <v>406863970</v>
      </c>
      <c r="AC55" s="500">
        <v>359.378422</v>
      </c>
      <c r="AD55" s="439">
        <v>302.821788868</v>
      </c>
      <c r="AE55" s="311">
        <v>268.33625599999999</v>
      </c>
      <c r="AF55" s="431">
        <f>[2]Rekap!G32</f>
        <v>243.20838078509999</v>
      </c>
      <c r="AG55" s="431">
        <f>[2]Rekap!H32</f>
        <v>294.94393815222901</v>
      </c>
      <c r="AH55" s="431">
        <f>[2]Rekap!I32</f>
        <v>307.7</v>
      </c>
      <c r="AI55" s="431">
        <f>[2]Rekap!J32</f>
        <v>307.3</v>
      </c>
      <c r="AJ55" s="431">
        <f>[2]Rekap!K32</f>
        <v>410.6</v>
      </c>
      <c r="AK55" s="431">
        <f>[2]Rekap!L32</f>
        <v>411.2</v>
      </c>
      <c r="AL55" s="431">
        <f>[2]Rekap!M32</f>
        <v>340.72699999999998</v>
      </c>
      <c r="AM55" s="431">
        <f>[2]Rekap!N32</f>
        <v>365</v>
      </c>
      <c r="AN55" s="431">
        <f>[2]Rekap!O32</f>
        <v>340</v>
      </c>
      <c r="AO55" s="883"/>
      <c r="AP55" s="359">
        <f t="shared" si="87"/>
        <v>0.8861193806531793</v>
      </c>
      <c r="AQ55" s="390">
        <f t="shared" si="16"/>
        <v>0.36316490504224563</v>
      </c>
      <c r="AR55" s="391">
        <f t="shared" si="17"/>
        <v>0.20348512948694486</v>
      </c>
      <c r="AS55" s="391">
        <f t="shared" si="18"/>
        <v>-0.99999911671111597</v>
      </c>
      <c r="AT55" s="391">
        <f t="shared" si="83"/>
        <v>-0.15737348062594592</v>
      </c>
      <c r="AU55" s="391">
        <f t="shared" si="20"/>
        <v>-0.1138806193468207</v>
      </c>
      <c r="AV55" s="320">
        <f t="shared" si="21"/>
        <v>-0.14092063643093841</v>
      </c>
      <c r="AW55" s="392">
        <f t="shared" si="22"/>
        <v>230.52214002698477</v>
      </c>
      <c r="AX55" s="401"/>
      <c r="AY55" s="388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12"/>
    </row>
    <row r="56" spans="1:62" ht="17.45" customHeight="1" x14ac:dyDescent="0.2">
      <c r="A56" s="206">
        <v>10</v>
      </c>
      <c r="B56" s="185" t="s">
        <v>155</v>
      </c>
      <c r="C56" s="977"/>
      <c r="D56" s="120"/>
      <c r="E56" s="206" t="s">
        <v>180</v>
      </c>
      <c r="F56" s="195">
        <v>1061926</v>
      </c>
      <c r="G56" s="195">
        <v>1114594</v>
      </c>
      <c r="H56" s="195">
        <v>1301545</v>
      </c>
      <c r="I56" s="195">
        <v>1512946</v>
      </c>
      <c r="J56" s="195">
        <v>1540375</v>
      </c>
      <c r="K56" s="195">
        <v>1548254</v>
      </c>
      <c r="L56" s="195">
        <v>0</v>
      </c>
      <c r="M56" s="195">
        <v>1718967</v>
      </c>
      <c r="N56" s="195">
        <v>1716895</v>
      </c>
      <c r="O56" s="195">
        <v>1468395</v>
      </c>
      <c r="P56" s="195">
        <v>1593629</v>
      </c>
      <c r="Q56" s="195">
        <v>1419347</v>
      </c>
      <c r="R56" s="195">
        <v>1418641</v>
      </c>
      <c r="S56" s="195">
        <v>1155506</v>
      </c>
      <c r="T56" s="195">
        <v>890124</v>
      </c>
      <c r="U56" s="195">
        <v>790440</v>
      </c>
      <c r="V56" s="195">
        <v>708623</v>
      </c>
      <c r="W56" s="195">
        <v>1149679</v>
      </c>
      <c r="X56" s="306">
        <v>992484</v>
      </c>
      <c r="Y56" s="417">
        <f>+Y57+Y58</f>
        <v>900455</v>
      </c>
      <c r="Z56" s="417">
        <f t="shared" ref="Z56:AB56" si="130">+Z57+Z58</f>
        <v>774137</v>
      </c>
      <c r="AA56" s="417">
        <f t="shared" si="130"/>
        <v>915323</v>
      </c>
      <c r="AB56" s="473">
        <f t="shared" si="130"/>
        <v>965518</v>
      </c>
      <c r="AC56" s="501">
        <v>831029.01702199993</v>
      </c>
      <c r="AD56" s="417">
        <v>697010.924</v>
      </c>
      <c r="AE56" s="417">
        <v>614513.92500000005</v>
      </c>
      <c r="AF56" s="417">
        <f t="shared" ref="AF56:AN56" si="131">+AF57+AF58</f>
        <v>590115.3067129883</v>
      </c>
      <c r="AG56" s="417">
        <f t="shared" si="131"/>
        <v>557247.32080671936</v>
      </c>
      <c r="AH56" s="417">
        <f t="shared" si="131"/>
        <v>688107</v>
      </c>
      <c r="AI56" s="417">
        <f t="shared" si="131"/>
        <v>751819</v>
      </c>
      <c r="AJ56" s="417">
        <f t="shared" si="131"/>
        <v>811587</v>
      </c>
      <c r="AK56" s="417">
        <f t="shared" si="131"/>
        <v>936397</v>
      </c>
      <c r="AL56" s="417">
        <f t="shared" si="131"/>
        <v>860700</v>
      </c>
      <c r="AM56" s="417">
        <f t="shared" si="131"/>
        <v>846359</v>
      </c>
      <c r="AN56" s="417">
        <f t="shared" si="131"/>
        <v>790349</v>
      </c>
      <c r="AO56" s="877"/>
      <c r="AP56" s="359">
        <f t="shared" si="87"/>
        <v>0.88164174167233</v>
      </c>
      <c r="AQ56" s="390">
        <f t="shared" si="16"/>
        <v>0.18237857123480739</v>
      </c>
      <c r="AR56" s="391">
        <f t="shared" si="17"/>
        <v>5.4838565184093468E-2</v>
      </c>
      <c r="AS56" s="391">
        <f t="shared" si="18"/>
        <v>-0.13929205149774537</v>
      </c>
      <c r="AT56" s="391">
        <f t="shared" si="83"/>
        <v>-0.1612676456259674</v>
      </c>
      <c r="AU56" s="391">
        <f t="shared" si="20"/>
        <v>-0.11835825832767</v>
      </c>
      <c r="AV56" s="320">
        <f t="shared" si="21"/>
        <v>-3.6340163806496385E-2</v>
      </c>
      <c r="AW56" s="392">
        <f t="shared" si="22"/>
        <v>592182.38830412703</v>
      </c>
      <c r="AX56" s="401"/>
      <c r="AY56" s="388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12"/>
    </row>
    <row r="57" spans="1:62" ht="17.45" customHeight="1" x14ac:dyDescent="0.2">
      <c r="A57" s="206"/>
      <c r="B57" s="185" t="s">
        <v>137</v>
      </c>
      <c r="C57" s="977"/>
      <c r="D57" s="120"/>
      <c r="E57" s="206" t="s">
        <v>180</v>
      </c>
      <c r="F57" s="195">
        <v>584404</v>
      </c>
      <c r="G57" s="195">
        <v>556194</v>
      </c>
      <c r="H57" s="195">
        <v>683651</v>
      </c>
      <c r="I57" s="195">
        <v>709572</v>
      </c>
      <c r="J57" s="195">
        <v>742645</v>
      </c>
      <c r="K57" s="195">
        <v>699041</v>
      </c>
      <c r="L57" s="195"/>
      <c r="M57" s="195">
        <v>807232</v>
      </c>
      <c r="N57" s="195">
        <v>732204</v>
      </c>
      <c r="O57" s="195">
        <v>577000</v>
      </c>
      <c r="P57" s="195">
        <v>743078</v>
      </c>
      <c r="Q57" s="195">
        <v>656477</v>
      </c>
      <c r="R57" s="195">
        <v>629078</v>
      </c>
      <c r="S57" s="195">
        <v>591401</v>
      </c>
      <c r="T57" s="195">
        <v>495863</v>
      </c>
      <c r="U57" s="195">
        <v>373046</v>
      </c>
      <c r="V57" s="195">
        <v>352879</v>
      </c>
      <c r="W57" s="208">
        <v>532155</v>
      </c>
      <c r="X57" s="305">
        <v>421758</v>
      </c>
      <c r="Y57" s="311">
        <v>377310</v>
      </c>
      <c r="Z57" s="311">
        <v>395359</v>
      </c>
      <c r="AA57" s="311">
        <v>394601</v>
      </c>
      <c r="AB57" s="482">
        <v>389636</v>
      </c>
      <c r="AC57" s="502">
        <v>376972.21261199994</v>
      </c>
      <c r="AD57" s="328">
        <v>352909.67599999998</v>
      </c>
      <c r="AE57" s="311">
        <v>303425</v>
      </c>
      <c r="AF57" s="431">
        <f>[2]Rekap!G34</f>
        <v>283789.06294898834</v>
      </c>
      <c r="AG57" s="431">
        <f>[2]Rekap!H34</f>
        <v>257404.1431362016</v>
      </c>
      <c r="AH57" s="431">
        <f>[2]Rekap!I34</f>
        <v>347201</v>
      </c>
      <c r="AI57" s="431">
        <f>[2]Rekap!J34</f>
        <v>407900</v>
      </c>
      <c r="AJ57" s="431">
        <f>[2]Rekap!K34</f>
        <v>423437</v>
      </c>
      <c r="AK57" s="431">
        <f>[2]Rekap!L34</f>
        <v>474554</v>
      </c>
      <c r="AL57" s="431">
        <f>[2]Rekap!M34</f>
        <v>472037</v>
      </c>
      <c r="AM57" s="431">
        <f>[2]Rekap!N34</f>
        <v>431517</v>
      </c>
      <c r="AN57" s="431">
        <f>[2]Rekap!O34</f>
        <v>399067</v>
      </c>
      <c r="AO57" s="883"/>
      <c r="AP57" s="359">
        <f t="shared" si="87"/>
        <v>0.85978090325865708</v>
      </c>
      <c r="AQ57" s="390">
        <f t="shared" si="16"/>
        <v>-1.917244833176901E-3</v>
      </c>
      <c r="AR57" s="391">
        <f t="shared" si="17"/>
        <v>-1.2582329999163755E-2</v>
      </c>
      <c r="AS57" s="391">
        <f t="shared" si="18"/>
        <v>-3.2501584525044036E-2</v>
      </c>
      <c r="AT57" s="391">
        <f t="shared" si="83"/>
        <v>-6.3831061831515989E-2</v>
      </c>
      <c r="AU57" s="391">
        <f t="shared" si="20"/>
        <v>-0.14021909674134292</v>
      </c>
      <c r="AV57" s="320">
        <f t="shared" si="21"/>
        <v>-5.0210263586048721E-2</v>
      </c>
      <c r="AW57" s="392">
        <f t="shared" si="22"/>
        <v>288189.95077140315</v>
      </c>
      <c r="AX57" s="401"/>
      <c r="AY57" s="388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12"/>
    </row>
    <row r="58" spans="1:62" ht="17.45" customHeight="1" thickBot="1" x14ac:dyDescent="0.25">
      <c r="A58" s="206"/>
      <c r="B58" s="185" t="s">
        <v>138</v>
      </c>
      <c r="C58" s="978"/>
      <c r="D58" s="120"/>
      <c r="E58" s="206" t="s">
        <v>180</v>
      </c>
      <c r="F58" s="195">
        <v>477522</v>
      </c>
      <c r="G58" s="195">
        <v>558400</v>
      </c>
      <c r="H58" s="195">
        <v>617894</v>
      </c>
      <c r="I58" s="195">
        <v>803374</v>
      </c>
      <c r="J58" s="195">
        <v>797730</v>
      </c>
      <c r="K58" s="195">
        <v>849213</v>
      </c>
      <c r="L58" s="195"/>
      <c r="M58" s="195">
        <v>911735</v>
      </c>
      <c r="N58" s="195">
        <v>984691</v>
      </c>
      <c r="O58" s="195">
        <v>891395</v>
      </c>
      <c r="P58" s="195">
        <v>850551</v>
      </c>
      <c r="Q58" s="195">
        <v>762870</v>
      </c>
      <c r="R58" s="195">
        <v>789563</v>
      </c>
      <c r="S58" s="195">
        <v>564105</v>
      </c>
      <c r="T58" s="195">
        <v>394261</v>
      </c>
      <c r="U58" s="195">
        <v>417394</v>
      </c>
      <c r="V58" s="195">
        <v>355744</v>
      </c>
      <c r="W58" s="208">
        <v>617524</v>
      </c>
      <c r="X58" s="305">
        <v>565817</v>
      </c>
      <c r="Y58" s="311">
        <v>523145</v>
      </c>
      <c r="Z58" s="311">
        <v>378778</v>
      </c>
      <c r="AA58" s="311">
        <v>520722</v>
      </c>
      <c r="AB58" s="483">
        <v>575882</v>
      </c>
      <c r="AC58" s="503">
        <v>454056.80440999998</v>
      </c>
      <c r="AD58" s="328">
        <v>344101.24800000002</v>
      </c>
      <c r="AE58" s="311">
        <v>311088.92500000005</v>
      </c>
      <c r="AF58" s="431">
        <f>[2]Rekap!G35</f>
        <v>306326.24376399996</v>
      </c>
      <c r="AG58" s="431">
        <f>[2]Rekap!H35</f>
        <v>299843.1776705177</v>
      </c>
      <c r="AH58" s="431">
        <f>[2]Rekap!I35</f>
        <v>340906</v>
      </c>
      <c r="AI58" s="431">
        <f>[2]Rekap!J35</f>
        <v>343919</v>
      </c>
      <c r="AJ58" s="431">
        <f>[2]Rekap!K35</f>
        <v>388150</v>
      </c>
      <c r="AK58" s="431">
        <f>[2]Rekap!L35</f>
        <v>461843</v>
      </c>
      <c r="AL58" s="431">
        <f>[2]Rekap!M35</f>
        <v>388663</v>
      </c>
      <c r="AM58" s="431">
        <f>[2]Rekap!N35</f>
        <v>414842</v>
      </c>
      <c r="AN58" s="431">
        <f>[2]Rekap!O35</f>
        <v>391282</v>
      </c>
      <c r="AO58" s="883"/>
      <c r="AP58" s="359">
        <f t="shared" si="87"/>
        <v>0.90406218172158459</v>
      </c>
      <c r="AQ58" s="390">
        <f t="shared" si="16"/>
        <v>0.37474193326961958</v>
      </c>
      <c r="AR58" s="391">
        <f t="shared" si="17"/>
        <v>0.10592984356335999</v>
      </c>
      <c r="AS58" s="391">
        <f t="shared" si="18"/>
        <v>-0.2115454131054626</v>
      </c>
      <c r="AT58" s="391">
        <f t="shared" si="83"/>
        <v>-0.24216255618694205</v>
      </c>
      <c r="AU58" s="391">
        <f t="shared" si="20"/>
        <v>-9.593781827841541E-2</v>
      </c>
      <c r="AV58" s="320">
        <f t="shared" si="21"/>
        <v>-1.3794802147568097E-2</v>
      </c>
      <c r="AW58" s="392">
        <f t="shared" si="22"/>
        <v>306797.51482932537</v>
      </c>
      <c r="AX58" s="401"/>
      <c r="AY58" s="388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12"/>
    </row>
    <row r="59" spans="1:62" ht="17.45" customHeight="1" x14ac:dyDescent="0.2">
      <c r="A59" s="206">
        <v>11</v>
      </c>
      <c r="B59" s="185" t="s">
        <v>156</v>
      </c>
      <c r="C59" s="382"/>
      <c r="D59" s="120"/>
      <c r="E59" s="206" t="s">
        <v>274</v>
      </c>
      <c r="F59" s="195">
        <v>170885.93932157231</v>
      </c>
      <c r="G59" s="195">
        <v>178058.33245109877</v>
      </c>
      <c r="H59" s="195">
        <v>167467.14020644696</v>
      </c>
      <c r="I59" s="195">
        <v>194380.06115221561</v>
      </c>
      <c r="J59" s="195">
        <v>228911.75330682463</v>
      </c>
      <c r="K59" s="195">
        <v>258482.56616808352</v>
      </c>
      <c r="L59" s="195" t="e">
        <v>#DIV/0!</v>
      </c>
      <c r="M59" s="195">
        <v>284267.33497501694</v>
      </c>
      <c r="N59" s="195">
        <v>388901.54668747942</v>
      </c>
      <c r="O59" s="195">
        <v>553495.44094061886</v>
      </c>
      <c r="P59" s="195">
        <v>597964.01546407607</v>
      </c>
      <c r="Q59" s="195">
        <v>689865.76362228545</v>
      </c>
      <c r="R59" s="195">
        <v>723385.12350904848</v>
      </c>
      <c r="S59" s="195">
        <v>831596.21326068405</v>
      </c>
      <c r="T59" s="195">
        <v>1202526.3817176034</v>
      </c>
      <c r="U59" s="195">
        <v>1146938.625322605</v>
      </c>
      <c r="V59" s="195">
        <v>1316686.3268620973</v>
      </c>
      <c r="W59" s="195">
        <v>1144997.6593466525</v>
      </c>
      <c r="X59" s="306">
        <v>1379664.2585673926</v>
      </c>
      <c r="Y59" s="417">
        <f t="shared" ref="Y59" si="132">(Y53*1000)/Y56</f>
        <v>1436117.0896935437</v>
      </c>
      <c r="Z59" s="417">
        <f t="shared" ref="Z59:AB59" si="133">(Z53*1000)/Z56</f>
        <v>1742133.5719646523</v>
      </c>
      <c r="AA59" s="440">
        <f t="shared" si="133"/>
        <v>1530894.2690176037</v>
      </c>
      <c r="AB59" s="479">
        <f t="shared" si="133"/>
        <v>1577219.0181850572</v>
      </c>
      <c r="AC59" s="498">
        <f t="shared" ref="AC59:AE61" si="134">AC53*1000000/AC56</f>
        <v>1930.2315432356738</v>
      </c>
      <c r="AD59" s="438">
        <f t="shared" si="134"/>
        <v>2574.4528917426264</v>
      </c>
      <c r="AE59" s="417">
        <f t="shared" si="134"/>
        <v>2388.9899695926333</v>
      </c>
      <c r="AF59" s="417">
        <f>AF53*1000000/AF56</f>
        <v>2079.9498192114679</v>
      </c>
      <c r="AG59" s="417">
        <f t="shared" ref="AG59:AL59" si="135">AG53*1000000/AG56</f>
        <v>2398.3644819715455</v>
      </c>
      <c r="AH59" s="417">
        <f t="shared" si="135"/>
        <v>2228.316235701715</v>
      </c>
      <c r="AI59" s="417">
        <f t="shared" si="135"/>
        <v>1971.4851579968051</v>
      </c>
      <c r="AJ59" s="417">
        <f t="shared" si="135"/>
        <v>2016.4196814389584</v>
      </c>
      <c r="AK59" s="417">
        <f t="shared" si="135"/>
        <v>1959.8524984595208</v>
      </c>
      <c r="AL59" s="417">
        <f t="shared" si="135"/>
        <v>2100.0662251655631</v>
      </c>
      <c r="AM59" s="417">
        <f t="shared" ref="AM59:AN59" si="136">AM53*1000000/AM56</f>
        <v>2001.5147236574551</v>
      </c>
      <c r="AN59" s="417">
        <f t="shared" si="136"/>
        <v>1914.3441694744979</v>
      </c>
      <c r="AO59" s="877"/>
      <c r="AP59" s="359">
        <f t="shared" si="87"/>
        <v>0.92796025798535597</v>
      </c>
      <c r="AQ59" s="390">
        <f t="shared" si="16"/>
        <v>-0.12125321866613714</v>
      </c>
      <c r="AR59" s="391">
        <f t="shared" si="17"/>
        <v>3.0259927223570182E-2</v>
      </c>
      <c r="AS59" s="391">
        <f t="shared" si="18"/>
        <v>-0.99877618040298755</v>
      </c>
      <c r="AT59" s="391">
        <f t="shared" si="83"/>
        <v>0.33375340422995858</v>
      </c>
      <c r="AU59" s="391">
        <f t="shared" si="20"/>
        <v>-7.2039742014644026E-2</v>
      </c>
      <c r="AV59" s="320">
        <f t="shared" si="21"/>
        <v>-0.16561116192604802</v>
      </c>
      <c r="AW59" s="392">
        <f t="shared" si="22"/>
        <v>1993.346564898723</v>
      </c>
      <c r="AX59" s="401"/>
      <c r="AY59" s="388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12"/>
    </row>
    <row r="60" spans="1:62" ht="17.45" customHeight="1" x14ac:dyDescent="0.2">
      <c r="A60" s="206"/>
      <c r="B60" s="185" t="s">
        <v>137</v>
      </c>
      <c r="C60" s="382"/>
      <c r="D60" s="120"/>
      <c r="E60" s="206" t="s">
        <v>274</v>
      </c>
      <c r="F60" s="195">
        <v>265234.43542480888</v>
      </c>
      <c r="G60" s="195">
        <v>297999.39050043689</v>
      </c>
      <c r="H60" s="195">
        <v>264249.18415975402</v>
      </c>
      <c r="I60" s="195">
        <v>341918.02241351124</v>
      </c>
      <c r="J60" s="195">
        <v>389652.36957092554</v>
      </c>
      <c r="K60" s="195">
        <v>462543.10119148949</v>
      </c>
      <c r="L60" s="195" t="e">
        <v>#DIV/0!</v>
      </c>
      <c r="M60" s="195">
        <v>486057.58072028856</v>
      </c>
      <c r="N60" s="195">
        <v>762751.93935023574</v>
      </c>
      <c r="O60" s="195">
        <v>1147884.2270363951</v>
      </c>
      <c r="P60" s="195">
        <v>1044200.1364594295</v>
      </c>
      <c r="Q60" s="195">
        <v>1251588.0541130914</v>
      </c>
      <c r="R60" s="195">
        <v>1349267.6424863054</v>
      </c>
      <c r="S60" s="195">
        <v>1383926.8905531103</v>
      </c>
      <c r="T60" s="195">
        <v>1902983.9370955285</v>
      </c>
      <c r="U60" s="195">
        <v>2031303.5711413606</v>
      </c>
      <c r="V60" s="195">
        <v>2148323.4338115896</v>
      </c>
      <c r="W60" s="195">
        <v>1952017.3069876258</v>
      </c>
      <c r="X60" s="306">
        <v>2520208.6235081786</v>
      </c>
      <c r="Y60" s="417">
        <f t="shared" ref="Y60:Z61" si="137">(Y54*1000)/Y57</f>
        <v>2653462.6434496832</v>
      </c>
      <c r="Z60" s="417">
        <f t="shared" si="137"/>
        <v>2783913.4685184858</v>
      </c>
      <c r="AA60" s="440">
        <f t="shared" ref="AA60:AB60" si="138">(AA54*1000)/AA57</f>
        <v>2694345.1207675603</v>
      </c>
      <c r="AB60" s="484">
        <f t="shared" si="138"/>
        <v>2864133.1447812831</v>
      </c>
      <c r="AC60" s="504">
        <f t="shared" si="134"/>
        <v>3301.8348789572779</v>
      </c>
      <c r="AD60" s="438">
        <f t="shared" si="134"/>
        <v>4226.5772276530042</v>
      </c>
      <c r="AE60" s="417">
        <f t="shared" ref="AE60:AF60" si="139">AE54*1000000/AE57</f>
        <v>3953.963407761391</v>
      </c>
      <c r="AF60" s="417">
        <f t="shared" si="139"/>
        <v>3468.0753179815542</v>
      </c>
      <c r="AG60" s="417">
        <f t="shared" ref="AG60:AL60" si="140">AG54*1000000/AG57</f>
        <v>4046.3149934354219</v>
      </c>
      <c r="AH60" s="417">
        <f t="shared" si="140"/>
        <v>3530.0013536827369</v>
      </c>
      <c r="AI60" s="417">
        <f t="shared" si="140"/>
        <v>2880.3628340279479</v>
      </c>
      <c r="AJ60" s="417">
        <f t="shared" si="140"/>
        <v>2895.1178097332072</v>
      </c>
      <c r="AK60" s="417">
        <f t="shared" si="140"/>
        <v>3000.7122477104817</v>
      </c>
      <c r="AL60" s="417">
        <f t="shared" si="140"/>
        <v>3107.3835313757186</v>
      </c>
      <c r="AM60" s="417">
        <f t="shared" ref="AM60:AN60" si="141">AM54*1000000/AM57</f>
        <v>3079.8323125160769</v>
      </c>
      <c r="AN60" s="417">
        <f t="shared" si="141"/>
        <v>2939.356047981918</v>
      </c>
      <c r="AO60" s="877"/>
      <c r="AP60" s="359">
        <f t="shared" si="87"/>
        <v>0.93550009731089323</v>
      </c>
      <c r="AQ60" s="390">
        <f t="shared" si="16"/>
        <v>-3.2173538712247041E-2</v>
      </c>
      <c r="AR60" s="391">
        <f t="shared" si="17"/>
        <v>6.3016434941843613E-2</v>
      </c>
      <c r="AS60" s="391">
        <f t="shared" si="18"/>
        <v>-0.99884717828674496</v>
      </c>
      <c r="AT60" s="391">
        <f t="shared" si="83"/>
        <v>0.28006922895785769</v>
      </c>
      <c r="AU60" s="391">
        <f t="shared" si="20"/>
        <v>-6.4499902689106769E-2</v>
      </c>
      <c r="AV60" s="320">
        <f t="shared" si="21"/>
        <v>-0.15048699115767949</v>
      </c>
      <c r="AW60" s="392">
        <f t="shared" si="22"/>
        <v>3358.9433513798144</v>
      </c>
      <c r="AX60" s="401"/>
      <c r="AY60" s="388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12"/>
    </row>
    <row r="61" spans="1:62" ht="17.45" customHeight="1" thickBot="1" x14ac:dyDescent="0.25">
      <c r="A61" s="206"/>
      <c r="B61" s="185" t="s">
        <v>138</v>
      </c>
      <c r="C61" s="382"/>
      <c r="D61" s="120"/>
      <c r="E61" s="206" t="s">
        <v>274</v>
      </c>
      <c r="F61" s="195">
        <v>55419.764953237755</v>
      </c>
      <c r="G61" s="195">
        <v>58591.110315186248</v>
      </c>
      <c r="H61" s="195">
        <v>60385.438279057576</v>
      </c>
      <c r="I61" s="195">
        <v>64068.641753405012</v>
      </c>
      <c r="J61" s="195">
        <v>79270.627906685215</v>
      </c>
      <c r="K61" s="195">
        <v>90507.416867146399</v>
      </c>
      <c r="L61" s="195" t="e">
        <v>#DIV/0!</v>
      </c>
      <c r="M61" s="195">
        <v>105606.27265598008</v>
      </c>
      <c r="N61" s="195">
        <v>110911.03706645028</v>
      </c>
      <c r="O61" s="195">
        <v>168747.56869850066</v>
      </c>
      <c r="P61" s="195">
        <v>208112.91386407166</v>
      </c>
      <c r="Q61" s="195">
        <v>206483.58304822579</v>
      </c>
      <c r="R61" s="195">
        <v>224718.23654350571</v>
      </c>
      <c r="S61" s="195">
        <v>252539.27371677259</v>
      </c>
      <c r="T61" s="195">
        <v>321559.2437496988</v>
      </c>
      <c r="U61" s="195">
        <v>356537.21663464257</v>
      </c>
      <c r="V61" s="195">
        <v>491746.84604659531</v>
      </c>
      <c r="W61" s="195">
        <v>449543.65174470952</v>
      </c>
      <c r="X61" s="306">
        <v>531417.75127552811</v>
      </c>
      <c r="Y61" s="417">
        <f t="shared" si="137"/>
        <v>558125.99566085881</v>
      </c>
      <c r="Z61" s="417">
        <f t="shared" si="137"/>
        <v>654749.77955425077</v>
      </c>
      <c r="AA61" s="440">
        <f t="shared" ref="AA61:AB61" si="142">(AA55*1000)/AA58</f>
        <v>649235.97620227304</v>
      </c>
      <c r="AB61" s="485">
        <f t="shared" si="142"/>
        <v>706505.79458986386</v>
      </c>
      <c r="AC61" s="505">
        <f t="shared" si="134"/>
        <v>791.48339703217357</v>
      </c>
      <c r="AD61" s="438">
        <f t="shared" si="134"/>
        <v>880.03688050558878</v>
      </c>
      <c r="AE61" s="417">
        <f t="shared" ref="AE61" si="143">AE55*1000000/AE58</f>
        <v>862.57090637347494</v>
      </c>
      <c r="AF61" s="417">
        <f>AF55*1000000/AF58</f>
        <v>793.95215309228524</v>
      </c>
      <c r="AG61" s="417">
        <f t="shared" ref="AG61:AL61" si="144">AG55*1000000/AG58</f>
        <v>983.66066036135658</v>
      </c>
      <c r="AH61" s="417">
        <f t="shared" si="144"/>
        <v>902.59485019330839</v>
      </c>
      <c r="AI61" s="417">
        <f t="shared" si="144"/>
        <v>893.52434730270795</v>
      </c>
      <c r="AJ61" s="417">
        <f t="shared" si="144"/>
        <v>1057.8384645111425</v>
      </c>
      <c r="AK61" s="417">
        <f t="shared" si="144"/>
        <v>890.3458534610246</v>
      </c>
      <c r="AL61" s="417">
        <f t="shared" si="144"/>
        <v>876.66435961231196</v>
      </c>
      <c r="AM61" s="417">
        <f t="shared" ref="AM61:AN61" si="145">AM55*1000000/AM58</f>
        <v>879.85305248745306</v>
      </c>
      <c r="AN61" s="417">
        <f t="shared" si="145"/>
        <v>868.93851493296393</v>
      </c>
      <c r="AO61" s="877"/>
      <c r="AP61" s="359">
        <f t="shared" si="87"/>
        <v>0.98015313389811631</v>
      </c>
      <c r="AQ61" s="390">
        <f t="shared" si="16"/>
        <v>-8.4212374316972038E-3</v>
      </c>
      <c r="AR61" s="391">
        <f t="shared" si="17"/>
        <v>8.8211098101175001E-2</v>
      </c>
      <c r="AS61" s="391">
        <f t="shared" si="18"/>
        <v>-0.99887972129444225</v>
      </c>
      <c r="AT61" s="391">
        <f t="shared" si="83"/>
        <v>0.1118829324853361</v>
      </c>
      <c r="AU61" s="391">
        <f t="shared" si="20"/>
        <v>-1.9846866101883687E-2</v>
      </c>
      <c r="AV61" s="320">
        <f t="shared" si="21"/>
        <v>-0.16541075884830242</v>
      </c>
      <c r="AW61" s="392">
        <f t="shared" si="22"/>
        <v>719.89239818977035</v>
      </c>
      <c r="AX61" s="401"/>
      <c r="AY61" s="388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12"/>
    </row>
    <row r="62" spans="1:62" ht="17.45" customHeight="1" x14ac:dyDescent="0.2">
      <c r="A62" s="206"/>
      <c r="B62" s="185"/>
      <c r="C62" s="382"/>
      <c r="D62" s="120"/>
      <c r="E62" s="206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87">
        <v>10.87761386582018</v>
      </c>
      <c r="V62" s="187">
        <v>37.923005819195396</v>
      </c>
      <c r="W62" s="187">
        <v>-8.5823009626149798</v>
      </c>
      <c r="X62" s="419">
        <v>18.212713985184664</v>
      </c>
      <c r="Y62" s="428">
        <f>Y61/X61*100-100</f>
        <v>5.0258472399961533</v>
      </c>
      <c r="Z62" s="428">
        <f>Z61/Y61*100-100</f>
        <v>17.312181235884367</v>
      </c>
      <c r="AA62" s="428">
        <f>AA61/Z61*100-100</f>
        <v>-0.84212374316972216</v>
      </c>
      <c r="AB62" s="486">
        <f>AB61/AA61*100-100</f>
        <v>8.8211098101175054</v>
      </c>
      <c r="AC62" s="506"/>
      <c r="AD62" s="429">
        <f>AD61/AC61*100-100</f>
        <v>11.188293248533611</v>
      </c>
      <c r="AE62" s="428">
        <f t="shared" ref="AE62:AF62" si="146">AE61/AD61*100-100</f>
        <v>-1.984686610188362</v>
      </c>
      <c r="AF62" s="428">
        <f t="shared" si="146"/>
        <v>-7.955143487239198</v>
      </c>
      <c r="AG62" s="428">
        <f t="shared" ref="AG62" si="147">AG61/AF61*100-100</f>
        <v>23.894198980403857</v>
      </c>
      <c r="AH62" s="428">
        <f t="shared" ref="AH62" si="148">AH61/AG61*100-100</f>
        <v>-8.241237393621887</v>
      </c>
      <c r="AI62" s="428">
        <f t="shared" ref="AI62" si="149">AI61/AH61*100-100</f>
        <v>-1.0049362555811001</v>
      </c>
      <c r="AJ62" s="428">
        <f t="shared" ref="AJ62" si="150">AJ61/AI61*100-100</f>
        <v>18.389439269836515</v>
      </c>
      <c r="AK62" s="428">
        <f t="shared" ref="AK62" si="151">AK61/AJ61*100-100</f>
        <v>-15.833477101583853</v>
      </c>
      <c r="AL62" s="428">
        <f t="shared" ref="AL62" si="152">AL61/AK61*100-100</f>
        <v>-1.5366493588450822</v>
      </c>
      <c r="AM62" s="428">
        <f t="shared" ref="AM62" si="153">AM61/AL61*100-100</f>
        <v>0.36373018250121447</v>
      </c>
      <c r="AN62" s="428">
        <f t="shared" ref="AN62" si="154">AN61/AM61*100-100</f>
        <v>-1.2404955036107879</v>
      </c>
      <c r="AO62" s="868"/>
      <c r="AP62" s="359"/>
      <c r="AQ62" s="390">
        <f t="shared" si="16"/>
        <v>-1.048643422321861</v>
      </c>
      <c r="AR62" s="391">
        <f t="shared" si="17"/>
        <v>-11.47483802904687</v>
      </c>
      <c r="AS62" s="391">
        <f t="shared" si="18"/>
        <v>-1</v>
      </c>
      <c r="AT62" s="391" t="e">
        <f t="shared" si="83"/>
        <v>#DIV/0!</v>
      </c>
      <c r="AU62" s="391">
        <f t="shared" si="20"/>
        <v>-1.1773895773109526</v>
      </c>
      <c r="AV62" s="320" t="e">
        <f t="shared" si="21"/>
        <v>#DIV/0!</v>
      </c>
      <c r="AW62" s="392" t="e">
        <f t="shared" si="22"/>
        <v>#DIV/0!</v>
      </c>
      <c r="AX62" s="401"/>
      <c r="AY62" s="388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12"/>
    </row>
    <row r="63" spans="1:62" ht="27" customHeight="1" x14ac:dyDescent="0.2">
      <c r="A63" s="206"/>
      <c r="B63" s="355" t="s">
        <v>202</v>
      </c>
      <c r="C63" s="382"/>
      <c r="D63" s="120"/>
      <c r="E63" s="355"/>
      <c r="F63" s="348">
        <v>2007</v>
      </c>
      <c r="G63" s="348">
        <v>2008</v>
      </c>
      <c r="H63" s="348">
        <v>2009</v>
      </c>
      <c r="I63" s="348">
        <v>2010</v>
      </c>
      <c r="J63" s="348">
        <v>2011</v>
      </c>
      <c r="K63" s="348">
        <v>2012</v>
      </c>
      <c r="L63" s="348">
        <v>2013</v>
      </c>
      <c r="M63" s="348">
        <v>2014</v>
      </c>
      <c r="N63" s="348">
        <v>2015</v>
      </c>
      <c r="O63" s="195"/>
      <c r="P63" s="195"/>
      <c r="Q63" s="195"/>
      <c r="R63" s="195"/>
      <c r="S63" s="195"/>
      <c r="T63" s="195"/>
      <c r="U63" s="195"/>
      <c r="V63" s="195"/>
      <c r="W63" s="195"/>
      <c r="X63" s="316"/>
      <c r="Y63" s="4"/>
      <c r="Z63" s="4"/>
      <c r="AA63" s="4"/>
      <c r="AB63" s="31"/>
      <c r="AC63" s="507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05"/>
      <c r="AP63" s="359"/>
      <c r="AQ63" s="390" t="e">
        <f t="shared" si="16"/>
        <v>#DIV/0!</v>
      </c>
      <c r="AR63" s="391" t="e">
        <f t="shared" si="17"/>
        <v>#DIV/0!</v>
      </c>
      <c r="AS63" s="391" t="e">
        <f t="shared" si="18"/>
        <v>#DIV/0!</v>
      </c>
      <c r="AT63" s="391" t="e">
        <f t="shared" si="83"/>
        <v>#DIV/0!</v>
      </c>
      <c r="AU63" s="391" t="e">
        <f t="shared" si="20"/>
        <v>#DIV/0!</v>
      </c>
      <c r="AV63" s="320" t="e">
        <f t="shared" si="21"/>
        <v>#DIV/0!</v>
      </c>
      <c r="AW63" s="392" t="e">
        <f t="shared" si="22"/>
        <v>#DIV/0!</v>
      </c>
      <c r="AX63" s="194"/>
    </row>
    <row r="64" spans="1:62" ht="17.45" customHeight="1" x14ac:dyDescent="0.2">
      <c r="A64" s="206"/>
      <c r="B64" s="185" t="s">
        <v>203</v>
      </c>
      <c r="C64" s="976" t="s">
        <v>300</v>
      </c>
      <c r="D64" s="120"/>
      <c r="E64" s="206" t="s">
        <v>154</v>
      </c>
      <c r="F64" s="356">
        <v>16918356</v>
      </c>
      <c r="G64" s="356">
        <v>12777434</v>
      </c>
      <c r="H64" s="356">
        <v>9718774</v>
      </c>
      <c r="I64" s="357">
        <v>8077904</v>
      </c>
      <c r="J64" s="235">
        <v>23932473</v>
      </c>
      <c r="K64" s="256">
        <v>40646372</v>
      </c>
      <c r="L64" s="256">
        <v>42237796</v>
      </c>
      <c r="M64" s="256">
        <v>29811174</v>
      </c>
      <c r="N64" s="256">
        <v>38158228</v>
      </c>
      <c r="O64" s="195"/>
      <c r="P64" s="195"/>
      <c r="Q64" s="195"/>
      <c r="R64" s="195"/>
      <c r="S64" s="195"/>
      <c r="T64" s="195"/>
      <c r="U64" s="195"/>
      <c r="V64" s="195"/>
      <c r="W64" s="256">
        <v>16918356</v>
      </c>
      <c r="X64" s="414">
        <v>12777434</v>
      </c>
      <c r="Y64" s="642">
        <v>9718774</v>
      </c>
      <c r="Z64" s="642">
        <v>8077904</v>
      </c>
      <c r="AA64" s="642">
        <v>23932473</v>
      </c>
      <c r="AB64" s="652">
        <v>40646372</v>
      </c>
      <c r="AC64" s="653">
        <v>42237796</v>
      </c>
      <c r="AD64" s="642">
        <v>29708748</v>
      </c>
      <c r="AE64" s="642">
        <v>38158228</v>
      </c>
      <c r="AF64" s="431">
        <f>[2]Rekap!G37</f>
        <v>38456014</v>
      </c>
      <c r="AG64" s="431">
        <f>[2]Rekap!H37</f>
        <v>49292712</v>
      </c>
      <c r="AH64" s="431">
        <f>[2]Rekap!I37</f>
        <v>38304975</v>
      </c>
      <c r="AI64" s="431">
        <f>[2]Rekap!J37</f>
        <v>27329056</v>
      </c>
      <c r="AJ64" s="431">
        <f>[2]Rekap!K37</f>
        <v>23492087</v>
      </c>
      <c r="AK64" s="431">
        <f>[2]Rekap!L37</f>
        <v>15976261</v>
      </c>
      <c r="AL64" s="431">
        <f>[2]Rekap!M37</f>
        <v>20833308</v>
      </c>
      <c r="AM64" s="431">
        <f>[2]Rekap!N37</f>
        <v>17758449</v>
      </c>
      <c r="AN64" s="431">
        <f>[2]Rekap!O37</f>
        <v>16704952.000000002</v>
      </c>
      <c r="AO64" s="883"/>
      <c r="AP64" s="359">
        <f t="shared" si="87"/>
        <v>1.2844105042730174</v>
      </c>
      <c r="AQ64" s="390">
        <f t="shared" si="16"/>
        <v>1.962708271848737</v>
      </c>
      <c r="AR64" s="391">
        <f t="shared" si="17"/>
        <v>0.69837743053131196</v>
      </c>
      <c r="AS64" s="391">
        <f t="shared" si="18"/>
        <v>3.9152916279957317E-2</v>
      </c>
      <c r="AT64" s="391">
        <f t="shared" si="83"/>
        <v>-0.29663119732857268</v>
      </c>
      <c r="AU64" s="391">
        <f t="shared" si="20"/>
        <v>0.28441050427301739</v>
      </c>
      <c r="AV64" s="320">
        <f t="shared" si="21"/>
        <v>0.53760358512089024</v>
      </c>
      <c r="AW64" s="392">
        <f t="shared" si="22"/>
        <v>58672228.17466034</v>
      </c>
      <c r="AX64" s="194"/>
    </row>
    <row r="65" spans="1:62" ht="17.45" customHeight="1" x14ac:dyDescent="0.2">
      <c r="A65" s="206"/>
      <c r="B65" s="185" t="s">
        <v>204</v>
      </c>
      <c r="C65" s="977"/>
      <c r="D65" s="120"/>
      <c r="E65" s="206" t="s">
        <v>154</v>
      </c>
      <c r="F65" s="356">
        <v>272528</v>
      </c>
      <c r="G65" s="356">
        <v>271964</v>
      </c>
      <c r="H65" s="356">
        <v>192619</v>
      </c>
      <c r="I65" s="357">
        <v>28722</v>
      </c>
      <c r="J65" s="235">
        <v>339582</v>
      </c>
      <c r="K65" s="256">
        <v>367931</v>
      </c>
      <c r="L65" s="256">
        <v>975266</v>
      </c>
      <c r="M65" s="256">
        <v>1014200</v>
      </c>
      <c r="N65" s="256">
        <v>774572</v>
      </c>
      <c r="O65" s="195"/>
      <c r="P65" s="195"/>
      <c r="Q65" s="195"/>
      <c r="R65" s="195"/>
      <c r="S65" s="195"/>
      <c r="T65" s="195"/>
      <c r="U65" s="195"/>
      <c r="V65" s="195"/>
      <c r="W65" s="256">
        <v>272528</v>
      </c>
      <c r="X65" s="414">
        <v>271964</v>
      </c>
      <c r="Y65" s="642">
        <v>192619</v>
      </c>
      <c r="Z65" s="642">
        <v>28722</v>
      </c>
      <c r="AA65" s="642">
        <v>339582</v>
      </c>
      <c r="AB65" s="652">
        <v>367931</v>
      </c>
      <c r="AC65" s="653">
        <v>975266</v>
      </c>
      <c r="AD65" s="642">
        <v>1014200</v>
      </c>
      <c r="AE65" s="642">
        <v>774572</v>
      </c>
      <c r="AF65" s="431">
        <f>[2]Rekap!G38</f>
        <v>305815</v>
      </c>
      <c r="AG65" s="431">
        <f>[2]Rekap!H38</f>
        <v>211048</v>
      </c>
      <c r="AH65" s="431">
        <f>[2]Rekap!I38</f>
        <v>84201</v>
      </c>
      <c r="AI65" s="431">
        <f>[2]Rekap!J38</f>
        <v>288541</v>
      </c>
      <c r="AJ65" s="431">
        <f>[2]Rekap!K38</f>
        <v>18531</v>
      </c>
      <c r="AK65" s="431">
        <f>[2]Rekap!L38</f>
        <v>44654</v>
      </c>
      <c r="AL65" s="431">
        <f>[2]Rekap!M38</f>
        <v>39049</v>
      </c>
      <c r="AM65" s="431">
        <f>[2]Rekap!N38</f>
        <v>318595</v>
      </c>
      <c r="AN65" s="431">
        <f>[2]Rekap!O38</f>
        <v>160309</v>
      </c>
      <c r="AO65" s="883"/>
      <c r="AP65" s="359">
        <f t="shared" si="87"/>
        <v>0.7637270755275094</v>
      </c>
      <c r="AQ65" s="390">
        <f t="shared" si="16"/>
        <v>10.823062460831418</v>
      </c>
      <c r="AR65" s="391">
        <f t="shared" si="17"/>
        <v>8.3482045573675778E-2</v>
      </c>
      <c r="AS65" s="391">
        <f t="shared" si="18"/>
        <v>1.6506763496416448</v>
      </c>
      <c r="AT65" s="391">
        <f t="shared" si="83"/>
        <v>3.9921416311037294E-2</v>
      </c>
      <c r="AU65" s="391">
        <f t="shared" si="20"/>
        <v>-0.2362729244724906</v>
      </c>
      <c r="AV65" s="320">
        <f t="shared" si="21"/>
        <v>2.4721738695770568</v>
      </c>
      <c r="AW65" s="392">
        <f t="shared" si="22"/>
        <v>2689448.65850604</v>
      </c>
      <c r="AX65" s="194"/>
    </row>
    <row r="66" spans="1:62" ht="17.45" customHeight="1" x14ac:dyDescent="0.2">
      <c r="A66" s="206"/>
      <c r="B66" s="185" t="s">
        <v>205</v>
      </c>
      <c r="C66" s="977"/>
      <c r="D66" s="120"/>
      <c r="E66" s="206" t="s">
        <v>154</v>
      </c>
      <c r="F66" s="356">
        <v>593150</v>
      </c>
      <c r="G66" s="356">
        <v>707604</v>
      </c>
      <c r="H66" s="356">
        <v>471534</v>
      </c>
      <c r="I66" s="357">
        <v>1292101</v>
      </c>
      <c r="J66" s="235">
        <v>1656549</v>
      </c>
      <c r="K66" s="256">
        <v>4638857</v>
      </c>
      <c r="L66" s="256">
        <v>1228118</v>
      </c>
      <c r="M66" s="256">
        <v>2328120</v>
      </c>
      <c r="N66" s="256">
        <v>1669381</v>
      </c>
      <c r="O66" s="195"/>
      <c r="P66" s="195"/>
      <c r="Q66" s="195"/>
      <c r="R66" s="195"/>
      <c r="S66" s="195"/>
      <c r="T66" s="195"/>
      <c r="U66" s="195"/>
      <c r="V66" s="195"/>
      <c r="W66" s="256">
        <v>593150</v>
      </c>
      <c r="X66" s="414">
        <v>707604</v>
      </c>
      <c r="Y66" s="642">
        <v>471534</v>
      </c>
      <c r="Z66" s="642">
        <v>1292101</v>
      </c>
      <c r="AA66" s="642">
        <v>1656549</v>
      </c>
      <c r="AB66" s="652">
        <v>4638857</v>
      </c>
      <c r="AC66" s="653">
        <v>1228118</v>
      </c>
      <c r="AD66" s="642">
        <v>2328120</v>
      </c>
      <c r="AE66" s="642">
        <v>1669381</v>
      </c>
      <c r="AF66" s="431">
        <f>[2]Rekap!G39</f>
        <v>1120886</v>
      </c>
      <c r="AG66" s="431">
        <f>[2]Rekap!H39</f>
        <v>1702742</v>
      </c>
      <c r="AH66" s="431">
        <f>[2]Rekap!I39</f>
        <v>963923</v>
      </c>
      <c r="AI66" s="431">
        <f>[2]Rekap!J39</f>
        <v>4125921</v>
      </c>
      <c r="AJ66" s="431">
        <f>[2]Rekap!K39</f>
        <v>1804012</v>
      </c>
      <c r="AK66" s="431">
        <f>[2]Rekap!L39</f>
        <v>1142998</v>
      </c>
      <c r="AL66" s="431">
        <f>[2]Rekap!M39</f>
        <v>5017771</v>
      </c>
      <c r="AM66" s="431">
        <f>[2]Rekap!N39</f>
        <v>18942706</v>
      </c>
      <c r="AN66" s="431">
        <f>[2]Rekap!O39</f>
        <v>4577197</v>
      </c>
      <c r="AO66" s="883"/>
      <c r="AP66" s="359">
        <f t="shared" si="87"/>
        <v>0.71705109702249026</v>
      </c>
      <c r="AQ66" s="390">
        <f t="shared" si="16"/>
        <v>0.28205844589548335</v>
      </c>
      <c r="AR66" s="391">
        <f t="shared" si="17"/>
        <v>1.8003137848623858</v>
      </c>
      <c r="AS66" s="391">
        <f t="shared" si="18"/>
        <v>-0.73525418007065102</v>
      </c>
      <c r="AT66" s="391">
        <f t="shared" si="83"/>
        <v>0.89568103390716525</v>
      </c>
      <c r="AU66" s="391">
        <f t="shared" si="20"/>
        <v>-0.28294890297750974</v>
      </c>
      <c r="AV66" s="320">
        <f t="shared" si="21"/>
        <v>0.39197003632337468</v>
      </c>
      <c r="AW66" s="392">
        <f t="shared" si="22"/>
        <v>2323728.3312075515</v>
      </c>
      <c r="AX66" s="194"/>
    </row>
    <row r="67" spans="1:62" ht="17.45" customHeight="1" x14ac:dyDescent="0.2">
      <c r="A67" s="206"/>
      <c r="B67" s="185" t="s">
        <v>206</v>
      </c>
      <c r="C67" s="977"/>
      <c r="D67" s="120"/>
      <c r="E67" s="206" t="s">
        <v>154</v>
      </c>
      <c r="F67" s="356">
        <v>89897</v>
      </c>
      <c r="G67" s="356">
        <v>79529</v>
      </c>
      <c r="H67" s="356">
        <v>29710</v>
      </c>
      <c r="I67" s="357">
        <v>34813</v>
      </c>
      <c r="J67" s="235">
        <v>233255</v>
      </c>
      <c r="K67" s="256">
        <v>131288</v>
      </c>
      <c r="L67" s="256">
        <v>236050</v>
      </c>
      <c r="M67" s="256">
        <v>182068</v>
      </c>
      <c r="N67" s="256">
        <v>43287</v>
      </c>
      <c r="O67" s="195"/>
      <c r="P67" s="195"/>
      <c r="Q67" s="195"/>
      <c r="R67" s="195"/>
      <c r="S67" s="195"/>
      <c r="T67" s="195"/>
      <c r="U67" s="195"/>
      <c r="V67" s="195"/>
      <c r="W67" s="256">
        <v>89897</v>
      </c>
      <c r="X67" s="414">
        <v>79529</v>
      </c>
      <c r="Y67" s="642">
        <v>29710</v>
      </c>
      <c r="Z67" s="642">
        <v>34813</v>
      </c>
      <c r="AA67" s="642">
        <v>233255</v>
      </c>
      <c r="AB67" s="652">
        <v>131288</v>
      </c>
      <c r="AC67" s="653">
        <v>236050</v>
      </c>
      <c r="AD67" s="642">
        <v>182068</v>
      </c>
      <c r="AE67" s="642">
        <v>43287</v>
      </c>
      <c r="AF67" s="431">
        <f>[2]Rekap!G40</f>
        <v>107205</v>
      </c>
      <c r="AG67" s="431">
        <f>[2]Rekap!H40</f>
        <v>184927</v>
      </c>
      <c r="AH67" s="431">
        <f>[2]Rekap!I40</f>
        <v>18475</v>
      </c>
      <c r="AI67" s="431">
        <f>[2]Rekap!J40</f>
        <v>143100</v>
      </c>
      <c r="AJ67" s="431">
        <f>[2]Rekap!K40</f>
        <v>4500</v>
      </c>
      <c r="AK67" s="431">
        <f>[2]Rekap!L40</f>
        <v>15975</v>
      </c>
      <c r="AL67" s="431">
        <f>[2]Rekap!M40</f>
        <v>0</v>
      </c>
      <c r="AM67" s="431">
        <f>[2]Rekap!N40</f>
        <v>0</v>
      </c>
      <c r="AN67" s="431">
        <f>[2]Rekap!O40</f>
        <v>57285</v>
      </c>
      <c r="AO67" s="883"/>
      <c r="AP67" s="359">
        <f t="shared" si="87"/>
        <v>0.23775182898697189</v>
      </c>
      <c r="AQ67" s="390">
        <f t="shared" si="16"/>
        <v>5.7002269267227756</v>
      </c>
      <c r="AR67" s="391">
        <f t="shared" si="17"/>
        <v>-0.43714818546226231</v>
      </c>
      <c r="AS67" s="391">
        <f t="shared" si="18"/>
        <v>0.79795563951008464</v>
      </c>
      <c r="AT67" s="391">
        <f t="shared" si="83"/>
        <v>-0.22868883711078158</v>
      </c>
      <c r="AU67" s="391">
        <f t="shared" si="20"/>
        <v>-0.76224817101302811</v>
      </c>
      <c r="AV67" s="320">
        <f t="shared" si="21"/>
        <v>1.0140194745293578</v>
      </c>
      <c r="AW67" s="392">
        <f t="shared" si="22"/>
        <v>87180.860993952316</v>
      </c>
      <c r="AX67" s="194"/>
    </row>
    <row r="68" spans="1:62" ht="17.45" customHeight="1" x14ac:dyDescent="0.2">
      <c r="A68" s="206"/>
      <c r="B68" s="185" t="s">
        <v>207</v>
      </c>
      <c r="C68" s="977"/>
      <c r="D68" s="120"/>
      <c r="E68" s="206" t="s">
        <v>154</v>
      </c>
      <c r="F68" s="356">
        <v>2345097</v>
      </c>
      <c r="G68" s="356">
        <v>1495144</v>
      </c>
      <c r="H68" s="356">
        <v>3822571</v>
      </c>
      <c r="I68" s="357">
        <v>54750</v>
      </c>
      <c r="J68" s="235">
        <v>22995049</v>
      </c>
      <c r="K68" s="256">
        <v>27925113</v>
      </c>
      <c r="L68" s="256">
        <v>7359556</v>
      </c>
      <c r="M68" s="256">
        <v>11046629</v>
      </c>
      <c r="N68" s="256">
        <v>12879190</v>
      </c>
      <c r="O68" s="195"/>
      <c r="P68" s="195"/>
      <c r="Q68" s="195"/>
      <c r="R68" s="195"/>
      <c r="S68" s="195"/>
      <c r="T68" s="195"/>
      <c r="U68" s="195"/>
      <c r="V68" s="195"/>
      <c r="W68" s="256">
        <v>2345097</v>
      </c>
      <c r="X68" s="414">
        <v>1495144</v>
      </c>
      <c r="Y68" s="642">
        <v>3822571</v>
      </c>
      <c r="Z68" s="642">
        <v>54750</v>
      </c>
      <c r="AA68" s="642">
        <v>22995049</v>
      </c>
      <c r="AB68" s="652">
        <v>27925113</v>
      </c>
      <c r="AC68" s="653">
        <v>7359556</v>
      </c>
      <c r="AD68" s="642">
        <v>11046629</v>
      </c>
      <c r="AE68" s="642">
        <v>12879190</v>
      </c>
      <c r="AF68" s="431">
        <f>[2]Rekap!G41</f>
        <v>522062</v>
      </c>
      <c r="AG68" s="431">
        <f>[2]Rekap!H41</f>
        <v>6089975</v>
      </c>
      <c r="AH68" s="431">
        <f>[2]Rekap!I41</f>
        <v>8082052</v>
      </c>
      <c r="AI68" s="431">
        <f>[2]Rekap!J41</f>
        <v>7782911</v>
      </c>
      <c r="AJ68" s="431">
        <f>[2]Rekap!K41</f>
        <v>2712738</v>
      </c>
      <c r="AK68" s="431">
        <f>[2]Rekap!L41</f>
        <v>760082</v>
      </c>
      <c r="AL68" s="431">
        <f>[2]Rekap!M41</f>
        <v>456726</v>
      </c>
      <c r="AM68" s="431">
        <f>[2]Rekap!N41</f>
        <v>11577893</v>
      </c>
      <c r="AN68" s="431">
        <f>[2]Rekap!O41</f>
        <v>3822440</v>
      </c>
      <c r="AO68" s="883"/>
      <c r="AP68" s="359">
        <f t="shared" si="87"/>
        <v>1.1658932331302156</v>
      </c>
      <c r="AQ68" s="390">
        <f t="shared" si="16"/>
        <v>419.00089497716897</v>
      </c>
      <c r="AR68" s="391">
        <f t="shared" si="17"/>
        <v>0.21439675992862628</v>
      </c>
      <c r="AS68" s="391">
        <f t="shared" si="18"/>
        <v>-0.73645385069704106</v>
      </c>
      <c r="AT68" s="391">
        <f t="shared" si="83"/>
        <v>0.50099122827518405</v>
      </c>
      <c r="AU68" s="391">
        <f t="shared" si="20"/>
        <v>0.16589323313021564</v>
      </c>
      <c r="AV68" s="320">
        <f t="shared" si="21"/>
        <v>83.829144469561186</v>
      </c>
      <c r="AW68" s="392">
        <f t="shared" si="22"/>
        <v>1092530669.1609278</v>
      </c>
      <c r="AX68" s="194"/>
      <c r="BJ68" s="178">
        <f>AH68/AG68*100-100</f>
        <v>32.710758254344228</v>
      </c>
    </row>
    <row r="69" spans="1:62" ht="17.45" customHeight="1" x14ac:dyDescent="0.2">
      <c r="A69" s="206"/>
      <c r="B69" s="185" t="s">
        <v>208</v>
      </c>
      <c r="C69" s="978"/>
      <c r="D69" s="120"/>
      <c r="E69" s="206" t="s">
        <v>154</v>
      </c>
      <c r="F69" s="356">
        <v>11530432</v>
      </c>
      <c r="G69" s="356">
        <v>11524867</v>
      </c>
      <c r="H69" s="356">
        <v>9678490</v>
      </c>
      <c r="I69" s="357">
        <v>26469493</v>
      </c>
      <c r="J69" s="235">
        <v>33628477</v>
      </c>
      <c r="K69" s="256">
        <v>136168967</v>
      </c>
      <c r="L69" s="256">
        <v>62017916</v>
      </c>
      <c r="M69" s="256">
        <v>40947442</v>
      </c>
      <c r="N69" s="256">
        <v>46678527</v>
      </c>
      <c r="O69" s="195"/>
      <c r="P69" s="195"/>
      <c r="Q69" s="195"/>
      <c r="R69" s="195"/>
      <c r="S69" s="195"/>
      <c r="T69" s="195"/>
      <c r="U69" s="195"/>
      <c r="V69" s="195"/>
      <c r="W69" s="256">
        <v>11530432</v>
      </c>
      <c r="X69" s="414">
        <v>11524867</v>
      </c>
      <c r="Y69" s="642">
        <v>9678490</v>
      </c>
      <c r="Z69" s="642">
        <v>26469493</v>
      </c>
      <c r="AA69" s="642">
        <v>33628477</v>
      </c>
      <c r="AB69" s="652">
        <v>136168967</v>
      </c>
      <c r="AC69" s="653">
        <v>62017916</v>
      </c>
      <c r="AD69" s="642">
        <v>40947442</v>
      </c>
      <c r="AE69" s="642">
        <v>46678527</v>
      </c>
      <c r="AF69" s="431">
        <f>[2]Rekap!G42</f>
        <v>31763130</v>
      </c>
      <c r="AG69" s="431">
        <f>[2]Rekap!H42</f>
        <v>30855268</v>
      </c>
      <c r="AH69" s="431">
        <f>[2]Rekap!I42</f>
        <v>47480576</v>
      </c>
      <c r="AI69" s="431">
        <f>[2]Rekap!J42</f>
        <v>47764182</v>
      </c>
      <c r="AJ69" s="431">
        <f>[2]Rekap!K42</f>
        <v>45412984</v>
      </c>
      <c r="AK69" s="431">
        <f>[2]Rekap!L42</f>
        <v>24178170</v>
      </c>
      <c r="AL69" s="431">
        <f>[2]Rekap!M42</f>
        <v>25971685</v>
      </c>
      <c r="AM69" s="431">
        <f>[2]Rekap!N42</f>
        <v>22888350</v>
      </c>
      <c r="AN69" s="431">
        <f>[2]Rekap!O42</f>
        <v>30696326</v>
      </c>
      <c r="AO69" s="883"/>
      <c r="AP69" s="359">
        <f t="shared" si="87"/>
        <v>1.1399619785773187</v>
      </c>
      <c r="AQ69" s="390">
        <f t="shared" si="16"/>
        <v>0.27046169716964363</v>
      </c>
      <c r="AR69" s="391">
        <f t="shared" si="17"/>
        <v>3.0492159963116974</v>
      </c>
      <c r="AS69" s="391">
        <f t="shared" si="18"/>
        <v>-0.54455176266410243</v>
      </c>
      <c r="AT69" s="391">
        <f t="shared" si="83"/>
        <v>-0.33974817857472028</v>
      </c>
      <c r="AU69" s="391">
        <f t="shared" si="20"/>
        <v>0.13996197857731874</v>
      </c>
      <c r="AV69" s="320">
        <f t="shared" si="21"/>
        <v>0.51506794616396756</v>
      </c>
      <c r="AW69" s="392">
        <f t="shared" si="22"/>
        <v>70721140.03184931</v>
      </c>
      <c r="AX69" s="194"/>
    </row>
    <row r="70" spans="1:62" s="1" customFormat="1" ht="17.45" customHeight="1" x14ac:dyDescent="0.2">
      <c r="A70" s="519"/>
      <c r="B70" s="520" t="s">
        <v>279</v>
      </c>
      <c r="C70" s="521"/>
      <c r="D70" s="510"/>
      <c r="E70" s="522" t="s">
        <v>154</v>
      </c>
      <c r="F70" s="523">
        <f>SUM(F64:F69)</f>
        <v>31749460</v>
      </c>
      <c r="G70" s="523">
        <f t="shared" ref="G70:N70" si="155">SUM(G64:G69)</f>
        <v>26856542</v>
      </c>
      <c r="H70" s="523">
        <f t="shared" si="155"/>
        <v>23913698</v>
      </c>
      <c r="I70" s="523">
        <f t="shared" si="155"/>
        <v>35957783</v>
      </c>
      <c r="J70" s="523">
        <f t="shared" si="155"/>
        <v>82785385</v>
      </c>
      <c r="K70" s="523">
        <f t="shared" si="155"/>
        <v>209878528</v>
      </c>
      <c r="L70" s="523">
        <f t="shared" si="155"/>
        <v>114054702</v>
      </c>
      <c r="M70" s="523">
        <f t="shared" si="155"/>
        <v>85329633</v>
      </c>
      <c r="N70" s="524">
        <f t="shared" si="155"/>
        <v>100203185</v>
      </c>
      <c r="O70" s="525"/>
      <c r="P70" s="525"/>
      <c r="Q70" s="525"/>
      <c r="R70" s="525"/>
      <c r="S70" s="525"/>
      <c r="T70" s="525"/>
      <c r="U70" s="525"/>
      <c r="V70" s="525"/>
      <c r="W70" s="524">
        <f>SUM(W64:W69)</f>
        <v>31749460</v>
      </c>
      <c r="X70" s="526">
        <f t="shared" ref="X70:AE70" si="156">SUM(X64:X69)</f>
        <v>26856542</v>
      </c>
      <c r="Y70" s="527">
        <f t="shared" si="156"/>
        <v>23913698</v>
      </c>
      <c r="Z70" s="527">
        <f t="shared" si="156"/>
        <v>35957783</v>
      </c>
      <c r="AA70" s="527">
        <f t="shared" si="156"/>
        <v>82785385</v>
      </c>
      <c r="AB70" s="528">
        <f t="shared" si="156"/>
        <v>209878528</v>
      </c>
      <c r="AC70" s="529">
        <f t="shared" si="156"/>
        <v>114054702</v>
      </c>
      <c r="AD70" s="527">
        <f t="shared" si="156"/>
        <v>85227207</v>
      </c>
      <c r="AE70" s="527">
        <f t="shared" si="156"/>
        <v>100203185</v>
      </c>
      <c r="AF70" s="527">
        <f t="shared" ref="AF70:AG70" si="157">SUM(AF64:AF69)</f>
        <v>72275112</v>
      </c>
      <c r="AG70" s="527">
        <f t="shared" si="157"/>
        <v>88336672</v>
      </c>
      <c r="AH70" s="527">
        <f t="shared" ref="AH70:AJ70" si="158">SUM(AH64:AH69)</f>
        <v>94934202</v>
      </c>
      <c r="AI70" s="527">
        <f t="shared" si="158"/>
        <v>87433711</v>
      </c>
      <c r="AJ70" s="527">
        <f t="shared" si="158"/>
        <v>73444852</v>
      </c>
      <c r="AK70" s="527">
        <f t="shared" ref="AK70" si="159">SUM(AK64:AK69)</f>
        <v>42118140</v>
      </c>
      <c r="AL70" s="527">
        <f t="shared" ref="AL70:AN70" si="160">SUM(AL64:AL69)</f>
        <v>52318539</v>
      </c>
      <c r="AM70" s="527">
        <f t="shared" si="160"/>
        <v>71485993</v>
      </c>
      <c r="AN70" s="527">
        <f t="shared" si="160"/>
        <v>56018509</v>
      </c>
      <c r="AO70" s="874"/>
      <c r="AP70" s="466">
        <f t="shared" si="87"/>
        <v>1.1757182773806021</v>
      </c>
      <c r="AQ70" s="390">
        <f t="shared" si="16"/>
        <v>1.3022939150614485</v>
      </c>
      <c r="AR70" s="391">
        <f t="shared" si="17"/>
        <v>1.5352123203872279</v>
      </c>
      <c r="AS70" s="391">
        <f t="shared" si="18"/>
        <v>-0.45656802967476506</v>
      </c>
      <c r="AT70" s="391">
        <f t="shared" si="83"/>
        <v>-0.25275148235449341</v>
      </c>
      <c r="AU70" s="391">
        <f t="shared" si="20"/>
        <v>0.17571827738060208</v>
      </c>
      <c r="AV70" s="467">
        <f t="shared" si="21"/>
        <v>0.46078100016000401</v>
      </c>
      <c r="AW70" s="468">
        <f t="shared" si="22"/>
        <v>146374908.80351791</v>
      </c>
      <c r="AX70" s="530"/>
    </row>
    <row r="71" spans="1:62" ht="17.45" hidden="1" customHeight="1" x14ac:dyDescent="0.2">
      <c r="A71" s="345"/>
      <c r="B71" s="345" t="s">
        <v>283</v>
      </c>
      <c r="C71" s="382"/>
      <c r="D71" s="120"/>
      <c r="E71" s="345"/>
      <c r="F71" s="345"/>
      <c r="G71" s="345"/>
      <c r="H71" s="345"/>
      <c r="I71" s="345"/>
      <c r="J71" s="345"/>
      <c r="K71" s="345"/>
      <c r="L71" s="345"/>
      <c r="M71" s="345"/>
      <c r="N71" s="345"/>
      <c r="O71" s="345"/>
      <c r="P71" s="345"/>
      <c r="Q71" s="345"/>
      <c r="R71" s="345"/>
      <c r="S71" s="345"/>
      <c r="T71" s="345"/>
      <c r="U71" s="345"/>
      <c r="V71" s="345"/>
      <c r="W71" s="345"/>
      <c r="X71" s="420"/>
      <c r="Y71" s="346"/>
      <c r="Z71" s="346"/>
      <c r="AA71" s="346"/>
      <c r="AB71" s="487"/>
      <c r="AC71" s="508"/>
      <c r="AD71" s="346"/>
      <c r="AE71" s="346"/>
      <c r="AF71" s="346"/>
      <c r="AG71" s="346"/>
      <c r="AH71" s="346"/>
      <c r="AI71" s="346"/>
      <c r="AJ71" s="346"/>
      <c r="AK71" s="346"/>
      <c r="AL71" s="346"/>
      <c r="AM71" s="346"/>
      <c r="AN71" s="346"/>
      <c r="AO71" s="405"/>
      <c r="AQ71" s="390" t="e">
        <f t="shared" si="16"/>
        <v>#DIV/0!</v>
      </c>
      <c r="AR71" s="391" t="e">
        <f t="shared" si="17"/>
        <v>#DIV/0!</v>
      </c>
      <c r="AS71" s="391" t="e">
        <f t="shared" si="18"/>
        <v>#DIV/0!</v>
      </c>
      <c r="AT71" s="391" t="e">
        <f t="shared" si="83"/>
        <v>#DIV/0!</v>
      </c>
      <c r="AU71" s="391" t="e">
        <f t="shared" si="20"/>
        <v>#DIV/0!</v>
      </c>
      <c r="AV71" s="320" t="e">
        <f t="shared" si="21"/>
        <v>#DIV/0!</v>
      </c>
      <c r="AW71" s="392" t="e">
        <f t="shared" si="22"/>
        <v>#DIV/0!</v>
      </c>
      <c r="AX71" s="194"/>
    </row>
    <row r="72" spans="1:62" ht="26.25" hidden="1" customHeight="1" x14ac:dyDescent="0.2">
      <c r="A72" s="206"/>
      <c r="B72" s="355" t="s">
        <v>202</v>
      </c>
      <c r="C72" s="382"/>
      <c r="D72" s="120"/>
      <c r="E72" s="355"/>
      <c r="F72" s="348">
        <v>2007</v>
      </c>
      <c r="G72" s="348">
        <v>2008</v>
      </c>
      <c r="H72" s="348">
        <v>2009</v>
      </c>
      <c r="I72" s="348">
        <v>2010</v>
      </c>
      <c r="J72" s="348">
        <v>2011</v>
      </c>
      <c r="K72" s="348">
        <v>2012</v>
      </c>
      <c r="L72" s="348">
        <v>2013</v>
      </c>
      <c r="M72" s="348">
        <v>2014</v>
      </c>
      <c r="N72" s="348">
        <v>2015</v>
      </c>
      <c r="O72" s="195"/>
      <c r="P72" s="195"/>
      <c r="Q72" s="195"/>
      <c r="R72" s="195"/>
      <c r="S72" s="195"/>
      <c r="T72" s="195"/>
      <c r="U72" s="195"/>
      <c r="V72" s="195"/>
      <c r="W72" s="195"/>
      <c r="X72" s="316"/>
      <c r="Y72" s="4"/>
      <c r="Z72" s="4"/>
      <c r="AA72" s="4"/>
      <c r="AB72" s="31"/>
      <c r="AC72" s="507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05"/>
      <c r="AQ72" s="390" t="e">
        <f t="shared" ref="AQ72:AQ79" si="161">AA72/Z72-1</f>
        <v>#DIV/0!</v>
      </c>
      <c r="AR72" s="391" t="e">
        <f t="shared" ref="AR72:AR79" si="162">AB72/AA72-1</f>
        <v>#DIV/0!</v>
      </c>
      <c r="AS72" s="391" t="e">
        <f t="shared" ref="AS72:AS79" si="163">AC72/AB72-1</f>
        <v>#DIV/0!</v>
      </c>
      <c r="AT72" s="391" t="e">
        <f t="shared" ref="AT72:AT79" si="164">AD72/AC72-1</f>
        <v>#DIV/0!</v>
      </c>
      <c r="AU72" s="391" t="e">
        <f t="shared" ref="AU72:AU79" si="165">AE72/AD72-1</f>
        <v>#DIV/0!</v>
      </c>
      <c r="AV72" s="320" t="e">
        <f t="shared" ref="AV72:AV79" si="166">AVERAGE(AQ72:AU72)</f>
        <v>#DIV/0!</v>
      </c>
      <c r="AW72" s="392" t="e">
        <f t="shared" ref="AW72:AW79" si="167">(1+AV72)*AE72</f>
        <v>#DIV/0!</v>
      </c>
      <c r="AX72" s="194"/>
    </row>
    <row r="73" spans="1:62" ht="17.45" hidden="1" customHeight="1" x14ac:dyDescent="0.2">
      <c r="A73" s="206"/>
      <c r="B73" s="185" t="s">
        <v>203</v>
      </c>
      <c r="C73" s="382"/>
      <c r="D73" s="120"/>
      <c r="E73" s="206" t="s">
        <v>284</v>
      </c>
      <c r="F73" s="356">
        <v>16918356</v>
      </c>
      <c r="G73" s="356">
        <v>12777434</v>
      </c>
      <c r="H73" s="356">
        <v>9718774</v>
      </c>
      <c r="I73" s="357">
        <v>8077904</v>
      </c>
      <c r="J73" s="235">
        <v>23932473</v>
      </c>
      <c r="K73" s="256">
        <v>40646372</v>
      </c>
      <c r="L73" s="256">
        <v>42237796</v>
      </c>
      <c r="M73" s="256">
        <v>29811174</v>
      </c>
      <c r="N73" s="256">
        <v>38158228</v>
      </c>
      <c r="O73" s="195"/>
      <c r="P73" s="195"/>
      <c r="Q73" s="195"/>
      <c r="R73" s="195"/>
      <c r="S73" s="195"/>
      <c r="T73" s="195"/>
      <c r="U73" s="195"/>
      <c r="V73" s="195"/>
      <c r="W73" s="256"/>
      <c r="X73" s="414"/>
      <c r="Y73" s="430"/>
      <c r="Z73" s="430"/>
      <c r="AA73" s="430"/>
      <c r="AB73" s="488"/>
      <c r="AC73" s="509"/>
      <c r="AD73" s="430"/>
      <c r="AE73" s="430"/>
      <c r="AF73" s="430"/>
      <c r="AG73" s="430"/>
      <c r="AH73" s="430"/>
      <c r="AI73" s="430"/>
      <c r="AJ73" s="430"/>
      <c r="AK73" s="430"/>
      <c r="AL73" s="430"/>
      <c r="AM73" s="430"/>
      <c r="AN73" s="430"/>
      <c r="AO73" s="883"/>
      <c r="AQ73" s="390" t="e">
        <f t="shared" si="161"/>
        <v>#DIV/0!</v>
      </c>
      <c r="AR73" s="391" t="e">
        <f t="shared" si="162"/>
        <v>#DIV/0!</v>
      </c>
      <c r="AS73" s="391" t="e">
        <f t="shared" si="163"/>
        <v>#DIV/0!</v>
      </c>
      <c r="AT73" s="391" t="e">
        <f t="shared" si="164"/>
        <v>#DIV/0!</v>
      </c>
      <c r="AU73" s="391" t="e">
        <f t="shared" si="165"/>
        <v>#DIV/0!</v>
      </c>
      <c r="AV73" s="320" t="e">
        <f t="shared" si="166"/>
        <v>#DIV/0!</v>
      </c>
      <c r="AW73" s="392" t="e">
        <f t="shared" si="167"/>
        <v>#DIV/0!</v>
      </c>
      <c r="AX73" s="194"/>
    </row>
    <row r="74" spans="1:62" ht="17.45" hidden="1" customHeight="1" x14ac:dyDescent="0.2">
      <c r="A74" s="206"/>
      <c r="B74" s="185" t="s">
        <v>204</v>
      </c>
      <c r="C74" s="382"/>
      <c r="D74" s="120"/>
      <c r="E74" s="206" t="s">
        <v>284</v>
      </c>
      <c r="F74" s="356">
        <v>272528</v>
      </c>
      <c r="G74" s="356">
        <v>271964</v>
      </c>
      <c r="H74" s="356">
        <v>192619</v>
      </c>
      <c r="I74" s="357">
        <v>28722</v>
      </c>
      <c r="J74" s="235">
        <v>339582</v>
      </c>
      <c r="K74" s="256">
        <v>367931</v>
      </c>
      <c r="L74" s="256">
        <v>975266</v>
      </c>
      <c r="M74" s="256">
        <v>1014200</v>
      </c>
      <c r="N74" s="256">
        <v>774572</v>
      </c>
      <c r="O74" s="195"/>
      <c r="P74" s="195"/>
      <c r="Q74" s="195"/>
      <c r="R74" s="195"/>
      <c r="S74" s="195"/>
      <c r="T74" s="195"/>
      <c r="U74" s="195"/>
      <c r="V74" s="195"/>
      <c r="W74" s="256"/>
      <c r="X74" s="414"/>
      <c r="Y74" s="430"/>
      <c r="Z74" s="430"/>
      <c r="AA74" s="430"/>
      <c r="AB74" s="488"/>
      <c r="AC74" s="509"/>
      <c r="AD74" s="430"/>
      <c r="AE74" s="430"/>
      <c r="AF74" s="430"/>
      <c r="AG74" s="430"/>
      <c r="AH74" s="430"/>
      <c r="AI74" s="430"/>
      <c r="AJ74" s="430"/>
      <c r="AK74" s="430"/>
      <c r="AL74" s="430"/>
      <c r="AM74" s="430"/>
      <c r="AN74" s="430"/>
      <c r="AO74" s="883"/>
      <c r="AQ74" s="390" t="e">
        <f t="shared" si="161"/>
        <v>#DIV/0!</v>
      </c>
      <c r="AR74" s="391" t="e">
        <f t="shared" si="162"/>
        <v>#DIV/0!</v>
      </c>
      <c r="AS74" s="391" t="e">
        <f t="shared" si="163"/>
        <v>#DIV/0!</v>
      </c>
      <c r="AT74" s="391" t="e">
        <f t="shared" si="164"/>
        <v>#DIV/0!</v>
      </c>
      <c r="AU74" s="391" t="e">
        <f t="shared" si="165"/>
        <v>#DIV/0!</v>
      </c>
      <c r="AV74" s="320" t="e">
        <f t="shared" si="166"/>
        <v>#DIV/0!</v>
      </c>
      <c r="AW74" s="392" t="e">
        <f t="shared" si="167"/>
        <v>#DIV/0!</v>
      </c>
      <c r="AX74" s="194"/>
    </row>
    <row r="75" spans="1:62" ht="17.45" hidden="1" customHeight="1" x14ac:dyDescent="0.2">
      <c r="A75" s="206"/>
      <c r="B75" s="185" t="s">
        <v>205</v>
      </c>
      <c r="C75" s="382"/>
      <c r="D75" s="120"/>
      <c r="E75" s="206" t="s">
        <v>284</v>
      </c>
      <c r="F75" s="356">
        <v>593150</v>
      </c>
      <c r="G75" s="356">
        <v>707604</v>
      </c>
      <c r="H75" s="356">
        <v>471534</v>
      </c>
      <c r="I75" s="357">
        <v>1292101</v>
      </c>
      <c r="J75" s="235">
        <v>1656549</v>
      </c>
      <c r="K75" s="256">
        <v>4638857</v>
      </c>
      <c r="L75" s="256">
        <v>1228118</v>
      </c>
      <c r="M75" s="256">
        <v>2328120</v>
      </c>
      <c r="N75" s="256">
        <v>1669381</v>
      </c>
      <c r="O75" s="195"/>
      <c r="P75" s="195"/>
      <c r="Q75" s="195"/>
      <c r="R75" s="195"/>
      <c r="S75" s="195"/>
      <c r="T75" s="195"/>
      <c r="U75" s="195"/>
      <c r="V75" s="195"/>
      <c r="W75" s="256"/>
      <c r="X75" s="414"/>
      <c r="Y75" s="430"/>
      <c r="Z75" s="430"/>
      <c r="AA75" s="430"/>
      <c r="AB75" s="488"/>
      <c r="AC75" s="509"/>
      <c r="AD75" s="430"/>
      <c r="AE75" s="430"/>
      <c r="AF75" s="430"/>
      <c r="AG75" s="430"/>
      <c r="AH75" s="430"/>
      <c r="AI75" s="430"/>
      <c r="AJ75" s="430"/>
      <c r="AK75" s="430"/>
      <c r="AL75" s="430"/>
      <c r="AM75" s="430"/>
      <c r="AN75" s="430"/>
      <c r="AO75" s="883"/>
      <c r="AQ75" s="390" t="e">
        <f t="shared" si="161"/>
        <v>#DIV/0!</v>
      </c>
      <c r="AR75" s="391" t="e">
        <f t="shared" si="162"/>
        <v>#DIV/0!</v>
      </c>
      <c r="AS75" s="391" t="e">
        <f t="shared" si="163"/>
        <v>#DIV/0!</v>
      </c>
      <c r="AT75" s="391" t="e">
        <f t="shared" si="164"/>
        <v>#DIV/0!</v>
      </c>
      <c r="AU75" s="391" t="e">
        <f t="shared" si="165"/>
        <v>#DIV/0!</v>
      </c>
      <c r="AV75" s="320" t="e">
        <f t="shared" si="166"/>
        <v>#DIV/0!</v>
      </c>
      <c r="AW75" s="392" t="e">
        <f t="shared" si="167"/>
        <v>#DIV/0!</v>
      </c>
      <c r="AX75" s="194"/>
    </row>
    <row r="76" spans="1:62" ht="17.45" hidden="1" customHeight="1" x14ac:dyDescent="0.2">
      <c r="A76" s="206"/>
      <c r="B76" s="185" t="s">
        <v>206</v>
      </c>
      <c r="C76" s="382"/>
      <c r="D76" s="120"/>
      <c r="E76" s="206" t="s">
        <v>284</v>
      </c>
      <c r="F76" s="356">
        <v>89897</v>
      </c>
      <c r="G76" s="356">
        <v>79529</v>
      </c>
      <c r="H76" s="356">
        <v>29710</v>
      </c>
      <c r="I76" s="357">
        <v>34813</v>
      </c>
      <c r="J76" s="235">
        <v>233255</v>
      </c>
      <c r="K76" s="256">
        <v>131288</v>
      </c>
      <c r="L76" s="256">
        <v>236050</v>
      </c>
      <c r="M76" s="256">
        <v>182068</v>
      </c>
      <c r="N76" s="256">
        <v>43287</v>
      </c>
      <c r="O76" s="195"/>
      <c r="P76" s="195"/>
      <c r="Q76" s="195"/>
      <c r="R76" s="195"/>
      <c r="S76" s="195"/>
      <c r="T76" s="195"/>
      <c r="U76" s="195"/>
      <c r="V76" s="195"/>
      <c r="W76" s="256"/>
      <c r="X76" s="414"/>
      <c r="Y76" s="430"/>
      <c r="Z76" s="430"/>
      <c r="AA76" s="430"/>
      <c r="AB76" s="488"/>
      <c r="AC76" s="509"/>
      <c r="AD76" s="430"/>
      <c r="AE76" s="430"/>
      <c r="AF76" s="430"/>
      <c r="AG76" s="430"/>
      <c r="AH76" s="430"/>
      <c r="AI76" s="430"/>
      <c r="AJ76" s="430"/>
      <c r="AK76" s="430"/>
      <c r="AL76" s="430"/>
      <c r="AM76" s="430"/>
      <c r="AN76" s="430"/>
      <c r="AO76" s="883"/>
      <c r="AQ76" s="390" t="e">
        <f t="shared" si="161"/>
        <v>#DIV/0!</v>
      </c>
      <c r="AR76" s="391" t="e">
        <f t="shared" si="162"/>
        <v>#DIV/0!</v>
      </c>
      <c r="AS76" s="391" t="e">
        <f t="shared" si="163"/>
        <v>#DIV/0!</v>
      </c>
      <c r="AT76" s="391" t="e">
        <f t="shared" si="164"/>
        <v>#DIV/0!</v>
      </c>
      <c r="AU76" s="391" t="e">
        <f t="shared" si="165"/>
        <v>#DIV/0!</v>
      </c>
      <c r="AV76" s="320" t="e">
        <f t="shared" si="166"/>
        <v>#DIV/0!</v>
      </c>
      <c r="AW76" s="392" t="e">
        <f t="shared" si="167"/>
        <v>#DIV/0!</v>
      </c>
      <c r="AX76" s="194"/>
    </row>
    <row r="77" spans="1:62" ht="17.45" hidden="1" customHeight="1" x14ac:dyDescent="0.2">
      <c r="A77" s="206"/>
      <c r="B77" s="185" t="s">
        <v>207</v>
      </c>
      <c r="C77" s="382"/>
      <c r="D77" s="120"/>
      <c r="E77" s="206" t="s">
        <v>284</v>
      </c>
      <c r="F77" s="356">
        <v>2345097</v>
      </c>
      <c r="G77" s="356">
        <v>1495144</v>
      </c>
      <c r="H77" s="356">
        <v>3822571</v>
      </c>
      <c r="I77" s="357">
        <v>54750</v>
      </c>
      <c r="J77" s="235">
        <v>22995049</v>
      </c>
      <c r="K77" s="256">
        <v>27925113</v>
      </c>
      <c r="L77" s="256">
        <v>7359556</v>
      </c>
      <c r="M77" s="256">
        <v>11046629</v>
      </c>
      <c r="N77" s="256">
        <v>12879190</v>
      </c>
      <c r="O77" s="195"/>
      <c r="P77" s="195"/>
      <c r="Q77" s="195"/>
      <c r="R77" s="195"/>
      <c r="S77" s="195"/>
      <c r="T77" s="195"/>
      <c r="U77" s="195"/>
      <c r="V77" s="195"/>
      <c r="W77" s="256"/>
      <c r="X77" s="414"/>
      <c r="Y77" s="430"/>
      <c r="Z77" s="430"/>
      <c r="AA77" s="430"/>
      <c r="AB77" s="488"/>
      <c r="AC77" s="509"/>
      <c r="AD77" s="430"/>
      <c r="AE77" s="430"/>
      <c r="AF77" s="430"/>
      <c r="AG77" s="430"/>
      <c r="AH77" s="430"/>
      <c r="AI77" s="430"/>
      <c r="AJ77" s="430"/>
      <c r="AK77" s="430"/>
      <c r="AL77" s="430"/>
      <c r="AM77" s="430"/>
      <c r="AN77" s="430"/>
      <c r="AO77" s="883"/>
      <c r="AQ77" s="390" t="e">
        <f t="shared" si="161"/>
        <v>#DIV/0!</v>
      </c>
      <c r="AR77" s="391" t="e">
        <f t="shared" si="162"/>
        <v>#DIV/0!</v>
      </c>
      <c r="AS77" s="391" t="e">
        <f t="shared" si="163"/>
        <v>#DIV/0!</v>
      </c>
      <c r="AT77" s="391" t="e">
        <f t="shared" si="164"/>
        <v>#DIV/0!</v>
      </c>
      <c r="AU77" s="391" t="e">
        <f t="shared" si="165"/>
        <v>#DIV/0!</v>
      </c>
      <c r="AV77" s="320" t="e">
        <f t="shared" si="166"/>
        <v>#DIV/0!</v>
      </c>
      <c r="AW77" s="392" t="e">
        <f t="shared" si="167"/>
        <v>#DIV/0!</v>
      </c>
      <c r="AX77" s="194"/>
    </row>
    <row r="78" spans="1:62" ht="17.45" hidden="1" customHeight="1" x14ac:dyDescent="0.2">
      <c r="A78" s="206"/>
      <c r="B78" s="185" t="s">
        <v>208</v>
      </c>
      <c r="C78" s="382"/>
      <c r="D78" s="120"/>
      <c r="E78" s="206" t="s">
        <v>284</v>
      </c>
      <c r="F78" s="356">
        <v>11530432</v>
      </c>
      <c r="G78" s="356">
        <v>11524867</v>
      </c>
      <c r="H78" s="356">
        <v>9678490</v>
      </c>
      <c r="I78" s="357">
        <v>26469493</v>
      </c>
      <c r="J78" s="235">
        <v>33628477</v>
      </c>
      <c r="K78" s="256">
        <v>136168967</v>
      </c>
      <c r="L78" s="256">
        <v>62017916</v>
      </c>
      <c r="M78" s="256">
        <v>40947442</v>
      </c>
      <c r="N78" s="256">
        <v>46678527</v>
      </c>
      <c r="O78" s="195"/>
      <c r="P78" s="195"/>
      <c r="Q78" s="195"/>
      <c r="R78" s="195"/>
      <c r="S78" s="195"/>
      <c r="T78" s="195"/>
      <c r="U78" s="195"/>
      <c r="V78" s="195"/>
      <c r="W78" s="256"/>
      <c r="X78" s="414"/>
      <c r="Y78" s="430"/>
      <c r="Z78" s="430"/>
      <c r="AA78" s="430"/>
      <c r="AB78" s="488"/>
      <c r="AC78" s="509"/>
      <c r="AD78" s="430"/>
      <c r="AE78" s="430"/>
      <c r="AF78" s="430"/>
      <c r="AG78" s="430"/>
      <c r="AH78" s="430"/>
      <c r="AI78" s="430"/>
      <c r="AJ78" s="430"/>
      <c r="AK78" s="430"/>
      <c r="AL78" s="430"/>
      <c r="AM78" s="430"/>
      <c r="AN78" s="430"/>
      <c r="AO78" s="883"/>
      <c r="AQ78" s="390" t="e">
        <f t="shared" si="161"/>
        <v>#DIV/0!</v>
      </c>
      <c r="AR78" s="391" t="e">
        <f t="shared" si="162"/>
        <v>#DIV/0!</v>
      </c>
      <c r="AS78" s="391" t="e">
        <f t="shared" si="163"/>
        <v>#DIV/0!</v>
      </c>
      <c r="AT78" s="391" t="e">
        <f t="shared" si="164"/>
        <v>#DIV/0!</v>
      </c>
      <c r="AU78" s="391" t="e">
        <f t="shared" si="165"/>
        <v>#DIV/0!</v>
      </c>
      <c r="AV78" s="320" t="e">
        <f t="shared" si="166"/>
        <v>#DIV/0!</v>
      </c>
      <c r="AW78" s="392" t="e">
        <f t="shared" si="167"/>
        <v>#DIV/0!</v>
      </c>
      <c r="AX78" s="194"/>
    </row>
    <row r="79" spans="1:62" ht="17.45" hidden="1" customHeight="1" thickBot="1" x14ac:dyDescent="0.25">
      <c r="A79" s="210"/>
      <c r="B79" s="698" t="s">
        <v>279</v>
      </c>
      <c r="C79" s="699"/>
      <c r="D79" s="700"/>
      <c r="E79" s="701" t="s">
        <v>284</v>
      </c>
      <c r="F79" s="702">
        <f>SUM(F73:F78)</f>
        <v>31749460</v>
      </c>
      <c r="G79" s="702">
        <f t="shared" ref="G79:N79" si="168">SUM(G73:G78)</f>
        <v>26856542</v>
      </c>
      <c r="H79" s="702">
        <f t="shared" si="168"/>
        <v>23913698</v>
      </c>
      <c r="I79" s="702">
        <f t="shared" si="168"/>
        <v>35957783</v>
      </c>
      <c r="J79" s="702">
        <f t="shared" si="168"/>
        <v>82785385</v>
      </c>
      <c r="K79" s="702">
        <f t="shared" si="168"/>
        <v>209878528</v>
      </c>
      <c r="L79" s="702">
        <f t="shared" si="168"/>
        <v>114054702</v>
      </c>
      <c r="M79" s="702">
        <f t="shared" si="168"/>
        <v>85329633</v>
      </c>
      <c r="N79" s="703">
        <f t="shared" si="168"/>
        <v>100203185</v>
      </c>
      <c r="O79" s="704"/>
      <c r="P79" s="704"/>
      <c r="Q79" s="704"/>
      <c r="R79" s="704"/>
      <c r="S79" s="704"/>
      <c r="T79" s="704"/>
      <c r="U79" s="704"/>
      <c r="V79" s="704"/>
      <c r="W79" s="703"/>
      <c r="X79" s="705"/>
      <c r="Y79" s="706"/>
      <c r="Z79" s="706"/>
      <c r="AA79" s="706"/>
      <c r="AB79" s="707"/>
      <c r="AC79" s="708"/>
      <c r="AD79" s="706"/>
      <c r="AE79" s="328"/>
      <c r="AF79" s="328"/>
      <c r="AG79" s="328"/>
      <c r="AH79" s="328"/>
      <c r="AI79" s="328"/>
      <c r="AJ79" s="328"/>
      <c r="AK79" s="328"/>
      <c r="AL79" s="328"/>
      <c r="AM79" s="328"/>
      <c r="AN79" s="328"/>
      <c r="AO79" s="883"/>
      <c r="AQ79" s="393" t="e">
        <f t="shared" si="161"/>
        <v>#DIV/0!</v>
      </c>
      <c r="AR79" s="394" t="e">
        <f t="shared" si="162"/>
        <v>#DIV/0!</v>
      </c>
      <c r="AS79" s="394" t="e">
        <f t="shared" si="163"/>
        <v>#DIV/0!</v>
      </c>
      <c r="AT79" s="394" t="e">
        <f t="shared" si="164"/>
        <v>#DIV/0!</v>
      </c>
      <c r="AU79" s="394" t="e">
        <f t="shared" si="165"/>
        <v>#DIV/0!</v>
      </c>
      <c r="AV79" s="395" t="e">
        <f t="shared" si="166"/>
        <v>#DIV/0!</v>
      </c>
      <c r="AW79" s="392" t="e">
        <f t="shared" si="167"/>
        <v>#DIV/0!</v>
      </c>
      <c r="AX79" s="194"/>
    </row>
    <row r="80" spans="1:62" ht="17.45" customHeight="1" x14ac:dyDescent="0.2">
      <c r="A80" s="9"/>
      <c r="B80" s="4" t="s">
        <v>432</v>
      </c>
      <c r="C80" s="973" t="s">
        <v>322</v>
      </c>
      <c r="D80" s="4"/>
      <c r="E80" s="973" t="s">
        <v>129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768">
        <f>'1.luas kebakaran hutan'!D46</f>
        <v>8621.0300000000007</v>
      </c>
      <c r="AC80" s="772">
        <f>'1.luas kebakaran hutan'!E46</f>
        <v>4918.74</v>
      </c>
      <c r="AD80" s="749">
        <f>'1.luas kebakaran hutan'!F46</f>
        <v>44411.360000000001</v>
      </c>
      <c r="AE80" s="749">
        <v>2611408</v>
      </c>
      <c r="AF80" s="749">
        <v>438364</v>
      </c>
      <c r="AG80" s="749">
        <f>'[1]1.luas kebakaran hutan'!$N$48+'[1]1.luas kebakaran hutan'!$O$48</f>
        <v>165484</v>
      </c>
      <c r="AH80" s="749">
        <f>'[1]1.luas kebakaran hutan'!P$46</f>
        <v>529266.64000000013</v>
      </c>
      <c r="AI80" s="749">
        <f>'[1]1.luas kebakaran hutan'!Q$46</f>
        <v>1649258</v>
      </c>
      <c r="AJ80" s="749">
        <f>'[1]1.luas kebakaran hutan'!R$46</f>
        <v>296942</v>
      </c>
      <c r="AK80" s="749">
        <f>'[1]1.luas kebakaran hutan'!S$46</f>
        <v>358867</v>
      </c>
      <c r="AL80" s="749">
        <f>'[1]1.luas kebakaran hutan'!T$46</f>
        <v>204936</v>
      </c>
      <c r="AM80" s="749">
        <v>1161192.8999999999</v>
      </c>
      <c r="AN80" s="749">
        <v>376805.05</v>
      </c>
      <c r="AO80" s="884"/>
      <c r="BJ80" s="178">
        <f>AH80/AG80*100-100</f>
        <v>219.82949409006318</v>
      </c>
    </row>
    <row r="81" spans="1:62" s="1" customFormat="1" ht="17.45" customHeight="1" x14ac:dyDescent="0.2">
      <c r="A81" s="791"/>
      <c r="B81" s="61" t="s">
        <v>424</v>
      </c>
      <c r="C81" s="974"/>
      <c r="D81" s="61"/>
      <c r="E81" s="974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769">
        <f>'1.luas kebakaran hutan'!D47</f>
        <v>0</v>
      </c>
      <c r="AC81" s="773">
        <f>'1.luas kebakaran hutan'!E47</f>
        <v>3282.5999999999995</v>
      </c>
      <c r="AD81" s="760">
        <f>'1.luas kebakaran hutan'!F47</f>
        <v>38721.589999999997</v>
      </c>
      <c r="AE81" s="760">
        <f>'[1]1.luas kebakaran hutan'!$J$49+'[1]1.luas kebakaran hutan'!$K$49</f>
        <v>2597833</v>
      </c>
      <c r="AF81" s="760">
        <f>'[1]1.luas kebakaran hutan'!$L$49+'[1]1.luas kebakaran hutan'!$M$49</f>
        <v>438364</v>
      </c>
      <c r="AG81" s="760">
        <f>'[1]1.luas kebakaran hutan'!$N$49+'[1]1.luas kebakaran hutan'!$O$49</f>
        <v>153692</v>
      </c>
      <c r="AH81" s="760">
        <f>'[1]1.luas kebakaran hutan'!P$49</f>
        <v>515944.07000000012</v>
      </c>
      <c r="AI81" s="760">
        <f>'[1]1.luas kebakaran hutan'!Q$49</f>
        <v>1611260</v>
      </c>
      <c r="AJ81" s="760">
        <f>'[1]1.luas kebakaran hutan'!R$49</f>
        <v>267932</v>
      </c>
      <c r="AK81" s="760">
        <f>'[1]1.luas kebakaran hutan'!S$49</f>
        <v>341511</v>
      </c>
      <c r="AL81" s="760">
        <f>'[1]1.luas kebakaran hutan'!T$49</f>
        <v>200444</v>
      </c>
      <c r="AM81" s="760">
        <f>AM80-11524.8-9965.59-119.91-49498.32-1.01</f>
        <v>1090083.2699999998</v>
      </c>
      <c r="AN81" s="760">
        <f>AN80-0.51-4548.58-3726.78-51.91-20957.17-362.83</f>
        <v>347157.26999999996</v>
      </c>
      <c r="AO81" s="880"/>
      <c r="BJ81" s="793">
        <f>AH81/AG81*100-100</f>
        <v>235.70001691695086</v>
      </c>
    </row>
    <row r="82" spans="1:62" ht="17.45" customHeight="1" x14ac:dyDescent="0.2">
      <c r="A82" s="9"/>
      <c r="B82" s="4" t="s">
        <v>427</v>
      </c>
      <c r="C82" s="974"/>
      <c r="D82" s="4"/>
      <c r="E82" s="97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749">
        <f>'2.realisasi reboisasi'!D50</f>
        <v>0</v>
      </c>
      <c r="AB82" s="768">
        <f>'2.realisasi reboisasi'!E50</f>
        <v>100987</v>
      </c>
      <c r="AC82" s="772">
        <f>'2.realisasi reboisasi'!F50</f>
        <v>105655.63</v>
      </c>
      <c r="AD82" s="749">
        <f>'2.realisasi reboisasi'!G50</f>
        <v>26162</v>
      </c>
      <c r="AE82" s="749">
        <f>'2.realisasi reboisasi'!H50</f>
        <v>10508</v>
      </c>
      <c r="AF82" s="749">
        <f>'2.realisasi reboisasi'!I50</f>
        <v>7066.66</v>
      </c>
      <c r="AG82" s="749">
        <f>'[1]2.realisasi reboisasi'!K50</f>
        <v>35123</v>
      </c>
      <c r="AH82" s="749">
        <f>'[1]2.realisasi reboisasi'!L50</f>
        <v>25188</v>
      </c>
      <c r="AI82" s="749">
        <f>'[1]2.realisasi reboisasi'!M50</f>
        <v>206000</v>
      </c>
      <c r="AJ82" s="749">
        <f>AJ102</f>
        <v>69251.69</v>
      </c>
      <c r="AK82" s="749">
        <f>AK102</f>
        <v>69960.479999999996</v>
      </c>
      <c r="AL82" s="866">
        <f t="shared" ref="AL82:AN83" si="169">AVERAGE(AG82:AK82)</f>
        <v>81104.633999999991</v>
      </c>
      <c r="AM82" s="866">
        <f t="shared" si="169"/>
        <v>90300.960800000001</v>
      </c>
      <c r="AN82" s="866">
        <f t="shared" si="169"/>
        <v>103323.55296</v>
      </c>
      <c r="AO82" s="885"/>
      <c r="BJ82" s="178">
        <f>AH82/AG82*100-100</f>
        <v>-28.28630811718817</v>
      </c>
    </row>
    <row r="83" spans="1:62" s="1" customFormat="1" ht="17.45" customHeight="1" x14ac:dyDescent="0.2">
      <c r="A83" s="791"/>
      <c r="B83" s="61" t="s">
        <v>423</v>
      </c>
      <c r="C83" s="975"/>
      <c r="D83" s="61"/>
      <c r="E83" s="975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750">
        <f>'2.realisasi reboisasi'!D51</f>
        <v>0</v>
      </c>
      <c r="AB83" s="770">
        <f>'2.realisasi reboisasi'!E51</f>
        <v>95455</v>
      </c>
      <c r="AC83" s="774">
        <f>'2.realisasi reboisasi'!F51</f>
        <v>101200</v>
      </c>
      <c r="AD83" s="750">
        <f>'2.realisasi reboisasi'!G51</f>
        <v>25387</v>
      </c>
      <c r="AE83" s="750">
        <f>'2.realisasi reboisasi'!H51</f>
        <v>10508</v>
      </c>
      <c r="AF83" s="750">
        <f>'2.realisasi reboisasi'!I51</f>
        <v>7066.66</v>
      </c>
      <c r="AG83" s="750">
        <f>'[1]2.realisasi reboisasi'!K51</f>
        <v>13271</v>
      </c>
      <c r="AH83" s="750">
        <f>'[1]2.realisasi reboisasi'!L51</f>
        <v>17023</v>
      </c>
      <c r="AI83" s="750">
        <f>'[1]2.realisasi reboisasi'!M51</f>
        <v>156350</v>
      </c>
      <c r="AJ83" s="750">
        <f>AJ102-AJ97</f>
        <v>69251.69</v>
      </c>
      <c r="AK83" s="750">
        <f>AK102-AK97</f>
        <v>61177.549999999996</v>
      </c>
      <c r="AL83" s="866">
        <f t="shared" si="169"/>
        <v>63414.648000000001</v>
      </c>
      <c r="AM83" s="866">
        <f t="shared" si="169"/>
        <v>73443.377599999993</v>
      </c>
      <c r="AN83" s="866">
        <f t="shared" si="169"/>
        <v>84727.453119999991</v>
      </c>
      <c r="AO83" s="885"/>
      <c r="BJ83" s="793">
        <f>AH83/AG83*100-100</f>
        <v>28.272172405998049</v>
      </c>
    </row>
    <row r="84" spans="1:62" ht="17.45" customHeight="1" thickBot="1" x14ac:dyDescent="0.25">
      <c r="A84" s="9"/>
      <c r="B84" s="61" t="s">
        <v>425</v>
      </c>
      <c r="C84" s="753" t="s">
        <v>285</v>
      </c>
      <c r="D84" s="61"/>
      <c r="E84" s="761" t="s">
        <v>129</v>
      </c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766">
        <f t="shared" ref="Z84:AA84" si="170">Z7+Z28+Z29</f>
        <v>3493.12</v>
      </c>
      <c r="AA84" s="766">
        <f t="shared" si="170"/>
        <v>547739.38</v>
      </c>
      <c r="AB84" s="767">
        <f>AB7+AB28+AB29</f>
        <v>659824.20000000007</v>
      </c>
      <c r="AC84" s="775">
        <f>AC7+AC28+AC29</f>
        <v>178010.87</v>
      </c>
      <c r="AD84" s="776">
        <f>AD7+AD28+AD29</f>
        <v>380974.18</v>
      </c>
      <c r="AE84" s="776">
        <f t="shared" ref="AE84" si="171">AE7+AE28+AE29</f>
        <v>1210580.44</v>
      </c>
      <c r="AF84" s="776">
        <f>AF7+AF28+AF29</f>
        <v>380545.35</v>
      </c>
      <c r="AG84" s="776">
        <f>AG7+AG28+AG29</f>
        <v>293794.27</v>
      </c>
      <c r="AH84" s="776">
        <f>AH7+AH28+AH29</f>
        <v>251245.38</v>
      </c>
      <c r="AI84" s="776">
        <f t="shared" ref="AI84:AJ84" si="172">AI7+AI28+AI29</f>
        <v>641674.15999999992</v>
      </c>
      <c r="AJ84" s="776">
        <f t="shared" si="172"/>
        <v>132303.99</v>
      </c>
      <c r="AK84" s="776">
        <f>AK7+AK28+AK29</f>
        <v>215271.06696799933</v>
      </c>
      <c r="AL84" s="776">
        <f t="shared" ref="AL84:AN84" si="173">AL7+AL28+AL29</f>
        <v>108555.33053117954</v>
      </c>
      <c r="AM84" s="776">
        <f t="shared" si="173"/>
        <v>471726.82252847683</v>
      </c>
      <c r="AN84" s="776">
        <f t="shared" si="173"/>
        <v>188239.92985144845</v>
      </c>
      <c r="AO84" s="880"/>
      <c r="BJ84" s="793">
        <f>AH84/AG84*100-100</f>
        <v>-14.482545898529608</v>
      </c>
    </row>
    <row r="85" spans="1:62" ht="17.45" customHeight="1" x14ac:dyDescent="0.2">
      <c r="A85" s="9"/>
      <c r="E85" s="146"/>
      <c r="AE85" s="296"/>
      <c r="AF85" s="296"/>
      <c r="AG85" s="296"/>
      <c r="AH85" s="296"/>
      <c r="AI85" s="296"/>
    </row>
    <row r="86" spans="1:62" ht="17.45" customHeight="1" x14ac:dyDescent="0.2">
      <c r="A86" s="9"/>
    </row>
    <row r="87" spans="1:62" ht="17.45" customHeight="1" x14ac:dyDescent="0.2">
      <c r="A87" s="9"/>
      <c r="AE87" s="817" t="s">
        <v>433</v>
      </c>
      <c r="AF87" s="817"/>
      <c r="AG87" s="817"/>
      <c r="AH87" s="817"/>
      <c r="AI87" s="817"/>
    </row>
    <row r="88" spans="1:62" ht="17.45" customHeight="1" x14ac:dyDescent="0.2">
      <c r="A88" s="9"/>
      <c r="AE88" s="817" t="s">
        <v>434</v>
      </c>
      <c r="AF88" s="818">
        <v>255470.8</v>
      </c>
      <c r="AG88" s="818">
        <v>195730.2</v>
      </c>
      <c r="AH88" s="818">
        <v>369132</v>
      </c>
      <c r="AI88" s="818">
        <v>61655.6</v>
      </c>
    </row>
    <row r="89" spans="1:62" ht="17.45" customHeight="1" x14ac:dyDescent="0.2">
      <c r="A89" s="9"/>
      <c r="AE89" s="817" t="s">
        <v>435</v>
      </c>
      <c r="AF89" s="818">
        <v>41712.400000000001</v>
      </c>
      <c r="AG89" s="818">
        <v>27593.599999999999</v>
      </c>
      <c r="AH89" s="818">
        <v>6734.9</v>
      </c>
      <c r="AI89" s="818">
        <v>5340</v>
      </c>
    </row>
    <row r="90" spans="1:62" ht="17.45" customHeight="1" x14ac:dyDescent="0.2">
      <c r="A90" s="9"/>
      <c r="AE90" s="817" t="s">
        <v>437</v>
      </c>
      <c r="AF90" s="818">
        <v>182827.5</v>
      </c>
      <c r="AG90" s="818">
        <v>216115.20000000001</v>
      </c>
      <c r="AH90" s="818">
        <v>86591.8</v>
      </c>
      <c r="AI90" s="818">
        <v>48464.1</v>
      </c>
    </row>
    <row r="91" spans="1:62" ht="17.45" customHeight="1" x14ac:dyDescent="0.2">
      <c r="A91" s="9"/>
      <c r="AE91" s="817" t="s">
        <v>436</v>
      </c>
      <c r="AF91" s="818">
        <f>SUM(AF88:AF90)</f>
        <v>480010.7</v>
      </c>
      <c r="AG91" s="818">
        <f t="shared" ref="AG91:AI91" si="174">SUM(AG88:AG90)</f>
        <v>439439</v>
      </c>
      <c r="AH91" s="818">
        <f t="shared" si="174"/>
        <v>462458.7</v>
      </c>
      <c r="AI91" s="818">
        <f t="shared" si="174"/>
        <v>115459.70000000001</v>
      </c>
    </row>
    <row r="92" spans="1:62" ht="17.45" customHeight="1" x14ac:dyDescent="0.2">
      <c r="A92" s="9"/>
    </row>
    <row r="93" spans="1:62" ht="17.45" customHeight="1" x14ac:dyDescent="0.2">
      <c r="A93" s="9"/>
    </row>
    <row r="94" spans="1:62" ht="17.45" customHeight="1" x14ac:dyDescent="0.2">
      <c r="A94" s="9"/>
      <c r="AE94" s="266" t="s">
        <v>445</v>
      </c>
      <c r="AF94" s="266"/>
      <c r="AG94" s="266"/>
      <c r="AH94" s="266"/>
      <c r="AI94" s="266"/>
      <c r="AJ94" s="266"/>
      <c r="AK94" s="266"/>
      <c r="AL94" s="266"/>
      <c r="AM94" s="266"/>
      <c r="AN94" s="266"/>
    </row>
    <row r="95" spans="1:62" ht="17.45" customHeight="1" x14ac:dyDescent="0.2">
      <c r="A95" s="9"/>
      <c r="AE95" s="266" t="s">
        <v>439</v>
      </c>
      <c r="AF95" s="266"/>
      <c r="AG95" s="266"/>
      <c r="AH95" s="266"/>
      <c r="AI95" s="266"/>
      <c r="AJ95" s="266"/>
      <c r="AK95" s="266"/>
      <c r="AL95" s="266"/>
      <c r="AM95" s="266"/>
      <c r="AN95" s="266"/>
    </row>
    <row r="96" spans="1:62" ht="17.45" customHeight="1" x14ac:dyDescent="0.2">
      <c r="AE96" s="2" t="s">
        <v>438</v>
      </c>
      <c r="AG96" s="819">
        <v>5966</v>
      </c>
      <c r="AH96" s="819">
        <f>885+1047+1140+400+1130+550+675+125+350+200</f>
        <v>6502</v>
      </c>
      <c r="AI96" s="819">
        <f>14143+17207+1551+14749+1000+17629+771+16500+500+400</f>
        <v>84450</v>
      </c>
      <c r="AJ96" s="819">
        <f>60+500+1318.49+367.49</f>
        <v>2245.98</v>
      </c>
      <c r="AK96" s="819">
        <f>2010+3017+2152+1348+1100+3472+2000+2557+840+600</f>
        <v>19096</v>
      </c>
    </row>
    <row r="97" spans="31:41" ht="17.45" customHeight="1" x14ac:dyDescent="0.2">
      <c r="AE97" s="2" t="s">
        <v>440</v>
      </c>
      <c r="AG97" s="819">
        <f>13260+6577+145+675+555+640</f>
        <v>21852</v>
      </c>
      <c r="AH97" s="819">
        <f>2500+2005+1035+125+750+775+850+125</f>
        <v>8165</v>
      </c>
      <c r="AI97" s="819">
        <f>9740.51+8500.08+5000+3400.01+3657.38+4342.72+15000+9.49</f>
        <v>49650.189999999995</v>
      </c>
      <c r="AJ97" s="819">
        <v>0</v>
      </c>
      <c r="AK97" s="819">
        <f>2528+1000+1000.68+820+280+1397.25+1035+722</f>
        <v>8782.93</v>
      </c>
    </row>
    <row r="98" spans="31:41" ht="17.45" customHeight="1" x14ac:dyDescent="0.2">
      <c r="AE98" s="2" t="s">
        <v>441</v>
      </c>
      <c r="AG98" s="819">
        <v>1306</v>
      </c>
      <c r="AH98" s="819">
        <v>2680</v>
      </c>
      <c r="AI98" s="819">
        <v>9850</v>
      </c>
      <c r="AJ98" s="819">
        <f>54361</f>
        <v>54361</v>
      </c>
      <c r="AK98" s="819">
        <f>750+1624+3665</f>
        <v>6039</v>
      </c>
    </row>
    <row r="99" spans="31:41" ht="17.45" customHeight="1" x14ac:dyDescent="0.2">
      <c r="AE99" s="2" t="s">
        <v>442</v>
      </c>
      <c r="AG99" s="819">
        <v>1576</v>
      </c>
      <c r="AH99" s="819">
        <v>2089</v>
      </c>
      <c r="AI99" s="819">
        <v>23400</v>
      </c>
      <c r="AJ99" s="819">
        <v>10022.19</v>
      </c>
      <c r="AK99" s="819">
        <v>12417.05</v>
      </c>
    </row>
    <row r="100" spans="31:41" ht="17.45" customHeight="1" x14ac:dyDescent="0.2">
      <c r="AE100" s="2" t="s">
        <v>443</v>
      </c>
      <c r="AG100" s="819">
        <f>350+490+915+250+490+400+325+205</f>
        <v>3425</v>
      </c>
      <c r="AH100" s="819">
        <f>632+835+1375+485+425+300+400+275</f>
        <v>4727</v>
      </c>
      <c r="AI100" s="819">
        <f>400+200+19600+300+12300+2000+2050+500</f>
        <v>37350</v>
      </c>
      <c r="AJ100" s="819">
        <f>2.2+645+1119.02</f>
        <v>1766.22</v>
      </c>
      <c r="AK100" s="819">
        <f>1600+1250+6353+5037+2500+1250+1300+2229.5</f>
        <v>21519.5</v>
      </c>
    </row>
    <row r="101" spans="31:41" ht="17.45" customHeight="1" x14ac:dyDescent="0.2">
      <c r="AE101" s="2" t="s">
        <v>444</v>
      </c>
      <c r="AG101" s="819">
        <v>998</v>
      </c>
      <c r="AH101" s="819">
        <v>1025</v>
      </c>
      <c r="AI101" s="819">
        <v>1300</v>
      </c>
      <c r="AJ101" s="819">
        <v>856.3</v>
      </c>
      <c r="AK101" s="819">
        <v>2106</v>
      </c>
    </row>
    <row r="102" spans="31:41" ht="17.45" customHeight="1" x14ac:dyDescent="0.2">
      <c r="AE102" s="2" t="s">
        <v>436</v>
      </c>
      <c r="AG102" s="819">
        <f>SUM(AG96:AG101)</f>
        <v>35123</v>
      </c>
      <c r="AH102" s="819">
        <f t="shared" ref="AH102:AK102" si="175">SUM(AH96:AH101)</f>
        <v>25188</v>
      </c>
      <c r="AI102" s="819">
        <f t="shared" si="175"/>
        <v>206000.19</v>
      </c>
      <c r="AJ102" s="819">
        <f t="shared" si="175"/>
        <v>69251.69</v>
      </c>
      <c r="AK102" s="819">
        <f t="shared" si="175"/>
        <v>69960.479999999996</v>
      </c>
    </row>
    <row r="103" spans="31:41" ht="17.45" customHeight="1" x14ac:dyDescent="0.2">
      <c r="AE103" s="820" t="s">
        <v>448</v>
      </c>
      <c r="AF103" s="2">
        <v>198346.29</v>
      </c>
      <c r="AG103" s="819">
        <f>AG104+AG102+AG105</f>
        <v>200990.44</v>
      </c>
      <c r="AH103" s="819">
        <f t="shared" ref="AH103:AK103" si="176">AH104+AH102+AH105</f>
        <v>188648</v>
      </c>
      <c r="AI103" s="819">
        <f t="shared" si="176"/>
        <v>395168.19</v>
      </c>
      <c r="AJ103" s="819">
        <f t="shared" si="176"/>
        <v>147527.26</v>
      </c>
      <c r="AK103" s="819">
        <f t="shared" si="176"/>
        <v>151090.08999999997</v>
      </c>
    </row>
    <row r="104" spans="31:41" ht="17.45" customHeight="1" x14ac:dyDescent="0.2">
      <c r="AE104" s="820" t="s">
        <v>451</v>
      </c>
      <c r="AF104" s="819">
        <v>190782</v>
      </c>
      <c r="AG104" s="819">
        <v>164692</v>
      </c>
      <c r="AH104" s="819">
        <v>162500</v>
      </c>
      <c r="AI104" s="819">
        <v>188168</v>
      </c>
      <c r="AJ104" s="819">
        <f>'[1]3. rehabilitasi lahan'!$N$52</f>
        <v>78275.570000000007</v>
      </c>
      <c r="AK104" s="819">
        <f>'[1]3. rehabilitasi lahan'!$O$52</f>
        <v>81129.609999999986</v>
      </c>
      <c r="AL104" s="819"/>
      <c r="AM104" s="819"/>
      <c r="AN104" s="819"/>
      <c r="AO104" s="886"/>
    </row>
    <row r="105" spans="31:41" ht="17.45" customHeight="1" x14ac:dyDescent="0.2">
      <c r="AE105" s="820" t="s">
        <v>452</v>
      </c>
      <c r="AF105" s="819">
        <v>497</v>
      </c>
      <c r="AG105" s="819">
        <v>1175.44</v>
      </c>
      <c r="AH105" s="819">
        <v>960</v>
      </c>
      <c r="AI105" s="819">
        <v>1000</v>
      </c>
      <c r="AJ105" s="819"/>
      <c r="AK105" s="819"/>
      <c r="AL105" s="819"/>
      <c r="AM105" s="819"/>
      <c r="AN105" s="819"/>
      <c r="AO105" s="886"/>
    </row>
    <row r="106" spans="31:41" ht="17.45" customHeight="1" x14ac:dyDescent="0.2">
      <c r="AE106" s="820" t="s">
        <v>449</v>
      </c>
    </row>
    <row r="107" spans="31:41" ht="17.45" customHeight="1" x14ac:dyDescent="0.2">
      <c r="AE107" s="821" t="s">
        <v>450</v>
      </c>
    </row>
  </sheetData>
  <mergeCells count="10">
    <mergeCell ref="C2:C3"/>
    <mergeCell ref="C23:C25"/>
    <mergeCell ref="C42:C43"/>
    <mergeCell ref="C45:C46"/>
    <mergeCell ref="C47:C49"/>
    <mergeCell ref="C80:C83"/>
    <mergeCell ref="E80:E83"/>
    <mergeCell ref="C64:C69"/>
    <mergeCell ref="C53:C58"/>
    <mergeCell ref="C51:C52"/>
  </mergeCells>
  <phoneticPr fontId="0" type="noConversion"/>
  <hyperlinks>
    <hyperlink ref="AE107" r:id="rId1"/>
  </hyperlinks>
  <pageMargins left="0.44" right="0.37" top="0.52" bottom="0.48" header="0.5" footer="0.5"/>
  <pageSetup scale="68" orientation="portrait" r:id="rId2"/>
  <headerFooter alignWithMargins="0"/>
  <rowBreaks count="1" manualBreakCount="1">
    <brk id="52" max="27" man="1"/>
  </rowBreaks>
  <colBreaks count="1" manualBreakCount="1">
    <brk id="24" min="4" max="61" man="1"/>
  </colBreak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opLeftCell="A34" workbookViewId="0">
      <selection activeCell="F46" sqref="F46"/>
    </sheetView>
  </sheetViews>
  <sheetFormatPr defaultColWidth="9.33203125" defaultRowHeight="12.75" x14ac:dyDescent="0.2"/>
  <cols>
    <col min="1" max="1" width="22.33203125" style="724" customWidth="1"/>
    <col min="2" max="2" width="14" style="724" customWidth="1"/>
    <col min="3" max="3" width="22.83203125" style="724" customWidth="1"/>
    <col min="4" max="4" width="22.1640625" style="724" customWidth="1"/>
    <col min="5" max="5" width="17.1640625" style="724" bestFit="1" customWidth="1"/>
    <col min="6" max="6" width="20" style="724" customWidth="1"/>
    <col min="7" max="7" width="19.5" style="724" bestFit="1" customWidth="1"/>
    <col min="8" max="8" width="13.1640625" style="724" customWidth="1"/>
    <col min="9" max="9" width="19.5" style="724" customWidth="1"/>
    <col min="10" max="16384" width="9.33203125" style="724"/>
  </cols>
  <sheetData>
    <row r="1" spans="1:10" x14ac:dyDescent="0.2">
      <c r="A1" s="724" t="s">
        <v>323</v>
      </c>
    </row>
    <row r="2" spans="1:10" x14ac:dyDescent="0.2">
      <c r="A2" s="724" t="s">
        <v>324</v>
      </c>
      <c r="B2" s="724" t="s">
        <v>325</v>
      </c>
    </row>
    <row r="3" spans="1:10" x14ac:dyDescent="0.2">
      <c r="A3" s="724" t="s">
        <v>326</v>
      </c>
      <c r="B3" s="724" t="s">
        <v>327</v>
      </c>
    </row>
    <row r="4" spans="1:10" x14ac:dyDescent="0.2">
      <c r="A4" s="710" t="s">
        <v>328</v>
      </c>
      <c r="B4" s="726">
        <v>2010</v>
      </c>
      <c r="C4" s="726">
        <v>2011</v>
      </c>
      <c r="D4" s="726">
        <v>2012</v>
      </c>
      <c r="E4" s="726">
        <v>2013</v>
      </c>
      <c r="F4" s="726">
        <v>2014</v>
      </c>
      <c r="G4" s="726">
        <v>2015</v>
      </c>
      <c r="H4" s="726">
        <v>2016</v>
      </c>
      <c r="I4" s="726">
        <v>2017</v>
      </c>
    </row>
    <row r="5" spans="1:10" x14ac:dyDescent="0.2">
      <c r="A5" s="731" t="s">
        <v>329</v>
      </c>
      <c r="B5" s="710">
        <v>326</v>
      </c>
      <c r="C5" s="710">
        <v>9847</v>
      </c>
      <c r="D5" s="710">
        <v>12311</v>
      </c>
      <c r="E5" s="763">
        <v>2662</v>
      </c>
      <c r="F5" s="710">
        <v>4275</v>
      </c>
      <c r="G5" s="710">
        <v>11137</v>
      </c>
      <c r="H5" s="710">
        <v>352</v>
      </c>
      <c r="I5" s="710"/>
    </row>
    <row r="6" spans="1:10" x14ac:dyDescent="0.2">
      <c r="A6" s="731" t="s">
        <v>330</v>
      </c>
      <c r="B6" s="710">
        <v>54750</v>
      </c>
      <c r="C6" s="710">
        <v>22995049</v>
      </c>
      <c r="D6" s="710">
        <v>27925113</v>
      </c>
      <c r="E6" s="710">
        <v>7359556</v>
      </c>
      <c r="F6" s="710">
        <v>11046629</v>
      </c>
      <c r="G6" s="710">
        <v>12879190</v>
      </c>
      <c r="H6" s="710">
        <v>522062</v>
      </c>
      <c r="I6" s="732"/>
    </row>
    <row r="8" spans="1:10" x14ac:dyDescent="0.2">
      <c r="A8" s="724" t="s">
        <v>331</v>
      </c>
      <c r="B8" s="724" t="s">
        <v>332</v>
      </c>
    </row>
    <row r="9" spans="1:10" x14ac:dyDescent="0.2">
      <c r="A9" s="724" t="s">
        <v>43</v>
      </c>
      <c r="B9" s="724" t="s">
        <v>129</v>
      </c>
    </row>
    <row r="10" spans="1:10" x14ac:dyDescent="0.2">
      <c r="A10" s="985" t="s">
        <v>333</v>
      </c>
      <c r="B10" s="986" t="s">
        <v>328</v>
      </c>
      <c r="C10" s="986"/>
      <c r="D10" s="986"/>
      <c r="E10" s="986"/>
      <c r="F10" s="986"/>
      <c r="G10" s="986"/>
      <c r="H10" s="986"/>
      <c r="I10" s="986"/>
    </row>
    <row r="11" spans="1:10" x14ac:dyDescent="0.2">
      <c r="A11" s="985"/>
      <c r="B11" s="726">
        <v>2010</v>
      </c>
      <c r="C11" s="726">
        <v>2011</v>
      </c>
      <c r="D11" s="726">
        <v>2012</v>
      </c>
      <c r="E11" s="726">
        <v>2013</v>
      </c>
      <c r="F11" s="726">
        <v>2014</v>
      </c>
      <c r="G11" s="726">
        <v>2015</v>
      </c>
      <c r="H11" s="726">
        <v>2016</v>
      </c>
      <c r="I11" s="736">
        <v>2017</v>
      </c>
      <c r="J11" s="736"/>
    </row>
    <row r="12" spans="1:10" x14ac:dyDescent="0.2">
      <c r="A12" s="710" t="s">
        <v>334</v>
      </c>
      <c r="B12" s="710">
        <v>5</v>
      </c>
      <c r="C12" s="710"/>
      <c r="D12" s="710">
        <v>13</v>
      </c>
      <c r="E12" s="710"/>
      <c r="F12" s="710">
        <v>155.66</v>
      </c>
      <c r="G12" s="710"/>
      <c r="H12" s="710"/>
      <c r="I12" s="733">
        <v>797</v>
      </c>
      <c r="J12" s="729"/>
    </row>
    <row r="13" spans="1:10" x14ac:dyDescent="0.2">
      <c r="A13" s="710" t="s">
        <v>335</v>
      </c>
      <c r="B13" s="710">
        <v>10.1</v>
      </c>
      <c r="C13" s="710"/>
      <c r="D13" s="710">
        <v>250</v>
      </c>
      <c r="E13" s="710">
        <v>60.5</v>
      </c>
      <c r="F13" s="710">
        <v>30</v>
      </c>
      <c r="G13" s="710">
        <v>85</v>
      </c>
      <c r="H13" s="710"/>
      <c r="I13" s="733">
        <v>3.5</v>
      </c>
      <c r="J13" s="729"/>
    </row>
    <row r="14" spans="1:10" x14ac:dyDescent="0.2">
      <c r="A14" s="710" t="s">
        <v>336</v>
      </c>
      <c r="B14" s="710"/>
      <c r="C14" s="710"/>
      <c r="D14" s="710"/>
      <c r="E14" s="710"/>
      <c r="F14" s="710"/>
      <c r="G14" s="710"/>
      <c r="H14" s="710"/>
      <c r="I14" s="733"/>
      <c r="J14" s="729"/>
    </row>
    <row r="15" spans="1:10" s="725" customFormat="1" x14ac:dyDescent="0.2">
      <c r="A15" s="712" t="s">
        <v>266</v>
      </c>
      <c r="B15" s="712"/>
      <c r="C15" s="712"/>
      <c r="D15" s="712"/>
      <c r="E15" s="712"/>
      <c r="F15" s="712">
        <v>2</v>
      </c>
      <c r="G15" s="712"/>
      <c r="H15" s="712"/>
      <c r="I15" s="712"/>
      <c r="J15" s="741"/>
    </row>
    <row r="16" spans="1:10" x14ac:dyDescent="0.2">
      <c r="A16" s="710" t="s">
        <v>337</v>
      </c>
      <c r="B16" s="710"/>
      <c r="C16" s="710">
        <v>0.5</v>
      </c>
      <c r="D16" s="710"/>
      <c r="E16" s="710"/>
      <c r="F16" s="710">
        <v>5.25</v>
      </c>
      <c r="G16" s="710">
        <v>181</v>
      </c>
      <c r="H16" s="710"/>
      <c r="I16" s="733"/>
      <c r="J16" s="729"/>
    </row>
    <row r="17" spans="1:10" x14ac:dyDescent="0.2">
      <c r="A17" s="710" t="s">
        <v>264</v>
      </c>
      <c r="B17" s="710"/>
      <c r="C17" s="710"/>
      <c r="D17" s="710"/>
      <c r="E17" s="710"/>
      <c r="F17" s="710"/>
      <c r="G17" s="710"/>
      <c r="H17" s="710"/>
      <c r="I17" s="733"/>
      <c r="J17" s="729"/>
    </row>
    <row r="18" spans="1:10" x14ac:dyDescent="0.2">
      <c r="A18" s="710" t="s">
        <v>338</v>
      </c>
      <c r="B18" s="710"/>
      <c r="C18" s="710"/>
      <c r="D18" s="710"/>
      <c r="E18" s="710"/>
      <c r="F18" s="710"/>
      <c r="G18" s="734">
        <v>2082.7399999999998</v>
      </c>
      <c r="H18" s="710"/>
      <c r="I18" s="735"/>
      <c r="J18" s="729"/>
    </row>
    <row r="19" spans="1:10" x14ac:dyDescent="0.2">
      <c r="A19" s="710" t="s">
        <v>339</v>
      </c>
      <c r="B19" s="710">
        <v>2.5</v>
      </c>
      <c r="C19" s="710">
        <v>89</v>
      </c>
      <c r="D19" s="710">
        <v>11.25</v>
      </c>
      <c r="E19" s="710">
        <v>199.1</v>
      </c>
      <c r="F19" s="734">
        <v>3470.61</v>
      </c>
      <c r="G19" s="734">
        <v>19528</v>
      </c>
      <c r="H19" s="710">
        <v>36.799999999999997</v>
      </c>
      <c r="I19" s="735">
        <v>306.13</v>
      </c>
      <c r="J19" s="729"/>
    </row>
    <row r="20" spans="1:10" s="725" customFormat="1" x14ac:dyDescent="0.2">
      <c r="A20" s="712" t="s">
        <v>340</v>
      </c>
      <c r="B20" s="712"/>
      <c r="C20" s="712">
        <v>1278.55</v>
      </c>
      <c r="D20" s="712">
        <v>1945.5</v>
      </c>
      <c r="E20" s="712">
        <v>252.8</v>
      </c>
      <c r="F20" s="740">
        <v>552.69000000000005</v>
      </c>
      <c r="G20" s="740">
        <v>3292.4</v>
      </c>
      <c r="H20" s="712"/>
      <c r="I20" s="740">
        <v>6.44</v>
      </c>
      <c r="J20" s="741"/>
    </row>
    <row r="21" spans="1:10" s="725" customFormat="1" x14ac:dyDescent="0.2">
      <c r="A21" s="712" t="s">
        <v>341</v>
      </c>
      <c r="B21" s="712"/>
      <c r="C21" s="712">
        <v>712.24</v>
      </c>
      <c r="D21" s="712">
        <v>454</v>
      </c>
      <c r="E21" s="712">
        <v>31.2</v>
      </c>
      <c r="F21" s="712">
        <v>159.76</v>
      </c>
      <c r="G21" s="740">
        <v>6995.34</v>
      </c>
      <c r="H21" s="712"/>
      <c r="I21" s="740"/>
      <c r="J21" s="741"/>
    </row>
    <row r="22" spans="1:10" s="725" customFormat="1" x14ac:dyDescent="0.2">
      <c r="A22" s="712" t="s">
        <v>342</v>
      </c>
      <c r="B22" s="712">
        <v>204.9</v>
      </c>
      <c r="C22" s="712">
        <v>48.35</v>
      </c>
      <c r="D22" s="712">
        <v>2960.05</v>
      </c>
      <c r="E22" s="740">
        <v>1352.14</v>
      </c>
      <c r="F22" s="740">
        <v>4975.32</v>
      </c>
      <c r="G22" s="712">
        <v>975.95</v>
      </c>
      <c r="H22" s="712"/>
      <c r="I22" s="712">
        <v>16</v>
      </c>
      <c r="J22" s="741"/>
    </row>
    <row r="23" spans="1:10" x14ac:dyDescent="0.2">
      <c r="A23" s="710" t="s">
        <v>343</v>
      </c>
      <c r="B23" s="710"/>
      <c r="C23" s="710"/>
      <c r="D23" s="710">
        <v>577.4</v>
      </c>
      <c r="E23" s="710">
        <v>22.7</v>
      </c>
      <c r="F23" s="734">
        <v>3556.1</v>
      </c>
      <c r="G23" s="734">
        <v>3191.98</v>
      </c>
      <c r="H23" s="734">
        <v>1859.05</v>
      </c>
      <c r="I23" s="735">
        <v>761.33</v>
      </c>
      <c r="J23" s="729"/>
    </row>
    <row r="24" spans="1:10" x14ac:dyDescent="0.2">
      <c r="A24" s="710" t="s">
        <v>344</v>
      </c>
      <c r="B24" s="710"/>
      <c r="C24" s="710"/>
      <c r="D24" s="710">
        <v>60.5</v>
      </c>
      <c r="E24" s="710">
        <v>417.5</v>
      </c>
      <c r="F24" s="710">
        <v>341</v>
      </c>
      <c r="G24" s="734">
        <v>1714.89</v>
      </c>
      <c r="H24" s="710">
        <v>160</v>
      </c>
      <c r="I24" s="735">
        <v>1073.4000000000001</v>
      </c>
      <c r="J24" s="729"/>
    </row>
    <row r="25" spans="1:10" x14ac:dyDescent="0.2">
      <c r="A25" s="710" t="s">
        <v>345</v>
      </c>
      <c r="B25" s="710"/>
      <c r="C25" s="710">
        <v>22</v>
      </c>
      <c r="D25" s="710">
        <v>55.15</v>
      </c>
      <c r="E25" s="710">
        <v>3.1</v>
      </c>
      <c r="F25" s="734">
        <v>4022.85</v>
      </c>
      <c r="G25" s="734">
        <v>122882.9</v>
      </c>
      <c r="H25" s="710">
        <v>912.89</v>
      </c>
      <c r="I25" s="735">
        <v>734.38</v>
      </c>
      <c r="J25" s="729"/>
    </row>
    <row r="26" spans="1:10" x14ac:dyDescent="0.2">
      <c r="A26" s="710" t="s">
        <v>346</v>
      </c>
      <c r="B26" s="710"/>
      <c r="C26" s="710">
        <v>148.80000000000001</v>
      </c>
      <c r="D26" s="710">
        <v>51.5</v>
      </c>
      <c r="E26" s="710"/>
      <c r="F26" s="710">
        <v>325.19</v>
      </c>
      <c r="G26" s="734">
        <v>19179.86</v>
      </c>
      <c r="H26" s="734">
        <v>1197.2</v>
      </c>
      <c r="I26" s="735">
        <v>175.97</v>
      </c>
      <c r="J26" s="729"/>
    </row>
    <row r="27" spans="1:10" x14ac:dyDescent="0.2">
      <c r="A27" s="710" t="s">
        <v>347</v>
      </c>
      <c r="B27" s="710"/>
      <c r="C27" s="710"/>
      <c r="D27" s="710"/>
      <c r="E27" s="710"/>
      <c r="F27" s="710"/>
      <c r="G27" s="710"/>
      <c r="H27" s="710">
        <v>3</v>
      </c>
      <c r="I27" s="733"/>
      <c r="J27" s="729"/>
    </row>
    <row r="28" spans="1:10" x14ac:dyDescent="0.2">
      <c r="A28" s="710" t="s">
        <v>348</v>
      </c>
      <c r="B28" s="710"/>
      <c r="C28" s="710"/>
      <c r="D28" s="710"/>
      <c r="E28" s="710"/>
      <c r="F28" s="710"/>
      <c r="G28" s="710"/>
      <c r="H28" s="710"/>
      <c r="I28" s="733">
        <v>56.1</v>
      </c>
      <c r="J28" s="729"/>
    </row>
    <row r="29" spans="1:10" x14ac:dyDescent="0.2">
      <c r="A29" s="710" t="s">
        <v>349</v>
      </c>
      <c r="B29" s="710">
        <v>106</v>
      </c>
      <c r="C29" s="710">
        <v>31</v>
      </c>
      <c r="D29" s="710"/>
      <c r="E29" s="710"/>
      <c r="F29" s="710">
        <v>22.8</v>
      </c>
      <c r="G29" s="734">
        <v>19695.86</v>
      </c>
      <c r="H29" s="710"/>
      <c r="I29" s="735">
        <v>4</v>
      </c>
      <c r="J29" s="729"/>
    </row>
    <row r="30" spans="1:10" x14ac:dyDescent="0.2">
      <c r="A30" s="710" t="s">
        <v>350</v>
      </c>
      <c r="B30" s="710"/>
      <c r="C30" s="710"/>
      <c r="D30" s="710"/>
      <c r="E30" s="710"/>
      <c r="F30" s="710">
        <v>179.83</v>
      </c>
      <c r="G30" s="734">
        <v>3394.48</v>
      </c>
      <c r="H30" s="710"/>
      <c r="I30" s="735">
        <v>41</v>
      </c>
      <c r="J30" s="729"/>
    </row>
    <row r="31" spans="1:10" x14ac:dyDescent="0.2">
      <c r="A31" s="710" t="s">
        <v>351</v>
      </c>
      <c r="B31" s="710">
        <v>10</v>
      </c>
      <c r="C31" s="710"/>
      <c r="D31" s="710"/>
      <c r="E31" s="710"/>
      <c r="F31" s="710">
        <v>6.5</v>
      </c>
      <c r="G31" s="710">
        <v>60</v>
      </c>
      <c r="H31" s="710"/>
      <c r="I31" s="733"/>
      <c r="J31" s="729"/>
    </row>
    <row r="32" spans="1:10" x14ac:dyDescent="0.2">
      <c r="A32" s="710" t="s">
        <v>352</v>
      </c>
      <c r="B32" s="710">
        <v>2</v>
      </c>
      <c r="C32" s="710"/>
      <c r="D32" s="710"/>
      <c r="E32" s="710">
        <v>12</v>
      </c>
      <c r="F32" s="734">
        <v>3977.55</v>
      </c>
      <c r="G32" s="734">
        <v>1462.04</v>
      </c>
      <c r="H32" s="710"/>
      <c r="I32" s="735">
        <v>103</v>
      </c>
      <c r="J32" s="729"/>
    </row>
    <row r="33" spans="1:10" x14ac:dyDescent="0.2">
      <c r="A33" s="710" t="s">
        <v>353</v>
      </c>
      <c r="B33" s="710">
        <v>95</v>
      </c>
      <c r="C33" s="710"/>
      <c r="D33" s="710">
        <v>553.20000000000005</v>
      </c>
      <c r="E33" s="710">
        <v>649.9</v>
      </c>
      <c r="F33" s="710">
        <v>980.87</v>
      </c>
      <c r="G33" s="710">
        <v>372.43</v>
      </c>
      <c r="H33" s="710">
        <v>64.37</v>
      </c>
      <c r="I33" s="733">
        <v>159.83000000000001</v>
      </c>
      <c r="J33" s="729"/>
    </row>
    <row r="34" spans="1:10" x14ac:dyDescent="0.2">
      <c r="A34" s="710" t="s">
        <v>354</v>
      </c>
      <c r="B34" s="710">
        <v>39</v>
      </c>
      <c r="C34" s="710"/>
      <c r="D34" s="710"/>
      <c r="E34" s="710"/>
      <c r="F34" s="710">
        <v>300</v>
      </c>
      <c r="G34" s="734">
        <v>1792.44</v>
      </c>
      <c r="H34" s="710"/>
      <c r="I34" s="735"/>
      <c r="J34" s="729"/>
    </row>
    <row r="35" spans="1:10" x14ac:dyDescent="0.2">
      <c r="A35" s="710" t="s">
        <v>355</v>
      </c>
      <c r="B35" s="710">
        <v>1.1200000000000001</v>
      </c>
      <c r="C35" s="710"/>
      <c r="D35" s="710"/>
      <c r="E35" s="710"/>
      <c r="F35" s="710"/>
      <c r="G35" s="710"/>
      <c r="H35" s="710"/>
      <c r="I35" s="733"/>
      <c r="J35" s="729"/>
    </row>
    <row r="36" spans="1:10" x14ac:dyDescent="0.2">
      <c r="A36" s="710" t="s">
        <v>356</v>
      </c>
      <c r="B36" s="710">
        <v>26</v>
      </c>
      <c r="C36" s="710">
        <v>74.5</v>
      </c>
      <c r="D36" s="710">
        <v>74.5</v>
      </c>
      <c r="E36" s="734">
        <v>1077.5</v>
      </c>
      <c r="F36" s="734">
        <v>6301.1</v>
      </c>
      <c r="G36" s="734">
        <v>4040.5</v>
      </c>
      <c r="H36" s="734">
        <v>1928.26</v>
      </c>
      <c r="I36" s="735">
        <v>1109.3599999999999</v>
      </c>
      <c r="J36" s="729"/>
    </row>
    <row r="37" spans="1:10" x14ac:dyDescent="0.2">
      <c r="A37" s="710" t="s">
        <v>357</v>
      </c>
      <c r="B37" s="710"/>
      <c r="C37" s="710"/>
      <c r="D37" s="710"/>
      <c r="E37" s="710"/>
      <c r="F37" s="710"/>
      <c r="G37" s="710"/>
      <c r="H37" s="710"/>
      <c r="I37" s="733">
        <v>20</v>
      </c>
      <c r="J37" s="729"/>
    </row>
    <row r="38" spans="1:10" x14ac:dyDescent="0.2">
      <c r="A38" s="710" t="s">
        <v>358</v>
      </c>
      <c r="B38" s="710">
        <v>28</v>
      </c>
      <c r="C38" s="710">
        <v>31.75</v>
      </c>
      <c r="D38" s="710">
        <v>45.3</v>
      </c>
      <c r="E38" s="710">
        <v>40.5</v>
      </c>
      <c r="F38" s="710">
        <v>483.1</v>
      </c>
      <c r="G38" s="710">
        <v>720.4</v>
      </c>
      <c r="H38" s="710">
        <v>18.91</v>
      </c>
      <c r="I38" s="733">
        <v>29.75</v>
      </c>
      <c r="J38" s="729"/>
    </row>
    <row r="39" spans="1:10" x14ac:dyDescent="0.2">
      <c r="A39" s="710" t="s">
        <v>359</v>
      </c>
      <c r="B39" s="710"/>
      <c r="C39" s="710"/>
      <c r="D39" s="710">
        <v>30.83</v>
      </c>
      <c r="E39" s="710">
        <v>1</v>
      </c>
      <c r="F39" s="710">
        <v>70.73</v>
      </c>
      <c r="G39" s="710"/>
      <c r="H39" s="710"/>
      <c r="I39" s="733"/>
      <c r="J39" s="729"/>
    </row>
    <row r="40" spans="1:10" x14ac:dyDescent="0.2">
      <c r="A40" s="710" t="s">
        <v>360</v>
      </c>
      <c r="B40" s="710">
        <v>16</v>
      </c>
      <c r="C40" s="710">
        <v>85.9</v>
      </c>
      <c r="D40" s="710">
        <v>346.1</v>
      </c>
      <c r="E40" s="710">
        <v>13</v>
      </c>
      <c r="F40" s="734">
        <v>2410.86</v>
      </c>
      <c r="G40" s="710">
        <v>57.82</v>
      </c>
      <c r="H40" s="710">
        <v>184.86</v>
      </c>
      <c r="I40" s="733">
        <v>1639.81</v>
      </c>
      <c r="J40" s="729"/>
    </row>
    <row r="41" spans="1:10" x14ac:dyDescent="0.2">
      <c r="A41" s="710" t="s">
        <v>361</v>
      </c>
      <c r="B41" s="710"/>
      <c r="C41" s="710"/>
      <c r="D41" s="710">
        <v>1.8</v>
      </c>
      <c r="E41" s="710">
        <v>0.25</v>
      </c>
      <c r="F41" s="710">
        <v>236.06</v>
      </c>
      <c r="G41" s="734">
        <v>18268.93</v>
      </c>
      <c r="H41" s="710"/>
      <c r="I41" s="735">
        <v>10.33</v>
      </c>
      <c r="J41" s="729"/>
    </row>
    <row r="42" spans="1:10" x14ac:dyDescent="0.2">
      <c r="A42" s="710" t="s">
        <v>362</v>
      </c>
      <c r="B42" s="710">
        <v>56</v>
      </c>
      <c r="C42" s="710"/>
      <c r="D42" s="710">
        <v>3.5</v>
      </c>
      <c r="E42" s="710"/>
      <c r="F42" s="710">
        <v>120.5</v>
      </c>
      <c r="G42" s="710"/>
      <c r="H42" s="710"/>
      <c r="I42" s="733">
        <v>5.33</v>
      </c>
      <c r="J42" s="729"/>
    </row>
    <row r="43" spans="1:10" x14ac:dyDescent="0.2">
      <c r="A43" s="710" t="s">
        <v>363</v>
      </c>
      <c r="B43" s="710"/>
      <c r="C43" s="710">
        <v>84.5</v>
      </c>
      <c r="D43" s="710"/>
      <c r="E43" s="710">
        <v>484.15</v>
      </c>
      <c r="F43" s="734">
        <v>8504.86</v>
      </c>
      <c r="G43" s="734">
        <v>30984.98</v>
      </c>
      <c r="H43" s="710">
        <v>266.49</v>
      </c>
      <c r="I43" s="735">
        <v>2602.9</v>
      </c>
      <c r="J43" s="729"/>
    </row>
    <row r="44" spans="1:10" x14ac:dyDescent="0.2">
      <c r="A44" s="710" t="s">
        <v>364</v>
      </c>
      <c r="B44" s="710">
        <v>80</v>
      </c>
      <c r="C44" s="710">
        <v>5</v>
      </c>
      <c r="D44" s="710">
        <v>1181</v>
      </c>
      <c r="E44" s="710">
        <v>295.39999999999998</v>
      </c>
      <c r="F44" s="734">
        <v>3219.9</v>
      </c>
      <c r="G44" s="710">
        <v>177</v>
      </c>
      <c r="H44" s="710">
        <v>547.5</v>
      </c>
      <c r="I44" s="733">
        <v>1471.93</v>
      </c>
      <c r="J44" s="729"/>
    </row>
    <row r="45" spans="1:10" x14ac:dyDescent="0.2">
      <c r="A45" s="710" t="s">
        <v>365</v>
      </c>
      <c r="B45" s="710">
        <v>2818.5</v>
      </c>
      <c r="C45" s="710"/>
      <c r="D45" s="710">
        <v>6.45</v>
      </c>
      <c r="E45" s="710">
        <v>6</v>
      </c>
      <c r="F45" s="710">
        <v>0.27</v>
      </c>
      <c r="G45" s="710"/>
      <c r="H45" s="710"/>
      <c r="I45" s="733"/>
      <c r="J45" s="729"/>
    </row>
    <row r="46" spans="1:10" x14ac:dyDescent="0.2">
      <c r="A46" s="737" t="s">
        <v>279</v>
      </c>
      <c r="B46" s="737">
        <f>SUM(B12:B45)</f>
        <v>3500.12</v>
      </c>
      <c r="C46" s="737">
        <f t="shared" ref="C46:G46" si="0">SUM(C12:C45)</f>
        <v>2612.09</v>
      </c>
      <c r="D46" s="737">
        <f t="shared" si="0"/>
        <v>8621.0300000000007</v>
      </c>
      <c r="E46" s="738">
        <f>SUM(E12:E45)</f>
        <v>4918.74</v>
      </c>
      <c r="F46" s="739">
        <f t="shared" si="0"/>
        <v>44411.360000000001</v>
      </c>
      <c r="G46" s="739">
        <f t="shared" si="0"/>
        <v>261136.94</v>
      </c>
      <c r="H46" s="739">
        <f>SUM(H12:H45)</f>
        <v>7179.329999999999</v>
      </c>
      <c r="I46" s="739">
        <f>SUM(I12:I45)</f>
        <v>11127.49</v>
      </c>
    </row>
    <row r="47" spans="1:10" x14ac:dyDescent="0.2">
      <c r="A47" s="737" t="s">
        <v>422</v>
      </c>
      <c r="B47" s="737"/>
      <c r="C47" s="737"/>
      <c r="D47" s="737"/>
      <c r="E47" s="738">
        <f>E46-E22-E21-E20-E15</f>
        <v>3282.5999999999995</v>
      </c>
      <c r="F47" s="738">
        <f t="shared" ref="F47:I47" si="1">F46-F22-F21-F20-F15</f>
        <v>38721.589999999997</v>
      </c>
      <c r="G47" s="738">
        <f t="shared" si="1"/>
        <v>249873.25</v>
      </c>
      <c r="H47" s="738">
        <f t="shared" si="1"/>
        <v>7179.329999999999</v>
      </c>
      <c r="I47" s="738">
        <f t="shared" si="1"/>
        <v>11105.05</v>
      </c>
    </row>
    <row r="48" spans="1:10" x14ac:dyDescent="0.2">
      <c r="H48" s="730"/>
      <c r="I48" s="730"/>
    </row>
    <row r="49" spans="1:3" hidden="1" x14ac:dyDescent="0.2">
      <c r="A49" s="724" t="s">
        <v>331</v>
      </c>
      <c r="B49" s="724" t="s">
        <v>285</v>
      </c>
    </row>
    <row r="50" spans="1:3" hidden="1" x14ac:dyDescent="0.2">
      <c r="A50" s="724" t="s">
        <v>43</v>
      </c>
      <c r="B50" s="724" t="s">
        <v>129</v>
      </c>
    </row>
    <row r="51" spans="1:3" hidden="1" x14ac:dyDescent="0.2">
      <c r="A51" s="724" t="s">
        <v>86</v>
      </c>
      <c r="B51" s="724" t="s">
        <v>328</v>
      </c>
    </row>
    <row r="52" spans="1:3" hidden="1" x14ac:dyDescent="0.2">
      <c r="A52" s="724">
        <v>2010</v>
      </c>
      <c r="B52" s="764">
        <v>905.62</v>
      </c>
    </row>
    <row r="53" spans="1:3" hidden="1" x14ac:dyDescent="0.2">
      <c r="A53" s="724">
        <v>2011</v>
      </c>
      <c r="B53" s="764">
        <v>7089.58</v>
      </c>
    </row>
    <row r="54" spans="1:3" hidden="1" x14ac:dyDescent="0.2">
      <c r="A54" s="724">
        <v>2012</v>
      </c>
      <c r="B54" s="764">
        <v>8268.65</v>
      </c>
    </row>
    <row r="55" spans="1:3" hidden="1" x14ac:dyDescent="0.2">
      <c r="A55" s="724">
        <v>2013</v>
      </c>
      <c r="B55" s="764">
        <v>4918.75</v>
      </c>
      <c r="C55" s="728"/>
    </row>
    <row r="56" spans="1:3" hidden="1" x14ac:dyDescent="0.2">
      <c r="A56" s="724">
        <v>2014</v>
      </c>
      <c r="B56" s="764">
        <v>32761.26</v>
      </c>
    </row>
    <row r="57" spans="1:3" hidden="1" x14ac:dyDescent="0.2">
      <c r="A57" s="724">
        <v>2015</v>
      </c>
      <c r="B57" s="764">
        <v>17025.509999999998</v>
      </c>
    </row>
    <row r="58" spans="1:3" hidden="1" x14ac:dyDescent="0.2">
      <c r="A58" s="724">
        <v>2016</v>
      </c>
      <c r="B58" s="764">
        <v>3109.15</v>
      </c>
      <c r="C58" s="728"/>
    </row>
    <row r="59" spans="1:3" hidden="1" x14ac:dyDescent="0.2">
      <c r="A59" s="724">
        <v>2017</v>
      </c>
      <c r="C59" s="728"/>
    </row>
  </sheetData>
  <mergeCells count="2">
    <mergeCell ref="A10:A11"/>
    <mergeCell ref="B10:I10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pane xSplit="1" ySplit="5" topLeftCell="B29" activePane="bottomRight" state="frozen"/>
      <selection activeCell="L33" sqref="L33"/>
      <selection pane="topRight" activeCell="L33" sqref="L33"/>
      <selection pane="bottomLeft" activeCell="L33" sqref="L33"/>
      <selection pane="bottomRight" activeCell="L33" sqref="L33"/>
    </sheetView>
  </sheetViews>
  <sheetFormatPr defaultColWidth="9.33203125" defaultRowHeight="12.75" x14ac:dyDescent="0.2"/>
  <cols>
    <col min="1" max="1" width="40.33203125" style="724" customWidth="1"/>
    <col min="2" max="2" width="36.5" style="724" customWidth="1"/>
    <col min="3" max="4" width="9.5" style="724" bestFit="1" customWidth="1"/>
    <col min="5" max="5" width="13.83203125" style="724" bestFit="1" customWidth="1"/>
    <col min="6" max="6" width="10" style="724" bestFit="1" customWidth="1"/>
    <col min="7" max="10" width="9.5" style="724" bestFit="1" customWidth="1"/>
    <col min="11" max="16384" width="9.33203125" style="724"/>
  </cols>
  <sheetData>
    <row r="1" spans="1:10" x14ac:dyDescent="0.2">
      <c r="A1" s="724" t="s">
        <v>367</v>
      </c>
    </row>
    <row r="2" spans="1:10" x14ac:dyDescent="0.2">
      <c r="A2" s="724" t="s">
        <v>331</v>
      </c>
      <c r="B2" s="724" t="s">
        <v>368</v>
      </c>
    </row>
    <row r="3" spans="1:10" x14ac:dyDescent="0.2">
      <c r="A3" s="724" t="s">
        <v>326</v>
      </c>
      <c r="B3" s="724" t="s">
        <v>129</v>
      </c>
    </row>
    <row r="4" spans="1:10" x14ac:dyDescent="0.2">
      <c r="A4" s="988" t="s">
        <v>333</v>
      </c>
      <c r="B4" s="988" t="s">
        <v>369</v>
      </c>
      <c r="C4" s="989" t="s">
        <v>370</v>
      </c>
      <c r="D4" s="989"/>
      <c r="E4" s="989"/>
      <c r="F4" s="989"/>
      <c r="G4" s="989"/>
      <c r="H4" s="989"/>
      <c r="I4" s="989"/>
      <c r="J4" s="989"/>
    </row>
    <row r="5" spans="1:10" ht="25.5" x14ac:dyDescent="0.2">
      <c r="A5" s="988"/>
      <c r="B5" s="988"/>
      <c r="C5" s="714" t="s">
        <v>371</v>
      </c>
      <c r="D5" s="714" t="s">
        <v>372</v>
      </c>
      <c r="E5" s="714" t="s">
        <v>373</v>
      </c>
      <c r="F5" s="714" t="s">
        <v>374</v>
      </c>
      <c r="G5" s="714" t="s">
        <v>375</v>
      </c>
      <c r="H5" s="714" t="s">
        <v>376</v>
      </c>
      <c r="I5" s="714" t="s">
        <v>377</v>
      </c>
      <c r="J5" s="715" t="s">
        <v>378</v>
      </c>
    </row>
    <row r="6" spans="1:10" x14ac:dyDescent="0.2">
      <c r="A6" s="711" t="s">
        <v>379</v>
      </c>
      <c r="B6" s="711" t="s">
        <v>380</v>
      </c>
      <c r="C6" s="717"/>
      <c r="D6" s="717"/>
      <c r="E6" s="718">
        <v>5000</v>
      </c>
      <c r="F6" s="718">
        <v>500</v>
      </c>
      <c r="G6" s="718">
        <v>500</v>
      </c>
      <c r="H6" s="718">
        <v>900</v>
      </c>
      <c r="I6" s="718">
        <v>575</v>
      </c>
      <c r="J6" s="719">
        <v>460</v>
      </c>
    </row>
    <row r="7" spans="1:10" x14ac:dyDescent="0.2">
      <c r="A7" s="711" t="s">
        <v>364</v>
      </c>
      <c r="B7" s="711" t="s">
        <v>381</v>
      </c>
      <c r="C7" s="717"/>
      <c r="D7" s="717"/>
      <c r="E7" s="718">
        <v>3000</v>
      </c>
      <c r="F7" s="718">
        <v>5000</v>
      </c>
      <c r="G7" s="718">
        <v>800</v>
      </c>
      <c r="H7" s="718" t="s">
        <v>382</v>
      </c>
      <c r="I7" s="718" t="s">
        <v>382</v>
      </c>
      <c r="J7" s="719">
        <v>150</v>
      </c>
    </row>
    <row r="8" spans="1:10" x14ac:dyDescent="0.2">
      <c r="A8" s="711"/>
      <c r="B8" s="711" t="s">
        <v>383</v>
      </c>
      <c r="C8" s="717"/>
      <c r="D8" s="717"/>
      <c r="E8" s="718">
        <v>4005</v>
      </c>
      <c r="F8" s="718">
        <v>1500</v>
      </c>
      <c r="G8" s="718">
        <v>250</v>
      </c>
      <c r="H8" s="718">
        <v>800</v>
      </c>
      <c r="I8" s="718" t="s">
        <v>382</v>
      </c>
      <c r="J8" s="719">
        <v>1033</v>
      </c>
    </row>
    <row r="9" spans="1:10" x14ac:dyDescent="0.2">
      <c r="A9" s="711" t="s">
        <v>362</v>
      </c>
      <c r="B9" s="711" t="s">
        <v>384</v>
      </c>
      <c r="C9" s="717"/>
      <c r="D9" s="717"/>
      <c r="E9" s="718">
        <v>745</v>
      </c>
      <c r="F9" s="718">
        <v>1500</v>
      </c>
      <c r="G9" s="718">
        <v>200</v>
      </c>
      <c r="H9" s="718">
        <v>180</v>
      </c>
      <c r="I9" s="718" t="s">
        <v>382</v>
      </c>
      <c r="J9" s="719">
        <v>280</v>
      </c>
    </row>
    <row r="10" spans="1:10" x14ac:dyDescent="0.2">
      <c r="A10" s="711"/>
      <c r="B10" s="711" t="s">
        <v>385</v>
      </c>
      <c r="C10" s="717"/>
      <c r="D10" s="717"/>
      <c r="E10" s="718" t="s">
        <v>382</v>
      </c>
      <c r="F10" s="718" t="s">
        <v>382</v>
      </c>
      <c r="G10" s="718" t="s">
        <v>382</v>
      </c>
      <c r="H10" s="718">
        <v>175</v>
      </c>
      <c r="I10" s="718">
        <v>50</v>
      </c>
      <c r="J10" s="719">
        <v>300</v>
      </c>
    </row>
    <row r="11" spans="1:10" x14ac:dyDescent="0.2">
      <c r="A11" s="711"/>
      <c r="B11" s="711" t="s">
        <v>386</v>
      </c>
      <c r="C11" s="720"/>
      <c r="D11" s="717"/>
      <c r="E11" s="718" t="s">
        <v>382</v>
      </c>
      <c r="F11" s="718" t="s">
        <v>382</v>
      </c>
      <c r="G11" s="718" t="s">
        <v>382</v>
      </c>
      <c r="H11" s="718">
        <v>718</v>
      </c>
      <c r="I11" s="718">
        <v>400</v>
      </c>
      <c r="J11" s="719"/>
    </row>
    <row r="12" spans="1:10" x14ac:dyDescent="0.2">
      <c r="A12" s="711" t="s">
        <v>356</v>
      </c>
      <c r="B12" s="711" t="s">
        <v>386</v>
      </c>
      <c r="C12" s="721"/>
      <c r="D12" s="721"/>
      <c r="E12" s="718">
        <v>2562</v>
      </c>
      <c r="F12" s="718">
        <v>1500</v>
      </c>
      <c r="G12" s="718">
        <v>850</v>
      </c>
      <c r="H12" s="718">
        <v>0</v>
      </c>
      <c r="I12" s="718">
        <v>375</v>
      </c>
      <c r="J12" s="719">
        <v>560</v>
      </c>
    </row>
    <row r="13" spans="1:10" x14ac:dyDescent="0.2">
      <c r="A13" s="711" t="s">
        <v>339</v>
      </c>
      <c r="B13" s="711" t="s">
        <v>385</v>
      </c>
      <c r="C13" s="721"/>
      <c r="D13" s="721"/>
      <c r="E13" s="718">
        <v>7750</v>
      </c>
      <c r="F13" s="718">
        <v>6350</v>
      </c>
      <c r="G13" s="718">
        <v>800</v>
      </c>
      <c r="H13" s="718">
        <v>0</v>
      </c>
      <c r="I13" s="718" t="s">
        <v>382</v>
      </c>
      <c r="J13" s="719">
        <v>1000</v>
      </c>
    </row>
    <row r="14" spans="1:10" x14ac:dyDescent="0.2">
      <c r="A14" s="711" t="s">
        <v>363</v>
      </c>
      <c r="B14" s="711" t="s">
        <v>387</v>
      </c>
      <c r="C14" s="721"/>
      <c r="D14" s="721"/>
      <c r="E14" s="718">
        <v>5000</v>
      </c>
      <c r="F14" s="718">
        <v>3500</v>
      </c>
      <c r="G14" s="718">
        <v>400</v>
      </c>
      <c r="H14" s="718">
        <v>200</v>
      </c>
      <c r="I14" s="718">
        <v>107</v>
      </c>
      <c r="J14" s="719">
        <v>660</v>
      </c>
    </row>
    <row r="15" spans="1:10" x14ac:dyDescent="0.2">
      <c r="A15" s="711" t="s">
        <v>337</v>
      </c>
      <c r="B15" s="711" t="s">
        <v>388</v>
      </c>
      <c r="C15" s="721"/>
      <c r="D15" s="721"/>
      <c r="E15" s="718">
        <v>5000</v>
      </c>
      <c r="F15" s="718">
        <v>6000</v>
      </c>
      <c r="G15" s="718">
        <v>2050</v>
      </c>
      <c r="H15" s="718">
        <v>200</v>
      </c>
      <c r="I15" s="718">
        <v>325</v>
      </c>
      <c r="J15" s="719">
        <v>295</v>
      </c>
    </row>
    <row r="16" spans="1:10" x14ac:dyDescent="0.2">
      <c r="A16" s="711" t="s">
        <v>349</v>
      </c>
      <c r="B16" s="711" t="s">
        <v>389</v>
      </c>
      <c r="C16" s="721"/>
      <c r="D16" s="721"/>
      <c r="E16" s="718">
        <v>8800</v>
      </c>
      <c r="F16" s="718">
        <v>8300</v>
      </c>
      <c r="G16" s="718">
        <v>1750</v>
      </c>
      <c r="H16" s="718">
        <v>900</v>
      </c>
      <c r="I16" s="718">
        <v>604.04</v>
      </c>
      <c r="J16" s="719">
        <v>600</v>
      </c>
    </row>
    <row r="17" spans="1:10" x14ac:dyDescent="0.2">
      <c r="A17" s="711" t="s">
        <v>390</v>
      </c>
      <c r="B17" s="711" t="s">
        <v>391</v>
      </c>
      <c r="C17" s="721"/>
      <c r="D17" s="721"/>
      <c r="E17" s="718" t="s">
        <v>382</v>
      </c>
      <c r="F17" s="718" t="s">
        <v>382</v>
      </c>
      <c r="G17" s="718" t="s">
        <v>382</v>
      </c>
      <c r="H17" s="718" t="s">
        <v>382</v>
      </c>
      <c r="I17" s="718">
        <v>150</v>
      </c>
      <c r="J17" s="719">
        <v>335</v>
      </c>
    </row>
    <row r="18" spans="1:10" ht="25.5" x14ac:dyDescent="0.2">
      <c r="A18" s="711" t="s">
        <v>348</v>
      </c>
      <c r="B18" s="711" t="s">
        <v>392</v>
      </c>
      <c r="C18" s="721"/>
      <c r="D18" s="721"/>
      <c r="E18" s="718" t="s">
        <v>382</v>
      </c>
      <c r="F18" s="718">
        <v>850</v>
      </c>
      <c r="G18" s="718">
        <v>100</v>
      </c>
      <c r="H18" s="718">
        <v>200</v>
      </c>
      <c r="I18" s="718">
        <v>258</v>
      </c>
      <c r="J18" s="719">
        <v>293</v>
      </c>
    </row>
    <row r="19" spans="1:10" s="725" customFormat="1" x14ac:dyDescent="0.2">
      <c r="A19" s="716" t="s">
        <v>264</v>
      </c>
      <c r="B19" s="716" t="s">
        <v>393</v>
      </c>
      <c r="C19" s="722"/>
      <c r="D19" s="722"/>
      <c r="E19" s="723">
        <v>270</v>
      </c>
      <c r="F19" s="723">
        <v>0</v>
      </c>
      <c r="G19" s="723">
        <v>0</v>
      </c>
      <c r="H19" s="723">
        <v>0</v>
      </c>
      <c r="I19" s="723">
        <v>0</v>
      </c>
      <c r="J19" s="723">
        <v>0</v>
      </c>
    </row>
    <row r="20" spans="1:10" s="725" customFormat="1" x14ac:dyDescent="0.2">
      <c r="A20" s="716" t="s">
        <v>340</v>
      </c>
      <c r="B20" s="716" t="s">
        <v>393</v>
      </c>
      <c r="C20" s="987"/>
      <c r="D20" s="987"/>
      <c r="E20" s="723">
        <v>1825</v>
      </c>
      <c r="F20" s="723">
        <v>1250</v>
      </c>
      <c r="G20" s="723">
        <v>175</v>
      </c>
      <c r="H20" s="723">
        <v>0</v>
      </c>
      <c r="I20" s="723">
        <v>0</v>
      </c>
      <c r="J20" s="723">
        <v>13260</v>
      </c>
    </row>
    <row r="21" spans="1:10" s="725" customFormat="1" x14ac:dyDescent="0.2">
      <c r="A21" s="716"/>
      <c r="B21" s="716" t="s">
        <v>394</v>
      </c>
      <c r="C21" s="987"/>
      <c r="D21" s="987"/>
      <c r="E21" s="723">
        <v>1124</v>
      </c>
      <c r="F21" s="723">
        <v>500</v>
      </c>
      <c r="G21" s="723">
        <v>175</v>
      </c>
      <c r="H21" s="723">
        <v>0</v>
      </c>
      <c r="I21" s="723">
        <v>0</v>
      </c>
      <c r="J21" s="723">
        <v>6577</v>
      </c>
    </row>
    <row r="22" spans="1:10" s="725" customFormat="1" x14ac:dyDescent="0.2">
      <c r="A22" s="716" t="s">
        <v>341</v>
      </c>
      <c r="B22" s="716" t="s">
        <v>394</v>
      </c>
      <c r="C22" s="987"/>
      <c r="D22" s="987"/>
      <c r="E22" s="723">
        <v>102</v>
      </c>
      <c r="F22" s="723">
        <v>100</v>
      </c>
      <c r="G22" s="723">
        <v>0</v>
      </c>
      <c r="H22" s="723">
        <v>0</v>
      </c>
      <c r="I22" s="723">
        <v>0</v>
      </c>
      <c r="J22" s="723">
        <v>0</v>
      </c>
    </row>
    <row r="23" spans="1:10" s="725" customFormat="1" x14ac:dyDescent="0.2">
      <c r="A23" s="716"/>
      <c r="B23" s="716" t="s">
        <v>395</v>
      </c>
      <c r="C23" s="987"/>
      <c r="D23" s="987"/>
      <c r="E23" s="723">
        <v>533</v>
      </c>
      <c r="F23" s="723">
        <v>200</v>
      </c>
      <c r="G23" s="723">
        <v>0</v>
      </c>
      <c r="H23" s="723">
        <v>0</v>
      </c>
      <c r="I23" s="723">
        <v>0</v>
      </c>
      <c r="J23" s="723">
        <v>145</v>
      </c>
    </row>
    <row r="24" spans="1:10" s="725" customFormat="1" x14ac:dyDescent="0.2">
      <c r="A24" s="716"/>
      <c r="B24" s="716" t="s">
        <v>396</v>
      </c>
      <c r="C24" s="987"/>
      <c r="D24" s="987"/>
      <c r="E24" s="723">
        <v>322</v>
      </c>
      <c r="F24" s="723">
        <v>320.88</v>
      </c>
      <c r="G24" s="723">
        <v>70</v>
      </c>
      <c r="H24" s="723">
        <v>0</v>
      </c>
      <c r="I24" s="723">
        <v>0</v>
      </c>
      <c r="J24" s="723">
        <v>675</v>
      </c>
    </row>
    <row r="25" spans="1:10" s="725" customFormat="1" x14ac:dyDescent="0.2">
      <c r="A25" s="716"/>
      <c r="B25" s="716" t="s">
        <v>397</v>
      </c>
      <c r="C25" s="987"/>
      <c r="D25" s="987"/>
      <c r="E25" s="723">
        <v>406</v>
      </c>
      <c r="F25" s="723">
        <v>200</v>
      </c>
      <c r="G25" s="723">
        <v>0</v>
      </c>
      <c r="H25" s="723">
        <v>0</v>
      </c>
      <c r="I25" s="723">
        <v>0</v>
      </c>
      <c r="J25" s="723">
        <v>555</v>
      </c>
    </row>
    <row r="26" spans="1:10" s="725" customFormat="1" x14ac:dyDescent="0.2">
      <c r="A26" s="716" t="s">
        <v>398</v>
      </c>
      <c r="B26" s="716" t="s">
        <v>396</v>
      </c>
      <c r="C26" s="722"/>
      <c r="D26" s="722"/>
      <c r="E26" s="723">
        <v>125</v>
      </c>
      <c r="F26" s="723">
        <v>134.75</v>
      </c>
      <c r="G26" s="723">
        <v>30</v>
      </c>
      <c r="H26" s="723">
        <v>0</v>
      </c>
      <c r="I26" s="723">
        <v>0</v>
      </c>
      <c r="J26" s="723">
        <v>0</v>
      </c>
    </row>
    <row r="27" spans="1:10" s="725" customFormat="1" x14ac:dyDescent="0.2">
      <c r="A27" s="716" t="s">
        <v>342</v>
      </c>
      <c r="B27" s="716" t="s">
        <v>397</v>
      </c>
      <c r="C27" s="987"/>
      <c r="D27" s="987"/>
      <c r="E27" s="723">
        <v>0</v>
      </c>
      <c r="F27" s="723">
        <v>0</v>
      </c>
      <c r="G27" s="723">
        <v>0</v>
      </c>
      <c r="H27" s="723">
        <v>0</v>
      </c>
      <c r="I27" s="723">
        <v>0</v>
      </c>
      <c r="J27" s="723">
        <v>0</v>
      </c>
    </row>
    <row r="28" spans="1:10" s="725" customFormat="1" x14ac:dyDescent="0.2">
      <c r="A28" s="716"/>
      <c r="B28" s="716" t="s">
        <v>399</v>
      </c>
      <c r="C28" s="987"/>
      <c r="D28" s="987"/>
      <c r="E28" s="723">
        <v>500</v>
      </c>
      <c r="F28" s="723">
        <v>200</v>
      </c>
      <c r="G28" s="723">
        <v>0</v>
      </c>
      <c r="H28" s="723">
        <v>0</v>
      </c>
      <c r="I28" s="723">
        <v>0</v>
      </c>
      <c r="J28" s="723">
        <v>640</v>
      </c>
    </row>
    <row r="29" spans="1:10" s="725" customFormat="1" x14ac:dyDescent="0.2">
      <c r="A29" s="716"/>
      <c r="B29" s="716" t="s">
        <v>400</v>
      </c>
      <c r="C29" s="987"/>
      <c r="D29" s="987"/>
      <c r="E29" s="723">
        <v>150</v>
      </c>
      <c r="F29" s="723">
        <v>300</v>
      </c>
      <c r="G29" s="723">
        <v>100</v>
      </c>
      <c r="H29" s="723">
        <v>0</v>
      </c>
      <c r="I29" s="723">
        <v>0</v>
      </c>
      <c r="J29" s="723">
        <v>0</v>
      </c>
    </row>
    <row r="30" spans="1:10" s="725" customFormat="1" x14ac:dyDescent="0.2">
      <c r="A30" s="716" t="s">
        <v>266</v>
      </c>
      <c r="B30" s="716" t="s">
        <v>393</v>
      </c>
      <c r="C30" s="722"/>
      <c r="D30" s="722"/>
      <c r="E30" s="723">
        <v>175</v>
      </c>
      <c r="F30" s="723">
        <v>1250</v>
      </c>
      <c r="G30" s="723">
        <v>225</v>
      </c>
      <c r="H30" s="723">
        <v>0</v>
      </c>
      <c r="I30" s="723">
        <v>0</v>
      </c>
      <c r="J30" s="723">
        <v>0</v>
      </c>
    </row>
    <row r="31" spans="1:10" x14ac:dyDescent="0.2">
      <c r="A31" s="711" t="s">
        <v>335</v>
      </c>
      <c r="B31" s="711" t="s">
        <v>401</v>
      </c>
      <c r="C31" s="721"/>
      <c r="D31" s="721"/>
      <c r="E31" s="718">
        <v>200</v>
      </c>
      <c r="F31" s="718">
        <v>1000</v>
      </c>
      <c r="G31" s="718">
        <v>300</v>
      </c>
      <c r="H31" s="718">
        <v>300</v>
      </c>
      <c r="I31" s="718">
        <v>300</v>
      </c>
      <c r="J31" s="718">
        <v>250</v>
      </c>
    </row>
    <row r="32" spans="1:10" x14ac:dyDescent="0.2">
      <c r="A32" s="711" t="s">
        <v>352</v>
      </c>
      <c r="B32" s="711" t="s">
        <v>402</v>
      </c>
      <c r="C32" s="721"/>
      <c r="D32" s="721"/>
      <c r="E32" s="718">
        <v>3000</v>
      </c>
      <c r="F32" s="718">
        <v>4000</v>
      </c>
      <c r="G32" s="718">
        <v>550</v>
      </c>
      <c r="H32" s="718">
        <v>1125</v>
      </c>
      <c r="I32" s="718">
        <v>330</v>
      </c>
      <c r="J32" s="718">
        <v>606</v>
      </c>
    </row>
    <row r="33" spans="1:10" x14ac:dyDescent="0.2">
      <c r="A33" s="711" t="s">
        <v>353</v>
      </c>
      <c r="B33" s="711" t="s">
        <v>403</v>
      </c>
      <c r="C33" s="721"/>
      <c r="D33" s="721"/>
      <c r="E33" s="718">
        <v>4552</v>
      </c>
      <c r="F33" s="718">
        <v>3900</v>
      </c>
      <c r="G33" s="718">
        <v>700</v>
      </c>
      <c r="H33" s="718">
        <v>900</v>
      </c>
      <c r="I33" s="718">
        <v>350</v>
      </c>
      <c r="J33" s="719">
        <v>450</v>
      </c>
    </row>
    <row r="34" spans="1:10" x14ac:dyDescent="0.2">
      <c r="A34" s="711" t="s">
        <v>343</v>
      </c>
      <c r="B34" s="711" t="s">
        <v>404</v>
      </c>
      <c r="C34" s="721"/>
      <c r="D34" s="721"/>
      <c r="E34" s="718">
        <v>5000</v>
      </c>
      <c r="F34" s="718">
        <v>7000</v>
      </c>
      <c r="G34" s="718">
        <v>800</v>
      </c>
      <c r="H34" s="718" t="s">
        <v>382</v>
      </c>
      <c r="I34" s="718" t="s">
        <v>382</v>
      </c>
      <c r="J34" s="719">
        <v>650</v>
      </c>
    </row>
    <row r="35" spans="1:10" x14ac:dyDescent="0.2">
      <c r="A35" s="711" t="s">
        <v>345</v>
      </c>
      <c r="B35" s="711" t="s">
        <v>405</v>
      </c>
      <c r="C35" s="721"/>
      <c r="D35" s="721"/>
      <c r="E35" s="718">
        <v>5000</v>
      </c>
      <c r="F35" s="718">
        <v>6000</v>
      </c>
      <c r="G35" s="718">
        <v>750</v>
      </c>
      <c r="H35" s="718">
        <v>900</v>
      </c>
      <c r="I35" s="718">
        <v>97</v>
      </c>
      <c r="J35" s="719">
        <v>254</v>
      </c>
    </row>
    <row r="36" spans="1:10" x14ac:dyDescent="0.2">
      <c r="A36" s="711" t="s">
        <v>344</v>
      </c>
      <c r="B36" s="711" t="s">
        <v>406</v>
      </c>
      <c r="C36" s="721"/>
      <c r="D36" s="721"/>
      <c r="E36" s="718">
        <v>666</v>
      </c>
      <c r="F36" s="718">
        <v>1300</v>
      </c>
      <c r="G36" s="718">
        <v>500</v>
      </c>
      <c r="H36" s="718">
        <v>300</v>
      </c>
      <c r="I36" s="718" t="s">
        <v>382</v>
      </c>
      <c r="J36" s="719">
        <v>302</v>
      </c>
    </row>
    <row r="37" spans="1:10" x14ac:dyDescent="0.2">
      <c r="A37" s="711" t="s">
        <v>346</v>
      </c>
      <c r="B37" s="711" t="s">
        <v>407</v>
      </c>
      <c r="C37" s="721"/>
      <c r="D37" s="721"/>
      <c r="E37" s="718">
        <v>2000</v>
      </c>
      <c r="F37" s="718">
        <v>2700</v>
      </c>
      <c r="G37" s="718">
        <v>800</v>
      </c>
      <c r="H37" s="718">
        <v>200</v>
      </c>
      <c r="I37" s="718">
        <v>400</v>
      </c>
      <c r="J37" s="719">
        <v>370</v>
      </c>
    </row>
    <row r="38" spans="1:10" x14ac:dyDescent="0.2">
      <c r="A38" s="711" t="s">
        <v>361</v>
      </c>
      <c r="B38" s="711" t="s">
        <v>408</v>
      </c>
      <c r="C38" s="721"/>
      <c r="D38" s="721"/>
      <c r="E38" s="718">
        <v>1100</v>
      </c>
      <c r="F38" s="718">
        <v>1300</v>
      </c>
      <c r="G38" s="718">
        <v>700</v>
      </c>
      <c r="H38" s="718" t="s">
        <v>382</v>
      </c>
      <c r="I38" s="718">
        <v>252</v>
      </c>
      <c r="J38" s="719">
        <v>350</v>
      </c>
    </row>
    <row r="39" spans="1:10" x14ac:dyDescent="0.2">
      <c r="A39" s="711" t="s">
        <v>359</v>
      </c>
      <c r="B39" s="711" t="s">
        <v>409</v>
      </c>
      <c r="C39" s="721"/>
      <c r="D39" s="721"/>
      <c r="E39" s="718">
        <v>3000</v>
      </c>
      <c r="F39" s="718">
        <v>2750</v>
      </c>
      <c r="G39" s="718">
        <v>425</v>
      </c>
      <c r="H39" s="718" t="s">
        <v>382</v>
      </c>
      <c r="I39" s="718">
        <v>106</v>
      </c>
      <c r="J39" s="718">
        <v>490</v>
      </c>
    </row>
    <row r="40" spans="1:10" ht="25.5" x14ac:dyDescent="0.2">
      <c r="A40" s="713" t="s">
        <v>358</v>
      </c>
      <c r="B40" s="711" t="s">
        <v>410</v>
      </c>
      <c r="C40" s="717"/>
      <c r="D40" s="717"/>
      <c r="E40" s="718">
        <v>5000</v>
      </c>
      <c r="F40" s="718">
        <v>5200</v>
      </c>
      <c r="G40" s="718">
        <v>2500</v>
      </c>
      <c r="H40" s="718" t="s">
        <v>382</v>
      </c>
      <c r="I40" s="718" t="s">
        <v>382</v>
      </c>
      <c r="J40" s="719">
        <v>915</v>
      </c>
    </row>
    <row r="41" spans="1:10" x14ac:dyDescent="0.2">
      <c r="A41" s="711"/>
      <c r="B41" s="711" t="s">
        <v>411</v>
      </c>
      <c r="C41" s="717"/>
      <c r="D41" s="717"/>
      <c r="E41" s="718">
        <v>1000</v>
      </c>
      <c r="F41" s="718">
        <v>5800</v>
      </c>
      <c r="G41" s="718">
        <v>3000</v>
      </c>
      <c r="H41" s="718">
        <v>150</v>
      </c>
      <c r="I41" s="718" t="s">
        <v>382</v>
      </c>
      <c r="J41" s="720"/>
    </row>
    <row r="42" spans="1:10" x14ac:dyDescent="0.2">
      <c r="A42" s="711" t="s">
        <v>360</v>
      </c>
      <c r="B42" s="711" t="s">
        <v>412</v>
      </c>
      <c r="C42" s="721"/>
      <c r="D42" s="721"/>
      <c r="E42" s="718">
        <v>6425</v>
      </c>
      <c r="F42" s="718">
        <v>7000</v>
      </c>
      <c r="G42" s="718">
        <v>2000</v>
      </c>
      <c r="H42" s="718">
        <v>460</v>
      </c>
      <c r="I42" s="718">
        <v>400</v>
      </c>
      <c r="J42" s="719">
        <v>250</v>
      </c>
    </row>
    <row r="43" spans="1:10" x14ac:dyDescent="0.2">
      <c r="A43" s="711" t="s">
        <v>338</v>
      </c>
      <c r="B43" s="711" t="s">
        <v>413</v>
      </c>
      <c r="C43" s="721"/>
      <c r="D43" s="721"/>
      <c r="E43" s="718">
        <v>2650</v>
      </c>
      <c r="F43" s="718">
        <v>2500</v>
      </c>
      <c r="G43" s="718">
        <v>500</v>
      </c>
      <c r="H43" s="718">
        <v>200</v>
      </c>
      <c r="I43" s="718" t="s">
        <v>382</v>
      </c>
      <c r="J43" s="718">
        <v>490</v>
      </c>
    </row>
    <row r="44" spans="1:10" x14ac:dyDescent="0.2">
      <c r="A44" s="711" t="s">
        <v>357</v>
      </c>
      <c r="B44" s="711" t="s">
        <v>414</v>
      </c>
      <c r="C44" s="721"/>
      <c r="D44" s="721"/>
      <c r="E44" s="718">
        <v>500</v>
      </c>
      <c r="F44" s="718">
        <v>6750</v>
      </c>
      <c r="G44" s="718">
        <v>2037</v>
      </c>
      <c r="H44" s="718">
        <v>800</v>
      </c>
      <c r="I44" s="718">
        <v>200</v>
      </c>
      <c r="J44" s="719">
        <v>400</v>
      </c>
    </row>
    <row r="45" spans="1:10" x14ac:dyDescent="0.2">
      <c r="A45" s="711"/>
      <c r="B45" s="711" t="s">
        <v>415</v>
      </c>
      <c r="C45" s="721"/>
      <c r="D45" s="721"/>
      <c r="E45" s="718" t="s">
        <v>382</v>
      </c>
      <c r="F45" s="718" t="s">
        <v>382</v>
      </c>
      <c r="G45" s="718" t="s">
        <v>382</v>
      </c>
      <c r="H45" s="718">
        <v>300</v>
      </c>
      <c r="I45" s="718">
        <v>344</v>
      </c>
      <c r="J45" s="719"/>
    </row>
    <row r="46" spans="1:10" x14ac:dyDescent="0.2">
      <c r="A46" s="711" t="s">
        <v>350</v>
      </c>
      <c r="B46" s="711" t="s">
        <v>416</v>
      </c>
      <c r="C46" s="721"/>
      <c r="D46" s="721"/>
      <c r="E46" s="718">
        <v>3000</v>
      </c>
      <c r="F46" s="718">
        <v>1500</v>
      </c>
      <c r="G46" s="718">
        <v>300</v>
      </c>
      <c r="H46" s="718" t="s">
        <v>382</v>
      </c>
      <c r="I46" s="718">
        <v>275</v>
      </c>
      <c r="J46" s="719">
        <v>325</v>
      </c>
    </row>
    <row r="47" spans="1:10" x14ac:dyDescent="0.2">
      <c r="A47" s="711" t="s">
        <v>351</v>
      </c>
      <c r="B47" s="711" t="s">
        <v>417</v>
      </c>
      <c r="C47" s="721"/>
      <c r="D47" s="721"/>
      <c r="E47" s="718">
        <v>500</v>
      </c>
      <c r="F47" s="718">
        <v>500</v>
      </c>
      <c r="G47" s="718">
        <v>250</v>
      </c>
      <c r="H47" s="718" t="s">
        <v>382</v>
      </c>
      <c r="I47" s="718">
        <v>218</v>
      </c>
      <c r="J47" s="719">
        <v>205</v>
      </c>
    </row>
    <row r="48" spans="1:10" x14ac:dyDescent="0.2">
      <c r="A48" s="711" t="s">
        <v>355</v>
      </c>
      <c r="B48" s="711" t="s">
        <v>418</v>
      </c>
      <c r="C48" s="721"/>
      <c r="D48" s="721"/>
      <c r="E48" s="718">
        <v>5000</v>
      </c>
      <c r="F48" s="718">
        <v>3000</v>
      </c>
      <c r="G48" s="718">
        <v>1000</v>
      </c>
      <c r="H48" s="718">
        <v>400</v>
      </c>
      <c r="I48" s="718">
        <v>400.62</v>
      </c>
      <c r="J48" s="719">
        <v>223</v>
      </c>
    </row>
    <row r="49" spans="1:10" x14ac:dyDescent="0.2">
      <c r="A49" s="711" t="s">
        <v>354</v>
      </c>
      <c r="B49" s="711" t="s">
        <v>419</v>
      </c>
      <c r="C49" s="721"/>
      <c r="D49" s="721"/>
      <c r="E49" s="719">
        <v>5000</v>
      </c>
      <c r="F49" s="718">
        <v>4000</v>
      </c>
      <c r="G49" s="718">
        <v>575</v>
      </c>
      <c r="H49" s="718">
        <v>200</v>
      </c>
      <c r="I49" s="718">
        <v>550</v>
      </c>
      <c r="J49" s="719">
        <v>775</v>
      </c>
    </row>
    <row r="50" spans="1:10" x14ac:dyDescent="0.2">
      <c r="A50" s="742" t="s">
        <v>279</v>
      </c>
      <c r="B50" s="742"/>
      <c r="C50" s="743">
        <f>SUM(C6:C49)</f>
        <v>0</v>
      </c>
      <c r="D50" s="743">
        <f t="shared" ref="D50:J50" si="0">SUM(D6:D49)</f>
        <v>0</v>
      </c>
      <c r="E50" s="744">
        <f t="shared" si="0"/>
        <v>100987</v>
      </c>
      <c r="F50" s="744">
        <f t="shared" si="0"/>
        <v>105655.63</v>
      </c>
      <c r="G50" s="744">
        <f>SUM(G6:G49)</f>
        <v>26162</v>
      </c>
      <c r="H50" s="744">
        <f t="shared" si="0"/>
        <v>10508</v>
      </c>
      <c r="I50" s="744">
        <f t="shared" si="0"/>
        <v>7066.66</v>
      </c>
      <c r="J50" s="744">
        <f t="shared" si="0"/>
        <v>35123</v>
      </c>
    </row>
    <row r="51" spans="1:10" x14ac:dyDescent="0.2">
      <c r="A51" s="745" t="s">
        <v>422</v>
      </c>
      <c r="B51" s="745"/>
      <c r="C51" s="745"/>
      <c r="D51" s="745"/>
      <c r="E51" s="746">
        <f>E50-E30-E29-E28-E27-E26-E25-E24-E23-E22-E21-E20-E19</f>
        <v>95455</v>
      </c>
      <c r="F51" s="746">
        <f t="shared" ref="F51:J51" si="1">F50-F30-F29-F28-F27-F26-F25-F24-F23-F22-F21-F20-F19</f>
        <v>101200</v>
      </c>
      <c r="G51" s="746">
        <f t="shared" si="1"/>
        <v>25387</v>
      </c>
      <c r="H51" s="746">
        <f t="shared" si="1"/>
        <v>10508</v>
      </c>
      <c r="I51" s="746">
        <f t="shared" si="1"/>
        <v>7066.66</v>
      </c>
      <c r="J51" s="746">
        <f t="shared" si="1"/>
        <v>13271</v>
      </c>
    </row>
    <row r="52" spans="1:10" s="748" customFormat="1" x14ac:dyDescent="0.2">
      <c r="A52" s="731"/>
      <c r="B52" s="731"/>
      <c r="C52" s="731"/>
      <c r="D52" s="731"/>
      <c r="E52" s="747"/>
      <c r="F52" s="747"/>
      <c r="G52" s="747"/>
      <c r="H52" s="747"/>
      <c r="I52" s="747"/>
      <c r="J52" s="747"/>
    </row>
    <row r="53" spans="1:10" x14ac:dyDescent="0.2">
      <c r="A53" s="724" t="s">
        <v>420</v>
      </c>
    </row>
    <row r="54" spans="1:10" x14ac:dyDescent="0.2">
      <c r="A54" s="724" t="s">
        <v>285</v>
      </c>
    </row>
    <row r="55" spans="1:10" x14ac:dyDescent="0.2">
      <c r="A55" s="726" t="s">
        <v>86</v>
      </c>
      <c r="B55" s="726" t="s">
        <v>421</v>
      </c>
    </row>
    <row r="56" spans="1:10" x14ac:dyDescent="0.2">
      <c r="A56" s="710">
        <v>2010</v>
      </c>
      <c r="B56" s="709">
        <v>100859</v>
      </c>
      <c r="C56" s="727"/>
    </row>
    <row r="57" spans="1:10" x14ac:dyDescent="0.2">
      <c r="A57" s="710">
        <v>2011</v>
      </c>
      <c r="B57" s="709">
        <v>137924.48000000001</v>
      </c>
    </row>
    <row r="58" spans="1:10" x14ac:dyDescent="0.2">
      <c r="A58" s="710">
        <v>2012</v>
      </c>
      <c r="B58" s="709">
        <v>100776.57</v>
      </c>
      <c r="C58" s="727"/>
    </row>
    <row r="59" spans="1:10" x14ac:dyDescent="0.2">
      <c r="A59" s="710">
        <v>2013</v>
      </c>
      <c r="B59" s="709">
        <v>114459.53</v>
      </c>
      <c r="C59" s="727"/>
    </row>
    <row r="60" spans="1:10" x14ac:dyDescent="0.2">
      <c r="A60" s="710">
        <v>2014</v>
      </c>
      <c r="B60" s="709">
        <v>204131.54</v>
      </c>
      <c r="C60" s="728"/>
    </row>
    <row r="61" spans="1:10" x14ac:dyDescent="0.2">
      <c r="A61" s="710">
        <v>2015</v>
      </c>
      <c r="B61" s="709">
        <v>204131.54</v>
      </c>
      <c r="C61" s="728"/>
    </row>
    <row r="62" spans="1:10" x14ac:dyDescent="0.2">
      <c r="A62" s="710">
        <v>2016</v>
      </c>
      <c r="B62" s="709">
        <v>204131.54</v>
      </c>
      <c r="C62" s="728"/>
    </row>
    <row r="63" spans="1:10" x14ac:dyDescent="0.2">
      <c r="A63" s="710">
        <v>2017</v>
      </c>
      <c r="B63" s="710"/>
    </row>
  </sheetData>
  <mergeCells count="9">
    <mergeCell ref="C27:C29"/>
    <mergeCell ref="D27:D29"/>
    <mergeCell ref="A4:A5"/>
    <mergeCell ref="B4:B5"/>
    <mergeCell ref="C4:J4"/>
    <mergeCell ref="C20:C21"/>
    <mergeCell ref="D20:D21"/>
    <mergeCell ref="C22:C25"/>
    <mergeCell ref="D22:D25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AO116"/>
  <sheetViews>
    <sheetView topLeftCell="A2" zoomScaleNormal="100" workbookViewId="0">
      <pane xSplit="1" ySplit="2" topLeftCell="Y22" activePane="bottomRight" state="frozen"/>
      <selection activeCell="AE17" sqref="AE17"/>
      <selection pane="topRight" activeCell="AE17" sqref="AE17"/>
      <selection pane="bottomLeft" activeCell="AE17" sqref="AE17"/>
      <selection pane="bottomRight" activeCell="AE17" sqref="AE17"/>
    </sheetView>
  </sheetViews>
  <sheetFormatPr defaultColWidth="9.33203125" defaultRowHeight="12" x14ac:dyDescent="0.2"/>
  <cols>
    <col min="1" max="1" width="30.33203125" style="150" customWidth="1"/>
    <col min="2" max="2" width="12.83203125" style="150" hidden="1" customWidth="1"/>
    <col min="3" max="4" width="11.6640625" style="150" hidden="1" customWidth="1"/>
    <col min="5" max="19" width="12.83203125" style="150" hidden="1" customWidth="1"/>
    <col min="20" max="24" width="14.83203125" style="150" hidden="1" customWidth="1"/>
    <col min="25" max="29" width="14.83203125" style="150" customWidth="1"/>
    <col min="30" max="30" width="14.83203125" style="663" customWidth="1"/>
    <col min="31" max="31" width="55.6640625" style="150" customWidth="1"/>
    <col min="32" max="32" width="19.6640625" style="245" customWidth="1"/>
    <col min="33" max="34" width="14.83203125" style="245" bestFit="1" customWidth="1"/>
    <col min="35" max="35" width="13" style="150" customWidth="1"/>
    <col min="36" max="36" width="11.6640625" style="150" bestFit="1" customWidth="1"/>
    <col min="37" max="37" width="13" style="150" customWidth="1"/>
    <col min="38" max="38" width="12.6640625" style="150" customWidth="1"/>
    <col min="39" max="39" width="11.83203125" style="150" customWidth="1"/>
    <col min="40" max="40" width="12.6640625" style="150" customWidth="1"/>
    <col min="41" max="16384" width="9.33203125" style="150"/>
  </cols>
  <sheetData>
    <row r="1" spans="1:36" ht="37.5" customHeight="1" x14ac:dyDescent="0.2">
      <c r="A1" s="153" t="s">
        <v>195</v>
      </c>
      <c r="B1" s="148"/>
      <c r="C1" s="148"/>
      <c r="D1" s="148"/>
      <c r="E1" s="148"/>
      <c r="F1" s="148"/>
      <c r="G1" s="149"/>
      <c r="H1" s="148"/>
      <c r="I1" s="148"/>
      <c r="J1" s="148"/>
      <c r="K1" s="148"/>
    </row>
    <row r="2" spans="1:36" ht="12.75" thickBot="1" x14ac:dyDescent="0.25">
      <c r="A2" s="147"/>
      <c r="B2" s="148"/>
      <c r="C2" s="148"/>
      <c r="D2" s="148"/>
      <c r="E2" s="148"/>
      <c r="F2" s="148"/>
      <c r="G2" s="149"/>
      <c r="H2" s="148"/>
      <c r="I2" s="148"/>
      <c r="J2" s="148"/>
      <c r="K2" s="148"/>
    </row>
    <row r="3" spans="1:36" ht="26.25" customHeight="1" thickTop="1" x14ac:dyDescent="0.2">
      <c r="A3" s="211" t="s">
        <v>14</v>
      </c>
      <c r="B3" s="211" t="s">
        <v>15</v>
      </c>
      <c r="C3" s="211" t="s">
        <v>16</v>
      </c>
      <c r="D3" s="211" t="s">
        <v>17</v>
      </c>
      <c r="E3" s="211" t="s">
        <v>18</v>
      </c>
      <c r="F3" s="211" t="s">
        <v>19</v>
      </c>
      <c r="G3" s="211" t="s">
        <v>20</v>
      </c>
      <c r="H3" s="211">
        <v>1996</v>
      </c>
      <c r="I3" s="211">
        <v>1997</v>
      </c>
      <c r="J3" s="212">
        <v>1998</v>
      </c>
      <c r="K3" s="212">
        <v>1999</v>
      </c>
      <c r="L3" s="212">
        <v>2000</v>
      </c>
      <c r="M3" s="212">
        <v>2001</v>
      </c>
      <c r="N3" s="212">
        <v>2002</v>
      </c>
      <c r="O3" s="212">
        <v>2003</v>
      </c>
      <c r="P3" s="212">
        <v>2004</v>
      </c>
      <c r="Q3" s="212">
        <v>2005</v>
      </c>
      <c r="R3" s="212">
        <v>2006</v>
      </c>
      <c r="S3" s="212">
        <v>2007</v>
      </c>
      <c r="T3" s="212">
        <v>2008</v>
      </c>
      <c r="U3" s="212">
        <v>2009</v>
      </c>
      <c r="V3" s="212">
        <v>2010</v>
      </c>
      <c r="W3" s="212">
        <v>2011</v>
      </c>
      <c r="X3" s="212">
        <v>2012</v>
      </c>
      <c r="Y3" s="212">
        <v>2013</v>
      </c>
      <c r="Z3" s="212">
        <v>2014</v>
      </c>
      <c r="AA3" s="212">
        <v>2015</v>
      </c>
      <c r="AB3" s="212">
        <v>2016</v>
      </c>
      <c r="AC3" s="212">
        <v>2017</v>
      </c>
      <c r="AD3" s="664">
        <v>2016</v>
      </c>
      <c r="AE3" s="172"/>
    </row>
    <row r="4" spans="1:36" ht="18" customHeight="1" x14ac:dyDescent="0.2">
      <c r="A4" s="213" t="s">
        <v>21</v>
      </c>
      <c r="B4" s="214">
        <f t="shared" ref="B4:W4" si="0">B5</f>
        <v>231266</v>
      </c>
      <c r="C4" s="214">
        <f t="shared" si="0"/>
        <v>228000</v>
      </c>
      <c r="D4" s="214">
        <f t="shared" si="0"/>
        <v>256469</v>
      </c>
      <c r="E4" s="214">
        <f t="shared" si="0"/>
        <v>333227</v>
      </c>
      <c r="F4" s="214">
        <f t="shared" si="0"/>
        <v>404911</v>
      </c>
      <c r="G4" s="214">
        <f t="shared" si="0"/>
        <v>442089</v>
      </c>
      <c r="H4" s="214">
        <f t="shared" si="0"/>
        <v>504434</v>
      </c>
      <c r="I4" s="214">
        <f t="shared" si="0"/>
        <v>638678</v>
      </c>
      <c r="J4" s="214">
        <f t="shared" si="0"/>
        <v>843840</v>
      </c>
      <c r="K4" s="214">
        <f t="shared" si="0"/>
        <v>1028020</v>
      </c>
      <c r="L4" s="214">
        <f t="shared" si="0"/>
        <v>1302936</v>
      </c>
      <c r="M4" s="214">
        <f t="shared" si="0"/>
        <v>1304709</v>
      </c>
      <c r="N4" s="214">
        <f t="shared" si="0"/>
        <v>1206716</v>
      </c>
      <c r="O4" s="214">
        <f t="shared" si="0"/>
        <v>1162926</v>
      </c>
      <c r="P4" s="214">
        <f t="shared" si="0"/>
        <v>1297822</v>
      </c>
      <c r="Q4" s="214">
        <f t="shared" si="0"/>
        <v>1200677</v>
      </c>
      <c r="R4" s="214">
        <f t="shared" si="0"/>
        <v>1187721</v>
      </c>
      <c r="S4" s="214">
        <f t="shared" si="0"/>
        <v>1623751</v>
      </c>
      <c r="T4" s="214">
        <f t="shared" si="0"/>
        <v>1735239</v>
      </c>
      <c r="U4" s="214">
        <f t="shared" si="0"/>
        <v>1756612</v>
      </c>
      <c r="V4" s="214">
        <f t="shared" si="0"/>
        <v>1909300</v>
      </c>
      <c r="W4" s="214">
        <f t="shared" si="0"/>
        <v>2035450</v>
      </c>
      <c r="X4" s="214">
        <f>X5</f>
        <v>2212915</v>
      </c>
      <c r="Y4" s="214">
        <f>Y5</f>
        <v>3682245</v>
      </c>
      <c r="Z4" s="214">
        <f>Z5+427128.33</f>
        <v>2220128.33</v>
      </c>
      <c r="AA4" s="214">
        <f>AA5+313785</f>
        <v>1781785</v>
      </c>
      <c r="AB4" s="452">
        <f>AB5+AB6</f>
        <v>2396593</v>
      </c>
      <c r="AC4" s="629" t="e">
        <f>AC5+AC6</f>
        <v>#REF!</v>
      </c>
      <c r="AD4" s="661">
        <v>2396593</v>
      </c>
      <c r="AE4" s="160" t="s">
        <v>275</v>
      </c>
      <c r="AI4" s="150">
        <v>2010</v>
      </c>
    </row>
    <row r="5" spans="1:36" ht="17.45" customHeight="1" x14ac:dyDescent="0.2">
      <c r="A5" s="216" t="s">
        <v>22</v>
      </c>
      <c r="B5" s="214">
        <v>231266</v>
      </c>
      <c r="C5" s="214">
        <v>228000</v>
      </c>
      <c r="D5" s="214">
        <v>256469</v>
      </c>
      <c r="E5" s="214">
        <v>333227</v>
      </c>
      <c r="F5" s="214">
        <v>404911</v>
      </c>
      <c r="G5" s="214">
        <v>442089</v>
      </c>
      <c r="H5" s="214">
        <v>504434</v>
      </c>
      <c r="I5" s="214">
        <v>638678</v>
      </c>
      <c r="J5" s="214">
        <v>843840</v>
      </c>
      <c r="K5" s="214">
        <v>1028020</v>
      </c>
      <c r="L5" s="214">
        <v>1302936</v>
      </c>
      <c r="M5" s="214">
        <v>1304709</v>
      </c>
      <c r="N5" s="214">
        <v>1206716</v>
      </c>
      <c r="O5" s="214">
        <v>1162926</v>
      </c>
      <c r="P5" s="214">
        <v>1297822</v>
      </c>
      <c r="Q5" s="214">
        <v>1200677</v>
      </c>
      <c r="R5" s="214">
        <v>1187721</v>
      </c>
      <c r="S5" s="214">
        <v>1623751</v>
      </c>
      <c r="T5" s="217">
        <v>1735239</v>
      </c>
      <c r="U5" s="217">
        <v>1756612</v>
      </c>
      <c r="V5" s="218">
        <v>1909300</v>
      </c>
      <c r="W5" s="215">
        <v>2035450</v>
      </c>
      <c r="X5" s="215">
        <v>2212915</v>
      </c>
      <c r="Y5" s="215">
        <v>3682245</v>
      </c>
      <c r="Z5" s="215">
        <v>1793000</v>
      </c>
      <c r="AA5" s="215">
        <v>1468000</v>
      </c>
      <c r="AB5" s="452">
        <v>1953942</v>
      </c>
      <c r="AC5" s="654" t="e">
        <v>#REF!</v>
      </c>
      <c r="AD5" s="661">
        <v>1953942</v>
      </c>
      <c r="AE5" s="161"/>
      <c r="AI5" s="150">
        <f>1073872.45+248004.81</f>
        <v>1321877.26</v>
      </c>
    </row>
    <row r="6" spans="1:36" ht="17.45" customHeight="1" x14ac:dyDescent="0.2">
      <c r="A6" s="219" t="s">
        <v>23</v>
      </c>
      <c r="B6" s="231"/>
      <c r="C6" s="231">
        <f t="shared" ref="C6:W6" si="1">C19-B19</f>
        <v>24594</v>
      </c>
      <c r="D6" s="231">
        <f t="shared" si="1"/>
        <v>-5947</v>
      </c>
      <c r="E6" s="231">
        <f t="shared" si="1"/>
        <v>90870</v>
      </c>
      <c r="F6" s="231">
        <f t="shared" si="1"/>
        <v>52286</v>
      </c>
      <c r="G6" s="231">
        <f t="shared" si="1"/>
        <v>84267</v>
      </c>
      <c r="H6" s="231">
        <f t="shared" si="1"/>
        <v>71264</v>
      </c>
      <c r="I6" s="231">
        <f t="shared" si="1"/>
        <v>71384</v>
      </c>
      <c r="J6" s="231">
        <f t="shared" si="1"/>
        <v>381772</v>
      </c>
      <c r="K6" s="231">
        <f t="shared" si="1"/>
        <v>208202.8754410001</v>
      </c>
      <c r="L6" s="231">
        <f t="shared" si="1"/>
        <v>-101149.8754410001</v>
      </c>
      <c r="M6" s="231">
        <f t="shared" si="1"/>
        <v>-52391</v>
      </c>
      <c r="N6" s="231">
        <f t="shared" si="1"/>
        <v>-29901</v>
      </c>
      <c r="O6" s="231">
        <f t="shared" si="1"/>
        <v>-71850</v>
      </c>
      <c r="P6" s="231">
        <f t="shared" si="1"/>
        <v>219791</v>
      </c>
      <c r="Q6" s="231">
        <f t="shared" si="1"/>
        <v>64513</v>
      </c>
      <c r="R6" s="231">
        <f t="shared" si="1"/>
        <v>175610</v>
      </c>
      <c r="S6" s="231">
        <f t="shared" si="1"/>
        <v>66389.921218887204</v>
      </c>
      <c r="T6" s="231">
        <f t="shared" si="1"/>
        <v>65485.078781112796</v>
      </c>
      <c r="U6" s="231">
        <f t="shared" si="1"/>
        <v>217174</v>
      </c>
      <c r="V6" s="231">
        <f t="shared" si="1"/>
        <v>278243</v>
      </c>
      <c r="W6" s="231">
        <f t="shared" si="1"/>
        <v>470155</v>
      </c>
      <c r="X6" s="231">
        <f>X19-W19</f>
        <v>-105242</v>
      </c>
      <c r="Y6" s="231">
        <f>Y19-X19</f>
        <v>1035835</v>
      </c>
      <c r="Z6" s="231">
        <f>Z19-Y19</f>
        <v>659808</v>
      </c>
      <c r="AA6" s="231">
        <f>AA19-Z19</f>
        <v>353794</v>
      </c>
      <c r="AB6" s="453">
        <v>442651</v>
      </c>
      <c r="AC6" s="655" t="e">
        <v>#REF!</v>
      </c>
      <c r="AD6" s="665">
        <v>442651</v>
      </c>
      <c r="AE6" s="260" t="s">
        <v>222</v>
      </c>
    </row>
    <row r="7" spans="1:36" ht="17.45" customHeight="1" x14ac:dyDescent="0.2">
      <c r="A7" s="219"/>
      <c r="B7" s="214"/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20"/>
      <c r="U7" s="220"/>
      <c r="V7" s="220"/>
      <c r="W7" s="220"/>
      <c r="X7" s="220"/>
      <c r="Y7" s="220"/>
      <c r="Z7" s="220"/>
      <c r="AA7" s="220"/>
      <c r="AB7" s="220"/>
      <c r="AC7" s="630"/>
      <c r="AD7" s="666"/>
      <c r="AE7" s="148"/>
    </row>
    <row r="8" spans="1:36" ht="17.45" customHeight="1" x14ac:dyDescent="0.2">
      <c r="A8" s="219" t="s">
        <v>24</v>
      </c>
      <c r="B8" s="214">
        <v>147858</v>
      </c>
      <c r="C8" s="214">
        <v>180433</v>
      </c>
      <c r="D8" s="214">
        <v>198546</v>
      </c>
      <c r="E8" s="214">
        <v>229646</v>
      </c>
      <c r="F8" s="214">
        <v>253511</v>
      </c>
      <c r="G8" s="214">
        <v>277128</v>
      </c>
      <c r="H8" s="214">
        <v>340023.85217563563</v>
      </c>
      <c r="I8" s="214">
        <v>368750.15194629843</v>
      </c>
      <c r="J8" s="214">
        <v>531367.28972310107</v>
      </c>
      <c r="K8" s="214">
        <v>674106.48144157801</v>
      </c>
      <c r="L8" s="214">
        <v>872876.37481087842</v>
      </c>
      <c r="M8" s="214">
        <v>866862.62271067069</v>
      </c>
      <c r="N8" s="214">
        <v>875895.53420730843</v>
      </c>
      <c r="O8" s="214">
        <v>885320.06706386909</v>
      </c>
      <c r="P8" s="214">
        <v>932068.21115017368</v>
      </c>
      <c r="Q8" s="214">
        <v>911822.95845045242</v>
      </c>
      <c r="R8" s="214">
        <v>759522.28518291609</v>
      </c>
      <c r="S8" s="214">
        <v>920536.47090712236</v>
      </c>
      <c r="T8" s="214">
        <v>983759.48184183193</v>
      </c>
      <c r="U8" s="214">
        <f t="shared" ref="U8" si="2">SUM(U9:U13)</f>
        <v>1051330.8296767224</v>
      </c>
      <c r="V8" s="214">
        <f t="shared" ref="V8:X8" si="3">SUM(V9:V13)</f>
        <v>1129638.9124714946</v>
      </c>
      <c r="W8" s="214">
        <f t="shared" si="3"/>
        <v>1298394.9422156764</v>
      </c>
      <c r="X8" s="214">
        <f t="shared" si="3"/>
        <v>1266785.9182685644</v>
      </c>
      <c r="Y8" s="214">
        <v>873373</v>
      </c>
      <c r="Z8" s="214">
        <v>1346979</v>
      </c>
      <c r="AA8" s="298">
        <v>1283730</v>
      </c>
      <c r="AB8" s="298">
        <v>1306307</v>
      </c>
      <c r="AC8" s="631" t="e">
        <v>#REF!</v>
      </c>
      <c r="AD8" s="661">
        <v>1306307</v>
      </c>
      <c r="AE8" s="160" t="s">
        <v>276</v>
      </c>
      <c r="AF8" s="367">
        <f>SUM(V9:V13)</f>
        <v>1129638.9124714946</v>
      </c>
      <c r="AG8" s="367">
        <f>SUM(W9:W13)</f>
        <v>1298394.9422156764</v>
      </c>
      <c r="AH8" s="367">
        <f>SUM(X9:X13)</f>
        <v>1266785.9182685644</v>
      </c>
      <c r="AI8" s="367">
        <f>SUM(Y9:Y13)</f>
        <v>2189713.6466704169</v>
      </c>
      <c r="AJ8" s="367"/>
    </row>
    <row r="9" spans="1:36" ht="17.45" customHeight="1" x14ac:dyDescent="0.2">
      <c r="A9" s="216" t="s">
        <v>25</v>
      </c>
      <c r="B9" s="214">
        <v>68579</v>
      </c>
      <c r="C9" s="214">
        <v>64813</v>
      </c>
      <c r="D9" s="214">
        <v>75399</v>
      </c>
      <c r="E9" s="214">
        <v>77697</v>
      </c>
      <c r="F9" s="214">
        <v>86595</v>
      </c>
      <c r="G9" s="214">
        <v>89796</v>
      </c>
      <c r="H9" s="214">
        <v>113640.90821066589</v>
      </c>
      <c r="I9" s="214">
        <v>146577.62557178666</v>
      </c>
      <c r="J9" s="214">
        <v>165385.34767870314</v>
      </c>
      <c r="K9" s="214">
        <v>228149.78015114416</v>
      </c>
      <c r="L9" s="214">
        <v>298183.77096641966</v>
      </c>
      <c r="M9" s="214">
        <v>396826.27779465803</v>
      </c>
      <c r="N9" s="214">
        <v>408491.63728724513</v>
      </c>
      <c r="O9" s="214">
        <v>386824.614319371</v>
      </c>
      <c r="P9" s="214">
        <v>433029.74038750649</v>
      </c>
      <c r="Q9" s="214">
        <v>411453.34271421499</v>
      </c>
      <c r="R9" s="214">
        <v>255730.9995631428</v>
      </c>
      <c r="S9" s="214">
        <f>+S5/S35*287755</f>
        <v>211677.18946376513</v>
      </c>
      <c r="T9" s="214">
        <f>+T5/T35*322209</f>
        <v>236822.55046889294</v>
      </c>
      <c r="U9" s="214">
        <f>+U5/U35*413641</f>
        <v>299546.29187806696</v>
      </c>
      <c r="V9" s="214">
        <f>+V5/V35*472746</f>
        <v>323845.33226462913</v>
      </c>
      <c r="W9" s="214">
        <f>+W5/W35*669465</f>
        <v>433373.69220239844</v>
      </c>
      <c r="X9" s="214">
        <f>+X5/X35*535537</f>
        <v>333271.70716216281</v>
      </c>
      <c r="Y9" s="214">
        <f>+Y5/Y35*615496</f>
        <v>586668.31690862169</v>
      </c>
      <c r="Z9" s="214"/>
      <c r="AA9" s="214"/>
      <c r="AB9" s="214">
        <v>1085127</v>
      </c>
      <c r="AC9" s="632" t="e">
        <v>#REF!</v>
      </c>
      <c r="AD9" s="661">
        <v>1085127</v>
      </c>
      <c r="AE9" s="160" t="s">
        <v>225</v>
      </c>
      <c r="AF9" s="362"/>
      <c r="AG9" s="362"/>
      <c r="AI9" s="402">
        <f>AI8-Y8</f>
        <v>1316340.6466704169</v>
      </c>
    </row>
    <row r="10" spans="1:36" ht="17.45" customHeight="1" x14ac:dyDescent="0.2">
      <c r="A10" s="219" t="s">
        <v>26</v>
      </c>
      <c r="B10" s="214">
        <v>14916</v>
      </c>
      <c r="C10" s="214">
        <v>17647</v>
      </c>
      <c r="D10" s="214">
        <v>17837</v>
      </c>
      <c r="E10" s="214">
        <v>22907</v>
      </c>
      <c r="F10" s="214">
        <v>22298</v>
      </c>
      <c r="G10" s="214">
        <v>27242</v>
      </c>
      <c r="H10" s="214">
        <v>33374</v>
      </c>
      <c r="I10" s="214">
        <v>32863.074074999997</v>
      </c>
      <c r="J10" s="214">
        <v>40286.439324702653</v>
      </c>
      <c r="K10" s="214">
        <v>70880.470421000005</v>
      </c>
      <c r="L10" s="214">
        <v>77903.109081000002</v>
      </c>
      <c r="M10" s="214">
        <v>85959.395870000008</v>
      </c>
      <c r="N10" s="214">
        <v>80132.011482999995</v>
      </c>
      <c r="O10" s="214">
        <v>72452.312009000001</v>
      </c>
      <c r="P10" s="214">
        <v>74292.600734028601</v>
      </c>
      <c r="Q10" s="214">
        <v>76179.632792672928</v>
      </c>
      <c r="R10" s="214">
        <v>78108.034451</v>
      </c>
      <c r="S10" s="240">
        <v>89864</v>
      </c>
      <c r="T10" s="243">
        <v>82353.007137000008</v>
      </c>
      <c r="U10" s="243">
        <f>22861+60761</f>
        <v>83622</v>
      </c>
      <c r="V10" s="243">
        <f>+V5/U5*U10</f>
        <v>90890.580617689047</v>
      </c>
      <c r="W10" s="243">
        <v>77556</v>
      </c>
      <c r="X10" s="243">
        <f>+X5/W5*W10</f>
        <v>84317.88338696603</v>
      </c>
      <c r="Y10" s="243">
        <f>+Y35/X5*X10</f>
        <v>147197.43582401928</v>
      </c>
      <c r="Z10" s="243"/>
      <c r="AA10" s="243"/>
      <c r="AB10" s="243">
        <v>20330</v>
      </c>
      <c r="AC10" s="243" t="e">
        <v>#REF!</v>
      </c>
      <c r="AD10" s="667">
        <v>20330</v>
      </c>
      <c r="AE10" s="162" t="s">
        <v>223</v>
      </c>
      <c r="AF10" s="362"/>
      <c r="AG10" s="362"/>
    </row>
    <row r="11" spans="1:36" ht="17.45" customHeight="1" x14ac:dyDescent="0.2">
      <c r="A11" s="219" t="s">
        <v>27</v>
      </c>
      <c r="B11" s="214">
        <v>47673</v>
      </c>
      <c r="C11" s="214">
        <v>79376</v>
      </c>
      <c r="D11" s="214">
        <v>82104</v>
      </c>
      <c r="E11" s="214">
        <v>105905</v>
      </c>
      <c r="F11" s="214">
        <v>118831</v>
      </c>
      <c r="G11" s="214">
        <v>133142</v>
      </c>
      <c r="H11" s="214">
        <v>161479</v>
      </c>
      <c r="I11" s="214">
        <v>160769.89989100001</v>
      </c>
      <c r="J11" s="214">
        <v>297911.52736599999</v>
      </c>
      <c r="K11" s="214">
        <v>336771.9057</v>
      </c>
      <c r="L11" s="214">
        <v>445986.96591599996</v>
      </c>
      <c r="M11" s="214">
        <v>327266.94800700003</v>
      </c>
      <c r="N11" s="214">
        <v>324361.09152720001</v>
      </c>
      <c r="O11" s="214">
        <v>370069.64547699998</v>
      </c>
      <c r="P11" s="214">
        <v>370069.64547699998</v>
      </c>
      <c r="Q11" s="214">
        <v>370069.64547699998</v>
      </c>
      <c r="R11" s="214">
        <v>370069.64547699998</v>
      </c>
      <c r="S11" s="240">
        <v>517448.84031200001</v>
      </c>
      <c r="T11" s="239">
        <v>574785.89246300003</v>
      </c>
      <c r="U11" s="239">
        <f>261627+304170</f>
        <v>565797</v>
      </c>
      <c r="V11" s="239">
        <f>+V5/U5*U11</f>
        <v>614977.13331116945</v>
      </c>
      <c r="W11" s="239">
        <f>318266+354189</f>
        <v>672455</v>
      </c>
      <c r="X11" s="239">
        <f>+X5/W5*W11</f>
        <v>731084.40704758163</v>
      </c>
      <c r="Y11" s="239">
        <f>+Y35/X5*X11</f>
        <v>1276286.1894249429</v>
      </c>
      <c r="Z11" s="239"/>
      <c r="AA11" s="239"/>
      <c r="AB11" s="239">
        <v>1037951</v>
      </c>
      <c r="AC11" s="239" t="e">
        <v>#REF!</v>
      </c>
      <c r="AD11" s="668">
        <v>1037951</v>
      </c>
      <c r="AE11" s="162" t="s">
        <v>223</v>
      </c>
      <c r="AF11" s="362"/>
      <c r="AG11" s="362"/>
      <c r="AH11" s="363"/>
    </row>
    <row r="12" spans="1:36" ht="17.45" customHeight="1" x14ac:dyDescent="0.2">
      <c r="A12" s="216" t="s">
        <v>28</v>
      </c>
      <c r="B12" s="214">
        <v>10155</v>
      </c>
      <c r="C12" s="214">
        <v>8283</v>
      </c>
      <c r="D12" s="214">
        <v>7544</v>
      </c>
      <c r="E12" s="214">
        <v>10127</v>
      </c>
      <c r="F12" s="214">
        <v>11675</v>
      </c>
      <c r="G12" s="214">
        <v>10292</v>
      </c>
      <c r="H12" s="214">
        <v>12587.633723890789</v>
      </c>
      <c r="I12" s="214">
        <v>16735.212831337747</v>
      </c>
      <c r="J12" s="214">
        <v>17811.178409344968</v>
      </c>
      <c r="K12" s="214">
        <v>27772.563743596133</v>
      </c>
      <c r="L12" s="214">
        <v>37231.09318051469</v>
      </c>
      <c r="M12" s="214">
        <v>46499.381928872317</v>
      </c>
      <c r="N12" s="214">
        <v>46374.314747060715</v>
      </c>
      <c r="O12" s="214">
        <v>40428.257504771376</v>
      </c>
      <c r="P12" s="214">
        <v>37987.108941695711</v>
      </c>
      <c r="Q12" s="214">
        <v>37136.115124574899</v>
      </c>
      <c r="R12" s="214">
        <v>40849.811102948515</v>
      </c>
      <c r="S12" s="238">
        <f>+S5/S35*117295</f>
        <v>86284.08172977822</v>
      </c>
      <c r="T12" s="238">
        <f>+T5/T35*115701</f>
        <v>85039.852740927105</v>
      </c>
      <c r="U12" s="238">
        <f>+U5/U35*120442</f>
        <v>87220.45079278441</v>
      </c>
      <c r="V12" s="238">
        <f>+V5/V35*124957</f>
        <v>85599.330684535176</v>
      </c>
      <c r="W12" s="238">
        <f t="shared" ref="W12" si="4">+W5/W35*139862</f>
        <v>90538.730686162613</v>
      </c>
      <c r="X12" s="238">
        <f>+X5/X35*151992</f>
        <v>94586.617385897611</v>
      </c>
      <c r="Y12" s="238">
        <f>+Y5/Y35*150582</f>
        <v>143529.26501022602</v>
      </c>
      <c r="Z12" s="238"/>
      <c r="AA12" s="238"/>
      <c r="AB12" s="454">
        <v>221179</v>
      </c>
      <c r="AC12" s="633" t="e">
        <v>#REF!</v>
      </c>
      <c r="AD12" s="661">
        <v>221179</v>
      </c>
      <c r="AE12" s="162" t="s">
        <v>224</v>
      </c>
      <c r="AF12" s="362"/>
      <c r="AG12" s="362"/>
    </row>
    <row r="13" spans="1:36" ht="17.45" customHeight="1" x14ac:dyDescent="0.2">
      <c r="A13" s="219" t="s">
        <v>29</v>
      </c>
      <c r="B13" s="214">
        <v>6535</v>
      </c>
      <c r="C13" s="214">
        <v>10314</v>
      </c>
      <c r="D13" s="214">
        <v>15662</v>
      </c>
      <c r="E13" s="214">
        <v>13010</v>
      </c>
      <c r="F13" s="214">
        <v>14112</v>
      </c>
      <c r="G13" s="214">
        <v>16656</v>
      </c>
      <c r="H13" s="214">
        <v>18942.310241078892</v>
      </c>
      <c r="I13" s="214">
        <v>11804.339577173967</v>
      </c>
      <c r="J13" s="214">
        <v>9972.7969443502643</v>
      </c>
      <c r="K13" s="214">
        <v>10531.76142583774</v>
      </c>
      <c r="L13" s="214">
        <v>13571.435666944166</v>
      </c>
      <c r="M13" s="214">
        <v>10310.619110140316</v>
      </c>
      <c r="N13" s="214">
        <v>16536.479162802621</v>
      </c>
      <c r="O13" s="214">
        <v>15545.237753726771</v>
      </c>
      <c r="P13" s="214">
        <v>16689.115609942772</v>
      </c>
      <c r="Q13" s="214">
        <v>16984.222341989574</v>
      </c>
      <c r="R13" s="214">
        <v>14763.794588824809</v>
      </c>
      <c r="S13" s="240">
        <v>15384.471661838556</v>
      </c>
      <c r="T13" s="240">
        <v>14887.750636667817</v>
      </c>
      <c r="U13" s="240">
        <f t="shared" ref="U13" si="5">+U5/U35*((13493.560676+1959.789149)/(28746.157352+1315.716008+2801.200715)*44475.102118)</f>
        <v>15145.087005871095</v>
      </c>
      <c r="V13" s="241">
        <f t="shared" ref="V13" si="6">+V5/V35*((13493.560676+1959.789149)/(28746.157352+1315.716008+2801.200715)*44475.102118)</f>
        <v>14326.53559347165</v>
      </c>
      <c r="W13" s="240">
        <f>+W5/W35*(23594+13835+374)</f>
        <v>24471.519327115337</v>
      </c>
      <c r="X13" s="242">
        <f>(X5/W5)/(X35/W35)*W13</f>
        <v>23525.303285956415</v>
      </c>
      <c r="Y13" s="242">
        <f>(Y5/X5)/(Y35/X35)*X13</f>
        <v>36032.439502607049</v>
      </c>
      <c r="Z13" s="242"/>
      <c r="AA13" s="242"/>
      <c r="AB13" s="455">
        <v>130020</v>
      </c>
      <c r="AC13" s="455" t="e">
        <v>#REF!</v>
      </c>
      <c r="AD13" s="662">
        <v>130020</v>
      </c>
      <c r="AE13" s="162" t="s">
        <v>223</v>
      </c>
      <c r="AF13" s="362"/>
      <c r="AG13" s="364"/>
      <c r="AH13" s="365"/>
    </row>
    <row r="14" spans="1:36" ht="17.45" customHeight="1" x14ac:dyDescent="0.2">
      <c r="A14" s="220"/>
      <c r="B14" s="214"/>
      <c r="C14" s="214"/>
      <c r="D14" s="214"/>
      <c r="E14" s="214"/>
      <c r="F14" s="214"/>
      <c r="G14" s="214"/>
      <c r="H14" s="214"/>
      <c r="I14" s="221"/>
      <c r="J14" s="214"/>
      <c r="K14" s="214"/>
      <c r="L14" s="214"/>
      <c r="M14" s="214"/>
      <c r="N14" s="214"/>
      <c r="O14" s="214"/>
      <c r="P14" s="214"/>
      <c r="Q14" s="214"/>
      <c r="R14" s="214"/>
      <c r="S14" s="214"/>
      <c r="T14" s="220"/>
      <c r="U14" s="220"/>
      <c r="V14" s="220"/>
      <c r="W14" s="220"/>
      <c r="X14" s="220"/>
      <c r="Y14" s="220"/>
      <c r="Z14" s="220"/>
      <c r="AA14" s="220"/>
      <c r="AB14" s="214">
        <f>AB4-AB8</f>
        <v>1090286</v>
      </c>
      <c r="AC14" s="630"/>
      <c r="AD14" s="666">
        <v>1090286</v>
      </c>
      <c r="AE14" s="148"/>
      <c r="AF14" s="362"/>
      <c r="AG14" s="364"/>
    </row>
    <row r="15" spans="1:36" ht="17.45" customHeight="1" x14ac:dyDescent="0.2">
      <c r="A15" s="219" t="s">
        <v>30</v>
      </c>
      <c r="B15" s="215">
        <f t="shared" ref="B15:W15" si="7">+B4-B8</f>
        <v>83408</v>
      </c>
      <c r="C15" s="215">
        <f t="shared" si="7"/>
        <v>47567</v>
      </c>
      <c r="D15" s="215">
        <f t="shared" si="7"/>
        <v>57923</v>
      </c>
      <c r="E15" s="215">
        <f t="shared" si="7"/>
        <v>103581</v>
      </c>
      <c r="F15" s="215">
        <f t="shared" si="7"/>
        <v>151400</v>
      </c>
      <c r="G15" s="215">
        <f t="shared" si="7"/>
        <v>164961</v>
      </c>
      <c r="H15" s="215">
        <f t="shared" si="7"/>
        <v>164410.14782436437</v>
      </c>
      <c r="I15" s="215">
        <f t="shared" si="7"/>
        <v>269927.84805370157</v>
      </c>
      <c r="J15" s="215">
        <f t="shared" si="7"/>
        <v>312472.71027689893</v>
      </c>
      <c r="K15" s="215">
        <f t="shared" si="7"/>
        <v>353913.51855842199</v>
      </c>
      <c r="L15" s="215">
        <f t="shared" si="7"/>
        <v>430059.62518912158</v>
      </c>
      <c r="M15" s="215">
        <f t="shared" si="7"/>
        <v>437846.37728932931</v>
      </c>
      <c r="N15" s="215">
        <f t="shared" si="7"/>
        <v>330820.46579269157</v>
      </c>
      <c r="O15" s="215">
        <f t="shared" si="7"/>
        <v>277605.93293613091</v>
      </c>
      <c r="P15" s="215">
        <f t="shared" si="7"/>
        <v>365753.78884982632</v>
      </c>
      <c r="Q15" s="215">
        <f t="shared" si="7"/>
        <v>288854.04154954758</v>
      </c>
      <c r="R15" s="215">
        <f t="shared" si="7"/>
        <v>428198.71481708391</v>
      </c>
      <c r="S15" s="215">
        <f t="shared" si="7"/>
        <v>703214.52909287764</v>
      </c>
      <c r="T15" s="215">
        <f t="shared" si="7"/>
        <v>751479.51815816807</v>
      </c>
      <c r="U15" s="215">
        <f t="shared" si="7"/>
        <v>705281.17032327759</v>
      </c>
      <c r="V15" s="215">
        <f t="shared" si="7"/>
        <v>779661.08752850536</v>
      </c>
      <c r="W15" s="215">
        <f t="shared" si="7"/>
        <v>737055.05778432358</v>
      </c>
      <c r="X15" s="215">
        <f t="shared" ref="X15:Y15" si="8">+X4-X8</f>
        <v>946129.08173143561</v>
      </c>
      <c r="Y15" s="215">
        <f t="shared" si="8"/>
        <v>2808872</v>
      </c>
      <c r="Z15" s="215">
        <f t="shared" ref="Z15:AA15" si="9">+Z4-Z8</f>
        <v>873149.33000000007</v>
      </c>
      <c r="AA15" s="215">
        <f t="shared" si="9"/>
        <v>498055</v>
      </c>
      <c r="AB15" s="452">
        <v>-495271</v>
      </c>
      <c r="AC15" s="654" t="e">
        <v>#REF!</v>
      </c>
      <c r="AD15" s="661">
        <v>-495271</v>
      </c>
      <c r="AE15" s="160" t="s">
        <v>226</v>
      </c>
      <c r="AF15" s="362"/>
      <c r="AG15" s="362"/>
    </row>
    <row r="16" spans="1:36" ht="17.45" customHeight="1" x14ac:dyDescent="0.2">
      <c r="A16" s="220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20"/>
      <c r="U16" s="220"/>
      <c r="V16" s="220"/>
      <c r="W16" s="220"/>
      <c r="X16" s="220"/>
      <c r="Y16" s="220"/>
      <c r="Z16" s="220"/>
      <c r="AA16" s="220"/>
      <c r="AB16" s="220"/>
      <c r="AC16" s="630"/>
      <c r="AD16" s="666"/>
      <c r="AE16" s="148"/>
      <c r="AF16" s="362"/>
      <c r="AG16" s="362"/>
    </row>
    <row r="17" spans="1:41" ht="17.45" customHeight="1" x14ac:dyDescent="0.2">
      <c r="A17" s="216" t="s">
        <v>31</v>
      </c>
      <c r="B17" s="214">
        <v>63585</v>
      </c>
      <c r="C17" s="214">
        <v>78301</v>
      </c>
      <c r="D17" s="214">
        <v>90679</v>
      </c>
      <c r="E17" s="214">
        <v>90761</v>
      </c>
      <c r="F17" s="214">
        <v>92257</v>
      </c>
      <c r="G17" s="214">
        <v>98378</v>
      </c>
      <c r="H17" s="214">
        <v>133289</v>
      </c>
      <c r="I17" s="214">
        <v>152103</v>
      </c>
      <c r="J17" s="214">
        <v>175955</v>
      </c>
      <c r="K17" s="214">
        <v>228791.83311500002</v>
      </c>
      <c r="L17" s="214">
        <v>249466.336473</v>
      </c>
      <c r="M17" s="214">
        <v>319537</v>
      </c>
      <c r="N17" s="214">
        <v>296732</v>
      </c>
      <c r="O17" s="214">
        <v>278413</v>
      </c>
      <c r="P17" s="214">
        <v>257270</v>
      </c>
      <c r="Q17" s="214">
        <v>242251</v>
      </c>
      <c r="R17" s="214">
        <v>249135</v>
      </c>
      <c r="S17" s="214">
        <v>239792.62927736141</v>
      </c>
      <c r="T17" s="217">
        <v>230263</v>
      </c>
      <c r="U17" s="217">
        <v>356732</v>
      </c>
      <c r="V17" s="217">
        <v>524013</v>
      </c>
      <c r="W17" s="217">
        <v>876148</v>
      </c>
      <c r="X17" s="217">
        <v>651836</v>
      </c>
      <c r="Y17" s="217">
        <v>772219.87251599994</v>
      </c>
      <c r="Z17" s="217">
        <v>912793.93084299995</v>
      </c>
      <c r="AA17" s="217">
        <v>1094942.6018360001</v>
      </c>
      <c r="AB17" s="456">
        <v>819789</v>
      </c>
      <c r="AC17" s="656" t="e">
        <v>#REF!</v>
      </c>
      <c r="AD17" s="669">
        <v>819789</v>
      </c>
      <c r="AE17" s="161"/>
      <c r="AF17" s="366"/>
      <c r="AG17" s="366"/>
    </row>
    <row r="18" spans="1:41" ht="17.45" customHeight="1" x14ac:dyDescent="0.2">
      <c r="A18" s="216" t="s">
        <v>32</v>
      </c>
      <c r="B18" s="214">
        <v>53875</v>
      </c>
      <c r="C18" s="214">
        <v>35769</v>
      </c>
      <c r="D18" s="214">
        <v>24108</v>
      </c>
      <c r="E18" s="214">
        <v>63713</v>
      </c>
      <c r="F18" s="214">
        <v>105572</v>
      </c>
      <c r="G18" s="214">
        <v>145144</v>
      </c>
      <c r="H18" s="214">
        <v>147300</v>
      </c>
      <c r="I18" s="214">
        <v>166965</v>
      </c>
      <c r="J18" s="214">
        <v>437954</v>
      </c>
      <c r="K18" s="214">
        <v>441898.55238000001</v>
      </c>
      <c r="L18" s="214">
        <v>191542</v>
      </c>
      <c r="M18" s="214">
        <v>252171</v>
      </c>
      <c r="N18" s="214">
        <v>83644</v>
      </c>
      <c r="O18" s="214">
        <v>4954</v>
      </c>
      <c r="P18" s="214">
        <v>140704</v>
      </c>
      <c r="Q18" s="214">
        <v>92944</v>
      </c>
      <c r="R18" s="214">
        <v>100391</v>
      </c>
      <c r="S18" s="214">
        <v>84147.984054557339</v>
      </c>
      <c r="T18" s="217">
        <v>164352</v>
      </c>
      <c r="U18" s="217">
        <v>158380</v>
      </c>
      <c r="V18" s="217">
        <v>275759</v>
      </c>
      <c r="W18" s="217">
        <v>389725</v>
      </c>
      <c r="X18" s="329">
        <v>197068</v>
      </c>
      <c r="Y18" s="217">
        <v>207564</v>
      </c>
      <c r="Z18" s="217">
        <v>373569</v>
      </c>
      <c r="AA18" s="217">
        <v>272672</v>
      </c>
      <c r="AB18" s="217">
        <v>-357317</v>
      </c>
      <c r="AC18" s="634"/>
      <c r="AD18" s="669">
        <v>-357317</v>
      </c>
      <c r="AE18" s="163"/>
    </row>
    <row r="19" spans="1:41" ht="17.45" customHeight="1" x14ac:dyDescent="0.2">
      <c r="A19" s="216" t="s">
        <v>33</v>
      </c>
      <c r="B19" s="214">
        <v>268341</v>
      </c>
      <c r="C19" s="214">
        <v>292935</v>
      </c>
      <c r="D19" s="214">
        <v>286988</v>
      </c>
      <c r="E19" s="214">
        <v>377858</v>
      </c>
      <c r="F19" s="214">
        <v>430144</v>
      </c>
      <c r="G19" s="214">
        <v>514411</v>
      </c>
      <c r="H19" s="214">
        <v>585675</v>
      </c>
      <c r="I19" s="214">
        <v>657059</v>
      </c>
      <c r="J19" s="214">
        <v>1038831</v>
      </c>
      <c r="K19" s="214">
        <v>1247033.8754410001</v>
      </c>
      <c r="L19" s="214">
        <v>1145884</v>
      </c>
      <c r="M19" s="214">
        <v>1093493</v>
      </c>
      <c r="N19" s="214">
        <v>1063592</v>
      </c>
      <c r="O19" s="214">
        <v>991742</v>
      </c>
      <c r="P19" s="214">
        <v>1211533</v>
      </c>
      <c r="Q19" s="214">
        <v>1276046</v>
      </c>
      <c r="R19" s="214">
        <v>1451656</v>
      </c>
      <c r="S19" s="214">
        <v>1518045.9212188872</v>
      </c>
      <c r="T19" s="217">
        <v>1583531</v>
      </c>
      <c r="U19" s="217">
        <v>1800705</v>
      </c>
      <c r="V19" s="217">
        <v>2078948</v>
      </c>
      <c r="W19" s="217">
        <v>2549103</v>
      </c>
      <c r="X19" s="217">
        <v>2443861</v>
      </c>
      <c r="Y19" s="217">
        <v>3479696</v>
      </c>
      <c r="Z19" s="217">
        <v>4139504</v>
      </c>
      <c r="AA19" s="217">
        <v>4493298</v>
      </c>
      <c r="AB19" s="456">
        <v>3716315</v>
      </c>
      <c r="AC19" s="656" t="e">
        <v>#REF!</v>
      </c>
      <c r="AD19" s="669">
        <v>3716315</v>
      </c>
      <c r="AE19" s="161"/>
    </row>
    <row r="20" spans="1:41" ht="17.45" customHeight="1" x14ac:dyDescent="0.2">
      <c r="A20" s="216" t="s">
        <v>34</v>
      </c>
      <c r="B20" s="222">
        <f t="shared" ref="B20:W20" si="10">B15/B19</f>
        <v>0.31082838626970904</v>
      </c>
      <c r="C20" s="222">
        <f t="shared" si="10"/>
        <v>0.16238073292709987</v>
      </c>
      <c r="D20" s="222">
        <f t="shared" si="10"/>
        <v>0.20183073856746622</v>
      </c>
      <c r="E20" s="222">
        <f t="shared" si="10"/>
        <v>0.2741267883702343</v>
      </c>
      <c r="F20" s="222">
        <f t="shared" si="10"/>
        <v>0.3519751525070674</v>
      </c>
      <c r="G20" s="222">
        <f t="shared" si="10"/>
        <v>0.32067937894018594</v>
      </c>
      <c r="H20" s="222">
        <f t="shared" si="10"/>
        <v>0.28071908110191551</v>
      </c>
      <c r="I20" s="222">
        <f t="shared" si="10"/>
        <v>0.41081219198534924</v>
      </c>
      <c r="J20" s="222">
        <f t="shared" si="10"/>
        <v>0.30079263159926778</v>
      </c>
      <c r="K20" s="222">
        <f t="shared" si="10"/>
        <v>0.28380425386059721</v>
      </c>
      <c r="L20" s="222">
        <f t="shared" si="10"/>
        <v>0.37530816835658898</v>
      </c>
      <c r="M20" s="222">
        <f t="shared" si="10"/>
        <v>0.40041077289871019</v>
      </c>
      <c r="N20" s="222">
        <f t="shared" si="10"/>
        <v>0.31104076167617994</v>
      </c>
      <c r="O20" s="222">
        <f t="shared" si="10"/>
        <v>0.27991749158161183</v>
      </c>
      <c r="P20" s="222">
        <f t="shared" si="10"/>
        <v>0.30189337710968361</v>
      </c>
      <c r="Q20" s="222">
        <f t="shared" si="10"/>
        <v>0.22636648016572097</v>
      </c>
      <c r="R20" s="222">
        <f t="shared" si="10"/>
        <v>0.29497257946585409</v>
      </c>
      <c r="S20" s="222">
        <f t="shared" si="10"/>
        <v>0.46323666449315604</v>
      </c>
      <c r="T20" s="222">
        <f t="shared" si="10"/>
        <v>0.47455939805293867</v>
      </c>
      <c r="U20" s="222">
        <f t="shared" si="10"/>
        <v>0.39166946852664797</v>
      </c>
      <c r="V20" s="222">
        <f t="shared" si="10"/>
        <v>0.37502673829672767</v>
      </c>
      <c r="W20" s="222">
        <f t="shared" si="10"/>
        <v>0.28914290940159093</v>
      </c>
      <c r="X20" s="222">
        <f t="shared" ref="X20:AC20" si="11">X15/X19</f>
        <v>0.38714521068564683</v>
      </c>
      <c r="Y20" s="222">
        <f t="shared" si="11"/>
        <v>0.8072176420009104</v>
      </c>
      <c r="Z20" s="222">
        <f t="shared" si="11"/>
        <v>0.21093090621485089</v>
      </c>
      <c r="AA20" s="222">
        <f t="shared" si="11"/>
        <v>0.11084397251195002</v>
      </c>
      <c r="AB20" s="451">
        <f t="shared" si="11"/>
        <v>-0.13326938109390621</v>
      </c>
      <c r="AC20" s="635" t="e">
        <f t="shared" si="11"/>
        <v>#REF!</v>
      </c>
      <c r="AD20" s="670">
        <v>-0.13326938109390621</v>
      </c>
      <c r="AE20" s="164" t="s">
        <v>227</v>
      </c>
    </row>
    <row r="21" spans="1:41" ht="17.45" customHeight="1" x14ac:dyDescent="0.2">
      <c r="A21" s="216" t="s">
        <v>35</v>
      </c>
      <c r="B21" s="215">
        <f t="shared" ref="B21:W21" si="12">+B20*B17</f>
        <v>19764.02294095945</v>
      </c>
      <c r="C21" s="215">
        <f t="shared" si="12"/>
        <v>12714.573768924847</v>
      </c>
      <c r="D21" s="215">
        <f t="shared" si="12"/>
        <v>18301.809542559269</v>
      </c>
      <c r="E21" s="215">
        <f t="shared" si="12"/>
        <v>24880.021439270837</v>
      </c>
      <c r="F21" s="215">
        <f t="shared" si="12"/>
        <v>32472.171644844519</v>
      </c>
      <c r="G21" s="215">
        <f t="shared" si="12"/>
        <v>31547.795941377612</v>
      </c>
      <c r="H21" s="215">
        <f t="shared" si="12"/>
        <v>37416.765600993218</v>
      </c>
      <c r="I21" s="215">
        <f t="shared" si="12"/>
        <v>62485.766837547577</v>
      </c>
      <c r="J21" s="215">
        <f t="shared" si="12"/>
        <v>52925.96749304916</v>
      </c>
      <c r="K21" s="215">
        <f t="shared" si="12"/>
        <v>64932.095486600854</v>
      </c>
      <c r="L21" s="215">
        <f t="shared" si="12"/>
        <v>93626.753808310154</v>
      </c>
      <c r="M21" s="215">
        <f t="shared" si="12"/>
        <v>127946.05713973516</v>
      </c>
      <c r="N21" s="215">
        <f t="shared" si="12"/>
        <v>92295.747293696229</v>
      </c>
      <c r="O21" s="215">
        <f t="shared" si="12"/>
        <v>77932.668583711289</v>
      </c>
      <c r="P21" s="215">
        <f t="shared" si="12"/>
        <v>77668.109129008299</v>
      </c>
      <c r="Q21" s="215">
        <f t="shared" si="12"/>
        <v>54837.506186626073</v>
      </c>
      <c r="R21" s="215">
        <f t="shared" si="12"/>
        <v>73487.993585225558</v>
      </c>
      <c r="S21" s="215">
        <f t="shared" si="12"/>
        <v>111080.73775648882</v>
      </c>
      <c r="T21" s="215">
        <f t="shared" si="12"/>
        <v>109273.47067386382</v>
      </c>
      <c r="U21" s="215">
        <f t="shared" si="12"/>
        <v>139721.03284644819</v>
      </c>
      <c r="V21" s="215">
        <f t="shared" si="12"/>
        <v>196518.88621508316</v>
      </c>
      <c r="W21" s="215">
        <f t="shared" si="12"/>
        <v>253331.98178638509</v>
      </c>
      <c r="X21" s="215">
        <f t="shared" ref="X21:Y21" si="13">+X20*X17</f>
        <v>252355.1855524893</v>
      </c>
      <c r="Y21" s="215">
        <f t="shared" si="13"/>
        <v>623349.50459860906</v>
      </c>
      <c r="Z21" s="215">
        <f t="shared" ref="Z21:AA21" si="14">+Z20*Z17</f>
        <v>192536.4510201299</v>
      </c>
      <c r="AA21" s="215">
        <f t="shared" si="14"/>
        <v>121367.78766007263</v>
      </c>
      <c r="AB21" s="452">
        <f t="shared" ref="AB21" si="15">+AB20*AB17</f>
        <v>-109252.77265759227</v>
      </c>
      <c r="AC21" s="629" t="e">
        <f t="shared" ref="AC21" si="16">+AC20*AC17</f>
        <v>#REF!</v>
      </c>
      <c r="AD21" s="661">
        <v>-109252.77265759227</v>
      </c>
      <c r="AE21" s="160" t="s">
        <v>234</v>
      </c>
      <c r="AF21" s="367"/>
    </row>
    <row r="22" spans="1:41" ht="17.45" customHeight="1" x14ac:dyDescent="0.2">
      <c r="A22" s="220"/>
      <c r="B22" s="214"/>
      <c r="C22" s="214"/>
      <c r="D22" s="214"/>
      <c r="E22" s="214"/>
      <c r="F22" s="214"/>
      <c r="G22" s="214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630"/>
      <c r="AD22" s="666"/>
      <c r="AE22" s="148"/>
    </row>
    <row r="23" spans="1:41" ht="17.45" customHeight="1" x14ac:dyDescent="0.2">
      <c r="A23" s="219" t="s">
        <v>196</v>
      </c>
      <c r="B23" s="214">
        <v>73074</v>
      </c>
      <c r="C23" s="214">
        <v>49497</v>
      </c>
      <c r="D23" s="214">
        <v>42840</v>
      </c>
      <c r="E23" s="214">
        <v>93608</v>
      </c>
      <c r="F23" s="214">
        <v>138113</v>
      </c>
      <c r="G23" s="214">
        <v>137199</v>
      </c>
      <c r="H23" s="214">
        <v>130887.34131904999</v>
      </c>
      <c r="I23" s="214">
        <v>231277.01548767631</v>
      </c>
      <c r="J23" s="214">
        <v>238292.9870399143</v>
      </c>
      <c r="K23" s="214">
        <v>272838.9127750537</v>
      </c>
      <c r="L23" s="214">
        <v>388359.69655698136</v>
      </c>
      <c r="M23" s="214">
        <v>364157.78044691694</v>
      </c>
      <c r="N23" s="214">
        <v>307484.58943408792</v>
      </c>
      <c r="O23" s="214">
        <v>276215.19018045452</v>
      </c>
      <c r="P23" s="214">
        <v>335875.18209293234</v>
      </c>
      <c r="Q23" s="214">
        <v>271209.08443671622</v>
      </c>
      <c r="R23" s="214">
        <v>410969.48710404447</v>
      </c>
      <c r="S23" s="214">
        <v>689922.39737091353</v>
      </c>
      <c r="T23" s="215">
        <f t="shared" ref="T23:Y23" si="17">+T15-T21</f>
        <v>642206.04748430429</v>
      </c>
      <c r="U23" s="215">
        <f t="shared" si="17"/>
        <v>565560.13747682935</v>
      </c>
      <c r="V23" s="215">
        <f t="shared" si="17"/>
        <v>583142.20131342218</v>
      </c>
      <c r="W23" s="215">
        <f t="shared" si="17"/>
        <v>483723.07599793852</v>
      </c>
      <c r="X23" s="215">
        <f t="shared" si="17"/>
        <v>693773.89617894636</v>
      </c>
      <c r="Y23" s="215">
        <f t="shared" si="17"/>
        <v>2185522.4954013908</v>
      </c>
      <c r="Z23" s="215">
        <f t="shared" ref="Z23:AA23" si="18">+Z15-Z21</f>
        <v>680612.87897987012</v>
      </c>
      <c r="AA23" s="215">
        <f t="shared" si="18"/>
        <v>376687.21233992738</v>
      </c>
      <c r="AB23" s="452">
        <f t="shared" ref="AB23" si="19">+AB15-AB21</f>
        <v>-386018.22734240774</v>
      </c>
      <c r="AC23" s="629" t="e">
        <f t="shared" ref="AC23" si="20">+AC15-AC21</f>
        <v>#REF!</v>
      </c>
      <c r="AD23" s="661">
        <v>-386018.22734240774</v>
      </c>
      <c r="AE23" s="160" t="s">
        <v>228</v>
      </c>
    </row>
    <row r="24" spans="1:41" ht="17.45" customHeight="1" x14ac:dyDescent="0.2">
      <c r="A24" s="216" t="s">
        <v>36</v>
      </c>
      <c r="B24" s="224">
        <f>'Data Penunjang'!F50</f>
        <v>1267.7329999999999</v>
      </c>
      <c r="C24" s="224">
        <f>'Data Penunjang'!G50</f>
        <v>1328.78</v>
      </c>
      <c r="D24" s="224">
        <f>'Data Penunjang'!H50</f>
        <v>1315.452</v>
      </c>
      <c r="E24" s="224">
        <f>'Data Penunjang'!I50</f>
        <v>1624.7909999999999</v>
      </c>
      <c r="F24" s="224">
        <f>'Data Penunjang'!J50</f>
        <v>1711.463</v>
      </c>
      <c r="G24" s="224">
        <f>'Data Penunjang'!K50</f>
        <v>1601.269</v>
      </c>
      <c r="H24" s="224">
        <f>'Data Penunjang'!L50</f>
        <v>0</v>
      </c>
      <c r="I24" s="224">
        <f>'Data Penunjang'!M50</f>
        <v>1861.8630000000001</v>
      </c>
      <c r="J24" s="224">
        <f>'Data Penunjang'!N50</f>
        <v>1717.527</v>
      </c>
      <c r="K24" s="224">
        <f>'Data Penunjang'!O50</f>
        <v>1761.6170000000002</v>
      </c>
      <c r="L24" s="224">
        <f>'Data Penunjang'!P50</f>
        <v>1607.4780000000001</v>
      </c>
      <c r="M24" s="224">
        <f>'Data Penunjang'!Q50</f>
        <v>1455.54</v>
      </c>
      <c r="N24" s="224">
        <f>'Data Penunjang'!R50</f>
        <v>1484.8910000000001</v>
      </c>
      <c r="O24" s="224">
        <f>'Data Penunjang'!S50</f>
        <v>977.49599999999998</v>
      </c>
      <c r="P24" s="224">
        <f>'Data Penunjang'!T50</f>
        <v>923.63100000000009</v>
      </c>
      <c r="Q24" s="224">
        <f>'Data Penunjang'!U50</f>
        <v>754.83799999999997</v>
      </c>
      <c r="R24" s="224">
        <f>'Data Penunjang'!V50</f>
        <v>875.60300000000007</v>
      </c>
      <c r="S24" s="224">
        <f>'Data Penunjang'!W50</f>
        <v>1153.165</v>
      </c>
      <c r="T24" s="224">
        <f>'Data Penunjang'!X50</f>
        <v>1082.923</v>
      </c>
      <c r="U24" s="224">
        <f>'Data Penunjang'!Y50</f>
        <v>979.3900000000001</v>
      </c>
      <c r="V24" s="224">
        <f>'Data Penunjang'!Z50</f>
        <v>889.46100000000001</v>
      </c>
      <c r="W24" s="224">
        <f>'Data Penunjang'!AA50</f>
        <v>969.19999999999993</v>
      </c>
      <c r="X24" s="224">
        <f>'Data Penunjang'!AB50</f>
        <v>928.92200000000003</v>
      </c>
      <c r="Y24" s="224">
        <f>'Data Penunjang'!AC50</f>
        <v>955.58430825999983</v>
      </c>
      <c r="Z24" s="224">
        <f>'Data Penunjang'!AD50</f>
        <v>918.58700599999997</v>
      </c>
      <c r="AA24" s="224">
        <f>'Data Penunjang'!AE50</f>
        <v>791.24022000000014</v>
      </c>
      <c r="AB24" s="450">
        <f>'Data Penunjang'!AF50</f>
        <v>548.43200000000002</v>
      </c>
      <c r="AC24" s="657">
        <f>'Data Penunjang'!AG50</f>
        <v>636.29235900000003</v>
      </c>
      <c r="AD24" s="671">
        <v>548.43200000000002</v>
      </c>
      <c r="AE24" s="165"/>
    </row>
    <row r="25" spans="1:41" ht="17.45" customHeight="1" x14ac:dyDescent="0.2">
      <c r="A25" s="219" t="s">
        <v>197</v>
      </c>
      <c r="B25" s="223">
        <v>57633.882798327941</v>
      </c>
      <c r="C25" s="223">
        <v>37252.201399864527</v>
      </c>
      <c r="D25" s="223">
        <v>32568.040139881403</v>
      </c>
      <c r="E25" s="223">
        <v>57612.013786312164</v>
      </c>
      <c r="F25" s="223">
        <v>80701.764637139175</v>
      </c>
      <c r="G25" s="223">
        <v>74690.511187326469</v>
      </c>
      <c r="H25" s="223">
        <v>71950.515531627738</v>
      </c>
      <c r="I25" s="223">
        <v>124218.06303024245</v>
      </c>
      <c r="J25" s="223">
        <v>138741.91616196677</v>
      </c>
      <c r="K25" s="223">
        <v>154879.81370244137</v>
      </c>
      <c r="L25" s="223">
        <v>241595.65266646346</v>
      </c>
      <c r="M25" s="223">
        <v>250187.40841675046</v>
      </c>
      <c r="N25" s="223">
        <v>207075.5290685228</v>
      </c>
      <c r="O25" s="223">
        <v>282574.24089761445</v>
      </c>
      <c r="P25" s="223">
        <v>363646.5017879784</v>
      </c>
      <c r="Q25" s="223">
        <v>359294.42401775776</v>
      </c>
      <c r="R25" s="223">
        <v>469355.96052554005</v>
      </c>
      <c r="S25" s="223">
        <v>598285.93251695426</v>
      </c>
      <c r="T25" s="224">
        <f t="shared" ref="T25:V25" si="21">+T23/T24*1000</f>
        <v>593030.2038873533</v>
      </c>
      <c r="U25" s="224">
        <f t="shared" si="21"/>
        <v>577461.62149585888</v>
      </c>
      <c r="V25" s="224">
        <f t="shared" si="21"/>
        <v>655613.0075556119</v>
      </c>
      <c r="W25" s="224">
        <f t="shared" ref="W25:AB25" si="22">W23/W24*1000</f>
        <v>499095.20841718797</v>
      </c>
      <c r="X25" s="224">
        <f t="shared" si="22"/>
        <v>746859.15090712288</v>
      </c>
      <c r="Y25" s="224">
        <f t="shared" si="22"/>
        <v>2287105.8853833163</v>
      </c>
      <c r="Z25" s="224">
        <f t="shared" si="22"/>
        <v>740934.58162837336</v>
      </c>
      <c r="AA25" s="224">
        <f t="shared" si="22"/>
        <v>476071.87149804807</v>
      </c>
      <c r="AB25" s="450">
        <f t="shared" si="22"/>
        <v>-703857.95749045967</v>
      </c>
      <c r="AC25" s="636" t="e">
        <f t="shared" ref="AC25" si="23">AC23/AC24*1000</f>
        <v>#REF!</v>
      </c>
      <c r="AD25" s="671">
        <v>-703857.95749045967</v>
      </c>
      <c r="AE25" s="165" t="s">
        <v>229</v>
      </c>
    </row>
    <row r="26" spans="1:41" ht="17.45" customHeight="1" x14ac:dyDescent="0.2">
      <c r="A26" s="219"/>
      <c r="B26" s="223"/>
      <c r="C26" s="223"/>
      <c r="D26" s="223"/>
      <c r="E26" s="223"/>
      <c r="F26" s="223"/>
      <c r="G26" s="223"/>
      <c r="H26" s="225" t="s">
        <v>9</v>
      </c>
      <c r="I26" s="225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6"/>
      <c r="W26" s="226"/>
      <c r="X26" s="226"/>
      <c r="Y26" s="226"/>
      <c r="Z26" s="226"/>
      <c r="AA26" s="226"/>
      <c r="AB26" s="226"/>
      <c r="AC26" s="637"/>
      <c r="AD26" s="666"/>
      <c r="AE26" s="148"/>
    </row>
    <row r="27" spans="1:41" ht="17.45" customHeight="1" x14ac:dyDescent="0.2">
      <c r="A27" s="213" t="s">
        <v>37</v>
      </c>
      <c r="B27" s="224">
        <f t="shared" ref="B27:W27" si="24">B4/B24*1000</f>
        <v>182424.84813442579</v>
      </c>
      <c r="C27" s="224">
        <f t="shared" si="24"/>
        <v>171585.96607414322</v>
      </c>
      <c r="D27" s="224">
        <f t="shared" si="24"/>
        <v>194966.44499381201</v>
      </c>
      <c r="E27" s="224">
        <f t="shared" si="24"/>
        <v>205089.14685027182</v>
      </c>
      <c r="F27" s="224">
        <f t="shared" si="24"/>
        <v>236587.64460581387</v>
      </c>
      <c r="G27" s="224">
        <f t="shared" si="24"/>
        <v>276086.65377272648</v>
      </c>
      <c r="H27" s="224" t="e">
        <f t="shared" si="24"/>
        <v>#DIV/0!</v>
      </c>
      <c r="I27" s="224">
        <f t="shared" si="24"/>
        <v>343031.68385643838</v>
      </c>
      <c r="J27" s="224">
        <f t="shared" si="24"/>
        <v>491311.0536253578</v>
      </c>
      <c r="K27" s="224">
        <f t="shared" si="24"/>
        <v>583566.12135327933</v>
      </c>
      <c r="L27" s="224">
        <f t="shared" si="24"/>
        <v>810546.70732663211</v>
      </c>
      <c r="M27" s="224">
        <f t="shared" si="24"/>
        <v>896374.54140731273</v>
      </c>
      <c r="N27" s="224">
        <f t="shared" si="24"/>
        <v>812663.01701606379</v>
      </c>
      <c r="O27" s="224">
        <f t="shared" si="24"/>
        <v>1189698.9859805054</v>
      </c>
      <c r="P27" s="224">
        <f t="shared" si="24"/>
        <v>1405130.4038084473</v>
      </c>
      <c r="Q27" s="224">
        <f t="shared" si="24"/>
        <v>1590641.9655608225</v>
      </c>
      <c r="R27" s="224">
        <f t="shared" si="24"/>
        <v>1356460.6334149151</v>
      </c>
      <c r="S27" s="224">
        <f t="shared" si="24"/>
        <v>1408082.1044690048</v>
      </c>
      <c r="T27" s="224">
        <f t="shared" si="24"/>
        <v>1602366.0038617705</v>
      </c>
      <c r="U27" s="224">
        <f t="shared" si="24"/>
        <v>1793577.6350585567</v>
      </c>
      <c r="V27" s="224">
        <f t="shared" si="24"/>
        <v>2146580.9068638193</v>
      </c>
      <c r="W27" s="224">
        <f t="shared" si="24"/>
        <v>2100134.1312422617</v>
      </c>
      <c r="X27" s="224">
        <f t="shared" ref="X27:AC27" si="25">X4/X24*1000</f>
        <v>2382239.8436036608</v>
      </c>
      <c r="Y27" s="224">
        <f t="shared" si="25"/>
        <v>3853396.2604565052</v>
      </c>
      <c r="Z27" s="224">
        <f t="shared" si="25"/>
        <v>2416894.9870819314</v>
      </c>
      <c r="AA27" s="224">
        <f t="shared" si="25"/>
        <v>2251888.8132355046</v>
      </c>
      <c r="AB27" s="450">
        <f t="shared" si="25"/>
        <v>4369900.005834817</v>
      </c>
      <c r="AC27" s="636" t="e">
        <f t="shared" si="25"/>
        <v>#REF!</v>
      </c>
      <c r="AD27" s="671">
        <v>4369900.005834817</v>
      </c>
      <c r="AE27" s="165" t="s">
        <v>230</v>
      </c>
    </row>
    <row r="28" spans="1:41" ht="17.45" customHeight="1" x14ac:dyDescent="0.2">
      <c r="A28" s="219" t="s">
        <v>38</v>
      </c>
      <c r="B28" s="227">
        <f t="shared" ref="B28:W28" si="26">+B25/B27</f>
        <v>0.31593219557380969</v>
      </c>
      <c r="C28" s="227">
        <f t="shared" si="26"/>
        <v>0.21710517621101746</v>
      </c>
      <c r="D28" s="227">
        <f t="shared" si="26"/>
        <v>0.16704433494140528</v>
      </c>
      <c r="E28" s="227">
        <f t="shared" si="26"/>
        <v>0.28091205542130715</v>
      </c>
      <c r="F28" s="227">
        <f t="shared" si="26"/>
        <v>0.34110726606877095</v>
      </c>
      <c r="G28" s="227">
        <f t="shared" si="26"/>
        <v>0.27053285686461115</v>
      </c>
      <c r="H28" s="227" t="e">
        <f t="shared" si="26"/>
        <v>#DIV/0!</v>
      </c>
      <c r="I28" s="227">
        <f t="shared" si="26"/>
        <v>0.36211833739016586</v>
      </c>
      <c r="J28" s="227">
        <f t="shared" si="26"/>
        <v>0.28239119624563225</v>
      </c>
      <c r="K28" s="227">
        <f t="shared" si="26"/>
        <v>0.26540233922983375</v>
      </c>
      <c r="L28" s="227">
        <f t="shared" si="26"/>
        <v>0.29806505964758157</v>
      </c>
      <c r="M28" s="227">
        <f t="shared" si="26"/>
        <v>0.27911034602115642</v>
      </c>
      <c r="N28" s="227">
        <f t="shared" si="26"/>
        <v>0.25481106526646524</v>
      </c>
      <c r="O28" s="227">
        <f t="shared" si="26"/>
        <v>0.23751742602749834</v>
      </c>
      <c r="P28" s="227">
        <f t="shared" si="26"/>
        <v>0.25879911273882883</v>
      </c>
      <c r="Q28" s="227">
        <f t="shared" si="26"/>
        <v>0.22588013632035611</v>
      </c>
      <c r="R28" s="227">
        <f t="shared" si="26"/>
        <v>0.34601517284281785</v>
      </c>
      <c r="S28" s="227">
        <f t="shared" si="26"/>
        <v>0.42489420937749295</v>
      </c>
      <c r="T28" s="227">
        <f t="shared" si="26"/>
        <v>0.37009659619470531</v>
      </c>
      <c r="U28" s="227">
        <f t="shared" si="26"/>
        <v>0.32196076166895665</v>
      </c>
      <c r="V28" s="227">
        <f t="shared" si="26"/>
        <v>0.30542198780360458</v>
      </c>
      <c r="W28" s="227">
        <f t="shared" si="26"/>
        <v>0.23764920582570859</v>
      </c>
      <c r="X28" s="227">
        <f t="shared" ref="X28:Y28" si="27">+X25/X27</f>
        <v>0.31351131705417806</v>
      </c>
      <c r="Y28" s="227">
        <f t="shared" si="27"/>
        <v>0.59352989695182989</v>
      </c>
      <c r="Z28" s="227">
        <f t="shared" ref="Z28:AA28" si="28">+Z25/Z27</f>
        <v>0.30656465654842124</v>
      </c>
      <c r="AA28" s="227">
        <f t="shared" si="28"/>
        <v>0.21141002553053673</v>
      </c>
      <c r="AB28" s="451">
        <f>+AB25/AB27</f>
        <v>-0.16106957975025701</v>
      </c>
      <c r="AC28" s="635" t="e">
        <f t="shared" ref="AC28" si="29">+AC25/AC27</f>
        <v>#REF!</v>
      </c>
      <c r="AD28" s="670">
        <v>-0.16106957975025701</v>
      </c>
      <c r="AE28" s="164" t="s">
        <v>231</v>
      </c>
      <c r="AK28" s="150" t="s">
        <v>214</v>
      </c>
      <c r="AM28" s="150" t="s">
        <v>215</v>
      </c>
    </row>
    <row r="29" spans="1:41" ht="17.45" customHeight="1" x14ac:dyDescent="0.2">
      <c r="A29" s="219"/>
      <c r="B29" s="222"/>
      <c r="C29" s="222"/>
      <c r="D29" s="222"/>
      <c r="E29" s="222"/>
      <c r="F29" s="222"/>
      <c r="G29" s="222"/>
      <c r="H29" s="222"/>
      <c r="I29" s="222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44"/>
      <c r="U29" s="220"/>
      <c r="V29" s="220"/>
      <c r="W29" s="220"/>
      <c r="X29" s="220"/>
      <c r="Y29" s="220"/>
      <c r="Z29" s="220"/>
      <c r="AA29" s="220"/>
      <c r="AB29" s="220"/>
      <c r="AC29" s="630"/>
      <c r="AD29" s="666"/>
      <c r="AE29" s="148"/>
      <c r="AI29" s="150">
        <v>2009</v>
      </c>
      <c r="AJ29" s="150">
        <v>2010</v>
      </c>
      <c r="AK29" s="150">
        <v>2008</v>
      </c>
      <c r="AL29" s="150">
        <v>2009</v>
      </c>
      <c r="AM29" s="150">
        <v>2008</v>
      </c>
      <c r="AN29" s="150">
        <v>2009</v>
      </c>
    </row>
    <row r="30" spans="1:41" ht="17.45" customHeight="1" x14ac:dyDescent="0.2">
      <c r="A30" s="213" t="s">
        <v>39</v>
      </c>
      <c r="B30" s="214">
        <v>187661.87765657</v>
      </c>
      <c r="C30" s="214">
        <v>222220.39785794</v>
      </c>
      <c r="D30" s="214">
        <v>249187.938962171</v>
      </c>
      <c r="E30" s="214">
        <v>264619.48445276101</v>
      </c>
      <c r="F30" s="214">
        <v>301037.70899918902</v>
      </c>
      <c r="G30" s="214">
        <v>349288.222991749</v>
      </c>
      <c r="H30" s="214">
        <v>427003.01763221098</v>
      </c>
      <c r="I30" s="214">
        <v>461106.166234517</v>
      </c>
      <c r="J30" s="214">
        <v>1116884.9442123</v>
      </c>
      <c r="K30" s="214">
        <v>835084.08934627101</v>
      </c>
      <c r="L30" s="214">
        <v>972609.95531864499</v>
      </c>
      <c r="M30" s="214">
        <v>1030123.86821204</v>
      </c>
      <c r="N30" s="214">
        <v>1192170.1278365301</v>
      </c>
      <c r="O30" s="214">
        <v>1216214.61481206</v>
      </c>
      <c r="P30" s="214">
        <v>1265699.6539365801</v>
      </c>
      <c r="Q30" s="214">
        <v>1318183.0296767401</v>
      </c>
      <c r="R30" s="214">
        <v>1428081.05280704</v>
      </c>
      <c r="S30" s="214">
        <v>1467401.9292901701</v>
      </c>
      <c r="T30" s="217">
        <v>1547166.0048233201</v>
      </c>
      <c r="U30" s="217">
        <v>1684962.29987853</v>
      </c>
      <c r="V30" s="218">
        <v>1747794.8732835699</v>
      </c>
      <c r="W30" s="218">
        <v>1823437.17888395</v>
      </c>
      <c r="X30" s="218">
        <v>1919114.7689786199</v>
      </c>
      <c r="Y30" s="218">
        <v>2259323.0214014351</v>
      </c>
      <c r="Z30" s="218">
        <v>2544638.3066988862</v>
      </c>
      <c r="AA30" s="218">
        <v>3116120.1131154578</v>
      </c>
      <c r="AB30" s="659">
        <v>3340763.7603995232</v>
      </c>
      <c r="AC30" s="658">
        <v>3380519.1712025069</v>
      </c>
      <c r="AD30" s="667">
        <v>3340763.7603995232</v>
      </c>
      <c r="AE30" s="161"/>
      <c r="AG30" s="362"/>
      <c r="AH30" s="362"/>
      <c r="AI30" s="174">
        <v>1684962.29987853</v>
      </c>
      <c r="AJ30" s="174">
        <v>1746812.3664136068</v>
      </c>
      <c r="AK30" s="167">
        <f>477736+605213</f>
        <v>1082949</v>
      </c>
      <c r="AL30" s="167">
        <f>458263+524194</f>
        <v>982457</v>
      </c>
      <c r="AM30" s="167">
        <v>2362406</v>
      </c>
      <c r="AN30" s="167">
        <v>2425691</v>
      </c>
    </row>
    <row r="31" spans="1:41" ht="17.45" customHeight="1" x14ac:dyDescent="0.2">
      <c r="A31" s="219" t="s">
        <v>40</v>
      </c>
      <c r="B31" s="214">
        <v>50068.803431672597</v>
      </c>
      <c r="C31" s="214">
        <v>53478.345022442503</v>
      </c>
      <c r="D31" s="214">
        <v>57499.858288563199</v>
      </c>
      <c r="E31" s="214">
        <v>63564.719343249701</v>
      </c>
      <c r="F31" s="214">
        <v>76377.123311482603</v>
      </c>
      <c r="G31" s="214">
        <v>80897.026883238606</v>
      </c>
      <c r="H31" s="214">
        <v>88794.029741131104</v>
      </c>
      <c r="I31" s="214">
        <v>90134.236008524706</v>
      </c>
      <c r="J31" s="214">
        <v>113763.97263772</v>
      </c>
      <c r="K31" s="214">
        <v>140990.29558549801</v>
      </c>
      <c r="L31" s="214">
        <v>147151.789736737</v>
      </c>
      <c r="M31" s="214">
        <v>149329.74408512199</v>
      </c>
      <c r="N31" s="214">
        <v>152953.51601779999</v>
      </c>
      <c r="O31" s="214">
        <v>161158.79353848301</v>
      </c>
      <c r="P31" s="214">
        <v>174411.83610102499</v>
      </c>
      <c r="Q31" s="214">
        <v>190438.64838799601</v>
      </c>
      <c r="R31" s="214">
        <v>294552.42541739898</v>
      </c>
      <c r="S31" s="214">
        <v>333639.095322015</v>
      </c>
      <c r="T31" s="217">
        <v>373185.09662338602</v>
      </c>
      <c r="U31" s="217">
        <v>409613.35188319598</v>
      </c>
      <c r="V31" s="218">
        <v>426135.04439632798</v>
      </c>
      <c r="W31" s="218">
        <v>444987.93250867201</v>
      </c>
      <c r="X31" s="218">
        <v>460953.00309186173</v>
      </c>
      <c r="Y31" s="218">
        <v>475824</v>
      </c>
      <c r="Z31" s="218">
        <v>1830165.3108751574</v>
      </c>
      <c r="AA31" s="218">
        <v>2267644.7144483216</v>
      </c>
      <c r="AB31" s="659">
        <v>2308238.770570111</v>
      </c>
      <c r="AC31" s="658">
        <v>2325895.1173787126</v>
      </c>
      <c r="AD31" s="667">
        <v>2308238.770570111</v>
      </c>
      <c r="AE31" s="161"/>
      <c r="AG31" s="362"/>
      <c r="AH31" s="362"/>
      <c r="AI31" s="174">
        <v>409613.3518831961</v>
      </c>
      <c r="AJ31" s="174">
        <v>426068.90548191575</v>
      </c>
      <c r="AK31" s="152"/>
      <c r="AM31" s="168">
        <f>+AM30/AK30*1000000</f>
        <v>2181456.3751386264</v>
      </c>
      <c r="AN31" s="168">
        <f>+AN30/AL30*1000000</f>
        <v>2469004.750335129</v>
      </c>
      <c r="AO31" s="169">
        <f>+AN31/AM31</f>
        <v>1.1318148639017498</v>
      </c>
    </row>
    <row r="32" spans="1:41" ht="17.45" customHeight="1" x14ac:dyDescent="0.2">
      <c r="A32" s="220"/>
      <c r="B32" s="214"/>
      <c r="C32" s="214"/>
      <c r="D32" s="214"/>
      <c r="E32" s="214"/>
      <c r="F32" s="214"/>
      <c r="G32" s="214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8"/>
      <c r="U32" s="228"/>
      <c r="V32" s="228"/>
      <c r="W32" s="228"/>
      <c r="X32" s="228"/>
      <c r="Y32" s="228"/>
      <c r="Z32" s="228"/>
      <c r="AA32" s="228"/>
      <c r="AB32" s="228"/>
      <c r="AC32" s="638"/>
      <c r="AD32" s="672"/>
      <c r="AE32" s="166"/>
      <c r="AG32" s="362"/>
      <c r="AH32" s="362"/>
      <c r="AI32" s="174">
        <v>1036999.6296970674</v>
      </c>
      <c r="AJ32" s="174">
        <v>1077646.9080271591</v>
      </c>
    </row>
    <row r="33" spans="1:38" ht="17.45" customHeight="1" x14ac:dyDescent="0.2">
      <c r="A33" s="219" t="s">
        <v>198</v>
      </c>
      <c r="B33" s="229">
        <f t="shared" ref="B33:W33" si="30">+B28*B30</f>
        <v>59288.42903354382</v>
      </c>
      <c r="C33" s="229">
        <f t="shared" si="30"/>
        <v>48245.198634630469</v>
      </c>
      <c r="D33" s="229">
        <f t="shared" si="30"/>
        <v>41625.433539355348</v>
      </c>
      <c r="E33" s="229">
        <f t="shared" si="30"/>
        <v>74334.803282151726</v>
      </c>
      <c r="F33" s="229">
        <f t="shared" si="30"/>
        <v>102686.14990031961</v>
      </c>
      <c r="G33" s="229">
        <f t="shared" si="30"/>
        <v>94493.940835121219</v>
      </c>
      <c r="H33" s="229" t="e">
        <f t="shared" si="30"/>
        <v>#DIV/0!</v>
      </c>
      <c r="I33" s="229">
        <f t="shared" si="30"/>
        <v>166974.99827719672</v>
      </c>
      <c r="J33" s="229">
        <f t="shared" si="30"/>
        <v>315398.47546484764</v>
      </c>
      <c r="K33" s="229">
        <f t="shared" si="30"/>
        <v>221633.27076611581</v>
      </c>
      <c r="L33" s="229">
        <f t="shared" si="30"/>
        <v>289901.04434588354</v>
      </c>
      <c r="M33" s="229">
        <f t="shared" si="30"/>
        <v>287518.22930131463</v>
      </c>
      <c r="N33" s="229">
        <f t="shared" si="30"/>
        <v>303778.1402528843</v>
      </c>
      <c r="O33" s="229">
        <f t="shared" si="30"/>
        <v>288872.16480718588</v>
      </c>
      <c r="P33" s="229">
        <f t="shared" si="30"/>
        <v>327561.94743262959</v>
      </c>
      <c r="Q33" s="229">
        <f t="shared" si="30"/>
        <v>297751.36243856209</v>
      </c>
      <c r="R33" s="229">
        <f t="shared" si="30"/>
        <v>494137.71232058125</v>
      </c>
      <c r="S33" s="229">
        <f t="shared" si="30"/>
        <v>623490.58258475468</v>
      </c>
      <c r="T33" s="229">
        <f t="shared" si="30"/>
        <v>572600.87213327177</v>
      </c>
      <c r="U33" s="229">
        <f t="shared" si="30"/>
        <v>542491.7454523684</v>
      </c>
      <c r="V33" s="229">
        <f t="shared" si="30"/>
        <v>533814.98447121715</v>
      </c>
      <c r="W33" s="229">
        <f t="shared" si="30"/>
        <v>433338.39743484126</v>
      </c>
      <c r="X33" s="229">
        <f t="shared" ref="X33:Y33" si="31">+X28*X30</f>
        <v>601664.19880061178</v>
      </c>
      <c r="Y33" s="229">
        <f t="shared" si="31"/>
        <v>1340975.7600732907</v>
      </c>
      <c r="Z33" s="229">
        <f t="shared" ref="Z33:AA33" si="32">+Z28*Z30</f>
        <v>780096.16853310028</v>
      </c>
      <c r="AA33" s="229">
        <f t="shared" si="32"/>
        <v>658779.03266995796</v>
      </c>
      <c r="AB33" s="449">
        <f t="shared" ref="AB33:AC33" si="33">+AB28*AB30</f>
        <v>-538095.41493243957</v>
      </c>
      <c r="AC33" s="639" t="e">
        <f t="shared" si="33"/>
        <v>#REF!</v>
      </c>
      <c r="AD33" s="673">
        <v>-538095.41493243957</v>
      </c>
      <c r="AE33" s="165" t="s">
        <v>232</v>
      </c>
      <c r="AF33" s="368"/>
      <c r="AI33" s="152" t="e">
        <f>+AI31/AH31*100-100</f>
        <v>#DIV/0!</v>
      </c>
    </row>
    <row r="34" spans="1:38" s="245" customFormat="1" ht="17.45" customHeight="1" x14ac:dyDescent="0.2">
      <c r="A34" s="246" t="s">
        <v>199</v>
      </c>
      <c r="B34" s="247">
        <v>12008</v>
      </c>
      <c r="C34" s="247">
        <v>9770</v>
      </c>
      <c r="D34" s="247">
        <v>9185</v>
      </c>
      <c r="E34" s="247">
        <v>18258</v>
      </c>
      <c r="F34" s="247">
        <v>25412</v>
      </c>
      <c r="G34" s="247">
        <v>26376</v>
      </c>
      <c r="H34" s="247">
        <v>22716.919820001873</v>
      </c>
      <c r="I34" s="247">
        <v>0</v>
      </c>
      <c r="J34" s="247">
        <v>34771.363379193659</v>
      </c>
      <c r="K34" s="247">
        <v>45203.574229748629</v>
      </c>
      <c r="L34" s="247">
        <v>54060.244268743023</v>
      </c>
      <c r="M34" s="247">
        <v>52948.227921222518</v>
      </c>
      <c r="N34" s="248">
        <v>58596.720230127808</v>
      </c>
      <c r="O34" s="248">
        <v>64064.610899417588</v>
      </c>
      <c r="P34" s="248">
        <v>67100.189015801545</v>
      </c>
      <c r="Q34" s="248">
        <v>74400.65378401523</v>
      </c>
      <c r="R34" s="248">
        <v>94504.643298862225</v>
      </c>
      <c r="S34" s="248">
        <v>102273.37472226114</v>
      </c>
      <c r="T34" s="249">
        <f t="shared" ref="T34:Y34" si="34">+T28*T31</f>
        <v>138114.53401090737</v>
      </c>
      <c r="U34" s="249">
        <f t="shared" si="34"/>
        <v>131879.42676208814</v>
      </c>
      <c r="V34" s="249">
        <f t="shared" si="34"/>
        <v>130151.01233230378</v>
      </c>
      <c r="W34" s="249">
        <f t="shared" si="34"/>
        <v>105751.02876270992</v>
      </c>
      <c r="X34" s="249">
        <f t="shared" si="34"/>
        <v>144513.98309940819</v>
      </c>
      <c r="Y34" s="249">
        <f t="shared" si="34"/>
        <v>282415.76968720753</v>
      </c>
      <c r="Z34" s="249">
        <f t="shared" ref="Z34:AA34" si="35">+Z28*Z31</f>
        <v>561063.99995527719</v>
      </c>
      <c r="AA34" s="249">
        <f t="shared" si="35"/>
        <v>479402.82697570632</v>
      </c>
      <c r="AB34" s="449">
        <f t="shared" ref="AB34" si="36">+AB28*AB31</f>
        <v>-371787.0487389777</v>
      </c>
      <c r="AC34" s="639" t="e">
        <f t="shared" ref="AC34" si="37">+AC28*AC31</f>
        <v>#REF!</v>
      </c>
      <c r="AD34" s="673">
        <v>-371787.0487389777</v>
      </c>
      <c r="AE34" s="261" t="s">
        <v>233</v>
      </c>
    </row>
    <row r="35" spans="1:38" ht="17.45" customHeight="1" x14ac:dyDescent="0.2">
      <c r="A35" s="219" t="s">
        <v>235</v>
      </c>
      <c r="B35" s="214">
        <v>284046</v>
      </c>
      <c r="C35" s="214">
        <v>282459</v>
      </c>
      <c r="D35" s="214">
        <v>320465</v>
      </c>
      <c r="E35" s="214">
        <v>421433</v>
      </c>
      <c r="F35" s="214">
        <v>520808</v>
      </c>
      <c r="G35" s="214">
        <v>637485</v>
      </c>
      <c r="H35" s="214">
        <v>706947</v>
      </c>
      <c r="I35" s="214">
        <v>836109</v>
      </c>
      <c r="J35" s="214">
        <v>1371553</v>
      </c>
      <c r="K35" s="214">
        <v>1508423.1445009999</v>
      </c>
      <c r="L35" s="214">
        <v>1877595.9114689999</v>
      </c>
      <c r="M35" s="214">
        <v>1714691</v>
      </c>
      <c r="N35" s="214">
        <v>1690208</v>
      </c>
      <c r="O35" s="214">
        <v>1564538</v>
      </c>
      <c r="P35" s="214">
        <v>1626347</v>
      </c>
      <c r="Q35" s="214">
        <v>1478468</v>
      </c>
      <c r="R35" s="214">
        <v>1682472</v>
      </c>
      <c r="S35" s="214">
        <v>2207335</v>
      </c>
      <c r="T35" s="217">
        <v>2360880</v>
      </c>
      <c r="U35" s="217">
        <v>2425691</v>
      </c>
      <c r="V35" s="217">
        <v>2787176</v>
      </c>
      <c r="W35" s="217">
        <v>3144313</v>
      </c>
      <c r="X35" s="217">
        <v>3555951</v>
      </c>
      <c r="Y35" s="298">
        <v>3863183</v>
      </c>
      <c r="Z35" s="298"/>
      <c r="AA35" s="298"/>
      <c r="AB35" s="298"/>
      <c r="AC35" s="631"/>
      <c r="AD35" s="661"/>
      <c r="AE35" s="161"/>
    </row>
    <row r="36" spans="1:38" ht="17.45" customHeight="1" x14ac:dyDescent="0.2">
      <c r="A36" s="230" t="s">
        <v>201</v>
      </c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31"/>
      <c r="W36" s="231"/>
      <c r="X36" s="231"/>
      <c r="Y36" s="231"/>
      <c r="Z36" s="231"/>
      <c r="AA36" s="231"/>
      <c r="AB36" s="231"/>
      <c r="AC36" s="640"/>
      <c r="AD36" s="665"/>
    </row>
    <row r="37" spans="1:38" ht="17.45" customHeight="1" x14ac:dyDescent="0.2">
      <c r="A37" s="219" t="s">
        <v>198</v>
      </c>
      <c r="B37" s="217">
        <v>116920</v>
      </c>
      <c r="C37" s="217">
        <v>94438</v>
      </c>
      <c r="D37" s="217">
        <v>81830</v>
      </c>
      <c r="E37" s="217">
        <v>154495</v>
      </c>
      <c r="F37" s="217">
        <v>221715</v>
      </c>
      <c r="G37" s="217">
        <v>232725</v>
      </c>
      <c r="H37" s="217">
        <v>223287.47209485335</v>
      </c>
      <c r="I37" s="217">
        <v>356614.85420767003</v>
      </c>
      <c r="J37" s="217">
        <v>357190.87972215703</v>
      </c>
      <c r="K37" s="217">
        <v>473090.98034445487</v>
      </c>
      <c r="L37" s="217">
        <v>772191.34151185374</v>
      </c>
      <c r="M37" s="217">
        <v>614622.87415348762</v>
      </c>
      <c r="N37" s="217">
        <v>563542.90903547627</v>
      </c>
      <c r="O37" s="217">
        <v>616585.6392756463</v>
      </c>
      <c r="P37" s="217">
        <v>626110.64295546827</v>
      </c>
      <c r="Q37" s="217">
        <v>668318.90452157822</v>
      </c>
      <c r="R37" s="217">
        <v>706812.37871614483</v>
      </c>
      <c r="S37" s="217">
        <v>790274.70451673795</v>
      </c>
      <c r="T37" s="220"/>
      <c r="U37" s="231"/>
      <c r="V37" s="231"/>
      <c r="W37" s="231"/>
      <c r="X37" s="231"/>
      <c r="Y37" s="231"/>
      <c r="Z37" s="231"/>
      <c r="AA37" s="231"/>
      <c r="AB37" s="231"/>
      <c r="AC37" s="640"/>
      <c r="AD37" s="665"/>
      <c r="AE37" s="152">
        <f>Y35-180938</f>
        <v>3682245</v>
      </c>
      <c r="AF37" s="369"/>
      <c r="AG37" s="369"/>
      <c r="AH37" s="369"/>
      <c r="AI37" s="173">
        <v>2007</v>
      </c>
      <c r="AJ37" s="173">
        <v>2008</v>
      </c>
      <c r="AK37" s="173">
        <v>2009</v>
      </c>
      <c r="AL37" s="173">
        <v>2010</v>
      </c>
    </row>
    <row r="38" spans="1:38" ht="17.45" customHeight="1" thickBot="1" x14ac:dyDescent="0.25">
      <c r="A38" s="232" t="s">
        <v>199</v>
      </c>
      <c r="B38" s="233">
        <v>12008</v>
      </c>
      <c r="C38" s="233">
        <v>9770</v>
      </c>
      <c r="D38" s="233">
        <v>9185</v>
      </c>
      <c r="E38" s="233">
        <v>18258</v>
      </c>
      <c r="F38" s="233">
        <v>25412</v>
      </c>
      <c r="G38" s="233">
        <v>26376</v>
      </c>
      <c r="H38" s="233">
        <v>22716.919820001873</v>
      </c>
      <c r="I38" s="233">
        <v>34715.289180167376</v>
      </c>
      <c r="J38" s="233">
        <v>34771.363379193659</v>
      </c>
      <c r="K38" s="233">
        <v>45203.574229748629</v>
      </c>
      <c r="L38" s="233">
        <v>54060.244268743023</v>
      </c>
      <c r="M38" s="233">
        <v>52948.227921222518</v>
      </c>
      <c r="N38" s="233">
        <v>58596.720230127808</v>
      </c>
      <c r="O38" s="233">
        <v>64064.610899417588</v>
      </c>
      <c r="P38" s="233">
        <v>67100.189015801545</v>
      </c>
      <c r="Q38" s="233">
        <v>74400.65378401523</v>
      </c>
      <c r="R38" s="233">
        <v>94504.643298862225</v>
      </c>
      <c r="S38" s="233">
        <v>94775.71632515204</v>
      </c>
      <c r="T38" s="234"/>
      <c r="U38" s="234"/>
      <c r="V38" s="234"/>
      <c r="W38" s="234"/>
      <c r="X38" s="234"/>
      <c r="Y38" s="234"/>
      <c r="Z38" s="234"/>
      <c r="AA38" s="234"/>
      <c r="AB38" s="234"/>
      <c r="AC38" s="641"/>
      <c r="AD38" s="666"/>
      <c r="AF38" s="369"/>
      <c r="AG38" s="370"/>
      <c r="AH38" s="370"/>
      <c r="AI38" s="174">
        <v>1467401.9292901717</v>
      </c>
      <c r="AJ38" s="174">
        <v>1547166.0048233219</v>
      </c>
      <c r="AK38" s="174">
        <v>1684962.29987853</v>
      </c>
      <c r="AL38" s="174">
        <v>1746812.3664136068</v>
      </c>
    </row>
    <row r="39" spans="1:38" ht="17.45" customHeight="1" thickTop="1" x14ac:dyDescent="0.2">
      <c r="F39" s="151"/>
      <c r="G39" s="151"/>
      <c r="H39" s="151"/>
      <c r="I39" s="151"/>
      <c r="J39" s="151"/>
      <c r="AF39" s="369"/>
      <c r="AG39" s="370"/>
      <c r="AH39" s="370"/>
      <c r="AI39" s="174">
        <v>333639.09532201517</v>
      </c>
      <c r="AJ39" s="174">
        <v>373185.09662338649</v>
      </c>
      <c r="AK39" s="174">
        <v>409613.3518831961</v>
      </c>
      <c r="AL39" s="174">
        <v>426068.90548191575</v>
      </c>
    </row>
    <row r="40" spans="1:38" ht="17.45" customHeight="1" x14ac:dyDescent="0.2">
      <c r="AF40" s="369"/>
      <c r="AG40" s="370"/>
      <c r="AH40" s="370"/>
      <c r="AI40" s="174">
        <v>839514.41482350265</v>
      </c>
      <c r="AJ40" s="174">
        <v>949310.09395549924</v>
      </c>
      <c r="AK40" s="174">
        <v>1036999.6296970674</v>
      </c>
      <c r="AL40" s="174">
        <v>1077646.9080271591</v>
      </c>
    </row>
    <row r="41" spans="1:38" ht="17.45" customHeight="1" x14ac:dyDescent="0.2"/>
    <row r="42" spans="1:38" ht="17.45" customHeight="1" x14ac:dyDescent="0.2"/>
    <row r="43" spans="1:38" ht="17.45" customHeight="1" x14ac:dyDescent="0.2"/>
    <row r="44" spans="1:38" ht="17.45" customHeight="1" x14ac:dyDescent="0.2"/>
    <row r="45" spans="1:38" ht="17.45" customHeight="1" x14ac:dyDescent="0.2"/>
    <row r="46" spans="1:38" ht="17.45" customHeight="1" x14ac:dyDescent="0.2"/>
    <row r="47" spans="1:38" ht="17.45" customHeight="1" x14ac:dyDescent="0.2"/>
    <row r="48" spans="1:38" ht="17.45" customHeight="1" x14ac:dyDescent="0.2"/>
    <row r="49" ht="17.45" customHeight="1" x14ac:dyDescent="0.2"/>
    <row r="50" ht="17.45" customHeight="1" x14ac:dyDescent="0.2"/>
    <row r="51" ht="17.45" customHeight="1" x14ac:dyDescent="0.2"/>
    <row r="52" ht="17.45" customHeight="1" x14ac:dyDescent="0.2"/>
    <row r="53" ht="17.45" customHeight="1" x14ac:dyDescent="0.2"/>
    <row r="54" ht="17.45" customHeight="1" x14ac:dyDescent="0.2"/>
    <row r="55" ht="17.45" customHeight="1" x14ac:dyDescent="0.2"/>
    <row r="56" ht="17.45" customHeight="1" x14ac:dyDescent="0.2"/>
    <row r="57" ht="17.45" customHeight="1" x14ac:dyDescent="0.2"/>
    <row r="58" ht="17.45" customHeight="1" x14ac:dyDescent="0.2"/>
    <row r="59" ht="17.45" customHeight="1" x14ac:dyDescent="0.2"/>
    <row r="60" ht="17.45" customHeight="1" x14ac:dyDescent="0.2"/>
    <row r="61" ht="17.45" customHeight="1" x14ac:dyDescent="0.2"/>
    <row r="62" ht="17.45" customHeight="1" x14ac:dyDescent="0.2"/>
    <row r="63" ht="17.45" customHeight="1" x14ac:dyDescent="0.2"/>
    <row r="64" ht="17.45" customHeight="1" x14ac:dyDescent="0.2"/>
    <row r="65" ht="17.45" customHeight="1" x14ac:dyDescent="0.2"/>
    <row r="66" ht="17.45" customHeight="1" x14ac:dyDescent="0.2"/>
    <row r="67" ht="17.45" customHeight="1" x14ac:dyDescent="0.2"/>
    <row r="68" ht="17.45" customHeight="1" x14ac:dyDescent="0.2"/>
    <row r="69" ht="17.45" customHeight="1" x14ac:dyDescent="0.2"/>
    <row r="70" ht="17.45" customHeight="1" x14ac:dyDescent="0.2"/>
    <row r="71" ht="17.45" customHeight="1" x14ac:dyDescent="0.2"/>
    <row r="72" ht="17.45" customHeight="1" x14ac:dyDescent="0.2"/>
    <row r="73" ht="17.45" customHeight="1" x14ac:dyDescent="0.2"/>
    <row r="74" ht="17.45" customHeight="1" x14ac:dyDescent="0.2"/>
    <row r="75" ht="17.45" customHeight="1" x14ac:dyDescent="0.2"/>
    <row r="76" ht="17.45" customHeight="1" x14ac:dyDescent="0.2"/>
    <row r="77" ht="17.45" customHeight="1" x14ac:dyDescent="0.2"/>
    <row r="78" ht="17.45" customHeight="1" x14ac:dyDescent="0.2"/>
    <row r="79" ht="17.45" customHeight="1" x14ac:dyDescent="0.2"/>
    <row r="80" ht="17.45" customHeight="1" x14ac:dyDescent="0.2"/>
    <row r="81" ht="17.45" customHeight="1" x14ac:dyDescent="0.2"/>
    <row r="82" ht="17.45" customHeight="1" x14ac:dyDescent="0.2"/>
    <row r="83" ht="17.45" customHeight="1" x14ac:dyDescent="0.2"/>
    <row r="84" ht="17.45" customHeight="1" x14ac:dyDescent="0.2"/>
    <row r="85" ht="17.45" customHeight="1" x14ac:dyDescent="0.2"/>
    <row r="86" ht="17.45" customHeight="1" x14ac:dyDescent="0.2"/>
    <row r="87" ht="17.45" customHeight="1" x14ac:dyDescent="0.2"/>
    <row r="88" ht="17.45" customHeight="1" x14ac:dyDescent="0.2"/>
    <row r="89" ht="17.45" customHeight="1" x14ac:dyDescent="0.2"/>
    <row r="90" ht="17.45" customHeight="1" x14ac:dyDescent="0.2"/>
    <row r="91" ht="17.45" customHeight="1" x14ac:dyDescent="0.2"/>
    <row r="92" ht="17.45" customHeight="1" x14ac:dyDescent="0.2"/>
    <row r="93" ht="17.45" customHeight="1" x14ac:dyDescent="0.2"/>
    <row r="94" ht="17.45" customHeight="1" x14ac:dyDescent="0.2"/>
    <row r="95" ht="17.45" customHeight="1" x14ac:dyDescent="0.2"/>
    <row r="96" ht="17.45" customHeight="1" x14ac:dyDescent="0.2"/>
    <row r="97" ht="17.45" customHeight="1" x14ac:dyDescent="0.2"/>
    <row r="98" ht="17.45" customHeight="1" x14ac:dyDescent="0.2"/>
    <row r="99" ht="17.45" customHeight="1" x14ac:dyDescent="0.2"/>
    <row r="100" ht="17.45" customHeight="1" x14ac:dyDescent="0.2"/>
    <row r="101" ht="17.45" customHeight="1" x14ac:dyDescent="0.2"/>
    <row r="102" ht="17.45" customHeight="1" x14ac:dyDescent="0.2"/>
    <row r="103" ht="17.45" customHeight="1" x14ac:dyDescent="0.2"/>
    <row r="104" ht="17.45" customHeight="1" x14ac:dyDescent="0.2"/>
    <row r="105" ht="17.45" customHeight="1" x14ac:dyDescent="0.2"/>
    <row r="106" ht="17.45" customHeight="1" x14ac:dyDescent="0.2"/>
    <row r="107" ht="17.45" customHeight="1" x14ac:dyDescent="0.2"/>
    <row r="108" ht="17.45" customHeight="1" x14ac:dyDescent="0.2"/>
    <row r="109" ht="17.45" customHeight="1" x14ac:dyDescent="0.2"/>
    <row r="110" ht="17.45" customHeight="1" x14ac:dyDescent="0.2"/>
    <row r="111" ht="17.45" customHeight="1" x14ac:dyDescent="0.2"/>
    <row r="112" ht="17.45" customHeight="1" x14ac:dyDescent="0.2"/>
    <row r="113" ht="17.45" customHeight="1" x14ac:dyDescent="0.2"/>
    <row r="114" ht="17.45" customHeight="1" x14ac:dyDescent="0.2"/>
    <row r="115" ht="17.45" customHeight="1" x14ac:dyDescent="0.2"/>
    <row r="116" ht="17.45" customHeight="1" x14ac:dyDescent="0.2"/>
  </sheetData>
  <phoneticPr fontId="0" type="noConversion"/>
  <printOptions horizontalCentered="1"/>
  <pageMargins left="0.59055118110236227" right="0.51181102362204722" top="0.6692913385826772" bottom="0.59055118110236227" header="0.55118110236220474" footer="0.39370078740157483"/>
  <pageSetup scale="70" orientation="landscape" verticalDpi="180" r:id="rId1"/>
  <headerFooter alignWithMargins="0">
    <oddFooter>&amp;Lupdate&amp;D,&amp;T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D117"/>
  <sheetViews>
    <sheetView workbookViewId="0">
      <pane xSplit="2" ySplit="3" topLeftCell="W4" activePane="bottomRight" state="frozen"/>
      <selection activeCell="AE17" sqref="AE17"/>
      <selection pane="topRight" activeCell="AE17" sqref="AE17"/>
      <selection pane="bottomLeft" activeCell="AE17" sqref="AE17"/>
      <selection pane="bottomRight" activeCell="AC21" sqref="AC21"/>
    </sheetView>
  </sheetViews>
  <sheetFormatPr defaultColWidth="9.33203125" defaultRowHeight="13.5" x14ac:dyDescent="0.2"/>
  <cols>
    <col min="1" max="1" width="40" style="2" customWidth="1"/>
    <col min="2" max="2" width="12" style="2" customWidth="1"/>
    <col min="3" max="3" width="11.6640625" style="2" bestFit="1" customWidth="1"/>
    <col min="4" max="4" width="12.1640625" style="2" customWidth="1"/>
    <col min="5" max="5" width="10.33203125" style="2" customWidth="1"/>
    <col min="6" max="6" width="10.1640625" style="2" customWidth="1"/>
    <col min="7" max="7" width="11.5" style="2" customWidth="1"/>
    <col min="8" max="9" width="10.6640625" style="2" customWidth="1"/>
    <col min="10" max="11" width="11.5" style="2" customWidth="1"/>
    <col min="12" max="16" width="10.6640625" style="2" customWidth="1"/>
    <col min="17" max="17" width="10.6640625" style="2" hidden="1" customWidth="1"/>
    <col min="18" max="18" width="11" style="2" hidden="1" customWidth="1"/>
    <col min="19" max="19" width="11.83203125" style="2" hidden="1" customWidth="1"/>
    <col min="20" max="20" width="11.33203125" style="2" hidden="1" customWidth="1"/>
    <col min="21" max="29" width="11.33203125" style="2" customWidth="1"/>
    <col min="30" max="30" width="27.5" style="2" customWidth="1"/>
    <col min="31" max="16384" width="9.33203125" style="2"/>
  </cols>
  <sheetData>
    <row r="1" spans="1:30" ht="15" x14ac:dyDescent="0.2">
      <c r="A1" s="1" t="s">
        <v>41</v>
      </c>
      <c r="B1" s="1"/>
      <c r="C1" s="1"/>
      <c r="D1" s="1"/>
      <c r="E1" s="1"/>
      <c r="F1" s="1"/>
      <c r="G1" s="1"/>
    </row>
    <row r="2" spans="1:30" ht="15.75" thickBot="1" x14ac:dyDescent="0.25">
      <c r="A2" s="49" t="s">
        <v>42</v>
      </c>
      <c r="B2" s="49"/>
      <c r="C2" s="1"/>
      <c r="D2" s="1"/>
      <c r="E2" s="1"/>
      <c r="F2" s="1"/>
      <c r="G2" s="1"/>
    </row>
    <row r="3" spans="1:30" ht="23.25" customHeight="1" thickTop="1" x14ac:dyDescent="0.2">
      <c r="A3" s="250" t="s">
        <v>14</v>
      </c>
      <c r="B3" s="250" t="s">
        <v>43</v>
      </c>
      <c r="C3" s="250">
        <v>1992</v>
      </c>
      <c r="D3" s="250">
        <v>1993</v>
      </c>
      <c r="E3" s="250">
        <v>1994</v>
      </c>
      <c r="F3" s="250">
        <v>1995</v>
      </c>
      <c r="G3" s="250">
        <v>1996</v>
      </c>
      <c r="H3" s="251">
        <v>1997</v>
      </c>
      <c r="I3" s="251">
        <v>1998</v>
      </c>
      <c r="J3" s="252">
        <v>1999</v>
      </c>
      <c r="K3" s="251">
        <v>2000</v>
      </c>
      <c r="L3" s="251">
        <v>2001</v>
      </c>
      <c r="M3" s="251">
        <v>2002</v>
      </c>
      <c r="N3" s="251">
        <v>2003</v>
      </c>
      <c r="O3" s="251">
        <v>2004</v>
      </c>
      <c r="P3" s="251">
        <v>2005</v>
      </c>
      <c r="Q3" s="251">
        <v>2006</v>
      </c>
      <c r="R3" s="251">
        <v>2007</v>
      </c>
      <c r="S3" s="251">
        <v>2008</v>
      </c>
      <c r="T3" s="251">
        <v>2009</v>
      </c>
      <c r="U3" s="300">
        <v>2010</v>
      </c>
      <c r="V3" s="300">
        <v>2011</v>
      </c>
      <c r="W3" s="300">
        <v>2012</v>
      </c>
      <c r="X3" s="300">
        <v>2013</v>
      </c>
      <c r="Y3" s="300">
        <v>2014</v>
      </c>
      <c r="Z3" s="300">
        <v>2015</v>
      </c>
      <c r="AA3" s="361">
        <v>2016</v>
      </c>
      <c r="AB3" s="403">
        <v>2017</v>
      </c>
      <c r="AC3" s="112"/>
    </row>
    <row r="4" spans="1:30" x14ac:dyDescent="0.2">
      <c r="A4" s="185" t="s">
        <v>44</v>
      </c>
      <c r="B4" s="253" t="s">
        <v>45</v>
      </c>
      <c r="C4" s="202">
        <v>4251.5</v>
      </c>
      <c r="D4" s="202"/>
      <c r="E4" s="202"/>
      <c r="F4" s="202"/>
      <c r="G4" s="202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2"/>
    </row>
    <row r="5" spans="1:30" ht="17.45" customHeight="1" x14ac:dyDescent="0.2">
      <c r="A5" s="254" t="s">
        <v>46</v>
      </c>
      <c r="B5" s="253" t="s">
        <v>47</v>
      </c>
      <c r="C5" s="202">
        <v>23981</v>
      </c>
      <c r="D5" s="202"/>
      <c r="E5" s="202"/>
      <c r="F5" s="202"/>
      <c r="G5" s="202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2"/>
    </row>
    <row r="6" spans="1:30" ht="17.45" customHeight="1" x14ac:dyDescent="0.2">
      <c r="A6" s="254" t="s">
        <v>48</v>
      </c>
      <c r="B6" s="253" t="s">
        <v>49</v>
      </c>
      <c r="C6" s="202">
        <v>177300</v>
      </c>
      <c r="D6" s="202"/>
      <c r="E6" s="202"/>
      <c r="F6" s="202"/>
      <c r="G6" s="202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2"/>
    </row>
    <row r="7" spans="1:30" ht="17.45" customHeight="1" x14ac:dyDescent="0.2">
      <c r="A7" s="254" t="s">
        <v>50</v>
      </c>
      <c r="B7" s="253" t="s">
        <v>51</v>
      </c>
      <c r="C7" s="202">
        <v>368.7</v>
      </c>
      <c r="D7" s="202"/>
      <c r="E7" s="202"/>
      <c r="F7" s="202"/>
      <c r="G7" s="202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2"/>
    </row>
    <row r="8" spans="1:30" ht="17.45" customHeight="1" x14ac:dyDescent="0.2">
      <c r="A8" s="254"/>
      <c r="B8" s="185"/>
      <c r="C8" s="202"/>
      <c r="D8" s="202"/>
      <c r="E8" s="202"/>
      <c r="F8" s="202"/>
      <c r="G8" s="202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2"/>
    </row>
    <row r="9" spans="1:30" ht="17.45" customHeight="1" x14ac:dyDescent="0.2">
      <c r="A9" s="254" t="s">
        <v>52</v>
      </c>
      <c r="B9" s="253" t="s">
        <v>51</v>
      </c>
      <c r="C9" s="202">
        <v>2339.3000000000002</v>
      </c>
      <c r="D9" s="202"/>
      <c r="E9" s="202"/>
      <c r="F9" s="202"/>
      <c r="G9" s="202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2"/>
    </row>
    <row r="10" spans="1:30" ht="17.45" customHeight="1" x14ac:dyDescent="0.2">
      <c r="A10" s="254" t="s">
        <v>53</v>
      </c>
      <c r="B10" s="253" t="s">
        <v>51</v>
      </c>
      <c r="C10" s="202">
        <v>241.3</v>
      </c>
      <c r="D10" s="202"/>
      <c r="E10" s="202"/>
      <c r="F10" s="202"/>
      <c r="G10" s="202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2"/>
    </row>
    <row r="11" spans="1:30" ht="17.45" customHeight="1" x14ac:dyDescent="0.2">
      <c r="A11" s="254" t="s">
        <v>54</v>
      </c>
      <c r="B11" s="253" t="s">
        <v>51</v>
      </c>
      <c r="C11" s="202">
        <v>7302.7</v>
      </c>
      <c r="D11" s="202"/>
      <c r="E11" s="202"/>
      <c r="F11" s="202"/>
      <c r="G11" s="202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2"/>
    </row>
    <row r="12" spans="1:30" ht="17.45" customHeight="1" x14ac:dyDescent="0.2">
      <c r="A12" s="254" t="s">
        <v>55</v>
      </c>
      <c r="B12" s="253" t="s">
        <v>56</v>
      </c>
      <c r="C12" s="257">
        <f>C7/C11</f>
        <v>5.0488175606282611E-2</v>
      </c>
      <c r="D12" s="202"/>
      <c r="E12" s="202"/>
      <c r="F12" s="202"/>
      <c r="G12" s="202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2"/>
      <c r="AD12" s="164" t="s">
        <v>227</v>
      </c>
    </row>
    <row r="13" spans="1:30" ht="17.45" customHeight="1" x14ac:dyDescent="0.2">
      <c r="A13" s="254" t="s">
        <v>57</v>
      </c>
      <c r="B13" s="253" t="s">
        <v>51</v>
      </c>
      <c r="C13" s="202">
        <f>C12*C9</f>
        <v>118.10698919577692</v>
      </c>
      <c r="D13" s="202"/>
      <c r="E13" s="202"/>
      <c r="F13" s="202"/>
      <c r="G13" s="202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2"/>
      <c r="AD13" s="160" t="s">
        <v>234</v>
      </c>
    </row>
    <row r="14" spans="1:30" ht="17.45" customHeight="1" x14ac:dyDescent="0.2">
      <c r="A14" s="185"/>
      <c r="B14" s="185"/>
      <c r="C14" s="202"/>
      <c r="D14" s="202"/>
      <c r="E14" s="202"/>
      <c r="F14" s="202"/>
      <c r="G14" s="202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2"/>
    </row>
    <row r="15" spans="1:30" ht="17.45" customHeight="1" x14ac:dyDescent="0.2">
      <c r="A15" s="254" t="s">
        <v>58</v>
      </c>
      <c r="B15" s="253" t="s">
        <v>51</v>
      </c>
      <c r="C15" s="202">
        <f>C7-C13</f>
        <v>250.59301080422307</v>
      </c>
      <c r="D15" s="202"/>
      <c r="E15" s="202"/>
      <c r="F15" s="202"/>
      <c r="G15" s="202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2"/>
      <c r="AD15" s="160" t="s">
        <v>228</v>
      </c>
    </row>
    <row r="16" spans="1:30" ht="17.45" customHeight="1" x14ac:dyDescent="0.2">
      <c r="A16" s="254" t="s">
        <v>59</v>
      </c>
      <c r="B16" s="253" t="s">
        <v>49</v>
      </c>
      <c r="C16" s="202">
        <f>C15*1000000/C5</f>
        <v>10449.648088245822</v>
      </c>
      <c r="D16" s="202"/>
      <c r="E16" s="202"/>
      <c r="F16" s="202"/>
      <c r="G16" s="202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2"/>
      <c r="AD16" s="165" t="s">
        <v>229</v>
      </c>
    </row>
    <row r="17" spans="1:30" ht="17.45" customHeight="1" x14ac:dyDescent="0.2">
      <c r="A17" s="185"/>
      <c r="B17" s="185"/>
      <c r="C17" s="202"/>
      <c r="D17" s="257"/>
      <c r="E17" s="202"/>
      <c r="F17" s="202"/>
      <c r="G17" s="202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2"/>
    </row>
    <row r="18" spans="1:30" ht="17.45" customHeight="1" x14ac:dyDescent="0.2">
      <c r="A18" s="254" t="s">
        <v>185</v>
      </c>
      <c r="B18" s="253" t="s">
        <v>56</v>
      </c>
      <c r="C18" s="258">
        <f>C16/C19</f>
        <v>7.2097652215633246E-2</v>
      </c>
      <c r="D18" s="259">
        <f>C18</f>
        <v>7.2097652215633246E-2</v>
      </c>
      <c r="E18" s="259">
        <f>D18</f>
        <v>7.2097652215633246E-2</v>
      </c>
      <c r="F18" s="259">
        <f t="shared" ref="F18:AA18" si="0">E18</f>
        <v>7.2097652215633246E-2</v>
      </c>
      <c r="G18" s="259">
        <f t="shared" si="0"/>
        <v>7.2097652215633246E-2</v>
      </c>
      <c r="H18" s="259">
        <f t="shared" si="0"/>
        <v>7.2097652215633246E-2</v>
      </c>
      <c r="I18" s="259">
        <f t="shared" si="0"/>
        <v>7.2097652215633246E-2</v>
      </c>
      <c r="J18" s="259">
        <f t="shared" si="0"/>
        <v>7.2097652215633246E-2</v>
      </c>
      <c r="K18" s="259">
        <f t="shared" si="0"/>
        <v>7.2097652215633246E-2</v>
      </c>
      <c r="L18" s="259">
        <f t="shared" si="0"/>
        <v>7.2097652215633246E-2</v>
      </c>
      <c r="M18" s="259">
        <f t="shared" si="0"/>
        <v>7.2097652215633246E-2</v>
      </c>
      <c r="N18" s="259">
        <f t="shared" si="0"/>
        <v>7.2097652215633246E-2</v>
      </c>
      <c r="O18" s="259">
        <f t="shared" si="0"/>
        <v>7.2097652215633246E-2</v>
      </c>
      <c r="P18" s="259">
        <f t="shared" si="0"/>
        <v>7.2097652215633246E-2</v>
      </c>
      <c r="Q18" s="259">
        <f t="shared" si="0"/>
        <v>7.2097652215633246E-2</v>
      </c>
      <c r="R18" s="259">
        <f t="shared" si="0"/>
        <v>7.2097652215633246E-2</v>
      </c>
      <c r="S18" s="259">
        <f t="shared" si="0"/>
        <v>7.2097652215633246E-2</v>
      </c>
      <c r="T18" s="259">
        <f t="shared" si="0"/>
        <v>7.2097652215633246E-2</v>
      </c>
      <c r="U18" s="259">
        <f t="shared" si="0"/>
        <v>7.2097652215633246E-2</v>
      </c>
      <c r="V18" s="259">
        <f t="shared" si="0"/>
        <v>7.2097652215633246E-2</v>
      </c>
      <c r="W18" s="259">
        <f t="shared" si="0"/>
        <v>7.2097652215633246E-2</v>
      </c>
      <c r="X18" s="259">
        <f t="shared" si="0"/>
        <v>7.2097652215633246E-2</v>
      </c>
      <c r="Y18" s="259">
        <f t="shared" si="0"/>
        <v>7.2097652215633246E-2</v>
      </c>
      <c r="Z18" s="259">
        <f t="shared" si="0"/>
        <v>7.2097652215633246E-2</v>
      </c>
      <c r="AA18" s="259">
        <f t="shared" si="0"/>
        <v>7.2097652215633246E-2</v>
      </c>
      <c r="AB18" s="259">
        <f>AA18</f>
        <v>7.2097652215633246E-2</v>
      </c>
      <c r="AC18" s="259">
        <f>AB18</f>
        <v>7.2097652215633246E-2</v>
      </c>
      <c r="AD18" s="164" t="s">
        <v>231</v>
      </c>
    </row>
    <row r="19" spans="1:30" s="412" customFormat="1" ht="17.45" customHeight="1" x14ac:dyDescent="0.2">
      <c r="A19" s="406" t="s">
        <v>221</v>
      </c>
      <c r="B19" s="407" t="s">
        <v>49</v>
      </c>
      <c r="C19" s="408">
        <v>144937.42538234801</v>
      </c>
      <c r="D19" s="409">
        <v>158800.241627754</v>
      </c>
      <c r="E19" s="409">
        <v>191857.066634424</v>
      </c>
      <c r="F19" s="409">
        <v>207148.71826512899</v>
      </c>
      <c r="G19" s="409">
        <v>224888.55236964201</v>
      </c>
      <c r="H19" s="410">
        <v>228354.75262620099</v>
      </c>
      <c r="I19" s="410">
        <v>290857.80074827099</v>
      </c>
      <c r="J19" s="409">
        <v>356210.28248502</v>
      </c>
      <c r="K19" s="409">
        <v>371312.92895835201</v>
      </c>
      <c r="L19" s="410">
        <v>375538.268151736</v>
      </c>
      <c r="M19" s="410">
        <v>384750.27039142302</v>
      </c>
      <c r="N19" s="410">
        <v>407805.58924489701</v>
      </c>
      <c r="O19" s="410">
        <v>441986.03907354397</v>
      </c>
      <c r="P19" s="410">
        <v>508164.29000352602</v>
      </c>
      <c r="Q19" s="410">
        <v>713040.22125915706</v>
      </c>
      <c r="R19" s="410">
        <v>839514.414823503</v>
      </c>
      <c r="S19" s="411">
        <v>949310.093955499</v>
      </c>
      <c r="T19" s="411">
        <v>1036999.62969707</v>
      </c>
      <c r="U19" s="411">
        <v>1077646.90802716</v>
      </c>
      <c r="V19" s="411">
        <v>1126642.8882665399</v>
      </c>
      <c r="W19" s="411">
        <v>1167378.610500322</v>
      </c>
      <c r="X19" s="411">
        <v>1981675.4819236251</v>
      </c>
      <c r="Y19" s="411">
        <v>2082476.1185298096</v>
      </c>
      <c r="Z19" s="660">
        <v>2264231.2102817218</v>
      </c>
      <c r="AA19" s="660">
        <v>2307758.7860953487</v>
      </c>
      <c r="AB19" s="660">
        <v>2328000.9343690909</v>
      </c>
      <c r="AC19" s="660">
        <v>2405257.1664364147</v>
      </c>
    </row>
    <row r="20" spans="1:30" ht="17.45" customHeight="1" x14ac:dyDescent="0.2">
      <c r="A20" s="185"/>
      <c r="B20" s="185"/>
      <c r="C20" s="202"/>
      <c r="D20" s="255"/>
      <c r="E20" s="255"/>
      <c r="F20" s="255"/>
      <c r="G20" s="255"/>
      <c r="H20" s="195"/>
      <c r="I20" s="195"/>
      <c r="J20" s="195"/>
      <c r="K20" s="195"/>
      <c r="L20" s="195"/>
      <c r="M20" s="195"/>
      <c r="N20" s="19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2"/>
    </row>
    <row r="21" spans="1:30" s="412" customFormat="1" ht="17.45" customHeight="1" thickBot="1" x14ac:dyDescent="0.25">
      <c r="A21" s="457" t="s">
        <v>186</v>
      </c>
      <c r="B21" s="458" t="s">
        <v>49</v>
      </c>
      <c r="C21" s="459">
        <f t="shared" ref="C21:K21" si="1">C18*C19</f>
        <v>10449.648088245822</v>
      </c>
      <c r="D21" s="459">
        <f t="shared" si="1"/>
        <v>11449.124592636334</v>
      </c>
      <c r="E21" s="459">
        <f t="shared" si="1"/>
        <v>13832.444065320275</v>
      </c>
      <c r="F21" s="459">
        <f t="shared" si="1"/>
        <v>14934.936246393465</v>
      </c>
      <c r="G21" s="459">
        <f t="shared" si="1"/>
        <v>16213.936636023675</v>
      </c>
      <c r="H21" s="459">
        <f t="shared" si="1"/>
        <v>16463.8415366308</v>
      </c>
      <c r="I21" s="459">
        <f t="shared" si="1"/>
        <v>20970.164562552793</v>
      </c>
      <c r="J21" s="459">
        <f t="shared" si="1"/>
        <v>25681.925062237446</v>
      </c>
      <c r="K21" s="459">
        <f t="shared" si="1"/>
        <v>26770.790415207397</v>
      </c>
      <c r="L21" s="459">
        <f t="shared" ref="L21:W21" si="2">L18*L19</f>
        <v>27075.427450865081</v>
      </c>
      <c r="M21" s="459">
        <f t="shared" si="2"/>
        <v>27739.591184551671</v>
      </c>
      <c r="N21" s="459">
        <f t="shared" si="2"/>
        <v>29401.825544969972</v>
      </c>
      <c r="O21" s="459">
        <f t="shared" si="2"/>
        <v>31866.155729289661</v>
      </c>
      <c r="P21" s="459">
        <f t="shared" si="2"/>
        <v>36637.452249078415</v>
      </c>
      <c r="Q21" s="459">
        <f t="shared" si="2"/>
        <v>51408.525888100885</v>
      </c>
      <c r="R21" s="459">
        <f t="shared" si="2"/>
        <v>60527.018309955776</v>
      </c>
      <c r="S21" s="459">
        <f t="shared" si="2"/>
        <v>68443.028998793685</v>
      </c>
      <c r="T21" s="459">
        <f t="shared" si="2"/>
        <v>74765.23864963981</v>
      </c>
      <c r="U21" s="459">
        <f t="shared" si="2"/>
        <v>77695.811986194691</v>
      </c>
      <c r="V21" s="459">
        <f t="shared" si="2"/>
        <v>81228.307129457535</v>
      </c>
      <c r="W21" s="459">
        <f t="shared" si="2"/>
        <v>84165.257063821395</v>
      </c>
      <c r="X21" s="459">
        <f t="shared" ref="X21:Z21" si="3">X18*X19</f>
        <v>142874.14969997693</v>
      </c>
      <c r="Y21" s="459">
        <f t="shared" si="3"/>
        <v>150141.63894112405</v>
      </c>
      <c r="Z21" s="459">
        <f t="shared" si="3"/>
        <v>163245.75433467393</v>
      </c>
      <c r="AA21" s="459">
        <f t="shared" ref="AA21:AB21" si="4">AA18*AA19</f>
        <v>166383.99035747439</v>
      </c>
      <c r="AB21" s="459">
        <f t="shared" si="4"/>
        <v>167843.40172381196</v>
      </c>
      <c r="AC21" s="459">
        <f>AC18*AC19</f>
        <v>173413.39467489213</v>
      </c>
    </row>
    <row r="22" spans="1:30" ht="17.45" customHeight="1" thickTop="1" x14ac:dyDescent="0.2">
      <c r="C22" s="53">
        <f>+C16/C6*100</f>
        <v>5.893766547233966</v>
      </c>
      <c r="D22" s="53"/>
      <c r="E22" s="53"/>
      <c r="F22" s="53"/>
      <c r="G22" s="53"/>
      <c r="J22" s="54"/>
    </row>
    <row r="23" spans="1:30" ht="17.45" customHeight="1" x14ac:dyDescent="0.2">
      <c r="A23" s="55" t="s">
        <v>60</v>
      </c>
      <c r="C23" s="53"/>
      <c r="D23" s="53"/>
      <c r="E23" s="53"/>
      <c r="F23" s="53"/>
      <c r="G23" s="53"/>
    </row>
    <row r="24" spans="1:30" ht="17.45" customHeight="1" x14ac:dyDescent="0.2">
      <c r="A24" s="55" t="s">
        <v>61</v>
      </c>
      <c r="C24" s="53"/>
      <c r="D24" s="53"/>
      <c r="E24" s="53"/>
      <c r="F24" s="53"/>
      <c r="G24" s="53"/>
      <c r="AD24" s="173"/>
    </row>
    <row r="25" spans="1:30" ht="17.45" customHeight="1" x14ac:dyDescent="0.2">
      <c r="A25" s="56" t="s">
        <v>62</v>
      </c>
      <c r="C25" s="53"/>
      <c r="D25" s="53"/>
      <c r="E25" s="53"/>
      <c r="F25" s="53"/>
      <c r="G25" s="53"/>
      <c r="AD25" s="173"/>
    </row>
    <row r="26" spans="1:30" ht="17.45" customHeight="1" x14ac:dyDescent="0.2">
      <c r="A26" s="55" t="s">
        <v>63</v>
      </c>
      <c r="C26" s="53"/>
      <c r="D26" s="53"/>
      <c r="E26" s="53"/>
      <c r="F26" s="53"/>
      <c r="G26" s="53"/>
      <c r="AD26" s="173"/>
    </row>
    <row r="27" spans="1:30" ht="17.45" customHeight="1" x14ac:dyDescent="0.2">
      <c r="C27" s="53"/>
      <c r="D27" s="53"/>
      <c r="E27" s="53"/>
      <c r="F27" s="53"/>
      <c r="G27" s="53"/>
      <c r="AD27" s="173"/>
    </row>
    <row r="28" spans="1:30" ht="17.45" customHeight="1" x14ac:dyDescent="0.2"/>
    <row r="29" spans="1:30" ht="17.45" customHeight="1" x14ac:dyDescent="0.2"/>
    <row r="30" spans="1:30" ht="17.45" customHeight="1" x14ac:dyDescent="0.2"/>
    <row r="31" spans="1:30" ht="17.45" customHeight="1" x14ac:dyDescent="0.2"/>
    <row r="32" spans="1:30" ht="17.45" customHeight="1" x14ac:dyDescent="0.2"/>
    <row r="33" ht="17.45" customHeight="1" x14ac:dyDescent="0.2"/>
    <row r="34" ht="17.45" customHeight="1" x14ac:dyDescent="0.2"/>
    <row r="35" ht="17.45" customHeight="1" x14ac:dyDescent="0.2"/>
    <row r="36" ht="17.45" customHeight="1" x14ac:dyDescent="0.2"/>
    <row r="37" ht="17.45" customHeight="1" x14ac:dyDescent="0.2"/>
    <row r="38" ht="17.45" customHeight="1" x14ac:dyDescent="0.2"/>
    <row r="39" ht="17.45" customHeight="1" x14ac:dyDescent="0.2"/>
    <row r="40" ht="17.45" customHeight="1" x14ac:dyDescent="0.2"/>
    <row r="41" ht="17.45" customHeight="1" x14ac:dyDescent="0.2"/>
    <row r="42" ht="17.45" customHeight="1" x14ac:dyDescent="0.2"/>
    <row r="43" ht="17.45" customHeight="1" x14ac:dyDescent="0.2"/>
    <row r="44" ht="17.45" customHeight="1" x14ac:dyDescent="0.2"/>
    <row r="45" ht="17.45" customHeight="1" x14ac:dyDescent="0.2"/>
    <row r="46" ht="17.45" customHeight="1" x14ac:dyDescent="0.2"/>
    <row r="47" ht="17.45" customHeight="1" x14ac:dyDescent="0.2"/>
    <row r="48" ht="17.45" customHeight="1" x14ac:dyDescent="0.2"/>
    <row r="49" ht="17.45" customHeight="1" x14ac:dyDescent="0.2"/>
    <row r="50" ht="17.45" customHeight="1" x14ac:dyDescent="0.2"/>
    <row r="51" ht="17.45" customHeight="1" x14ac:dyDescent="0.2"/>
    <row r="52" ht="17.45" customHeight="1" x14ac:dyDescent="0.2"/>
    <row r="53" ht="17.45" customHeight="1" x14ac:dyDescent="0.2"/>
    <row r="54" ht="17.45" customHeight="1" x14ac:dyDescent="0.2"/>
    <row r="55" ht="17.45" customHeight="1" x14ac:dyDescent="0.2"/>
    <row r="56" ht="17.45" customHeight="1" x14ac:dyDescent="0.2"/>
    <row r="57" ht="17.45" customHeight="1" x14ac:dyDescent="0.2"/>
    <row r="58" ht="17.45" customHeight="1" x14ac:dyDescent="0.2"/>
    <row r="59" ht="17.45" customHeight="1" x14ac:dyDescent="0.2"/>
    <row r="60" ht="17.45" customHeight="1" x14ac:dyDescent="0.2"/>
    <row r="61" ht="17.45" customHeight="1" x14ac:dyDescent="0.2"/>
    <row r="62" ht="17.45" customHeight="1" x14ac:dyDescent="0.2"/>
    <row r="63" ht="17.45" customHeight="1" x14ac:dyDescent="0.2"/>
    <row r="64" ht="17.45" customHeight="1" x14ac:dyDescent="0.2"/>
    <row r="65" ht="17.45" customHeight="1" x14ac:dyDescent="0.2"/>
    <row r="66" ht="17.45" customHeight="1" x14ac:dyDescent="0.2"/>
    <row r="67" ht="17.45" customHeight="1" x14ac:dyDescent="0.2"/>
    <row r="68" ht="17.45" customHeight="1" x14ac:dyDescent="0.2"/>
    <row r="69" ht="17.45" customHeight="1" x14ac:dyDescent="0.2"/>
    <row r="70" ht="17.45" customHeight="1" x14ac:dyDescent="0.2"/>
    <row r="71" ht="17.45" customHeight="1" x14ac:dyDescent="0.2"/>
    <row r="72" ht="17.45" customHeight="1" x14ac:dyDescent="0.2"/>
    <row r="73" ht="17.45" customHeight="1" x14ac:dyDescent="0.2"/>
    <row r="74" ht="17.45" customHeight="1" x14ac:dyDescent="0.2"/>
    <row r="75" ht="17.45" customHeight="1" x14ac:dyDescent="0.2"/>
    <row r="76" ht="17.45" customHeight="1" x14ac:dyDescent="0.2"/>
    <row r="77" ht="17.45" customHeight="1" x14ac:dyDescent="0.2"/>
    <row r="78" ht="17.45" customHeight="1" x14ac:dyDescent="0.2"/>
    <row r="79" ht="17.45" customHeight="1" x14ac:dyDescent="0.2"/>
    <row r="80" ht="17.45" customHeight="1" x14ac:dyDescent="0.2"/>
    <row r="81" ht="17.45" customHeight="1" x14ac:dyDescent="0.2"/>
    <row r="82" ht="17.45" customHeight="1" x14ac:dyDescent="0.2"/>
    <row r="83" ht="17.45" customHeight="1" x14ac:dyDescent="0.2"/>
    <row r="84" ht="17.45" customHeight="1" x14ac:dyDescent="0.2"/>
    <row r="85" ht="17.45" customHeight="1" x14ac:dyDescent="0.2"/>
    <row r="86" ht="17.45" customHeight="1" x14ac:dyDescent="0.2"/>
    <row r="87" ht="17.45" customHeight="1" x14ac:dyDescent="0.2"/>
    <row r="88" ht="17.45" customHeight="1" x14ac:dyDescent="0.2"/>
    <row r="89" ht="17.45" customHeight="1" x14ac:dyDescent="0.2"/>
    <row r="90" ht="17.45" customHeight="1" x14ac:dyDescent="0.2"/>
    <row r="91" ht="17.45" customHeight="1" x14ac:dyDescent="0.2"/>
    <row r="92" ht="17.45" customHeight="1" x14ac:dyDescent="0.2"/>
    <row r="93" ht="17.45" customHeight="1" x14ac:dyDescent="0.2"/>
    <row r="94" ht="17.45" customHeight="1" x14ac:dyDescent="0.2"/>
    <row r="95" ht="17.45" customHeight="1" x14ac:dyDescent="0.2"/>
    <row r="96" ht="17.45" customHeight="1" x14ac:dyDescent="0.2"/>
    <row r="97" ht="17.45" customHeight="1" x14ac:dyDescent="0.2"/>
    <row r="98" ht="17.45" customHeight="1" x14ac:dyDescent="0.2"/>
    <row r="99" ht="17.45" customHeight="1" x14ac:dyDescent="0.2"/>
    <row r="100" ht="17.45" customHeight="1" x14ac:dyDescent="0.2"/>
    <row r="101" ht="17.45" customHeight="1" x14ac:dyDescent="0.2"/>
    <row r="102" ht="17.45" customHeight="1" x14ac:dyDescent="0.2"/>
    <row r="103" ht="17.45" customHeight="1" x14ac:dyDescent="0.2"/>
    <row r="104" ht="17.45" customHeight="1" x14ac:dyDescent="0.2"/>
    <row r="105" ht="17.45" customHeight="1" x14ac:dyDescent="0.2"/>
    <row r="106" ht="17.45" customHeight="1" x14ac:dyDescent="0.2"/>
    <row r="107" ht="17.45" customHeight="1" x14ac:dyDescent="0.2"/>
    <row r="108" ht="17.45" customHeight="1" x14ac:dyDescent="0.2"/>
    <row r="109" ht="17.45" customHeight="1" x14ac:dyDescent="0.2"/>
    <row r="110" ht="17.45" customHeight="1" x14ac:dyDescent="0.2"/>
    <row r="111" ht="17.45" customHeight="1" x14ac:dyDescent="0.2"/>
    <row r="112" ht="17.45" customHeight="1" x14ac:dyDescent="0.2"/>
    <row r="113" ht="17.45" customHeight="1" x14ac:dyDescent="0.2"/>
    <row r="114" ht="17.45" customHeight="1" x14ac:dyDescent="0.2"/>
    <row r="115" ht="17.45" customHeight="1" x14ac:dyDescent="0.2"/>
    <row r="116" ht="17.45" customHeight="1" x14ac:dyDescent="0.2"/>
    <row r="117" ht="17.45" customHeight="1" x14ac:dyDescent="0.2"/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/>
  </sheetPr>
  <dimension ref="A1:BI40"/>
  <sheetViews>
    <sheetView showGridLines="0" zoomScale="85" zoomScaleNormal="85" zoomScaleSheetLayoutView="80" workbookViewId="0">
      <pane xSplit="1" ySplit="5" topLeftCell="AD6" activePane="bottomRight" state="frozen"/>
      <selection activeCell="AF6" sqref="AF6"/>
      <selection pane="topRight" activeCell="AF6" sqref="AF6"/>
      <selection pane="bottomLeft" activeCell="AF6" sqref="AF6"/>
      <selection pane="bottomRight" activeCell="AD12" sqref="AD12"/>
    </sheetView>
  </sheetViews>
  <sheetFormatPr defaultColWidth="9.33203125" defaultRowHeight="13.5" x14ac:dyDescent="0.2"/>
  <cols>
    <col min="1" max="1" width="30" style="2" customWidth="1"/>
    <col min="2" max="2" width="12.83203125" style="2" hidden="1" customWidth="1"/>
    <col min="3" max="10" width="13.5" style="2" hidden="1" customWidth="1"/>
    <col min="11" max="12" width="12.83203125" style="2" hidden="1" customWidth="1"/>
    <col min="13" max="13" width="13.83203125" style="2" hidden="1" customWidth="1"/>
    <col min="14" max="19" width="13.5" style="2" hidden="1" customWidth="1"/>
    <col min="20" max="21" width="16.1640625" style="2" hidden="1" customWidth="1"/>
    <col min="22" max="22" width="14.1640625" style="2" hidden="1" customWidth="1"/>
    <col min="23" max="26" width="14.5" style="2" hidden="1" customWidth="1"/>
    <col min="27" max="47" width="14.5" style="2" customWidth="1"/>
    <col min="48" max="54" width="8.33203125" style="2" hidden="1" customWidth="1"/>
    <col min="55" max="55" width="10" style="2" hidden="1" customWidth="1"/>
    <col min="56" max="61" width="8.33203125" style="2" hidden="1" customWidth="1"/>
    <col min="62" max="62" width="0" style="2" hidden="1" customWidth="1"/>
    <col min="63" max="16384" width="9.33203125" style="2"/>
  </cols>
  <sheetData>
    <row r="1" spans="1:61" ht="15" x14ac:dyDescent="0.2">
      <c r="A1" s="324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61" ht="15" x14ac:dyDescent="0.2">
      <c r="A2" s="1" t="s">
        <v>120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61" ht="15.75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Y3" s="78"/>
      <c r="AA3" s="55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spans="1:61" ht="17.45" customHeight="1" thickTop="1" x14ac:dyDescent="0.2">
      <c r="A4" s="961" t="s">
        <v>0</v>
      </c>
      <c r="B4" s="995">
        <v>1990</v>
      </c>
      <c r="C4" s="991">
        <v>1991</v>
      </c>
      <c r="D4" s="991">
        <v>1992</v>
      </c>
      <c r="E4" s="991">
        <v>1993</v>
      </c>
      <c r="F4" s="991">
        <v>1994</v>
      </c>
      <c r="G4" s="991">
        <v>1995</v>
      </c>
      <c r="H4" s="991">
        <v>1996</v>
      </c>
      <c r="I4" s="991">
        <v>1997</v>
      </c>
      <c r="J4" s="991">
        <v>1998</v>
      </c>
      <c r="K4" s="991">
        <v>1999</v>
      </c>
      <c r="L4" s="991">
        <v>2000</v>
      </c>
      <c r="M4" s="991">
        <v>2001</v>
      </c>
      <c r="N4" s="991">
        <v>2002</v>
      </c>
      <c r="O4" s="993">
        <v>2003</v>
      </c>
      <c r="P4" s="993">
        <v>2004</v>
      </c>
      <c r="Q4" s="993">
        <v>2005</v>
      </c>
      <c r="R4" s="993">
        <v>2006</v>
      </c>
      <c r="S4" s="993">
        <v>2007</v>
      </c>
      <c r="T4" s="991">
        <v>2008</v>
      </c>
      <c r="U4" s="991">
        <v>2009</v>
      </c>
      <c r="V4" s="991">
        <v>2010</v>
      </c>
      <c r="W4" s="997">
        <v>2011</v>
      </c>
      <c r="X4" s="997">
        <v>2012</v>
      </c>
      <c r="Y4" s="997">
        <v>2013</v>
      </c>
      <c r="Z4" s="997">
        <v>2014</v>
      </c>
      <c r="AA4" s="999">
        <v>2015</v>
      </c>
      <c r="AB4" s="999">
        <v>2016</v>
      </c>
      <c r="AC4" s="999">
        <v>2017</v>
      </c>
      <c r="AD4" s="999">
        <v>2018</v>
      </c>
      <c r="AE4" s="999">
        <v>2019</v>
      </c>
      <c r="AF4" s="999">
        <v>2020</v>
      </c>
      <c r="AG4" s="999">
        <v>2021</v>
      </c>
      <c r="AH4" s="1002">
        <v>2022</v>
      </c>
      <c r="AI4" s="999">
        <v>2023</v>
      </c>
      <c r="AJ4" s="999">
        <v>2024</v>
      </c>
      <c r="AK4" s="184"/>
      <c r="AL4" s="184"/>
      <c r="AM4" s="184"/>
      <c r="AN4" s="184"/>
      <c r="AO4" s="184"/>
      <c r="AP4" s="184"/>
      <c r="AQ4" s="184"/>
      <c r="AR4" s="184"/>
      <c r="AS4" s="184"/>
      <c r="AT4" s="184"/>
      <c r="AU4" s="184"/>
      <c r="AV4" s="1001">
        <v>2004</v>
      </c>
      <c r="AW4" s="994">
        <v>2005</v>
      </c>
      <c r="AX4" s="994">
        <v>2006</v>
      </c>
      <c r="AY4" s="994">
        <v>2007</v>
      </c>
      <c r="AZ4" s="992">
        <v>2008</v>
      </c>
      <c r="BA4" s="994">
        <v>2009</v>
      </c>
      <c r="BB4" s="992">
        <v>2010</v>
      </c>
      <c r="BC4" s="994">
        <v>2011</v>
      </c>
      <c r="BD4" s="992">
        <v>2012</v>
      </c>
      <c r="BE4" s="992">
        <v>2013</v>
      </c>
      <c r="BF4" s="994">
        <v>2014</v>
      </c>
      <c r="BG4" s="992">
        <v>2015</v>
      </c>
      <c r="BH4" s="992">
        <v>2016</v>
      </c>
      <c r="BI4" s="992">
        <v>2017</v>
      </c>
    </row>
    <row r="5" spans="1:61" ht="17.45" customHeight="1" x14ac:dyDescent="0.2">
      <c r="A5" s="990"/>
      <c r="B5" s="996"/>
      <c r="C5" s="992"/>
      <c r="D5" s="992"/>
      <c r="E5" s="992"/>
      <c r="F5" s="992"/>
      <c r="G5" s="992"/>
      <c r="H5" s="992"/>
      <c r="I5" s="992"/>
      <c r="J5" s="992"/>
      <c r="K5" s="992"/>
      <c r="L5" s="992"/>
      <c r="M5" s="992"/>
      <c r="N5" s="992"/>
      <c r="O5" s="994"/>
      <c r="P5" s="994"/>
      <c r="Q5" s="994"/>
      <c r="R5" s="994"/>
      <c r="S5" s="994"/>
      <c r="T5" s="992"/>
      <c r="U5" s="992"/>
      <c r="V5" s="992"/>
      <c r="W5" s="998"/>
      <c r="X5" s="998"/>
      <c r="Y5" s="998"/>
      <c r="Z5" s="998"/>
      <c r="AA5" s="1000"/>
      <c r="AB5" s="1000"/>
      <c r="AC5" s="1000"/>
      <c r="AD5" s="1000"/>
      <c r="AE5" s="1000"/>
      <c r="AF5" s="1000"/>
      <c r="AG5" s="1000"/>
      <c r="AH5" s="1003"/>
      <c r="AI5" s="1000"/>
      <c r="AJ5" s="1000"/>
      <c r="AK5" s="184"/>
      <c r="AL5" s="184"/>
      <c r="AM5" s="184"/>
      <c r="AN5" s="184"/>
      <c r="AO5" s="184"/>
      <c r="AP5" s="184"/>
      <c r="AQ5" s="184"/>
      <c r="AR5" s="184"/>
      <c r="AS5" s="184"/>
      <c r="AT5" s="184"/>
      <c r="AU5" s="184"/>
      <c r="AV5" s="1001"/>
      <c r="AW5" s="994"/>
      <c r="AX5" s="994"/>
      <c r="AY5" s="994"/>
      <c r="AZ5" s="992"/>
      <c r="BA5" s="994"/>
      <c r="BB5" s="992"/>
      <c r="BC5" s="994"/>
      <c r="BD5" s="992"/>
      <c r="BE5" s="992"/>
      <c r="BF5" s="994"/>
      <c r="BG5" s="992"/>
      <c r="BH5" s="992"/>
      <c r="BI5" s="992"/>
    </row>
    <row r="6" spans="1:61" ht="17.45" customHeight="1" x14ac:dyDescent="0.2">
      <c r="A6" s="185" t="s">
        <v>190</v>
      </c>
      <c r="B6" s="38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31"/>
      <c r="AI6" s="4"/>
      <c r="AJ6" s="4"/>
      <c r="AK6" s="405"/>
      <c r="AL6" s="405"/>
      <c r="AM6" s="405"/>
      <c r="AN6" s="405"/>
      <c r="AO6" s="405"/>
      <c r="AP6" s="405"/>
      <c r="AQ6" s="405"/>
      <c r="AR6" s="405"/>
      <c r="AS6" s="405"/>
      <c r="AT6" s="405"/>
      <c r="AU6" s="405"/>
      <c r="AV6" s="266" t="s">
        <v>211</v>
      </c>
      <c r="AW6" s="266"/>
      <c r="AX6" s="266"/>
    </row>
    <row r="7" spans="1:61" ht="17.45" customHeight="1" x14ac:dyDescent="0.2">
      <c r="A7" s="185"/>
      <c r="B7" s="388"/>
      <c r="C7" s="4"/>
      <c r="D7" s="4"/>
      <c r="E7" s="4"/>
      <c r="F7" s="4"/>
      <c r="G7" s="4"/>
      <c r="H7" s="4"/>
      <c r="I7" s="4"/>
      <c r="J7" s="4"/>
      <c r="K7" s="4"/>
      <c r="L7" s="5"/>
      <c r="M7" s="4"/>
      <c r="N7" s="4"/>
      <c r="O7" s="4"/>
      <c r="P7" s="893"/>
      <c r="Q7" s="893"/>
      <c r="R7" s="893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31"/>
      <c r="AI7" s="4"/>
      <c r="AJ7" s="4"/>
      <c r="AK7" s="405"/>
      <c r="AL7" s="405"/>
      <c r="AM7" s="405"/>
      <c r="AN7" s="405"/>
      <c r="AO7" s="405"/>
      <c r="AP7" s="405"/>
      <c r="AQ7" s="405"/>
      <c r="AR7" s="405"/>
      <c r="AS7" s="405"/>
      <c r="AT7" s="405"/>
      <c r="AU7" s="405"/>
    </row>
    <row r="8" spans="1:61" s="1" customFormat="1" ht="17.45" customHeight="1" x14ac:dyDescent="0.2">
      <c r="A8" s="461" t="s">
        <v>150</v>
      </c>
      <c r="B8" s="514">
        <v>32304.3</v>
      </c>
      <c r="C8" s="894">
        <f t="shared" ref="C8:Q8" si="0">B14</f>
        <v>34013.5</v>
      </c>
      <c r="D8" s="894">
        <f t="shared" si="0"/>
        <v>35879.599999999999</v>
      </c>
      <c r="E8" s="894">
        <f t="shared" si="0"/>
        <v>37930.399999999994</v>
      </c>
      <c r="F8" s="894">
        <f t="shared" si="0"/>
        <v>39907.9</v>
      </c>
      <c r="G8" s="894">
        <f t="shared" si="0"/>
        <v>42030</v>
      </c>
      <c r="H8" s="894">
        <f t="shared" si="0"/>
        <v>44303.5</v>
      </c>
      <c r="I8" s="894">
        <f t="shared" si="0"/>
        <v>48155.34</v>
      </c>
      <c r="J8" s="894">
        <f t="shared" si="0"/>
        <v>51768.634999999995</v>
      </c>
      <c r="K8" s="894">
        <f t="shared" si="0"/>
        <v>55203.612000000001</v>
      </c>
      <c r="L8" s="894">
        <f t="shared" si="0"/>
        <v>58459.023420438789</v>
      </c>
      <c r="M8" s="894">
        <f t="shared" si="0"/>
        <v>61941.598373199558</v>
      </c>
      <c r="N8" s="894">
        <f t="shared" si="0"/>
        <v>65429.513492385609</v>
      </c>
      <c r="O8" s="894">
        <f t="shared" si="0"/>
        <v>68732.767958093405</v>
      </c>
      <c r="P8" s="894">
        <f t="shared" si="0"/>
        <v>72395.481958093413</v>
      </c>
      <c r="Q8" s="894">
        <f t="shared" si="0"/>
        <v>75985.301261093424</v>
      </c>
      <c r="R8" s="894">
        <f>Q14</f>
        <v>79888.832591593411</v>
      </c>
      <c r="S8" s="894">
        <f t="shared" ref="S8:T8" si="1">R14</f>
        <v>83793.886475932464</v>
      </c>
      <c r="T8" s="894">
        <f t="shared" si="1"/>
        <v>87707.888944026345</v>
      </c>
      <c r="U8" s="894">
        <f t="shared" ref="U8:Y8" si="2">T14</f>
        <v>91665.246316273682</v>
      </c>
      <c r="V8" s="895">
        <f t="shared" si="2"/>
        <v>95691.986642409494</v>
      </c>
      <c r="W8" s="896">
        <f t="shared" si="2"/>
        <v>99600.194186129389</v>
      </c>
      <c r="X8" s="896">
        <f t="shared" si="2"/>
        <v>102983.39856506565</v>
      </c>
      <c r="Y8" s="896">
        <f t="shared" si="2"/>
        <v>104859.16713362318</v>
      </c>
      <c r="Z8" s="784">
        <f t="shared" ref="Z8:AG8" si="3">Y14</f>
        <v>108505.10470291121</v>
      </c>
      <c r="AA8" s="784">
        <f t="shared" si="3"/>
        <v>111792.48978283821</v>
      </c>
      <c r="AB8" s="784">
        <f t="shared" si="3"/>
        <v>114986.68124014021</v>
      </c>
      <c r="AC8" s="784">
        <f t="shared" si="3"/>
        <v>118190.3576374305</v>
      </c>
      <c r="AD8" s="784">
        <f t="shared" si="3"/>
        <v>121139.98550536523</v>
      </c>
      <c r="AE8" s="784">
        <f t="shared" si="3"/>
        <v>123897.5692537752</v>
      </c>
      <c r="AF8" s="784">
        <f t="shared" si="3"/>
        <v>126767.71023253571</v>
      </c>
      <c r="AG8" s="784">
        <f t="shared" si="3"/>
        <v>131032.59947551886</v>
      </c>
      <c r="AH8" s="905">
        <f>AG14</f>
        <v>135652.4957569821</v>
      </c>
      <c r="AI8" s="784">
        <f>AH14</f>
        <v>140197.75208115921</v>
      </c>
      <c r="AJ8" s="784">
        <f>AI14</f>
        <v>143946.6589308776</v>
      </c>
      <c r="AK8" s="881"/>
      <c r="AL8" s="881"/>
      <c r="AM8" s="881"/>
      <c r="AN8" s="881"/>
      <c r="AO8" s="881"/>
      <c r="AP8" s="881"/>
      <c r="AQ8" s="881"/>
      <c r="AR8" s="881"/>
      <c r="AS8" s="881"/>
      <c r="AT8" s="881"/>
      <c r="AU8" s="881"/>
      <c r="AV8" s="912">
        <f t="shared" ref="AV8:BB8" si="4">P8/O8*100-100</f>
        <v>5.3289196824332237</v>
      </c>
      <c r="AW8" s="675">
        <f t="shared" si="4"/>
        <v>4.9586233918271319</v>
      </c>
      <c r="AX8" s="675">
        <f t="shared" si="4"/>
        <v>5.1372189959306098</v>
      </c>
      <c r="AY8" s="675">
        <f t="shared" si="4"/>
        <v>4.8881098367057376</v>
      </c>
      <c r="AZ8" s="675">
        <f t="shared" si="4"/>
        <v>4.6709881027156683</v>
      </c>
      <c r="BA8" s="675">
        <f t="shared" si="4"/>
        <v>4.511974258977844</v>
      </c>
      <c r="BB8" s="675">
        <f t="shared" si="4"/>
        <v>4.3928756949414662</v>
      </c>
      <c r="BC8" s="675">
        <f t="shared" ref="BC8" si="5">W8/V8*100-100</f>
        <v>4.0841534185348678</v>
      </c>
      <c r="BD8" s="675">
        <f t="shared" ref="BD8:BG14" si="6">X8/W8*100-100</f>
        <v>3.3967849225412721</v>
      </c>
      <c r="BE8" s="675">
        <f t="shared" si="6"/>
        <v>1.8214281085046906</v>
      </c>
      <c r="BF8" s="675">
        <f t="shared" si="6"/>
        <v>3.4769850542890168</v>
      </c>
      <c r="BG8" s="675">
        <f t="shared" si="6"/>
        <v>3.0297054584924155</v>
      </c>
      <c r="BH8" s="675">
        <f>AB8/AA8*100-100</f>
        <v>2.8572504857051371</v>
      </c>
      <c r="BI8" s="675">
        <f>AC8/AB8*100-100</f>
        <v>2.786128239147672</v>
      </c>
    </row>
    <row r="9" spans="1:61" s="1" customFormat="1" ht="17.45" customHeight="1" x14ac:dyDescent="0.2">
      <c r="A9" s="461" t="s">
        <v>141</v>
      </c>
      <c r="B9" s="514">
        <v>2580.4</v>
      </c>
      <c r="C9" s="61">
        <v>2716.5</v>
      </c>
      <c r="D9" s="61">
        <v>2865.5</v>
      </c>
      <c r="E9" s="61">
        <v>3029.3</v>
      </c>
      <c r="F9" s="61">
        <v>3187.2</v>
      </c>
      <c r="G9" s="61">
        <v>3356.7</v>
      </c>
      <c r="H9" s="61">
        <v>4882.7299999999996</v>
      </c>
      <c r="I9" s="61">
        <v>4650.13</v>
      </c>
      <c r="J9" s="61">
        <v>4716.25</v>
      </c>
      <c r="K9" s="897">
        <v>4547.806505999999</v>
      </c>
      <c r="L9" s="897">
        <v>4692.4007999999994</v>
      </c>
      <c r="M9" s="897">
        <v>4660.8759949999994</v>
      </c>
      <c r="N9" s="897">
        <v>4510.2537459999994</v>
      </c>
      <c r="O9" s="897">
        <v>4619.3609999999999</v>
      </c>
      <c r="P9" s="897">
        <v>4643.6453029999993</v>
      </c>
      <c r="Q9" s="897">
        <v>4727.4684610000004</v>
      </c>
      <c r="R9" s="897">
        <v>4732.2947809999996</v>
      </c>
      <c r="S9" s="897">
        <v>4727.4301910000004</v>
      </c>
      <c r="T9" s="894">
        <v>4732.2961999999998</v>
      </c>
      <c r="U9" s="894">
        <f>'Data Penunjang'!Y37/'Data Penunjang'!X37*T9*1.005</f>
        <v>4755.957680999999</v>
      </c>
      <c r="V9" s="895">
        <f>'Data Penunjang'!Z37/'Data Penunjang'!Y37*U9*1.005</f>
        <v>4779.7360361795236</v>
      </c>
      <c r="W9" s="895">
        <f>'Data Penunjang'!AA37/'Data Penunjang'!Z37*V9*1.005</f>
        <v>4803.6347163604205</v>
      </c>
      <c r="X9" s="895">
        <f>'Data Penunjang'!AB37/'Data Penunjang'!AA37*W9*1.005</f>
        <v>4827.6543375357833</v>
      </c>
      <c r="Y9" s="898">
        <f>'Data Penunjang'!AC37/'Data Penunjang'!AB37*X9*1.005</f>
        <v>5459.4625128067619</v>
      </c>
      <c r="Z9" s="785">
        <f>'Data Penunjang'!AD37/'Data Penunjang'!AC37*Y9*1.005</f>
        <v>4764.8739420437423</v>
      </c>
      <c r="AA9" s="785">
        <f>'Data Penunjang'!AE37/'Data Penunjang'!AD37*Z9*1.005</f>
        <v>4794.9495453205682</v>
      </c>
      <c r="AB9" s="785">
        <f>'Data Penunjang'!AF37/'Data Penunjang'!AE37*AA9*1.005</f>
        <v>4335.8831969177199</v>
      </c>
      <c r="AC9" s="785">
        <f>'Data Penunjang'!AG37/'Data Penunjang'!AF37*AB9*1.005</f>
        <v>4331.5373147941646</v>
      </c>
      <c r="AD9" s="785">
        <f>'Data Penunjang'!AH37/'Data Penunjang'!AG37*AC9*1.005</f>
        <v>4306.2241738838129</v>
      </c>
      <c r="AE9" s="785">
        <f>'Data Penunjang'!AI37/'Data Penunjang'!AH37*AD9*1.005</f>
        <v>4330.2309583871665</v>
      </c>
      <c r="AF9" s="785">
        <f>'Data Penunjang'!AJ37/'Data Penunjang'!AI37*AE9*1.005</f>
        <v>5581.2446417010306</v>
      </c>
      <c r="AG9" s="785">
        <f>'Data Penunjang'!AK37/'Data Penunjang'!AJ37*AF9*1.005</f>
        <v>5609.1549941461326</v>
      </c>
      <c r="AH9" s="906">
        <f>'Data Penunjang'!AL37/'Data Penunjang'!AK37*AG9*1.005</f>
        <v>5674.1047083784279</v>
      </c>
      <c r="AI9" s="785">
        <f>'Data Penunjang'!AM37/'Data Penunjang'!AL37*AH9*1.005</f>
        <v>5071.3775316119873</v>
      </c>
      <c r="AJ9" s="785">
        <f>'Data Penunjang'!AN37/'Data Penunjang'!AM37*AI9*1.005</f>
        <v>5096.7530480938485</v>
      </c>
      <c r="AK9" s="881"/>
      <c r="AL9" s="881"/>
      <c r="AM9" s="881"/>
      <c r="AN9" s="881"/>
      <c r="AO9" s="881"/>
      <c r="AP9" s="881"/>
      <c r="AQ9" s="881"/>
      <c r="AR9" s="881"/>
      <c r="AS9" s="881"/>
      <c r="AT9" s="881"/>
      <c r="AU9" s="881"/>
      <c r="AV9" s="912">
        <f t="shared" ref="AV9:AV14" si="7">P9/O9*100-100</f>
        <v>0.52570697548858902</v>
      </c>
      <c r="AW9" s="675">
        <f t="shared" ref="AW9:AW14" si="8">Q9/P9*100-100</f>
        <v>1.8051154326073942</v>
      </c>
      <c r="AX9" s="675">
        <f t="shared" ref="AX9:AX14" si="9">R9/Q9*100-100</f>
        <v>0.10209100366959944</v>
      </c>
      <c r="AY9" s="675">
        <f t="shared" ref="AY9:AY14" si="10">S9/R9*100-100</f>
        <v>-0.1027955828011784</v>
      </c>
      <c r="AZ9" s="675">
        <f t="shared" ref="AZ9:BA14" si="11">T9/S9*100-100</f>
        <v>0.10293137716266187</v>
      </c>
      <c r="BA9" s="675">
        <f t="shared" si="11"/>
        <v>0.49999999999998579</v>
      </c>
      <c r="BB9" s="675">
        <f t="shared" ref="BB9:BB14" si="12">V9/U9*100-100</f>
        <v>0.49996986462934956</v>
      </c>
      <c r="BC9" s="675">
        <f t="shared" ref="BC9:BC14" si="13">W9/V9*100-100</f>
        <v>0.49999999999998579</v>
      </c>
      <c r="BD9" s="675">
        <f t="shared" si="6"/>
        <v>0.50003013537968855</v>
      </c>
      <c r="BE9" s="675">
        <f t="shared" si="6"/>
        <v>13.087270361479057</v>
      </c>
      <c r="BF9" s="675">
        <f t="shared" si="6"/>
        <v>-12.722654824236983</v>
      </c>
      <c r="BG9" s="675">
        <f t="shared" si="6"/>
        <v>0.63119410172529911</v>
      </c>
      <c r="BH9" s="675">
        <f t="shared" ref="BH9:BI14" si="14">AB9/AA9*100-100</f>
        <v>-9.5739557645784856</v>
      </c>
      <c r="BI9" s="675">
        <f t="shared" si="14"/>
        <v>-0.10023060876373791</v>
      </c>
    </row>
    <row r="10" spans="1:61" s="1" customFormat="1" ht="17.45" customHeight="1" x14ac:dyDescent="0.2">
      <c r="A10" s="461" t="s">
        <v>142</v>
      </c>
      <c r="B10" s="514">
        <v>18.8</v>
      </c>
      <c r="C10" s="61">
        <v>21.5</v>
      </c>
      <c r="D10" s="61">
        <v>17.600000000000001</v>
      </c>
      <c r="E10" s="61">
        <v>16.3</v>
      </c>
      <c r="F10" s="61">
        <v>16.5</v>
      </c>
      <c r="G10" s="61">
        <v>19.899999999999999</v>
      </c>
      <c r="H10" s="61">
        <v>10.5</v>
      </c>
      <c r="I10" s="61">
        <v>15.89</v>
      </c>
      <c r="J10" s="61">
        <v>14.43</v>
      </c>
      <c r="K10" s="897">
        <v>31.780999999999999</v>
      </c>
      <c r="L10" s="897">
        <v>44.16</v>
      </c>
      <c r="M10" s="897">
        <v>46.587000000000003</v>
      </c>
      <c r="N10" s="897">
        <v>44.869</v>
      </c>
      <c r="O10" s="897">
        <v>40.9</v>
      </c>
      <c r="P10" s="897">
        <v>37.619</v>
      </c>
      <c r="Q10" s="897">
        <v>42.096400000000003</v>
      </c>
      <c r="R10" s="897">
        <v>41.622</v>
      </c>
      <c r="S10" s="897">
        <v>62.604999999999997</v>
      </c>
      <c r="T10" s="894">
        <v>32.015999999999998</v>
      </c>
      <c r="U10" s="894">
        <f>'Data Penunjang'!Y48/'Data Penunjang'!X48*T10</f>
        <v>19.149999999999999</v>
      </c>
      <c r="V10" s="895">
        <f>'Data Penunjang'!Z48/'Data Penunjang'!Y48*U10</f>
        <v>19.324000000000002</v>
      </c>
      <c r="W10" s="895">
        <f>'Data Penunjang'!AA48/'Data Penunjang'!Z48*V10</f>
        <v>29.868000000000002</v>
      </c>
      <c r="X10" s="895">
        <f>'Data Penunjang'!AB48/'Data Penunjang'!AA48*W10</f>
        <v>24.529</v>
      </c>
      <c r="Y10" s="895">
        <f>'Data Penunjang'!AC48/'Data Penunjang'!AB48*X10</f>
        <v>16.232750000000003</v>
      </c>
      <c r="Z10" s="786">
        <f>'Data Penunjang'!AD48/'Data Penunjang'!AC48*Y10</f>
        <v>23.340000000000007</v>
      </c>
      <c r="AA10" s="786">
        <f>'Data Penunjang'!AE48/'Data Penunjang'!AD48*Z10</f>
        <v>20.328370000000003</v>
      </c>
      <c r="AB10" s="786">
        <f>'Data Penunjang'!AF48/'Data Penunjang'!AE48*AA10</f>
        <v>4.4800000000000013</v>
      </c>
      <c r="AC10" s="786">
        <f>'Data Penunjang'!AG48/'Data Penunjang'!AF48*AB10</f>
        <v>7.2613600000000034</v>
      </c>
      <c r="AD10" s="786">
        <f>'Data Penunjang'!AH48/'Data Penunjang'!AG48*AC10</f>
        <v>15.307000000000006</v>
      </c>
      <c r="AE10" s="786">
        <f>'Data Penunjang'!AI48/'Data Penunjang'!AH48*AD10</f>
        <v>17.870000000000008</v>
      </c>
      <c r="AF10" s="786">
        <f>'Data Penunjang'!AJ48/'Data Penunjang'!AI48*AE10</f>
        <v>16.851000000000006</v>
      </c>
      <c r="AG10" s="786">
        <f>'Data Penunjang'!AK48/'Data Penunjang'!AJ48*AF10</f>
        <v>21.844000000000008</v>
      </c>
      <c r="AH10" s="907">
        <f>'Data Penunjang'!AL48/'Data Penunjang'!AK48*AG10</f>
        <v>13.021000000000006</v>
      </c>
      <c r="AI10" s="786">
        <f>'Data Penunjang'!AM48/'Data Penunjang'!AL48*AH10</f>
        <v>16.859000000000009</v>
      </c>
      <c r="AJ10" s="786">
        <f>'Data Penunjang'!AN48/'Data Penunjang'!AM48*AI10</f>
        <v>14.076000000000008</v>
      </c>
      <c r="AK10" s="881"/>
      <c r="AL10" s="881"/>
      <c r="AM10" s="881"/>
      <c r="AN10" s="881"/>
      <c r="AO10" s="881"/>
      <c r="AP10" s="881"/>
      <c r="AQ10" s="881"/>
      <c r="AR10" s="881"/>
      <c r="AS10" s="881"/>
      <c r="AT10" s="881"/>
      <c r="AU10" s="881"/>
      <c r="AV10" s="912">
        <f t="shared" si="7"/>
        <v>-8.0220048899755483</v>
      </c>
      <c r="AW10" s="675">
        <f t="shared" si="8"/>
        <v>11.901964432866379</v>
      </c>
      <c r="AX10" s="675">
        <f t="shared" si="9"/>
        <v>-1.1269372202848729</v>
      </c>
      <c r="AY10" s="675">
        <f t="shared" si="10"/>
        <v>50.413242996492244</v>
      </c>
      <c r="AZ10" s="675">
        <f t="shared" si="11"/>
        <v>-48.860314671352135</v>
      </c>
      <c r="BA10" s="675">
        <f t="shared" si="11"/>
        <v>-40.186156921539229</v>
      </c>
      <c r="BB10" s="675">
        <f t="shared" si="12"/>
        <v>0.90861618798956556</v>
      </c>
      <c r="BC10" s="675">
        <f t="shared" si="13"/>
        <v>54.56427240736906</v>
      </c>
      <c r="BD10" s="675">
        <f t="shared" si="6"/>
        <v>-17.87531806615776</v>
      </c>
      <c r="BE10" s="675">
        <f t="shared" si="6"/>
        <v>-33.822210444779628</v>
      </c>
      <c r="BF10" s="675">
        <f t="shared" si="6"/>
        <v>43.783400840892654</v>
      </c>
      <c r="BG10" s="675">
        <f t="shared" si="6"/>
        <v>-12.90329905741217</v>
      </c>
      <c r="BH10" s="675">
        <f t="shared" si="14"/>
        <v>-77.961833634472413</v>
      </c>
      <c r="BI10" s="675">
        <f t="shared" si="14"/>
        <v>62.083928571428601</v>
      </c>
    </row>
    <row r="11" spans="1:61" s="1" customFormat="1" ht="17.45" customHeight="1" x14ac:dyDescent="0.2">
      <c r="A11" s="461" t="s">
        <v>149</v>
      </c>
      <c r="B11" s="514">
        <v>112.7</v>
      </c>
      <c r="C11" s="61">
        <v>114.3</v>
      </c>
      <c r="D11" s="61">
        <v>151.5</v>
      </c>
      <c r="E11" s="61">
        <v>234</v>
      </c>
      <c r="F11" s="61">
        <v>207.6</v>
      </c>
      <c r="G11" s="61">
        <v>206.4</v>
      </c>
      <c r="H11" s="61">
        <v>208.87</v>
      </c>
      <c r="I11" s="61">
        <v>187.61</v>
      </c>
      <c r="J11" s="61">
        <v>534.95000000000005</v>
      </c>
      <c r="K11" s="897">
        <v>558.43808556121508</v>
      </c>
      <c r="L11" s="899">
        <v>559.74384723923401</v>
      </c>
      <c r="M11" s="899">
        <v>564.6088758139482</v>
      </c>
      <c r="N11" s="899">
        <v>583.46428029221727</v>
      </c>
      <c r="O11" s="899">
        <v>569.70000000000005</v>
      </c>
      <c r="P11" s="899">
        <v>566.70000000000005</v>
      </c>
      <c r="Q11" s="899">
        <v>504.88153050000005</v>
      </c>
      <c r="R11" s="899">
        <v>377.60089666095001</v>
      </c>
      <c r="S11" s="899">
        <v>354.96372290612607</v>
      </c>
      <c r="T11" s="894">
        <v>329.24482775265534</v>
      </c>
      <c r="U11" s="894">
        <f>'Rimba Jawa'!AP31/'Rimba Jawa'!AO31*T11</f>
        <v>293.16735486418986</v>
      </c>
      <c r="V11" s="895">
        <f>'Rimba Jawa'!AQ31/'Rimba Jawa'!AP31*U11</f>
        <v>440.82049245961599</v>
      </c>
      <c r="W11" s="895">
        <f>'Rimba Jawa'!AR31/'Rimba Jawa'!AQ31*V11</f>
        <v>1014.8983374241651</v>
      </c>
      <c r="X11" s="895">
        <f>'Rimba Jawa'!AS31/'Rimba Jawa'!AR31*W11</f>
        <v>2572.9827689782574</v>
      </c>
      <c r="Y11" s="895">
        <f>'Rimba Jawa'!AT31/'Rimba Jawa'!AS31*X11</f>
        <v>1398.2410957587331</v>
      </c>
      <c r="Z11" s="786">
        <f>'Rimba Jawa'!AU31/'Rimba Jawa'!AT31*Y11</f>
        <v>1044.833586116742</v>
      </c>
      <c r="AA11" s="787">
        <f>'Rimba Jawa'!AV31/'Rimba Jawa'!AU31*Z11</f>
        <v>1228.429944018573</v>
      </c>
      <c r="AB11" s="787">
        <f>'Data Penunjang'!AF70/'Data Penunjang'!AE70*AA11</f>
        <v>886.04879962743803</v>
      </c>
      <c r="AC11" s="787">
        <f>'Data Penunjang'!AG70/'Data Penunjang'!AF70*AB11</f>
        <v>1082.9537308594238</v>
      </c>
      <c r="AD11" s="787">
        <f>'Data Penunjang'!AH70/'Data Penunjang'!AG70*AC11</f>
        <v>1163.8354254738299</v>
      </c>
      <c r="AE11" s="787">
        <f>'Data Penunjang'!AI70/'Data Penunjang'!AH70*AD11</f>
        <v>1071.8839796266564</v>
      </c>
      <c r="AF11" s="787">
        <f>'Data Penunjang'!AJ70/'Data Penunjang'!AI70*AE11</f>
        <v>900.38909871789383</v>
      </c>
      <c r="AG11" s="787">
        <f>'Data Penunjang'!AK70/'Data Penunjang'!AJ70*AF11</f>
        <v>516.34271268289945</v>
      </c>
      <c r="AH11" s="908">
        <f>'Data Penunjang'!AL70/'Data Penunjang'!AK70*AG11</f>
        <v>641.39338420134573</v>
      </c>
      <c r="AI11" s="787">
        <f>'Data Penunjang'!AM70/'Data Penunjang'!AL70*AH11</f>
        <v>876.37468189361539</v>
      </c>
      <c r="AJ11" s="787">
        <f>'Data Penunjang'!AN70/'Data Penunjang'!AM70*AI11</f>
        <v>686.75276015302222</v>
      </c>
      <c r="AK11" s="881"/>
      <c r="AL11" s="881"/>
      <c r="AM11" s="881"/>
      <c r="AN11" s="881"/>
      <c r="AO11" s="881"/>
      <c r="AP11" s="881"/>
      <c r="AQ11" s="881"/>
      <c r="AR11" s="881"/>
      <c r="AS11" s="881"/>
      <c r="AT11" s="881"/>
      <c r="AU11" s="881"/>
      <c r="AV11" s="912">
        <f t="shared" si="7"/>
        <v>-0.52659294365456333</v>
      </c>
      <c r="AW11" s="675">
        <f t="shared" si="8"/>
        <v>-10.908500000000004</v>
      </c>
      <c r="AX11" s="675">
        <f t="shared" si="9"/>
        <v>-25.210000000000008</v>
      </c>
      <c r="AY11" s="675">
        <f t="shared" si="10"/>
        <v>-5.9949999999999903</v>
      </c>
      <c r="AZ11" s="675">
        <f t="shared" si="11"/>
        <v>-7.2454996084972692</v>
      </c>
      <c r="BA11" s="675">
        <f t="shared" si="11"/>
        <v>-10.957643020460324</v>
      </c>
      <c r="BB11" s="675">
        <f t="shared" si="12"/>
        <v>50.364795106135404</v>
      </c>
      <c r="BC11" s="675">
        <f t="shared" si="13"/>
        <v>130.22939150614485</v>
      </c>
      <c r="BD11" s="675">
        <f t="shared" si="6"/>
        <v>153.52123203872279</v>
      </c>
      <c r="BE11" s="675">
        <f t="shared" si="6"/>
        <v>-45.656802967476509</v>
      </c>
      <c r="BF11" s="675">
        <f t="shared" si="6"/>
        <v>-25.27514823544935</v>
      </c>
      <c r="BG11" s="675">
        <f t="shared" si="6"/>
        <v>17.571827738060207</v>
      </c>
      <c r="BH11" s="675">
        <f t="shared" si="14"/>
        <v>-27.871442409739771</v>
      </c>
      <c r="BI11" s="675">
        <f t="shared" si="14"/>
        <v>22.222808869531747</v>
      </c>
    </row>
    <row r="12" spans="1:61" s="1" customFormat="1" ht="17.45" customHeight="1" x14ac:dyDescent="0.2">
      <c r="A12" s="461" t="s">
        <v>143</v>
      </c>
      <c r="B12" s="514">
        <v>777.3</v>
      </c>
      <c r="C12" s="61">
        <v>757.6</v>
      </c>
      <c r="D12" s="61">
        <v>680.8</v>
      </c>
      <c r="E12" s="61">
        <v>834.1</v>
      </c>
      <c r="F12" s="61">
        <v>874</v>
      </c>
      <c r="G12" s="61">
        <v>896.7</v>
      </c>
      <c r="H12" s="61">
        <v>832.52</v>
      </c>
      <c r="I12" s="900">
        <f>'Data Penunjang'!M51</f>
        <v>865.11500000000001</v>
      </c>
      <c r="J12" s="900">
        <f>'Data Penunjang'!N51</f>
        <v>760.75300000000004</v>
      </c>
      <c r="K12" s="900">
        <f>'Data Penunjang'!O51</f>
        <v>765.73800000000006</v>
      </c>
      <c r="L12" s="900">
        <f>'Data Penunjang'!P51</f>
        <v>694.24199999999996</v>
      </c>
      <c r="M12" s="900">
        <f>'Data Penunjang'!Q51</f>
        <v>654.93899999999996</v>
      </c>
      <c r="N12" s="900">
        <f>'Data Penunjang'!R51</f>
        <v>668.404</v>
      </c>
      <c r="O12" s="900">
        <f>'Data Penunjang'!S51</f>
        <v>427.84699999999998</v>
      </c>
      <c r="P12" s="900">
        <f>'Data Penunjang'!T51</f>
        <v>524.745</v>
      </c>
      <c r="Q12" s="900">
        <f>'Data Penunjang'!U51</f>
        <v>361.15199999999999</v>
      </c>
      <c r="R12" s="900">
        <f>'Data Penunjang'!V51</f>
        <v>491.262</v>
      </c>
      <c r="S12" s="900">
        <f>'Data Penunjang'!W51</f>
        <v>521.06899999999996</v>
      </c>
      <c r="T12" s="900">
        <f>'Data Penunjang'!X51</f>
        <v>477.71</v>
      </c>
      <c r="U12" s="900">
        <f>'Data Penunjang'!Y51</f>
        <v>455.2</v>
      </c>
      <c r="V12" s="901">
        <f>'Data Penunjang'!Z51</f>
        <v>450.03199999999998</v>
      </c>
      <c r="W12" s="901">
        <f>'Data Penunjang'!AA51</f>
        <v>435.4</v>
      </c>
      <c r="X12" s="901">
        <f>'Data Penunjang'!AB51</f>
        <v>403.43200000000002</v>
      </c>
      <c r="Y12" s="901">
        <f>'Data Penunjang'!AC51</f>
        <v>431.51659775999997</v>
      </c>
      <c r="Z12" s="788">
        <f>'Data Penunjang'!AD51</f>
        <v>455.99527599999999</v>
      </c>
      <c r="AA12" s="788">
        <f>'Data Penunjang'!AE51</f>
        <v>392.65651400000002</v>
      </c>
      <c r="AB12" s="788">
        <f>'Data Penunjang'!AF51</f>
        <v>250.63800000000001</v>
      </c>
      <c r="AC12" s="788">
        <f>'Data Penunjang'!AG51</f>
        <v>306.21707600000002</v>
      </c>
      <c r="AD12" s="788">
        <f>'Data Penunjang'!AH51</f>
        <v>400.11200000000002</v>
      </c>
      <c r="AE12" s="788">
        <f>'Data Penunjang'!AI51</f>
        <v>406.07600000000002</v>
      </c>
      <c r="AF12" s="788">
        <f>'Data Penunjang'!AJ51</f>
        <v>432.81729999999999</v>
      </c>
      <c r="AG12" s="788">
        <f>'Data Penunjang'!AK51</f>
        <v>494.76</v>
      </c>
      <c r="AH12" s="909">
        <f>'Data Penunjang'!AL51</f>
        <v>500.476</v>
      </c>
      <c r="AI12" s="788">
        <f>'Data Penunjang'!AM51</f>
        <v>462.95499999999998</v>
      </c>
      <c r="AJ12" s="788">
        <f>'Data Penunjang'!AN51</f>
        <v>395.50799999999998</v>
      </c>
      <c r="AK12" s="914"/>
      <c r="AL12" s="914"/>
      <c r="AM12" s="914"/>
      <c r="AN12" s="914"/>
      <c r="AO12" s="914"/>
      <c r="AP12" s="914"/>
      <c r="AQ12" s="914"/>
      <c r="AR12" s="914"/>
      <c r="AS12" s="914"/>
      <c r="AT12" s="914"/>
      <c r="AU12" s="914"/>
      <c r="AV12" s="912">
        <f t="shared" si="7"/>
        <v>22.647815691123242</v>
      </c>
      <c r="AW12" s="675">
        <f t="shared" si="8"/>
        <v>-31.175713918188848</v>
      </c>
      <c r="AX12" s="675">
        <f t="shared" si="9"/>
        <v>36.026382243487518</v>
      </c>
      <c r="AY12" s="675">
        <f t="shared" si="10"/>
        <v>6.0674344850609145</v>
      </c>
      <c r="AZ12" s="675">
        <f t="shared" si="11"/>
        <v>-8.3211628402380455</v>
      </c>
      <c r="BA12" s="675">
        <f t="shared" si="11"/>
        <v>-4.7120638044001595</v>
      </c>
      <c r="BB12" s="675">
        <f t="shared" si="12"/>
        <v>-1.1353251318101911</v>
      </c>
      <c r="BC12" s="675">
        <f t="shared" si="13"/>
        <v>-3.251324350268419</v>
      </c>
      <c r="BD12" s="675">
        <f t="shared" si="6"/>
        <v>-7.3422140560404188</v>
      </c>
      <c r="BE12" s="675">
        <f t="shared" si="6"/>
        <v>6.9614204525174017</v>
      </c>
      <c r="BF12" s="675">
        <f t="shared" si="6"/>
        <v>5.6727083887546144</v>
      </c>
      <c r="BG12" s="675">
        <f t="shared" si="6"/>
        <v>-13.89022328380436</v>
      </c>
      <c r="BH12" s="675">
        <f t="shared" si="14"/>
        <v>-36.168638221038151</v>
      </c>
      <c r="BI12" s="675">
        <f t="shared" si="14"/>
        <v>22.175039698688948</v>
      </c>
    </row>
    <row r="13" spans="1:61" ht="17.45" customHeight="1" x14ac:dyDescent="0.2">
      <c r="A13" s="185" t="s">
        <v>144</v>
      </c>
      <c r="B13" s="959">
        <f t="shared" ref="B13:C13" si="15">B14-B8</f>
        <v>1709.2000000000007</v>
      </c>
      <c r="C13" s="8">
        <f t="shared" si="15"/>
        <v>1866.0999999999985</v>
      </c>
      <c r="D13" s="8">
        <f t="shared" ref="D13" si="16">D14-D8</f>
        <v>2050.7999999999956</v>
      </c>
      <c r="E13" s="8">
        <f t="shared" ref="E13:F13" si="17">E14-E8</f>
        <v>1977.5000000000073</v>
      </c>
      <c r="F13" s="8">
        <f t="shared" si="17"/>
        <v>2122.0999999999985</v>
      </c>
      <c r="G13" s="8">
        <f t="shared" ref="G13" si="18">G14-G8</f>
        <v>2273.5</v>
      </c>
      <c r="H13" s="8">
        <f t="shared" ref="H13:I13" si="19">H14-H8</f>
        <v>3851.8399999999965</v>
      </c>
      <c r="I13" s="8">
        <f t="shared" si="19"/>
        <v>3613.2949999999983</v>
      </c>
      <c r="J13" s="8">
        <f t="shared" ref="J13" si="20">J14-J8</f>
        <v>3434.9770000000062</v>
      </c>
      <c r="K13" s="8">
        <f t="shared" ref="K13:L13" si="21">K14-K8</f>
        <v>3255.4114204387879</v>
      </c>
      <c r="L13" s="8">
        <f t="shared" si="21"/>
        <v>3482.5749527607695</v>
      </c>
      <c r="M13" s="8">
        <f t="shared" ref="M13" si="22">M14-M8</f>
        <v>3487.915119186051</v>
      </c>
      <c r="N13" s="8">
        <f t="shared" ref="N13:O13" si="23">N14-N8</f>
        <v>3303.254465707796</v>
      </c>
      <c r="O13" s="8">
        <f t="shared" si="23"/>
        <v>3662.7140000000072</v>
      </c>
      <c r="P13" s="8">
        <f t="shared" ref="P13" si="24">P14-P8</f>
        <v>3589.8193030000111</v>
      </c>
      <c r="Q13" s="8">
        <f t="shared" ref="Q13:R13" si="25">Q14-Q8</f>
        <v>3903.5313304999872</v>
      </c>
      <c r="R13" s="8">
        <f t="shared" si="25"/>
        <v>3905.0538843390532</v>
      </c>
      <c r="S13" s="8">
        <f t="shared" ref="S13:T13" si="26">S14-S8</f>
        <v>3914.0024680938805</v>
      </c>
      <c r="T13" s="8">
        <f t="shared" si="26"/>
        <v>3957.3573722473375</v>
      </c>
      <c r="U13" s="8">
        <f t="shared" ref="U13:AA13" si="27">U14-U8</f>
        <v>4026.7403261358122</v>
      </c>
      <c r="V13" s="315">
        <f t="shared" si="27"/>
        <v>3908.2075437198946</v>
      </c>
      <c r="W13" s="315">
        <f t="shared" si="27"/>
        <v>3383.2043789362651</v>
      </c>
      <c r="X13" s="315">
        <f t="shared" si="27"/>
        <v>1875.768568557527</v>
      </c>
      <c r="Y13" s="315">
        <f t="shared" si="27"/>
        <v>3645.9375692880276</v>
      </c>
      <c r="Z13" s="568">
        <f t="shared" si="27"/>
        <v>3287.3850799270003</v>
      </c>
      <c r="AA13" s="568">
        <f t="shared" si="27"/>
        <v>3194.191457302004</v>
      </c>
      <c r="AB13" s="568">
        <f>AB14-AB8</f>
        <v>3203.6763972902845</v>
      </c>
      <c r="AC13" s="568">
        <f t="shared" ref="AC13:AD13" si="28">AC14-AC8</f>
        <v>2949.6278679347306</v>
      </c>
      <c r="AD13" s="568">
        <f t="shared" si="28"/>
        <v>2757.5837484099757</v>
      </c>
      <c r="AE13" s="568">
        <f t="shared" ref="AE13:AF13" si="29">AE14-AE8</f>
        <v>2870.140978760508</v>
      </c>
      <c r="AF13" s="568">
        <f t="shared" si="29"/>
        <v>4264.8892429831467</v>
      </c>
      <c r="AG13" s="568">
        <f t="shared" ref="AG13:AH13" si="30">AG14-AG8</f>
        <v>4619.8962814632396</v>
      </c>
      <c r="AH13" s="910">
        <f t="shared" si="30"/>
        <v>4545.2563241771131</v>
      </c>
      <c r="AI13" s="568">
        <f t="shared" ref="AI13:AJ13" si="31">AI14-AI8</f>
        <v>3748.9068497183907</v>
      </c>
      <c r="AJ13" s="568">
        <f t="shared" si="31"/>
        <v>4028.5682879408123</v>
      </c>
      <c r="AK13" s="915"/>
      <c r="AL13" s="915"/>
      <c r="AM13" s="915"/>
      <c r="AN13" s="915"/>
      <c r="AO13" s="915"/>
      <c r="AP13" s="915"/>
      <c r="AQ13" s="915"/>
      <c r="AR13" s="915"/>
      <c r="AS13" s="915"/>
      <c r="AT13" s="915"/>
      <c r="AU13" s="915"/>
      <c r="AV13" s="913">
        <f t="shared" si="7"/>
        <v>-1.990182607760147</v>
      </c>
      <c r="AW13" s="6">
        <f t="shared" si="8"/>
        <v>8.7389364483556875</v>
      </c>
      <c r="AX13" s="6">
        <f t="shared" si="9"/>
        <v>3.9004524625426029E-2</v>
      </c>
      <c r="AY13" s="6">
        <f t="shared" si="10"/>
        <v>0.22915391233691196</v>
      </c>
      <c r="AZ13" s="6">
        <f t="shared" si="11"/>
        <v>1.1076871950612457</v>
      </c>
      <c r="BA13" s="6">
        <f t="shared" si="11"/>
        <v>1.7532648017854626</v>
      </c>
      <c r="BB13" s="6">
        <f t="shared" si="12"/>
        <v>-2.9436410797729593</v>
      </c>
      <c r="BC13" s="6">
        <f t="shared" si="13"/>
        <v>-13.433349148185798</v>
      </c>
      <c r="BD13" s="6">
        <f t="shared" si="6"/>
        <v>-44.556451267443109</v>
      </c>
      <c r="BE13" s="6">
        <f t="shared" si="6"/>
        <v>94.370330668871759</v>
      </c>
      <c r="BF13" s="6">
        <f t="shared" si="6"/>
        <v>-9.8343013983929808</v>
      </c>
      <c r="BG13" s="6">
        <f t="shared" si="6"/>
        <v>-2.8348860981952839</v>
      </c>
      <c r="BH13" s="6">
        <f t="shared" si="14"/>
        <v>0.29694337722298769</v>
      </c>
      <c r="BI13" s="6">
        <f t="shared" si="14"/>
        <v>-7.9299060782303599</v>
      </c>
    </row>
    <row r="14" spans="1:61" s="1" customFormat="1" ht="17.45" customHeight="1" thickBot="1" x14ac:dyDescent="0.25">
      <c r="A14" s="958" t="s">
        <v>152</v>
      </c>
      <c r="B14" s="957">
        <f t="shared" ref="B14:W14" si="32">B8+B9+B10-B11-B12</f>
        <v>34013.5</v>
      </c>
      <c r="C14" s="902">
        <f t="shared" si="32"/>
        <v>35879.599999999999</v>
      </c>
      <c r="D14" s="902">
        <f t="shared" si="32"/>
        <v>37930.399999999994</v>
      </c>
      <c r="E14" s="902">
        <f t="shared" si="32"/>
        <v>39907.9</v>
      </c>
      <c r="F14" s="902">
        <f t="shared" si="32"/>
        <v>42030</v>
      </c>
      <c r="G14" s="902">
        <f t="shared" si="32"/>
        <v>44303.5</v>
      </c>
      <c r="H14" s="902">
        <f t="shared" si="32"/>
        <v>48155.34</v>
      </c>
      <c r="I14" s="902">
        <f t="shared" si="32"/>
        <v>51768.634999999995</v>
      </c>
      <c r="J14" s="902">
        <f t="shared" si="32"/>
        <v>55203.612000000001</v>
      </c>
      <c r="K14" s="902">
        <f t="shared" si="32"/>
        <v>58459.023420438789</v>
      </c>
      <c r="L14" s="902">
        <f t="shared" si="32"/>
        <v>61941.598373199558</v>
      </c>
      <c r="M14" s="902">
        <f t="shared" si="32"/>
        <v>65429.513492385609</v>
      </c>
      <c r="N14" s="902">
        <f t="shared" si="32"/>
        <v>68732.767958093405</v>
      </c>
      <c r="O14" s="902">
        <f t="shared" si="32"/>
        <v>72395.481958093413</v>
      </c>
      <c r="P14" s="902">
        <f t="shared" si="32"/>
        <v>75985.301261093424</v>
      </c>
      <c r="Q14" s="902">
        <f t="shared" si="32"/>
        <v>79888.832591593411</v>
      </c>
      <c r="R14" s="902">
        <f t="shared" si="32"/>
        <v>83793.886475932464</v>
      </c>
      <c r="S14" s="902">
        <f t="shared" si="32"/>
        <v>87707.888944026345</v>
      </c>
      <c r="T14" s="902">
        <f t="shared" si="32"/>
        <v>91665.246316273682</v>
      </c>
      <c r="U14" s="902">
        <f t="shared" si="32"/>
        <v>95691.986642409494</v>
      </c>
      <c r="V14" s="902">
        <f t="shared" si="32"/>
        <v>99600.194186129389</v>
      </c>
      <c r="W14" s="903">
        <f t="shared" si="32"/>
        <v>102983.39856506565</v>
      </c>
      <c r="X14" s="903">
        <f t="shared" ref="X14:AB14" si="33">X8+X9+X10-X11-X12</f>
        <v>104859.16713362318</v>
      </c>
      <c r="Y14" s="903">
        <f t="shared" si="33"/>
        <v>108505.10470291121</v>
      </c>
      <c r="Z14" s="904">
        <f t="shared" si="33"/>
        <v>111792.48978283821</v>
      </c>
      <c r="AA14" s="904">
        <f t="shared" si="33"/>
        <v>114986.68124014021</v>
      </c>
      <c r="AB14" s="904">
        <f t="shared" si="33"/>
        <v>118190.3576374305</v>
      </c>
      <c r="AC14" s="904">
        <f t="shared" ref="AC14:AH14" si="34">AC8+AC9+AC10-AC11-AC12</f>
        <v>121139.98550536523</v>
      </c>
      <c r="AD14" s="904">
        <f t="shared" si="34"/>
        <v>123897.5692537752</v>
      </c>
      <c r="AE14" s="904">
        <f t="shared" si="34"/>
        <v>126767.71023253571</v>
      </c>
      <c r="AF14" s="904">
        <f t="shared" si="34"/>
        <v>131032.59947551886</v>
      </c>
      <c r="AG14" s="904">
        <f t="shared" si="34"/>
        <v>135652.4957569821</v>
      </c>
      <c r="AH14" s="911">
        <f t="shared" si="34"/>
        <v>140197.75208115921</v>
      </c>
      <c r="AI14" s="904">
        <f t="shared" ref="AI14:AJ14" si="35">AI8+AI9+AI10-AI11-AI12</f>
        <v>143946.6589308776</v>
      </c>
      <c r="AJ14" s="904">
        <f t="shared" si="35"/>
        <v>147975.22721881841</v>
      </c>
      <c r="AK14" s="881"/>
      <c r="AL14" s="881"/>
      <c r="AM14" s="881"/>
      <c r="AN14" s="881"/>
      <c r="AO14" s="881"/>
      <c r="AP14" s="881"/>
      <c r="AQ14" s="881"/>
      <c r="AR14" s="881"/>
      <c r="AS14" s="881"/>
      <c r="AT14" s="881"/>
      <c r="AU14" s="881"/>
      <c r="AV14" s="912">
        <f t="shared" si="7"/>
        <v>4.9586233918271319</v>
      </c>
      <c r="AW14" s="675">
        <f t="shared" si="8"/>
        <v>5.1372189959306098</v>
      </c>
      <c r="AX14" s="675">
        <f t="shared" si="9"/>
        <v>4.8881098367057376</v>
      </c>
      <c r="AY14" s="675">
        <f t="shared" si="10"/>
        <v>4.6709881027156683</v>
      </c>
      <c r="AZ14" s="675">
        <f t="shared" si="11"/>
        <v>4.511974258977844</v>
      </c>
      <c r="BA14" s="675">
        <f t="shared" si="11"/>
        <v>4.3928756949414662</v>
      </c>
      <c r="BB14" s="675">
        <f t="shared" si="12"/>
        <v>4.0841534185348678</v>
      </c>
      <c r="BC14" s="675">
        <f t="shared" si="13"/>
        <v>3.3967849225412721</v>
      </c>
      <c r="BD14" s="675">
        <f t="shared" si="6"/>
        <v>1.8214281085046906</v>
      </c>
      <c r="BE14" s="675">
        <f t="shared" si="6"/>
        <v>3.4769850542890168</v>
      </c>
      <c r="BF14" s="675">
        <f t="shared" si="6"/>
        <v>3.0297054584924155</v>
      </c>
      <c r="BG14" s="675">
        <f t="shared" si="6"/>
        <v>2.8572504857051371</v>
      </c>
      <c r="BH14" s="675">
        <f t="shared" si="14"/>
        <v>2.786128239147672</v>
      </c>
      <c r="BI14" s="675">
        <f t="shared" si="14"/>
        <v>2.4956586365388915</v>
      </c>
    </row>
    <row r="15" spans="1:61" ht="17.45" hidden="1" customHeight="1" x14ac:dyDescent="0.2">
      <c r="A15" s="190" t="s">
        <v>67</v>
      </c>
      <c r="B15" s="190"/>
      <c r="C15" s="887">
        <f t="shared" ref="C15" si="36">+C12/B12*100-100</f>
        <v>-2.5344139971696791</v>
      </c>
      <c r="D15" s="887">
        <f t="shared" ref="D15" si="37">+D12/C12*100-100</f>
        <v>-10.13727560718057</v>
      </c>
      <c r="E15" s="887">
        <f t="shared" ref="E15" si="38">+E12/D12*100-100</f>
        <v>22.517626321974163</v>
      </c>
      <c r="F15" s="887">
        <f t="shared" ref="F15" si="39">+F12/E12*100-100</f>
        <v>4.7835990888382725</v>
      </c>
      <c r="G15" s="887">
        <f t="shared" ref="G15" si="40">+G12/F12*100-100</f>
        <v>2.5972540045766692</v>
      </c>
      <c r="H15" s="887">
        <f t="shared" ref="H15" si="41">+H12/G12*100-100</f>
        <v>-7.1573547451767752</v>
      </c>
      <c r="I15" s="887">
        <f t="shared" ref="I15" si="42">+I12/H12*100-100</f>
        <v>3.9152212559458093</v>
      </c>
      <c r="J15" s="887">
        <f t="shared" ref="J15" si="43">+J12/I12*100-100</f>
        <v>-12.063367297989274</v>
      </c>
      <c r="K15" s="887">
        <f t="shared" ref="K15" si="44">+K12/J12*100-100</f>
        <v>0.65527181621366992</v>
      </c>
      <c r="L15" s="887">
        <f t="shared" ref="L15" si="45">+L12/K12*100-100</f>
        <v>-9.3368750146917279</v>
      </c>
      <c r="M15" s="887">
        <f t="shared" ref="M15" si="46">+M12/L12*100-100</f>
        <v>-5.6612823770385603</v>
      </c>
      <c r="N15" s="887">
        <f t="shared" ref="N15" si="47">+N12/M12*100-100</f>
        <v>2.0559166578872237</v>
      </c>
      <c r="O15" s="887">
        <f t="shared" ref="O15" si="48">+O12/N12*100-100</f>
        <v>-35.989760683658389</v>
      </c>
      <c r="P15" s="887">
        <f t="shared" ref="P15" si="49">+P12/O12*100-100</f>
        <v>22.647815691123242</v>
      </c>
      <c r="Q15" s="887">
        <f t="shared" ref="Q15" si="50">+Q12/P12*100-100</f>
        <v>-31.175713918188848</v>
      </c>
      <c r="R15" s="887">
        <f t="shared" ref="R15" si="51">+R12/Q12*100-100</f>
        <v>36.026382243487518</v>
      </c>
      <c r="S15" s="887">
        <f t="shared" ref="S15" si="52">+S12/R12*100-100</f>
        <v>6.0674344850609145</v>
      </c>
      <c r="T15" s="887">
        <f t="shared" ref="T15" si="53">+T12/S12*100-100</f>
        <v>-8.3211628402380455</v>
      </c>
      <c r="U15" s="887">
        <f t="shared" ref="U15" si="54">+U12/T12*100-100</f>
        <v>-4.7120638044001595</v>
      </c>
      <c r="V15" s="887">
        <f t="shared" ref="V15" si="55">+V12/U12*100-100</f>
        <v>-1.1353251318101911</v>
      </c>
      <c r="W15" s="887">
        <f t="shared" ref="W15" si="56">+W12/V12*100-100</f>
        <v>-3.251324350268419</v>
      </c>
      <c r="X15" s="888">
        <f t="shared" ref="X15:AH15" si="57">+X12/W12*100-100</f>
        <v>-7.3422140560404188</v>
      </c>
      <c r="Y15" s="889">
        <f t="shared" si="57"/>
        <v>6.9614204525174017</v>
      </c>
      <c r="Z15" s="890">
        <f t="shared" si="57"/>
        <v>5.6727083887546144</v>
      </c>
      <c r="AA15" s="891">
        <f t="shared" si="57"/>
        <v>-13.89022328380436</v>
      </c>
      <c r="AB15" s="891">
        <f>+AB12/AA12*100-100</f>
        <v>-36.168638221038151</v>
      </c>
      <c r="AC15" s="892">
        <f t="shared" si="57"/>
        <v>22.175039698688948</v>
      </c>
      <c r="AD15" s="892">
        <f t="shared" si="57"/>
        <v>30.662863490996159</v>
      </c>
      <c r="AE15" s="892">
        <f t="shared" si="57"/>
        <v>1.4905826368616886</v>
      </c>
      <c r="AF15" s="892">
        <f t="shared" si="57"/>
        <v>6.58529437839222</v>
      </c>
      <c r="AG15" s="892">
        <f t="shared" si="57"/>
        <v>14.311512039837609</v>
      </c>
      <c r="AH15" s="892">
        <f t="shared" si="57"/>
        <v>1.1553076238984659</v>
      </c>
      <c r="AI15" s="777"/>
      <c r="AJ15" s="777"/>
      <c r="AK15" s="777"/>
      <c r="AL15" s="777"/>
      <c r="AM15" s="777"/>
      <c r="AN15" s="777"/>
      <c r="AO15" s="777"/>
      <c r="AP15" s="777"/>
      <c r="AQ15" s="777"/>
      <c r="AR15" s="777"/>
      <c r="AS15" s="777"/>
      <c r="AT15" s="777"/>
      <c r="AU15" s="777"/>
    </row>
    <row r="16" spans="1:61" ht="17.45" hidden="1" customHeight="1" x14ac:dyDescent="0.2">
      <c r="A16" s="185" t="s">
        <v>145</v>
      </c>
      <c r="B16" s="185">
        <v>116920</v>
      </c>
      <c r="C16" s="185">
        <v>94638</v>
      </c>
      <c r="D16" s="185">
        <v>81830</v>
      </c>
      <c r="E16" s="185">
        <v>154495</v>
      </c>
      <c r="F16" s="185">
        <v>221715</v>
      </c>
      <c r="G16" s="185">
        <v>232725</v>
      </c>
      <c r="H16" s="185">
        <v>223287.47</v>
      </c>
      <c r="I16" s="185">
        <v>356614.85</v>
      </c>
      <c r="J16" s="185">
        <v>357190.88</v>
      </c>
      <c r="K16" s="186">
        <v>473090.98034445487</v>
      </c>
      <c r="L16" s="196">
        <v>504505.31693504972</v>
      </c>
      <c r="M16" s="285">
        <f>'Rent Perhutani'!M33</f>
        <v>287518.22930131463</v>
      </c>
      <c r="N16" s="285">
        <f>'Rent Perhutani'!N33</f>
        <v>303778.1402528843</v>
      </c>
      <c r="O16" s="285">
        <f>'Rent Perhutani'!O33</f>
        <v>288872.16480718588</v>
      </c>
      <c r="P16" s="285">
        <f>'Rent Perhutani'!P33</f>
        <v>327561.94743262959</v>
      </c>
      <c r="Q16" s="285">
        <f>'Rent Perhutani'!Q33</f>
        <v>297751.36243856209</v>
      </c>
      <c r="R16" s="285">
        <f>'Rent Perhutani'!R33</f>
        <v>494137.71232058125</v>
      </c>
      <c r="S16" s="285">
        <f>'Rent Perhutani'!S33</f>
        <v>623490.58258475468</v>
      </c>
      <c r="T16" s="285">
        <f>'Rent Perhutani'!T33</f>
        <v>572600.87213327177</v>
      </c>
      <c r="U16" s="285">
        <f>'Rent Perhutani'!U33</f>
        <v>542491.7454523684</v>
      </c>
      <c r="V16" s="285">
        <f>'Rent Perhutani'!V33</f>
        <v>533814.98447121715</v>
      </c>
      <c r="W16" s="285">
        <f>'Rent Perhutani'!W33</f>
        <v>433338.39743484126</v>
      </c>
      <c r="X16" s="318">
        <f>'Rent Perhutani'!X33</f>
        <v>601664.19880061178</v>
      </c>
      <c r="Y16" s="548">
        <f>'Rent Perhutani'!Y33</f>
        <v>1340975.7600732907</v>
      </c>
      <c r="Z16" s="540">
        <f>'Rent Perhutani'!Z33</f>
        <v>780096.16853310028</v>
      </c>
      <c r="AA16" s="541">
        <f>'Rent Perhutani'!AA33</f>
        <v>658779.03266995796</v>
      </c>
      <c r="AB16" s="541">
        <f>'Rent Perhutani'!AB33</f>
        <v>-538095.41493243957</v>
      </c>
      <c r="AC16" s="549" t="e">
        <f>'Rent Perhutani'!AC33</f>
        <v>#REF!</v>
      </c>
      <c r="AD16" s="549">
        <f>'Rent Perhutani'!AD33</f>
        <v>-538095.41493243957</v>
      </c>
      <c r="AE16" s="549" t="str">
        <f>'Rent Perhutani'!AE33</f>
        <v>" rasio harga x harga jati</v>
      </c>
      <c r="AF16" s="549">
        <f>'Rent Perhutani'!AF33</f>
        <v>0</v>
      </c>
      <c r="AG16" s="549">
        <f>'Rent Perhutani'!AG33</f>
        <v>0</v>
      </c>
      <c r="AH16" s="549">
        <f>'Rent Perhutani'!AH33</f>
        <v>0</v>
      </c>
      <c r="AI16" s="778"/>
      <c r="AJ16" s="778"/>
      <c r="AK16" s="778"/>
      <c r="AL16" s="778"/>
      <c r="AM16" s="778"/>
      <c r="AN16" s="778"/>
      <c r="AO16" s="778"/>
      <c r="AP16" s="778"/>
      <c r="AQ16" s="778"/>
      <c r="AR16" s="778"/>
      <c r="AS16" s="778"/>
      <c r="AT16" s="778"/>
      <c r="AU16" s="778"/>
      <c r="AV16" s="6">
        <f t="shared" ref="AV16:BB16" si="58">P16/O16*100-100</f>
        <v>13.393392420231294</v>
      </c>
      <c r="AW16" s="6">
        <f t="shared" si="58"/>
        <v>-9.100747271689329</v>
      </c>
      <c r="AX16" s="6">
        <f t="shared" si="58"/>
        <v>65.956490769220721</v>
      </c>
      <c r="AY16" s="6">
        <f t="shared" si="58"/>
        <v>26.177494054583164</v>
      </c>
      <c r="AZ16" s="6">
        <f t="shared" si="58"/>
        <v>-8.1620656146101709</v>
      </c>
      <c r="BA16" s="6">
        <f t="shared" si="58"/>
        <v>-5.258309609052688</v>
      </c>
      <c r="BB16" s="6">
        <f t="shared" si="58"/>
        <v>-1.5994272823296001</v>
      </c>
      <c r="BC16" s="6">
        <f t="shared" ref="BC16" si="59">W16/V16*100-100</f>
        <v>-18.822361671976168</v>
      </c>
      <c r="BD16" s="6">
        <f t="shared" ref="BD16:BI16" si="60">X16/W16*100-100</f>
        <v>38.843961754180981</v>
      </c>
      <c r="BE16" s="6">
        <f t="shared" si="60"/>
        <v>122.87777181132938</v>
      </c>
      <c r="BF16" s="6">
        <f t="shared" si="60"/>
        <v>-41.826228947608691</v>
      </c>
      <c r="BG16" s="6">
        <f t="shared" si="60"/>
        <v>-15.551561558271473</v>
      </c>
      <c r="BH16" s="6">
        <f t="shared" si="60"/>
        <v>-181.68071360006689</v>
      </c>
      <c r="BI16" s="6" t="e">
        <f t="shared" si="60"/>
        <v>#REF!</v>
      </c>
    </row>
    <row r="17" spans="1:61" ht="17.45" hidden="1" customHeight="1" x14ac:dyDescent="0.2">
      <c r="A17" s="185"/>
      <c r="B17" s="185"/>
      <c r="C17" s="185"/>
      <c r="D17" s="185"/>
      <c r="E17" s="185"/>
      <c r="F17" s="185"/>
      <c r="G17" s="185"/>
      <c r="H17" s="185"/>
      <c r="I17" s="185"/>
      <c r="J17" s="185"/>
      <c r="K17" s="186"/>
      <c r="L17" s="186"/>
      <c r="M17" s="186"/>
      <c r="N17" s="186"/>
      <c r="O17" s="186"/>
      <c r="P17" s="186"/>
      <c r="Q17" s="186"/>
      <c r="R17" s="186"/>
      <c r="S17" s="186"/>
      <c r="T17" s="199">
        <v>-1.1561291363848198</v>
      </c>
      <c r="U17" s="199">
        <f t="shared" ref="U17:AH17" si="61">+U16/T16*100-100</f>
        <v>-5.258309609052688</v>
      </c>
      <c r="V17" s="199">
        <f t="shared" si="61"/>
        <v>-1.5994272823296001</v>
      </c>
      <c r="W17" s="199">
        <f t="shared" si="61"/>
        <v>-18.822361671976168</v>
      </c>
      <c r="X17" s="317">
        <f t="shared" si="61"/>
        <v>38.843961754180981</v>
      </c>
      <c r="Y17" s="546">
        <f t="shared" si="61"/>
        <v>122.87777181132938</v>
      </c>
      <c r="Z17" s="539">
        <f t="shared" si="61"/>
        <v>-41.826228947608691</v>
      </c>
      <c r="AA17" s="539">
        <f t="shared" si="61"/>
        <v>-15.551561558271473</v>
      </c>
      <c r="AB17" s="539">
        <f t="shared" si="61"/>
        <v>-181.68071360006689</v>
      </c>
      <c r="AC17" s="547" t="e">
        <f t="shared" si="61"/>
        <v>#REF!</v>
      </c>
      <c r="AD17" s="547" t="e">
        <f t="shared" si="61"/>
        <v>#REF!</v>
      </c>
      <c r="AE17" s="547" t="e">
        <f t="shared" si="61"/>
        <v>#VALUE!</v>
      </c>
      <c r="AF17" s="547" t="e">
        <f t="shared" si="61"/>
        <v>#VALUE!</v>
      </c>
      <c r="AG17" s="547" t="e">
        <f t="shared" si="61"/>
        <v>#DIV/0!</v>
      </c>
      <c r="AH17" s="547" t="e">
        <f t="shared" si="61"/>
        <v>#DIV/0!</v>
      </c>
      <c r="AI17" s="777"/>
      <c r="AJ17" s="777"/>
      <c r="AK17" s="777"/>
      <c r="AL17" s="777"/>
      <c r="AM17" s="777"/>
      <c r="AN17" s="777"/>
      <c r="AO17" s="777"/>
      <c r="AP17" s="777"/>
      <c r="AQ17" s="777"/>
      <c r="AR17" s="777"/>
      <c r="AS17" s="777"/>
      <c r="AT17" s="777"/>
      <c r="AU17" s="777"/>
    </row>
    <row r="18" spans="1:61" ht="17.45" hidden="1" customHeight="1" x14ac:dyDescent="0.2">
      <c r="A18" s="262" t="s">
        <v>146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7"/>
      <c r="L18" s="187"/>
      <c r="M18" s="187"/>
      <c r="N18" s="187"/>
      <c r="O18" s="187"/>
      <c r="P18" s="187"/>
      <c r="Q18" s="187"/>
      <c r="R18" s="187"/>
      <c r="S18" s="187"/>
      <c r="T18" s="185"/>
      <c r="U18" s="185"/>
      <c r="V18" s="185"/>
      <c r="W18" s="185"/>
      <c r="X18" s="308"/>
      <c r="Y18" s="492"/>
      <c r="Z18" s="313"/>
      <c r="AA18" s="313"/>
      <c r="AB18" s="313"/>
      <c r="AC18" s="493"/>
      <c r="AD18" s="493"/>
      <c r="AE18" s="493"/>
      <c r="AF18" s="493"/>
      <c r="AG18" s="493"/>
      <c r="AH18" s="493"/>
      <c r="AI18" s="405"/>
      <c r="AJ18" s="405"/>
      <c r="AK18" s="405"/>
      <c r="AL18" s="405"/>
      <c r="AM18" s="405"/>
      <c r="AN18" s="405"/>
      <c r="AO18" s="405"/>
      <c r="AP18" s="405"/>
      <c r="AQ18" s="405"/>
      <c r="AR18" s="405"/>
      <c r="AS18" s="405"/>
      <c r="AT18" s="405"/>
      <c r="AU18" s="405"/>
    </row>
    <row r="19" spans="1:61" ht="17.45" hidden="1" customHeight="1" x14ac:dyDescent="0.2">
      <c r="A19" s="185" t="s">
        <v>147</v>
      </c>
      <c r="B19" s="185"/>
      <c r="C19" s="185"/>
      <c r="D19" s="185"/>
      <c r="E19" s="185"/>
      <c r="F19" s="185"/>
      <c r="G19" s="185"/>
      <c r="H19" s="185"/>
      <c r="I19" s="185"/>
      <c r="J19" s="185"/>
      <c r="K19" s="186"/>
      <c r="L19" s="195"/>
      <c r="M19" s="195"/>
      <c r="N19" s="195"/>
      <c r="O19" s="195"/>
      <c r="P19" s="195"/>
      <c r="Q19" s="195"/>
      <c r="R19" s="195"/>
      <c r="S19" s="195"/>
      <c r="T19" s="185"/>
      <c r="U19" s="185"/>
      <c r="V19" s="185"/>
      <c r="W19" s="185"/>
      <c r="X19" s="308"/>
      <c r="Y19" s="492"/>
      <c r="Z19" s="313"/>
      <c r="AA19" s="313"/>
      <c r="AB19" s="313"/>
      <c r="AC19" s="493"/>
      <c r="AD19" s="493"/>
      <c r="AE19" s="493"/>
      <c r="AF19" s="493"/>
      <c r="AG19" s="493"/>
      <c r="AH19" s="493"/>
      <c r="AI19" s="405"/>
      <c r="AJ19" s="405"/>
      <c r="AK19" s="405"/>
      <c r="AL19" s="405"/>
      <c r="AM19" s="405"/>
      <c r="AN19" s="405"/>
      <c r="AO19" s="405"/>
      <c r="AP19" s="405"/>
      <c r="AQ19" s="405"/>
      <c r="AR19" s="405"/>
      <c r="AS19" s="405"/>
      <c r="AT19" s="405"/>
      <c r="AU19" s="405"/>
    </row>
    <row r="20" spans="1:61" ht="17.45" hidden="1" customHeight="1" x14ac:dyDescent="0.2">
      <c r="A20" s="185"/>
      <c r="B20" s="185"/>
      <c r="C20" s="185"/>
      <c r="D20" s="185"/>
      <c r="E20" s="185"/>
      <c r="F20" s="185"/>
      <c r="G20" s="185"/>
      <c r="H20" s="185"/>
      <c r="I20" s="185"/>
      <c r="J20" s="185"/>
      <c r="K20" s="186"/>
      <c r="L20" s="195"/>
      <c r="M20" s="195"/>
      <c r="N20" s="195"/>
      <c r="O20" s="195"/>
      <c r="P20" s="195"/>
      <c r="Q20" s="195"/>
      <c r="R20" s="195"/>
      <c r="S20" s="195"/>
      <c r="T20" s="185"/>
      <c r="U20" s="185"/>
      <c r="V20" s="185"/>
      <c r="W20" s="185"/>
      <c r="X20" s="308"/>
      <c r="Y20" s="492"/>
      <c r="Z20" s="313"/>
      <c r="AA20" s="313"/>
      <c r="AB20" s="313"/>
      <c r="AC20" s="493"/>
      <c r="AD20" s="493"/>
      <c r="AE20" s="493"/>
      <c r="AF20" s="493"/>
      <c r="AG20" s="493"/>
      <c r="AH20" s="493"/>
      <c r="AI20" s="405"/>
      <c r="AJ20" s="405"/>
      <c r="AK20" s="405"/>
      <c r="AL20" s="405"/>
      <c r="AM20" s="405"/>
      <c r="AN20" s="405"/>
      <c r="AO20" s="405"/>
      <c r="AP20" s="405"/>
      <c r="AQ20" s="405"/>
      <c r="AR20" s="405"/>
      <c r="AS20" s="405"/>
      <c r="AT20" s="405"/>
      <c r="AU20" s="405"/>
    </row>
    <row r="21" spans="1:61" ht="17.45" hidden="1" customHeight="1" x14ac:dyDescent="0.2">
      <c r="A21" s="185" t="s">
        <v>150</v>
      </c>
      <c r="B21" s="202">
        <v>3202.2</v>
      </c>
      <c r="C21" s="202">
        <f t="shared" ref="C21:T21" si="62">B28</f>
        <v>3976.8396640000001</v>
      </c>
      <c r="D21" s="202">
        <f t="shared" si="62"/>
        <v>3395.5548287999991</v>
      </c>
      <c r="E21" s="202">
        <f t="shared" si="62"/>
        <v>3103.8258759999994</v>
      </c>
      <c r="F21" s="202">
        <f t="shared" si="62"/>
        <v>6165.5522544999985</v>
      </c>
      <c r="G21" s="202">
        <f t="shared" si="62"/>
        <v>9318.6626939999987</v>
      </c>
      <c r="H21" s="202">
        <f t="shared" si="62"/>
        <v>10310.5132815</v>
      </c>
      <c r="I21" s="202">
        <f t="shared" si="62"/>
        <v>10752.4652795898</v>
      </c>
      <c r="J21" s="202">
        <f t="shared" si="62"/>
        <v>18461.44524922975</v>
      </c>
      <c r="K21" s="202">
        <f t="shared" si="62"/>
        <v>19718.20799345856</v>
      </c>
      <c r="L21" s="202">
        <f t="shared" si="62"/>
        <v>27656.417943954832</v>
      </c>
      <c r="M21" s="202">
        <f t="shared" si="62"/>
        <v>31249.846962734598</v>
      </c>
      <c r="N21" s="202">
        <f t="shared" si="62"/>
        <v>18812.159107377178</v>
      </c>
      <c r="O21" s="202">
        <f t="shared" si="62"/>
        <v>20879.493668742634</v>
      </c>
      <c r="P21" s="202">
        <f t="shared" si="62"/>
        <v>20913.020839493995</v>
      </c>
      <c r="Q21" s="202">
        <f t="shared" si="62"/>
        <v>24889.874501338785</v>
      </c>
      <c r="R21" s="202">
        <f t="shared" si="62"/>
        <v>23786.989991773124</v>
      </c>
      <c r="S21" s="202">
        <f t="shared" si="62"/>
        <v>41405.700613667737</v>
      </c>
      <c r="T21" s="202">
        <f t="shared" si="62"/>
        <v>54685.024018989927</v>
      </c>
      <c r="U21" s="202">
        <f t="shared" ref="U21:Z21" si="63">T28</f>
        <v>52487.581229009469</v>
      </c>
      <c r="V21" s="202">
        <f t="shared" si="63"/>
        <v>51912.094103445437</v>
      </c>
      <c r="W21" s="321">
        <f t="shared" si="63"/>
        <v>53168.057356798869</v>
      </c>
      <c r="X21" s="322">
        <f t="shared" si="63"/>
        <v>44626.642140579075</v>
      </c>
      <c r="Y21" s="550">
        <f t="shared" si="63"/>
        <v>63089.988024350823</v>
      </c>
      <c r="Z21" s="542">
        <f t="shared" si="63"/>
        <v>145502.69649481834</v>
      </c>
      <c r="AA21" s="542">
        <f t="shared" ref="AA21:AH21" si="64">Z28</f>
        <v>87208.874194367803</v>
      </c>
      <c r="AB21" s="542">
        <f t="shared" si="64"/>
        <v>75750.795881308324</v>
      </c>
      <c r="AC21" s="551">
        <f t="shared" si="64"/>
        <v>-63597.708289926624</v>
      </c>
      <c r="AD21" s="551" t="e">
        <f t="shared" si="64"/>
        <v>#REF!</v>
      </c>
      <c r="AE21" s="551" t="e">
        <f t="shared" si="64"/>
        <v>#REF!</v>
      </c>
      <c r="AF21" s="551" t="e">
        <f t="shared" si="64"/>
        <v>#REF!</v>
      </c>
      <c r="AG21" s="551" t="e">
        <f t="shared" si="64"/>
        <v>#REF!</v>
      </c>
      <c r="AH21" s="551" t="e">
        <f t="shared" si="64"/>
        <v>#REF!</v>
      </c>
      <c r="AI21" s="779"/>
      <c r="AJ21" s="779"/>
      <c r="AK21" s="779"/>
      <c r="AL21" s="779"/>
      <c r="AM21" s="779"/>
      <c r="AN21" s="779"/>
      <c r="AO21" s="779"/>
      <c r="AP21" s="779"/>
      <c r="AQ21" s="779"/>
      <c r="AR21" s="779"/>
      <c r="AS21" s="779"/>
      <c r="AT21" s="779"/>
      <c r="AU21" s="779"/>
      <c r="AV21" s="6">
        <f t="shared" ref="AV21:AV28" si="65">P21/O21*100-100</f>
        <v>0.16057463501401514</v>
      </c>
      <c r="AW21" s="6">
        <f t="shared" ref="AW21:AW28" si="66">Q21/P21*100-100</f>
        <v>19.016160756338692</v>
      </c>
      <c r="AX21" s="6">
        <f t="shared" ref="AX21:AX28" si="67">R21/Q21*100-100</f>
        <v>-4.4310569324338616</v>
      </c>
      <c r="AY21" s="6">
        <f t="shared" ref="AY21:AY28" si="68">S21/R21*100-100</f>
        <v>74.06868472214498</v>
      </c>
      <c r="AZ21" s="6">
        <f t="shared" ref="AZ21:AZ28" si="69">T21/S21*100-100</f>
        <v>32.07124431783862</v>
      </c>
      <c r="BA21" s="6">
        <f t="shared" ref="BA21:BA28" si="70">U21/T21*100-100</f>
        <v>-4.0183630333916938</v>
      </c>
      <c r="BB21" s="6">
        <f t="shared" ref="BB21" si="71">V21/U21*100-100</f>
        <v>-1.0964253106903783</v>
      </c>
      <c r="BC21" s="6">
        <f t="shared" ref="BC21" si="72">W21/V21*100-100</f>
        <v>2.41940394631483</v>
      </c>
      <c r="BD21" s="6">
        <f t="shared" ref="BD21:BG28" si="73">X21/W21*100-100</f>
        <v>-16.064937559971909</v>
      </c>
      <c r="BE21" s="6">
        <f t="shared" si="73"/>
        <v>41.372922089029402</v>
      </c>
      <c r="BF21" s="6">
        <f t="shared" si="73"/>
        <v>130.62723746065495</v>
      </c>
      <c r="BG21" s="6">
        <f t="shared" si="73"/>
        <v>-40.063740195032402</v>
      </c>
      <c r="BH21" s="6">
        <f>AB21/AA21*100-100</f>
        <v>-13.138660966454125</v>
      </c>
      <c r="BI21" s="6">
        <f>AC21/AB21*100-100</f>
        <v>-183.9564885754811</v>
      </c>
    </row>
    <row r="22" spans="1:61" ht="17.45" hidden="1" customHeight="1" x14ac:dyDescent="0.2">
      <c r="A22" s="185" t="s">
        <v>141</v>
      </c>
      <c r="B22" s="202">
        <f t="shared" ref="B22:R22" si="74">B9*B16/1000000</f>
        <v>301.70036800000003</v>
      </c>
      <c r="C22" s="202">
        <f t="shared" si="74"/>
        <v>257.08412700000002</v>
      </c>
      <c r="D22" s="202">
        <f t="shared" si="74"/>
        <v>234.48386500000001</v>
      </c>
      <c r="E22" s="202">
        <f t="shared" si="74"/>
        <v>468.01170350000001</v>
      </c>
      <c r="F22" s="202">
        <f t="shared" si="74"/>
        <v>706.65004799999997</v>
      </c>
      <c r="G22" s="202">
        <f t="shared" si="74"/>
        <v>781.18800750000003</v>
      </c>
      <c r="H22" s="202">
        <f t="shared" si="74"/>
        <v>1090.2524283931</v>
      </c>
      <c r="I22" s="202">
        <f t="shared" si="74"/>
        <v>1658.3054124304999</v>
      </c>
      <c r="J22" s="202">
        <f t="shared" si="74"/>
        <v>1684.6014877999999</v>
      </c>
      <c r="K22" s="202">
        <f t="shared" si="74"/>
        <v>2151.5262383404292</v>
      </c>
      <c r="L22" s="202">
        <f t="shared" si="74"/>
        <v>2367.3411527902804</v>
      </c>
      <c r="M22" s="202">
        <f t="shared" si="74"/>
        <v>1340.0868130754027</v>
      </c>
      <c r="N22" s="202">
        <f t="shared" si="74"/>
        <v>1370.1164950284847</v>
      </c>
      <c r="O22" s="202">
        <f t="shared" si="74"/>
        <v>1334.4048120958869</v>
      </c>
      <c r="P22" s="202">
        <f t="shared" si="74"/>
        <v>1521.0814986370631</v>
      </c>
      <c r="Q22" s="202">
        <f t="shared" si="74"/>
        <v>1407.6101751480826</v>
      </c>
      <c r="R22" s="202">
        <f t="shared" si="74"/>
        <v>2338.4053171099658</v>
      </c>
      <c r="S22" s="202">
        <f t="shared" ref="S22:T22" si="75">S9*S16/1000000</f>
        <v>2947.5082039153485</v>
      </c>
      <c r="T22" s="202">
        <f t="shared" si="75"/>
        <v>2709.716931312968</v>
      </c>
      <c r="U22" s="202">
        <f t="shared" ref="U22:Y22" si="76">U9*U16/1000000</f>
        <v>2580.0677836632876</v>
      </c>
      <c r="V22" s="202">
        <f t="shared" si="76"/>
        <v>2551.4947179296896</v>
      </c>
      <c r="W22" s="202">
        <f t="shared" si="76"/>
        <v>2081.5993698499929</v>
      </c>
      <c r="X22" s="318">
        <f t="shared" si="76"/>
        <v>2904.6267790797651</v>
      </c>
      <c r="Y22" s="552">
        <f t="shared" si="76"/>
        <v>7321.006892702685</v>
      </c>
      <c r="Z22" s="543">
        <f t="shared" ref="Z22:AE22" si="77">Z9*Z16/1000000</f>
        <v>3717.059905731533</v>
      </c>
      <c r="AA22" s="543">
        <f t="shared" si="77"/>
        <v>3158.8122231675388</v>
      </c>
      <c r="AB22" s="543">
        <f t="shared" si="77"/>
        <v>-2333.1188679440334</v>
      </c>
      <c r="AC22" s="553" t="e">
        <f t="shared" si="77"/>
        <v>#REF!</v>
      </c>
      <c r="AD22" s="553">
        <f t="shared" si="77"/>
        <v>-2317.1594836381119</v>
      </c>
      <c r="AE22" s="553" t="e">
        <f t="shared" si="77"/>
        <v>#VALUE!</v>
      </c>
      <c r="AF22" s="553">
        <f t="shared" ref="AF22:AG22" si="78">AF9*AF16/1000000</f>
        <v>0</v>
      </c>
      <c r="AG22" s="553">
        <f t="shared" si="78"/>
        <v>0</v>
      </c>
      <c r="AH22" s="553">
        <f t="shared" ref="AH22" si="79">AH9*AH16/1000000</f>
        <v>0</v>
      </c>
      <c r="AI22" s="780"/>
      <c r="AJ22" s="780"/>
      <c r="AK22" s="780"/>
      <c r="AL22" s="780"/>
      <c r="AM22" s="780"/>
      <c r="AN22" s="780"/>
      <c r="AO22" s="780"/>
      <c r="AP22" s="780"/>
      <c r="AQ22" s="780"/>
      <c r="AR22" s="780"/>
      <c r="AS22" s="780"/>
      <c r="AT22" s="780"/>
      <c r="AU22" s="780"/>
      <c r="AV22" s="6">
        <f t="shared" si="65"/>
        <v>13.989509393927605</v>
      </c>
      <c r="AW22" s="6">
        <f t="shared" si="66"/>
        <v>-7.4599108325657966</v>
      </c>
      <c r="AX22" s="6">
        <f t="shared" si="67"/>
        <v>66.12591741630186</v>
      </c>
      <c r="AY22" s="6">
        <f t="shared" si="68"/>
        <v>26.047789164205824</v>
      </c>
      <c r="AZ22" s="6">
        <f t="shared" si="69"/>
        <v>-8.0675355639895656</v>
      </c>
      <c r="BA22" s="6">
        <f t="shared" si="70"/>
        <v>-4.7846011570979954</v>
      </c>
      <c r="BB22" s="6">
        <f t="shared" ref="BB22:BB28" si="80">V22/U22*100-100</f>
        <v>-1.1074540721185571</v>
      </c>
      <c r="BC22" s="6">
        <f t="shared" ref="BC22:BC28" si="81">W22/V22*100-100</f>
        <v>-18.416473480336066</v>
      </c>
      <c r="BD22" s="6">
        <f t="shared" si="73"/>
        <v>39.53822340410693</v>
      </c>
      <c r="BE22" s="6">
        <f t="shared" si="73"/>
        <v>152.04638838391844</v>
      </c>
      <c r="BF22" s="6">
        <f t="shared" si="73"/>
        <v>-49.227477036846338</v>
      </c>
      <c r="BG22" s="6">
        <f t="shared" si="73"/>
        <v>-15.018527995828165</v>
      </c>
      <c r="BH22" s="6">
        <f t="shared" ref="BH22:BI28" si="82">AB22/AA22*100-100</f>
        <v>-173.86063821180446</v>
      </c>
      <c r="BI22" s="6" t="e">
        <f t="shared" si="82"/>
        <v>#REF!</v>
      </c>
    </row>
    <row r="23" spans="1:61" ht="17.45" hidden="1" customHeight="1" x14ac:dyDescent="0.2">
      <c r="A23" s="185" t="s">
        <v>142</v>
      </c>
      <c r="B23" s="202">
        <f t="shared" ref="B23:P23" si="83">B10*B16/1000000</f>
        <v>2.198096</v>
      </c>
      <c r="C23" s="202">
        <f t="shared" si="83"/>
        <v>2.0347170000000001</v>
      </c>
      <c r="D23" s="202">
        <f t="shared" si="83"/>
        <v>1.4402079999999999</v>
      </c>
      <c r="E23" s="202">
        <f t="shared" si="83"/>
        <v>2.5182685</v>
      </c>
      <c r="F23" s="202">
        <f t="shared" si="83"/>
        <v>3.6582975000000002</v>
      </c>
      <c r="G23" s="202">
        <f t="shared" si="83"/>
        <v>4.6312274999999996</v>
      </c>
      <c r="H23" s="202">
        <f t="shared" si="83"/>
        <v>2.3445184349999999</v>
      </c>
      <c r="I23" s="202">
        <f t="shared" si="83"/>
        <v>5.6666099665000003</v>
      </c>
      <c r="J23" s="202">
        <f t="shared" si="83"/>
        <v>5.1542643984000005</v>
      </c>
      <c r="K23" s="202">
        <f t="shared" si="83"/>
        <v>15.035304446327119</v>
      </c>
      <c r="L23" s="202">
        <f t="shared" si="83"/>
        <v>22.278954795851792</v>
      </c>
      <c r="M23" s="202">
        <f t="shared" si="83"/>
        <v>13.394611748460346</v>
      </c>
      <c r="N23" s="202">
        <f t="shared" si="83"/>
        <v>13.630221375006666</v>
      </c>
      <c r="O23" s="202">
        <f t="shared" si="83"/>
        <v>11.814871540613902</v>
      </c>
      <c r="P23" s="202">
        <f t="shared" si="83"/>
        <v>12.322552900468093</v>
      </c>
      <c r="Q23" s="202">
        <f t="shared" ref="Q23:T23" si="84">Q10*Q16/1000000</f>
        <v>12.534260453758687</v>
      </c>
      <c r="R23" s="202">
        <f t="shared" si="84"/>
        <v>20.566999862207233</v>
      </c>
      <c r="S23" s="202">
        <f t="shared" si="84"/>
        <v>39.033627922718566</v>
      </c>
      <c r="T23" s="202">
        <f t="shared" si="84"/>
        <v>18.332389522218826</v>
      </c>
      <c r="U23" s="202">
        <f t="shared" ref="U23:Y23" si="85">U10*U16/1000000</f>
        <v>10.388716925412854</v>
      </c>
      <c r="V23" s="202">
        <f t="shared" si="85"/>
        <v>10.315440759921801</v>
      </c>
      <c r="W23" s="202">
        <f t="shared" si="85"/>
        <v>12.942951254583839</v>
      </c>
      <c r="X23" s="318">
        <f t="shared" si="85"/>
        <v>14.758221132380205</v>
      </c>
      <c r="Y23" s="554">
        <f t="shared" si="85"/>
        <v>21.767724269329712</v>
      </c>
      <c r="Z23" s="540">
        <f t="shared" ref="Z23:AE23" si="86">Z10*Z16/1000000</f>
        <v>18.207444573562565</v>
      </c>
      <c r="AA23" s="540">
        <f t="shared" si="86"/>
        <v>13.391903924356996</v>
      </c>
      <c r="AB23" s="540">
        <f t="shared" si="86"/>
        <v>-2.41066745889733</v>
      </c>
      <c r="AC23" s="555" t="e">
        <f t="shared" si="86"/>
        <v>#REF!</v>
      </c>
      <c r="AD23" s="555">
        <f t="shared" si="86"/>
        <v>-8.2366265163708547</v>
      </c>
      <c r="AE23" s="555" t="e">
        <f t="shared" si="86"/>
        <v>#VALUE!</v>
      </c>
      <c r="AF23" s="555">
        <f t="shared" ref="AF23:AG23" si="87">AF10*AF16/1000000</f>
        <v>0</v>
      </c>
      <c r="AG23" s="555">
        <f t="shared" si="87"/>
        <v>0</v>
      </c>
      <c r="AH23" s="555">
        <f t="shared" ref="AH23" si="88">AH10*AH16/1000000</f>
        <v>0</v>
      </c>
      <c r="AI23" s="781"/>
      <c r="AJ23" s="781"/>
      <c r="AK23" s="781"/>
      <c r="AL23" s="781"/>
      <c r="AM23" s="781"/>
      <c r="AN23" s="781"/>
      <c r="AO23" s="781"/>
      <c r="AP23" s="781"/>
      <c r="AQ23" s="781"/>
      <c r="AR23" s="781"/>
      <c r="AS23" s="781"/>
      <c r="AT23" s="781"/>
      <c r="AU23" s="781"/>
      <c r="AV23" s="6">
        <f t="shared" si="65"/>
        <v>4.2969689353711971</v>
      </c>
      <c r="AW23" s="6">
        <f t="shared" si="66"/>
        <v>1.7180494577755212</v>
      </c>
      <c r="AX23" s="6">
        <f t="shared" si="67"/>
        <v>64.086265305263737</v>
      </c>
      <c r="AY23" s="6">
        <f t="shared" si="68"/>
        <v>89.787660739204711</v>
      </c>
      <c r="AZ23" s="6">
        <f t="shared" si="69"/>
        <v>-53.034369342981549</v>
      </c>
      <c r="BA23" s="6">
        <f t="shared" si="70"/>
        <v>-43.331353979677623</v>
      </c>
      <c r="BB23" s="6">
        <f t="shared" si="80"/>
        <v>-0.70534374954240775</v>
      </c>
      <c r="BC23" s="6">
        <f t="shared" si="81"/>
        <v>25.471626039195613</v>
      </c>
      <c r="BD23" s="6">
        <f t="shared" si="73"/>
        <v>14.025161974966679</v>
      </c>
      <c r="BE23" s="6">
        <f t="shared" si="73"/>
        <v>47.495582794665808</v>
      </c>
      <c r="BF23" s="6">
        <f t="shared" si="73"/>
        <v>-16.355773583477031</v>
      </c>
      <c r="BG23" s="6">
        <f t="shared" si="73"/>
        <v>-26.44819611972234</v>
      </c>
      <c r="BH23" s="6">
        <f t="shared" si="82"/>
        <v>-118.00093155173286</v>
      </c>
      <c r="BI23" s="6" t="e">
        <f t="shared" si="82"/>
        <v>#REF!</v>
      </c>
    </row>
    <row r="24" spans="1:61" ht="17.45" hidden="1" customHeight="1" x14ac:dyDescent="0.2">
      <c r="A24" s="185" t="s">
        <v>149</v>
      </c>
      <c r="B24" s="202">
        <f t="shared" ref="B24:T24" si="89">B11*B16/1000000</f>
        <v>13.176883999999999</v>
      </c>
      <c r="C24" s="202">
        <f t="shared" si="89"/>
        <v>10.8171234</v>
      </c>
      <c r="D24" s="202">
        <f t="shared" si="89"/>
        <v>12.397245</v>
      </c>
      <c r="E24" s="202">
        <f t="shared" si="89"/>
        <v>36.151829999999997</v>
      </c>
      <c r="F24" s="202">
        <f t="shared" si="89"/>
        <v>46.028033999999998</v>
      </c>
      <c r="G24" s="202">
        <f t="shared" si="89"/>
        <v>48.034439999999996</v>
      </c>
      <c r="H24" s="202">
        <f t="shared" si="89"/>
        <v>46.638053858900001</v>
      </c>
      <c r="I24" s="202">
        <f t="shared" si="89"/>
        <v>66.904512008500006</v>
      </c>
      <c r="J24" s="202">
        <f t="shared" si="89"/>
        <v>191.07926125600002</v>
      </c>
      <c r="K24" s="202">
        <f t="shared" si="89"/>
        <v>264.19202135983579</v>
      </c>
      <c r="L24" s="202">
        <f t="shared" si="89"/>
        <v>282.39374705387382</v>
      </c>
      <c r="M24" s="202">
        <f t="shared" si="89"/>
        <v>162.33534422183226</v>
      </c>
      <c r="N24" s="202">
        <f t="shared" si="89"/>
        <v>177.24369397115737</v>
      </c>
      <c r="O24" s="202">
        <f t="shared" si="89"/>
        <v>164.57047229065378</v>
      </c>
      <c r="P24" s="202">
        <f t="shared" si="89"/>
        <v>185.6293556100712</v>
      </c>
      <c r="Q24" s="202">
        <f t="shared" si="89"/>
        <v>150.32916357644146</v>
      </c>
      <c r="R24" s="202">
        <f t="shared" si="89"/>
        <v>186.58684324624204</v>
      </c>
      <c r="S24" s="202">
        <f t="shared" si="89"/>
        <v>221.31653839119394</v>
      </c>
      <c r="T24" s="202">
        <f t="shared" si="89"/>
        <v>188.52587551653929</v>
      </c>
      <c r="U24" s="202">
        <f t="shared" ref="U24:Y24" si="90">U11*U16/1000000</f>
        <v>159.04087004992826</v>
      </c>
      <c r="V24" s="202">
        <f t="shared" si="90"/>
        <v>235.31658433692419</v>
      </c>
      <c r="W24" s="202">
        <f t="shared" si="90"/>
        <v>439.79441909867251</v>
      </c>
      <c r="X24" s="318">
        <f t="shared" si="90"/>
        <v>1548.0716162250828</v>
      </c>
      <c r="Y24" s="554">
        <f t="shared" si="90"/>
        <v>1875.0074161507778</v>
      </c>
      <c r="Z24" s="540">
        <f t="shared" ref="Z24:AE24" si="91">Z11*Z16/1000000</f>
        <v>815.07067728436959</v>
      </c>
      <c r="AA24" s="541">
        <f t="shared" si="91"/>
        <v>809.26389022336616</v>
      </c>
      <c r="AB24" s="541">
        <f t="shared" si="91"/>
        <v>-476.77879648591625</v>
      </c>
      <c r="AC24" s="549" t="e">
        <f t="shared" si="91"/>
        <v>#REF!</v>
      </c>
      <c r="AD24" s="549">
        <f t="shared" si="91"/>
        <v>-626.25450618341279</v>
      </c>
      <c r="AE24" s="549" t="e">
        <f t="shared" si="91"/>
        <v>#VALUE!</v>
      </c>
      <c r="AF24" s="549">
        <f t="shared" ref="AF24:AG24" si="92">AF11*AF16/1000000</f>
        <v>0</v>
      </c>
      <c r="AG24" s="549">
        <f t="shared" si="92"/>
        <v>0</v>
      </c>
      <c r="AH24" s="549">
        <f t="shared" ref="AH24" si="93">AH11*AH16/1000000</f>
        <v>0</v>
      </c>
      <c r="AI24" s="778"/>
      <c r="AJ24" s="778"/>
      <c r="AK24" s="778"/>
      <c r="AL24" s="778"/>
      <c r="AM24" s="778"/>
      <c r="AN24" s="778"/>
      <c r="AO24" s="778"/>
      <c r="AP24" s="778"/>
      <c r="AQ24" s="778"/>
      <c r="AR24" s="778"/>
      <c r="AS24" s="778"/>
      <c r="AT24" s="778"/>
      <c r="AU24" s="778"/>
      <c r="AV24" s="6">
        <f t="shared" si="65"/>
        <v>12.796270817175866</v>
      </c>
      <c r="AW24" s="6">
        <f t="shared" si="66"/>
        <v>-19.016492255557111</v>
      </c>
      <c r="AX24" s="6">
        <f t="shared" si="67"/>
        <v>24.118859446300164</v>
      </c>
      <c r="AY24" s="6">
        <f t="shared" si="68"/>
        <v>18.613153286010899</v>
      </c>
      <c r="AZ24" s="6">
        <f t="shared" si="69"/>
        <v>-14.816182790955565</v>
      </c>
      <c r="BA24" s="6">
        <f t="shared" si="70"/>
        <v>-15.639765833642457</v>
      </c>
      <c r="BB24" s="6">
        <f t="shared" si="80"/>
        <v>47.959819550188854</v>
      </c>
      <c r="BC24" s="6">
        <f t="shared" si="81"/>
        <v>86.894782761668324</v>
      </c>
      <c r="BD24" s="6">
        <f t="shared" si="73"/>
        <v>251.99892245057265</v>
      </c>
      <c r="BE24" s="6">
        <f t="shared" si="73"/>
        <v>21.11890667712882</v>
      </c>
      <c r="BF24" s="6">
        <f t="shared" si="73"/>
        <v>-56.529735815251513</v>
      </c>
      <c r="BG24" s="6">
        <f t="shared" si="73"/>
        <v>-0.71242742780913204</v>
      </c>
      <c r="BH24" s="6">
        <f t="shared" si="82"/>
        <v>-158.91512054915978</v>
      </c>
      <c r="BI24" s="6" t="e">
        <f t="shared" si="82"/>
        <v>#REF!</v>
      </c>
    </row>
    <row r="25" spans="1:61" ht="17.45" hidden="1" customHeight="1" x14ac:dyDescent="0.2">
      <c r="A25" s="185" t="s">
        <v>143</v>
      </c>
      <c r="B25" s="202">
        <f t="shared" ref="B25:T25" si="94">B12*B16/1000000</f>
        <v>90.881916000000004</v>
      </c>
      <c r="C25" s="202">
        <f t="shared" si="94"/>
        <v>71.697748799999999</v>
      </c>
      <c r="D25" s="202">
        <f t="shared" si="94"/>
        <v>55.709864000000003</v>
      </c>
      <c r="E25" s="202">
        <f t="shared" si="94"/>
        <v>128.86427950000001</v>
      </c>
      <c r="F25" s="202">
        <f t="shared" si="94"/>
        <v>193.77891</v>
      </c>
      <c r="G25" s="202">
        <f t="shared" si="94"/>
        <v>208.6845075</v>
      </c>
      <c r="H25" s="202">
        <f t="shared" si="94"/>
        <v>185.89128452439999</v>
      </c>
      <c r="I25" s="202">
        <f t="shared" si="94"/>
        <v>308.51285595774993</v>
      </c>
      <c r="J25" s="202">
        <f t="shared" si="94"/>
        <v>271.73403353264001</v>
      </c>
      <c r="K25" s="202">
        <f t="shared" si="94"/>
        <v>362.2637411070022</v>
      </c>
      <c r="L25" s="202">
        <f t="shared" si="94"/>
        <v>350.24878023962276</v>
      </c>
      <c r="M25" s="202">
        <f t="shared" si="94"/>
        <v>188.3069015803737</v>
      </c>
      <c r="N25" s="202">
        <f t="shared" si="94"/>
        <v>203.04652405758887</v>
      </c>
      <c r="O25" s="202">
        <f t="shared" si="94"/>
        <v>123.59308909626006</v>
      </c>
      <c r="P25" s="202">
        <f t="shared" si="94"/>
        <v>171.88649410553521</v>
      </c>
      <c r="Q25" s="202">
        <f t="shared" si="94"/>
        <v>107.53350004741158</v>
      </c>
      <c r="R25" s="202">
        <f t="shared" si="94"/>
        <v>242.7510808300334</v>
      </c>
      <c r="S25" s="202">
        <f t="shared" si="94"/>
        <v>324.88161437685551</v>
      </c>
      <c r="T25" s="202">
        <f t="shared" si="94"/>
        <v>273.53716262678523</v>
      </c>
      <c r="U25" s="202">
        <f t="shared" ref="U25:Y25" si="95">U12*U16/1000000</f>
        <v>246.94224252991808</v>
      </c>
      <c r="V25" s="202">
        <f t="shared" si="95"/>
        <v>240.23382509155078</v>
      </c>
      <c r="W25" s="202">
        <f t="shared" si="95"/>
        <v>188.67553824312989</v>
      </c>
      <c r="X25" s="318">
        <f t="shared" si="95"/>
        <v>242.7305910505284</v>
      </c>
      <c r="Y25" s="554">
        <f t="shared" si="95"/>
        <v>578.65329766545642</v>
      </c>
      <c r="Z25" s="540">
        <f t="shared" ref="Z25:AE25" si="96">Z12*Z16/1000000</f>
        <v>355.72016767679355</v>
      </c>
      <c r="AA25" s="540">
        <f t="shared" si="96"/>
        <v>258.67387846447781</v>
      </c>
      <c r="AB25" s="540">
        <f t="shared" si="96"/>
        <v>-134.86715860783679</v>
      </c>
      <c r="AC25" s="555" t="e">
        <f t="shared" si="96"/>
        <v>#REF!</v>
      </c>
      <c r="AD25" s="555">
        <f t="shared" si="96"/>
        <v>-215.29843265944825</v>
      </c>
      <c r="AE25" s="555" t="e">
        <f t="shared" si="96"/>
        <v>#VALUE!</v>
      </c>
      <c r="AF25" s="555">
        <f t="shared" ref="AF25:AG25" si="97">AF12*AF16/1000000</f>
        <v>0</v>
      </c>
      <c r="AG25" s="555">
        <f t="shared" si="97"/>
        <v>0</v>
      </c>
      <c r="AH25" s="555">
        <f t="shared" ref="AH25" si="98">AH12*AH16/1000000</f>
        <v>0</v>
      </c>
      <c r="AI25" s="781"/>
      <c r="AJ25" s="781"/>
      <c r="AK25" s="781"/>
      <c r="AL25" s="781"/>
      <c r="AM25" s="781"/>
      <c r="AN25" s="781"/>
      <c r="AO25" s="781"/>
      <c r="AP25" s="781"/>
      <c r="AQ25" s="781"/>
      <c r="AR25" s="781"/>
      <c r="AS25" s="781"/>
      <c r="AT25" s="781"/>
      <c r="AU25" s="781"/>
      <c r="AV25" s="6">
        <f t="shared" si="65"/>
        <v>39.074518941477379</v>
      </c>
      <c r="AW25" s="6">
        <f t="shared" si="66"/>
        <v>-37.439238256038919</v>
      </c>
      <c r="AX25" s="6">
        <f t="shared" si="67"/>
        <v>125.74461049161826</v>
      </c>
      <c r="AY25" s="6">
        <f t="shared" si="68"/>
        <v>33.833230841236627</v>
      </c>
      <c r="AZ25" s="6">
        <f t="shared" si="69"/>
        <v>-15.804049683929435</v>
      </c>
      <c r="BA25" s="6">
        <f t="shared" si="70"/>
        <v>-9.7225985096413865</v>
      </c>
      <c r="BB25" s="6">
        <f t="shared" si="80"/>
        <v>-2.7165937142384848</v>
      </c>
      <c r="BC25" s="6">
        <f t="shared" si="81"/>
        <v>-21.46170999390803</v>
      </c>
      <c r="BD25" s="6">
        <f t="shared" si="73"/>
        <v>28.649740878302111</v>
      </c>
      <c r="BE25" s="6">
        <f t="shared" si="73"/>
        <v>138.39323060231834</v>
      </c>
      <c r="BF25" s="6">
        <f t="shared" si="73"/>
        <v>-38.526200557064797</v>
      </c>
      <c r="BG25" s="6">
        <f t="shared" si="73"/>
        <v>-27.281638217513645</v>
      </c>
      <c r="BH25" s="6">
        <f t="shared" si="82"/>
        <v>-152.13791180169642</v>
      </c>
      <c r="BI25" s="6" t="e">
        <f t="shared" si="82"/>
        <v>#REF!</v>
      </c>
    </row>
    <row r="26" spans="1:61" ht="17.45" hidden="1" customHeight="1" x14ac:dyDescent="0.2">
      <c r="A26" s="185" t="s">
        <v>144</v>
      </c>
      <c r="B26" s="202">
        <f t="shared" ref="B26:T26" si="99">B13*B16/1000000</f>
        <v>199.83966400000008</v>
      </c>
      <c r="C26" s="202">
        <f t="shared" si="99"/>
        <v>176.60397179999987</v>
      </c>
      <c r="D26" s="202">
        <f t="shared" si="99"/>
        <v>167.81696399999964</v>
      </c>
      <c r="E26" s="202">
        <f t="shared" si="99"/>
        <v>305.51386250000115</v>
      </c>
      <c r="F26" s="202">
        <f t="shared" si="99"/>
        <v>470.5014014999997</v>
      </c>
      <c r="G26" s="202">
        <f t="shared" si="99"/>
        <v>529.10028750000004</v>
      </c>
      <c r="H26" s="202">
        <f t="shared" si="99"/>
        <v>860.06760844479913</v>
      </c>
      <c r="I26" s="202">
        <f t="shared" si="99"/>
        <v>1288.5546544307492</v>
      </c>
      <c r="J26" s="202">
        <f t="shared" si="99"/>
        <v>1226.9424574097623</v>
      </c>
      <c r="K26" s="202">
        <f t="shared" si="99"/>
        <v>1540.1057803199205</v>
      </c>
      <c r="L26" s="202">
        <f t="shared" si="99"/>
        <v>1756.9775802926379</v>
      </c>
      <c r="M26" s="202">
        <f t="shared" si="99"/>
        <v>1002.8391790216571</v>
      </c>
      <c r="N26" s="202">
        <f t="shared" si="99"/>
        <v>1003.4564983747493</v>
      </c>
      <c r="O26" s="202">
        <f t="shared" si="99"/>
        <v>1058.0561222495892</v>
      </c>
      <c r="P26" s="202">
        <f t="shared" si="99"/>
        <v>1175.8882018219288</v>
      </c>
      <c r="Q26" s="202">
        <f t="shared" si="99"/>
        <v>1162.2817719779841</v>
      </c>
      <c r="R26" s="202">
        <f t="shared" si="99"/>
        <v>1929.6343928958995</v>
      </c>
      <c r="S26" s="202">
        <f t="shared" si="99"/>
        <v>2440.3436790700212</v>
      </c>
      <c r="T26" s="202">
        <f t="shared" si="99"/>
        <v>2265.9862826918584</v>
      </c>
      <c r="U26" s="202">
        <f t="shared" ref="U26:Y26" si="100">U13*U16/1000000</f>
        <v>2184.4733880088556</v>
      </c>
      <c r="V26" s="202">
        <f t="shared" si="100"/>
        <v>2086.2597492611289</v>
      </c>
      <c r="W26" s="202">
        <f t="shared" si="100"/>
        <v>1466.0723637627784</v>
      </c>
      <c r="X26" s="318">
        <f t="shared" si="100"/>
        <v>1128.5827929365348</v>
      </c>
      <c r="Y26" s="554">
        <f t="shared" si="100"/>
        <v>4889.1139031557786</v>
      </c>
      <c r="Z26" s="540">
        <f t="shared" ref="Z26:AE26" si="101">Z13*Z16/1000000</f>
        <v>2564.4765053439328</v>
      </c>
      <c r="AA26" s="540">
        <f t="shared" si="101"/>
        <v>2104.2663584040574</v>
      </c>
      <c r="AB26" s="540">
        <f t="shared" si="101"/>
        <v>-1723.8835803091788</v>
      </c>
      <c r="AC26" s="555" t="e">
        <f t="shared" si="101"/>
        <v>#REF!</v>
      </c>
      <c r="AD26" s="555">
        <f t="shared" si="101"/>
        <v>-1483.8431713116179</v>
      </c>
      <c r="AE26" s="555" t="e">
        <f t="shared" si="101"/>
        <v>#VALUE!</v>
      </c>
      <c r="AF26" s="555">
        <f t="shared" ref="AF26:AG26" si="102">AF13*AF16/1000000</f>
        <v>0</v>
      </c>
      <c r="AG26" s="555">
        <f t="shared" si="102"/>
        <v>0</v>
      </c>
      <c r="AH26" s="555">
        <f t="shared" ref="AH26" si="103">AH13*AH16/1000000</f>
        <v>0</v>
      </c>
      <c r="AI26" s="781"/>
      <c r="AJ26" s="781"/>
      <c r="AK26" s="781"/>
      <c r="AL26" s="781"/>
      <c r="AM26" s="781"/>
      <c r="AN26" s="781"/>
      <c r="AO26" s="781"/>
      <c r="AP26" s="781"/>
      <c r="AQ26" s="781"/>
      <c r="AR26" s="781"/>
      <c r="AS26" s="781"/>
      <c r="AT26" s="781"/>
      <c r="AU26" s="781"/>
      <c r="AV26" s="6">
        <f t="shared" si="65"/>
        <v>11.136656845934652</v>
      </c>
      <c r="AW26" s="6">
        <f t="shared" si="66"/>
        <v>-1.157119343732063</v>
      </c>
      <c r="AX26" s="6">
        <f t="shared" si="67"/>
        <v>66.021221309530318</v>
      </c>
      <c r="AY26" s="6">
        <f t="shared" si="68"/>
        <v>26.466634718697904</v>
      </c>
      <c r="AZ26" s="6">
        <f t="shared" si="69"/>
        <v>-7.1447885752144487</v>
      </c>
      <c r="BA26" s="6">
        <f t="shared" si="70"/>
        <v>-3.597236898811687</v>
      </c>
      <c r="BB26" s="6">
        <f t="shared" si="80"/>
        <v>-4.4959869635788152</v>
      </c>
      <c r="BC26" s="6">
        <f t="shared" si="81"/>
        <v>-29.727237258831096</v>
      </c>
      <c r="BD26" s="6">
        <f t="shared" si="73"/>
        <v>-23.019980402608013</v>
      </c>
      <c r="BE26" s="6">
        <f t="shared" si="73"/>
        <v>333.20826205709437</v>
      </c>
      <c r="BF26" s="6">
        <f t="shared" si="73"/>
        <v>-47.547212927711932</v>
      </c>
      <c r="BG26" s="6">
        <f t="shared" si="73"/>
        <v>-17.945578599799049</v>
      </c>
      <c r="BH26" s="6">
        <f t="shared" si="82"/>
        <v>-181.9232590695708</v>
      </c>
      <c r="BI26" s="6" t="e">
        <f t="shared" si="82"/>
        <v>#REF!</v>
      </c>
    </row>
    <row r="27" spans="1:61" ht="17.45" hidden="1" customHeight="1" x14ac:dyDescent="0.2">
      <c r="A27" s="185" t="s">
        <v>148</v>
      </c>
      <c r="B27" s="202">
        <v>574.79999999999995</v>
      </c>
      <c r="C27" s="202">
        <f t="shared" ref="C27:M27" si="104">C8*(C16-B16)/1000000</f>
        <v>-757.88880700000004</v>
      </c>
      <c r="D27" s="202">
        <f t="shared" si="104"/>
        <v>-459.54591679999993</v>
      </c>
      <c r="E27" s="202">
        <f t="shared" si="104"/>
        <v>2756.2125159999996</v>
      </c>
      <c r="F27" s="202">
        <f t="shared" si="104"/>
        <v>2682.6090380000001</v>
      </c>
      <c r="G27" s="202">
        <f t="shared" si="104"/>
        <v>462.75029999999998</v>
      </c>
      <c r="H27" s="202">
        <f t="shared" si="104"/>
        <v>-418.11561035499994</v>
      </c>
      <c r="I27" s="202">
        <f t="shared" si="104"/>
        <v>6420.4253152091978</v>
      </c>
      <c r="J27" s="202">
        <f t="shared" si="104"/>
        <v>29.820286819051443</v>
      </c>
      <c r="K27" s="202">
        <f t="shared" si="104"/>
        <v>6398.1041701763534</v>
      </c>
      <c r="L27" s="202">
        <f t="shared" si="104"/>
        <v>1836.4514384871313</v>
      </c>
      <c r="M27" s="202">
        <f t="shared" si="104"/>
        <v>-13440.527034379076</v>
      </c>
      <c r="N27" s="202">
        <f t="shared" ref="N27:R27" si="105">N8*(N16-M16)/1000000</f>
        <v>1063.8780629907167</v>
      </c>
      <c r="O27" s="202">
        <f t="shared" si="105"/>
        <v>-1024.5289514982276</v>
      </c>
      <c r="P27" s="202">
        <f t="shared" si="105"/>
        <v>2800.9654600228664</v>
      </c>
      <c r="Q27" s="202">
        <f t="shared" si="105"/>
        <v>-2265.1662815436498</v>
      </c>
      <c r="R27" s="202">
        <f t="shared" si="105"/>
        <v>15689.076228998718</v>
      </c>
      <c r="S27" s="202">
        <f t="shared" ref="S27:Y27" si="106">S8*(S16-R16)/1000000</f>
        <v>10838.979726252168</v>
      </c>
      <c r="T27" s="202">
        <f t="shared" si="106"/>
        <v>-4463.4290726723202</v>
      </c>
      <c r="U27" s="202">
        <f t="shared" si="106"/>
        <v>-2759.9605135728953</v>
      </c>
      <c r="V27" s="202">
        <f t="shared" si="106"/>
        <v>-830.29649590770555</v>
      </c>
      <c r="W27" s="202">
        <f t="shared" si="106"/>
        <v>-10007.48757998257</v>
      </c>
      <c r="X27" s="318">
        <f t="shared" si="106"/>
        <v>17334.763090835215</v>
      </c>
      <c r="Y27" s="554">
        <f t="shared" si="106"/>
        <v>77523.594567311739</v>
      </c>
      <c r="Z27" s="540">
        <f t="shared" ref="Z27:AH27" si="107">Z8*(Z16-Y16)/1000000</f>
        <v>-60858.298805794431</v>
      </c>
      <c r="AA27" s="540">
        <f t="shared" si="107"/>
        <v>-13562.344671463534</v>
      </c>
      <c r="AB27" s="540">
        <f t="shared" si="107"/>
        <v>-137624.62059092577</v>
      </c>
      <c r="AC27" s="555" t="e">
        <f t="shared" si="107"/>
        <v>#REF!</v>
      </c>
      <c r="AD27" s="555" t="e">
        <f t="shared" si="107"/>
        <v>#REF!</v>
      </c>
      <c r="AE27" s="555" t="e">
        <f t="shared" si="107"/>
        <v>#VALUE!</v>
      </c>
      <c r="AF27" s="555" t="e">
        <f t="shared" si="107"/>
        <v>#VALUE!</v>
      </c>
      <c r="AG27" s="555">
        <f t="shared" si="107"/>
        <v>0</v>
      </c>
      <c r="AH27" s="555">
        <f t="shared" si="107"/>
        <v>0</v>
      </c>
      <c r="AI27" s="781"/>
      <c r="AJ27" s="781"/>
      <c r="AK27" s="781"/>
      <c r="AL27" s="781"/>
      <c r="AM27" s="781"/>
      <c r="AN27" s="781"/>
      <c r="AO27" s="781"/>
      <c r="AP27" s="781"/>
      <c r="AQ27" s="781"/>
      <c r="AR27" s="781"/>
      <c r="AS27" s="781"/>
      <c r="AT27" s="781"/>
      <c r="AU27" s="781"/>
      <c r="AV27" s="6">
        <f t="shared" si="65"/>
        <v>-373.3905621629192</v>
      </c>
      <c r="AW27" s="6">
        <f t="shared" si="66"/>
        <v>-180.8709109010276</v>
      </c>
      <c r="AX27" s="6">
        <f t="shared" si="67"/>
        <v>-792.62359928415651</v>
      </c>
      <c r="AY27" s="6">
        <f t="shared" si="68"/>
        <v>-30.913843695793446</v>
      </c>
      <c r="AZ27" s="6">
        <f t="shared" si="69"/>
        <v>-141.17942080712476</v>
      </c>
      <c r="BA27" s="6">
        <f t="shared" si="70"/>
        <v>-38.165019122383711</v>
      </c>
      <c r="BB27" s="6">
        <f t="shared" si="80"/>
        <v>-69.916363229673578</v>
      </c>
      <c r="BC27" s="6">
        <f t="shared" si="81"/>
        <v>1105.2908363827403</v>
      </c>
      <c r="BD27" s="6">
        <f t="shared" si="73"/>
        <v>-273.21793259587946</v>
      </c>
      <c r="BE27" s="6">
        <f t="shared" si="73"/>
        <v>347.21461816976318</v>
      </c>
      <c r="BF27" s="6">
        <f t="shared" si="73"/>
        <v>-178.50293726118792</v>
      </c>
      <c r="BG27" s="6">
        <f t="shared" si="73"/>
        <v>-77.714880406462754</v>
      </c>
      <c r="BH27" s="6">
        <f t="shared" si="82"/>
        <v>914.75536807806611</v>
      </c>
      <c r="BI27" s="6" t="e">
        <f t="shared" si="82"/>
        <v>#REF!</v>
      </c>
    </row>
    <row r="28" spans="1:61" ht="17.45" hidden="1" customHeight="1" x14ac:dyDescent="0.2">
      <c r="A28" s="185" t="s">
        <v>151</v>
      </c>
      <c r="B28" s="202">
        <f t="shared" ref="B28:V28" si="108">B21+B22+B23-B24-B25+B27</f>
        <v>3976.8396640000001</v>
      </c>
      <c r="C28" s="202">
        <f t="shared" si="108"/>
        <v>3395.5548287999991</v>
      </c>
      <c r="D28" s="202">
        <f t="shared" si="108"/>
        <v>3103.8258759999994</v>
      </c>
      <c r="E28" s="202">
        <f t="shared" si="108"/>
        <v>6165.5522544999985</v>
      </c>
      <c r="F28" s="202">
        <f t="shared" si="108"/>
        <v>9318.6626939999987</v>
      </c>
      <c r="G28" s="202">
        <f t="shared" si="108"/>
        <v>10310.5132815</v>
      </c>
      <c r="H28" s="202">
        <f t="shared" si="108"/>
        <v>10752.4652795898</v>
      </c>
      <c r="I28" s="202">
        <f t="shared" si="108"/>
        <v>18461.44524922975</v>
      </c>
      <c r="J28" s="202">
        <f t="shared" si="108"/>
        <v>19718.20799345856</v>
      </c>
      <c r="K28" s="202">
        <f t="shared" si="108"/>
        <v>27656.417943954832</v>
      </c>
      <c r="L28" s="202">
        <f t="shared" si="108"/>
        <v>31249.846962734598</v>
      </c>
      <c r="M28" s="202">
        <f t="shared" si="108"/>
        <v>18812.159107377178</v>
      </c>
      <c r="N28" s="202">
        <f t="shared" si="108"/>
        <v>20879.493668742634</v>
      </c>
      <c r="O28" s="202">
        <f t="shared" si="108"/>
        <v>20913.020839493995</v>
      </c>
      <c r="P28" s="202">
        <f t="shared" si="108"/>
        <v>24889.874501338785</v>
      </c>
      <c r="Q28" s="202">
        <f t="shared" si="108"/>
        <v>23786.989991773124</v>
      </c>
      <c r="R28" s="202">
        <f t="shared" si="108"/>
        <v>41405.700613667737</v>
      </c>
      <c r="S28" s="202">
        <f t="shared" si="108"/>
        <v>54685.024018989927</v>
      </c>
      <c r="T28" s="202">
        <f t="shared" si="108"/>
        <v>52487.581229009469</v>
      </c>
      <c r="U28" s="202">
        <f t="shared" si="108"/>
        <v>51912.094103445437</v>
      </c>
      <c r="V28" s="202">
        <f t="shared" si="108"/>
        <v>53168.057356798869</v>
      </c>
      <c r="W28" s="321">
        <f t="shared" ref="W28:AB28" si="109">W21+W22+W23-W24-W25+W27</f>
        <v>44626.642140579075</v>
      </c>
      <c r="X28" s="322">
        <f t="shared" si="109"/>
        <v>63089.988024350823</v>
      </c>
      <c r="Y28" s="550">
        <f t="shared" si="109"/>
        <v>145502.69649481834</v>
      </c>
      <c r="Z28" s="542">
        <f t="shared" si="109"/>
        <v>87208.874194367803</v>
      </c>
      <c r="AA28" s="542">
        <f t="shared" si="109"/>
        <v>75750.795881308324</v>
      </c>
      <c r="AB28" s="542">
        <f t="shared" si="109"/>
        <v>-63597.708289926624</v>
      </c>
      <c r="AC28" s="551" t="e">
        <f t="shared" ref="AC28:AD28" si="110">AC21+AC22+AC23-AC24-AC25+AC27</f>
        <v>#REF!</v>
      </c>
      <c r="AD28" s="551" t="e">
        <f t="shared" si="110"/>
        <v>#REF!</v>
      </c>
      <c r="AE28" s="551" t="e">
        <f t="shared" ref="AE28:AF28" si="111">AE21+AE22+AE23-AE24-AE25+AE27</f>
        <v>#REF!</v>
      </c>
      <c r="AF28" s="551" t="e">
        <f t="shared" si="111"/>
        <v>#REF!</v>
      </c>
      <c r="AG28" s="551" t="e">
        <f t="shared" ref="AG28:AH28" si="112">AG21+AG22+AG23-AG24-AG25+AG27</f>
        <v>#REF!</v>
      </c>
      <c r="AH28" s="551" t="e">
        <f t="shared" si="112"/>
        <v>#REF!</v>
      </c>
      <c r="AI28" s="779"/>
      <c r="AJ28" s="779"/>
      <c r="AK28" s="779"/>
      <c r="AL28" s="779"/>
      <c r="AM28" s="779"/>
      <c r="AN28" s="779"/>
      <c r="AO28" s="779"/>
      <c r="AP28" s="779"/>
      <c r="AQ28" s="779"/>
      <c r="AR28" s="779"/>
      <c r="AS28" s="779"/>
      <c r="AT28" s="779"/>
      <c r="AU28" s="779"/>
      <c r="AV28" s="6">
        <f t="shared" si="65"/>
        <v>19.016160756338692</v>
      </c>
      <c r="AW28" s="6">
        <f t="shared" si="66"/>
        <v>-4.4310569324338616</v>
      </c>
      <c r="AX28" s="6">
        <f t="shared" si="67"/>
        <v>74.06868472214498</v>
      </c>
      <c r="AY28" s="6">
        <f t="shared" si="68"/>
        <v>32.07124431783862</v>
      </c>
      <c r="AZ28" s="6">
        <f t="shared" si="69"/>
        <v>-4.0183630333916938</v>
      </c>
      <c r="BA28" s="6">
        <f t="shared" si="70"/>
        <v>-1.0964253106903783</v>
      </c>
      <c r="BB28" s="6">
        <f t="shared" si="80"/>
        <v>2.41940394631483</v>
      </c>
      <c r="BC28" s="6">
        <f t="shared" si="81"/>
        <v>-16.064937559971909</v>
      </c>
      <c r="BD28" s="6">
        <f t="shared" si="73"/>
        <v>41.372922089029402</v>
      </c>
      <c r="BE28" s="6">
        <f t="shared" si="73"/>
        <v>130.62723746065495</v>
      </c>
      <c r="BF28" s="6">
        <f t="shared" si="73"/>
        <v>-40.063740195032402</v>
      </c>
      <c r="BG28" s="6">
        <f t="shared" si="73"/>
        <v>-13.138660966454125</v>
      </c>
      <c r="BH28" s="6">
        <f t="shared" si="82"/>
        <v>-183.9564885754811</v>
      </c>
      <c r="BI28" s="6" t="e">
        <f t="shared" si="82"/>
        <v>#REF!</v>
      </c>
    </row>
    <row r="29" spans="1:61" ht="17.45" hidden="1" customHeight="1" thickBot="1" x14ac:dyDescent="0.25">
      <c r="A29" s="188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319"/>
      <c r="Y29" s="556"/>
      <c r="Z29" s="557"/>
      <c r="AA29" s="557"/>
      <c r="AB29" s="557"/>
      <c r="AC29" s="558"/>
      <c r="AD29" s="558"/>
      <c r="AE29" s="558"/>
      <c r="AF29" s="558"/>
      <c r="AG29" s="558"/>
      <c r="AH29" s="558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</row>
    <row r="30" spans="1:61" ht="17.45" customHeight="1" thickTop="1" x14ac:dyDescent="0.2"/>
    <row r="31" spans="1:61" ht="17.45" customHeight="1" x14ac:dyDescent="0.2"/>
    <row r="32" spans="1:61" ht="17.45" customHeight="1" thickBot="1" x14ac:dyDescent="0.25">
      <c r="U32" s="74"/>
    </row>
    <row r="33" ht="17.45" customHeight="1" thickTop="1" x14ac:dyDescent="0.2"/>
    <row r="34" ht="17.45" customHeight="1" x14ac:dyDescent="0.2"/>
    <row r="35" ht="17.45" customHeight="1" x14ac:dyDescent="0.2"/>
    <row r="36" ht="17.45" customHeight="1" x14ac:dyDescent="0.2"/>
    <row r="37" ht="17.45" customHeight="1" x14ac:dyDescent="0.2"/>
    <row r="38" ht="17.45" customHeight="1" x14ac:dyDescent="0.2"/>
    <row r="39" ht="17.45" customHeight="1" x14ac:dyDescent="0.2"/>
    <row r="40" ht="17.45" customHeight="1" x14ac:dyDescent="0.2"/>
  </sheetData>
  <mergeCells count="50">
    <mergeCell ref="AJ4:AJ5"/>
    <mergeCell ref="BC4:BC5"/>
    <mergeCell ref="AX4:AX5"/>
    <mergeCell ref="BB4:BB5"/>
    <mergeCell ref="BI4:BI5"/>
    <mergeCell ref="BE4:BE5"/>
    <mergeCell ref="BF4:BF5"/>
    <mergeCell ref="BG4:BG5"/>
    <mergeCell ref="BD4:BD5"/>
    <mergeCell ref="BH4:BH5"/>
    <mergeCell ref="G4:G5"/>
    <mergeCell ref="H4:H5"/>
    <mergeCell ref="I4:I5"/>
    <mergeCell ref="J4:J5"/>
    <mergeCell ref="X4:X5"/>
    <mergeCell ref="U4:U5"/>
    <mergeCell ref="V4:V5"/>
    <mergeCell ref="W4:W5"/>
    <mergeCell ref="Y4:Y5"/>
    <mergeCell ref="AA4:AA5"/>
    <mergeCell ref="AC4:AC5"/>
    <mergeCell ref="AB4:AB5"/>
    <mergeCell ref="BA4:BA5"/>
    <mergeCell ref="AZ4:AZ5"/>
    <mergeCell ref="AV4:AV5"/>
    <mergeCell ref="AW4:AW5"/>
    <mergeCell ref="Z4:Z5"/>
    <mergeCell ref="AY4:AY5"/>
    <mergeCell ref="AD4:AD5"/>
    <mergeCell ref="AF4:AF5"/>
    <mergeCell ref="AE4:AE5"/>
    <mergeCell ref="AG4:AG5"/>
    <mergeCell ref="AH4:AH5"/>
    <mergeCell ref="AI4:AI5"/>
    <mergeCell ref="A4:A5"/>
    <mergeCell ref="M4:M5"/>
    <mergeCell ref="N4:N5"/>
    <mergeCell ref="O4:O5"/>
    <mergeCell ref="T4:T5"/>
    <mergeCell ref="P4:P5"/>
    <mergeCell ref="S4:S5"/>
    <mergeCell ref="K4:K5"/>
    <mergeCell ref="L4:L5"/>
    <mergeCell ref="Q4:Q5"/>
    <mergeCell ref="R4:R5"/>
    <mergeCell ref="B4:B5"/>
    <mergeCell ref="F4:F5"/>
    <mergeCell ref="D4:D5"/>
    <mergeCell ref="C4:C5"/>
    <mergeCell ref="E4:E5"/>
  </mergeCells>
  <phoneticPr fontId="0" type="noConversion"/>
  <printOptions horizontalCentered="1" verticalCentered="1"/>
  <pageMargins left="0.25" right="0.25" top="0.75" bottom="0.75" header="0.3" footer="0.3"/>
  <pageSetup paperSize="9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/>
  </sheetPr>
  <dimension ref="A1:AX41"/>
  <sheetViews>
    <sheetView showGridLines="0" zoomScale="90" zoomScaleNormal="90" zoomScaleSheetLayoutView="80" workbookViewId="0">
      <pane xSplit="1" ySplit="5" topLeftCell="AH6" activePane="bottomRight" state="frozen"/>
      <selection activeCell="AF6" sqref="AF6"/>
      <selection pane="topRight" activeCell="AF6" sqref="AF6"/>
      <selection pane="bottomLeft" activeCell="AF6" sqref="AF6"/>
      <selection pane="bottomRight" activeCell="AI11" sqref="AI11"/>
    </sheetView>
  </sheetViews>
  <sheetFormatPr defaultColWidth="9.33203125" defaultRowHeight="13.5" x14ac:dyDescent="0.2"/>
  <cols>
    <col min="1" max="1" width="27.5" style="2" customWidth="1"/>
    <col min="2" max="18" width="12.83203125" style="2" customWidth="1"/>
    <col min="19" max="19" width="15" style="2" customWidth="1"/>
    <col min="20" max="20" width="13.1640625" style="2" customWidth="1"/>
    <col min="21" max="21" width="12.1640625" style="2" customWidth="1"/>
    <col min="22" max="22" width="13" style="2" customWidth="1"/>
    <col min="23" max="36" width="15.6640625" style="2" customWidth="1"/>
    <col min="37" max="37" width="18.6640625" style="2" customWidth="1"/>
    <col min="38" max="38" width="17.33203125" style="2" hidden="1" customWidth="1"/>
    <col min="39" max="39" width="11.83203125" style="2" hidden="1" customWidth="1"/>
    <col min="40" max="44" width="12.83203125" style="2" hidden="1" customWidth="1"/>
    <col min="45" max="46" width="14.1640625" style="2" hidden="1" customWidth="1"/>
    <col min="47" max="47" width="12.83203125" style="2" hidden="1" customWidth="1"/>
    <col min="48" max="48" width="14.1640625" style="2" hidden="1" customWidth="1"/>
    <col min="49" max="49" width="12.83203125" style="2" hidden="1" customWidth="1"/>
    <col min="50" max="50" width="14.6640625" style="2" hidden="1" customWidth="1"/>
    <col min="51" max="16384" width="9.33203125" style="2"/>
  </cols>
  <sheetData>
    <row r="1" spans="1:44" ht="15" x14ac:dyDescent="0.2">
      <c r="A1" s="324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44" ht="15" x14ac:dyDescent="0.2">
      <c r="A2" s="1" t="s">
        <v>121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44" ht="14.25" thickBot="1" x14ac:dyDescent="0.25"/>
    <row r="4" spans="1:44" ht="17.45" customHeight="1" thickTop="1" x14ac:dyDescent="0.2">
      <c r="A4" s="961" t="s">
        <v>0</v>
      </c>
      <c r="B4" s="995">
        <v>1990</v>
      </c>
      <c r="C4" s="991">
        <v>1991</v>
      </c>
      <c r="D4" s="991">
        <v>1992</v>
      </c>
      <c r="E4" s="991">
        <v>1993</v>
      </c>
      <c r="F4" s="991">
        <v>1994</v>
      </c>
      <c r="G4" s="991">
        <v>1995</v>
      </c>
      <c r="H4" s="991">
        <v>1996</v>
      </c>
      <c r="I4" s="991">
        <v>1997</v>
      </c>
      <c r="J4" s="991">
        <v>1998</v>
      </c>
      <c r="K4" s="991">
        <v>1999</v>
      </c>
      <c r="L4" s="991">
        <v>2000</v>
      </c>
      <c r="M4" s="991">
        <v>2001</v>
      </c>
      <c r="N4" s="991">
        <v>2002</v>
      </c>
      <c r="O4" s="993">
        <v>2003</v>
      </c>
      <c r="P4" s="993">
        <v>2004</v>
      </c>
      <c r="Q4" s="993">
        <v>2005</v>
      </c>
      <c r="R4" s="993">
        <v>2006</v>
      </c>
      <c r="S4" s="993">
        <v>2007</v>
      </c>
      <c r="T4" s="993">
        <v>2008</v>
      </c>
      <c r="U4" s="993">
        <v>2009</v>
      </c>
      <c r="V4" s="993">
        <v>2010</v>
      </c>
      <c r="W4" s="993">
        <v>2011</v>
      </c>
      <c r="X4" s="993">
        <v>2012</v>
      </c>
      <c r="Y4" s="993">
        <v>2013</v>
      </c>
      <c r="Z4" s="999">
        <v>2014</v>
      </c>
      <c r="AA4" s="999">
        <v>2015</v>
      </c>
      <c r="AB4" s="999">
        <v>2016</v>
      </c>
      <c r="AC4" s="999">
        <v>2017</v>
      </c>
      <c r="AD4" s="999">
        <v>2018</v>
      </c>
      <c r="AE4" s="999">
        <v>2019</v>
      </c>
      <c r="AF4" s="999">
        <v>2020</v>
      </c>
      <c r="AG4" s="999">
        <v>2021</v>
      </c>
      <c r="AH4" s="999">
        <v>2022</v>
      </c>
      <c r="AI4" s="999">
        <v>2023</v>
      </c>
      <c r="AJ4" s="999">
        <v>2024</v>
      </c>
    </row>
    <row r="5" spans="1:44" ht="17.45" customHeight="1" x14ac:dyDescent="0.2">
      <c r="A5" s="990"/>
      <c r="B5" s="996"/>
      <c r="C5" s="992"/>
      <c r="D5" s="992"/>
      <c r="E5" s="992"/>
      <c r="F5" s="992"/>
      <c r="G5" s="992"/>
      <c r="H5" s="992"/>
      <c r="I5" s="992"/>
      <c r="J5" s="992"/>
      <c r="K5" s="992"/>
      <c r="L5" s="992"/>
      <c r="M5" s="992"/>
      <c r="N5" s="992"/>
      <c r="O5" s="994"/>
      <c r="P5" s="994"/>
      <c r="Q5" s="994"/>
      <c r="R5" s="994"/>
      <c r="S5" s="994"/>
      <c r="T5" s="1005"/>
      <c r="U5" s="994"/>
      <c r="V5" s="994"/>
      <c r="W5" s="994"/>
      <c r="X5" s="994"/>
      <c r="Y5" s="994"/>
      <c r="Z5" s="1000"/>
      <c r="AA5" s="1000"/>
      <c r="AB5" s="1000"/>
      <c r="AC5" s="1000"/>
      <c r="AD5" s="1000"/>
      <c r="AE5" s="1000"/>
      <c r="AF5" s="1000"/>
      <c r="AG5" s="1000"/>
      <c r="AH5" s="1000"/>
      <c r="AI5" s="1000"/>
      <c r="AJ5" s="1000"/>
    </row>
    <row r="6" spans="1:44" ht="17.45" customHeight="1" x14ac:dyDescent="0.2">
      <c r="A6" s="185" t="s">
        <v>187</v>
      </c>
      <c r="B6" s="388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O6" s="10"/>
      <c r="AP6" s="10"/>
      <c r="AQ6" s="10"/>
      <c r="AR6" s="10"/>
    </row>
    <row r="7" spans="1:44" ht="17.45" customHeight="1" x14ac:dyDescent="0.2">
      <c r="A7" s="185"/>
      <c r="B7" s="388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O7" s="10"/>
      <c r="AP7" s="10"/>
      <c r="AQ7" s="10"/>
      <c r="AR7" s="10"/>
    </row>
    <row r="8" spans="1:44" s="1" customFormat="1" ht="17.45" customHeight="1" x14ac:dyDescent="0.2">
      <c r="A8" s="461" t="s">
        <v>2</v>
      </c>
      <c r="B8" s="954">
        <v>68020.3</v>
      </c>
      <c r="C8" s="895">
        <f t="shared" ref="C8" si="0">B14</f>
        <v>76085.499999999985</v>
      </c>
      <c r="D8" s="895">
        <f t="shared" ref="D8" si="1">C14</f>
        <v>85124.54555360676</v>
      </c>
      <c r="E8" s="895">
        <f t="shared" ref="E8" si="2">D14</f>
        <v>95162.36681813428</v>
      </c>
      <c r="F8" s="895">
        <f t="shared" ref="F8" si="3">E14</f>
        <v>106191.91020681658</v>
      </c>
      <c r="G8" s="895">
        <f t="shared" ref="G8" si="4">F14</f>
        <v>118559.04043843065</v>
      </c>
      <c r="H8" s="895">
        <f t="shared" ref="H8" si="5">G14</f>
        <v>132369.45043843062</v>
      </c>
      <c r="I8" s="895">
        <f t="shared" ref="I8" si="6">H14</f>
        <v>147915.405</v>
      </c>
      <c r="J8" s="895">
        <f t="shared" ref="J8" si="7">I14</f>
        <v>165431.495</v>
      </c>
      <c r="K8" s="895">
        <f t="shared" ref="K8" si="8">J14</f>
        <v>184860.16500000001</v>
      </c>
      <c r="L8" s="895">
        <f t="shared" ref="L8" si="9">K14</f>
        <v>206737.41004530218</v>
      </c>
      <c r="M8" s="895">
        <f t="shared" ref="M8" si="10">L14</f>
        <v>226503.52575945703</v>
      </c>
      <c r="N8" s="895">
        <f t="shared" ref="N8" si="11">M14</f>
        <v>246284.33720459579</v>
      </c>
      <c r="O8" s="895">
        <f t="shared" ref="O8" si="12">N14</f>
        <v>265794.66720432893</v>
      </c>
      <c r="P8" s="895">
        <f t="shared" ref="P8" si="13">O14</f>
        <v>282552.32495432894</v>
      </c>
      <c r="Q8" s="895">
        <f t="shared" ref="Q8" si="14">P14</f>
        <v>303500.554704329</v>
      </c>
      <c r="R8" s="895">
        <f t="shared" ref="R8" si="15">Q14</f>
        <v>320173.64432487014</v>
      </c>
      <c r="S8" s="895">
        <f t="shared" ref="S8" si="16">R14</f>
        <v>336297.7716771448</v>
      </c>
      <c r="T8" s="895">
        <f t="shared" ref="T8" si="17">S14</f>
        <v>352874.60338069516</v>
      </c>
      <c r="U8" s="895">
        <f t="shared" ref="U8:W8" si="18">T14</f>
        <v>368802.12089730537</v>
      </c>
      <c r="V8" s="895">
        <f t="shared" si="18"/>
        <v>385178.90544335369</v>
      </c>
      <c r="W8" s="895">
        <f t="shared" si="18"/>
        <v>401131.81134846597</v>
      </c>
      <c r="X8" s="895">
        <f t="shared" ref="X8:AH8" si="19">W14</f>
        <v>416754.42098844534</v>
      </c>
      <c r="Y8" s="895">
        <f t="shared" si="19"/>
        <v>432600.57423280348</v>
      </c>
      <c r="Z8" s="786">
        <f t="shared" si="19"/>
        <v>461659.5415089415</v>
      </c>
      <c r="AA8" s="786">
        <f t="shared" si="19"/>
        <v>478966.43364292901</v>
      </c>
      <c r="AB8" s="786">
        <f t="shared" si="19"/>
        <v>496202.79272168508</v>
      </c>
      <c r="AC8" s="786">
        <f t="shared" si="19"/>
        <v>506255.26855662127</v>
      </c>
      <c r="AD8" s="786">
        <f t="shared" si="19"/>
        <v>516268.30245273205</v>
      </c>
      <c r="AE8" s="786">
        <f t="shared" si="19"/>
        <v>526531.8529480634</v>
      </c>
      <c r="AF8" s="786">
        <f t="shared" si="19"/>
        <v>536724.94410797989</v>
      </c>
      <c r="AG8" s="786">
        <f t="shared" si="19"/>
        <v>540570.75925023353</v>
      </c>
      <c r="AH8" s="786">
        <f t="shared" si="19"/>
        <v>544677.65686340944</v>
      </c>
      <c r="AI8" s="786">
        <f t="shared" ref="AI8" si="20">AH14</f>
        <v>548492.44701176148</v>
      </c>
      <c r="AJ8" s="786">
        <f t="shared" ref="AJ8" si="21">AI14</f>
        <v>565494.79045655299</v>
      </c>
      <c r="AO8" s="47"/>
      <c r="AP8" s="47"/>
      <c r="AQ8" s="47"/>
      <c r="AR8" s="47"/>
    </row>
    <row r="9" spans="1:44" s="1" customFormat="1" ht="17.45" customHeight="1" x14ac:dyDescent="0.2">
      <c r="A9" s="461" t="s">
        <v>3</v>
      </c>
      <c r="B9" s="954">
        <v>8502.5</v>
      </c>
      <c r="C9" s="894">
        <v>9510.6455536067879</v>
      </c>
      <c r="D9" s="894">
        <v>10640.521264527521</v>
      </c>
      <c r="E9" s="894">
        <v>11895.243388682298</v>
      </c>
      <c r="F9" s="894">
        <v>13273.930231614058</v>
      </c>
      <c r="G9" s="894">
        <v>14819.81</v>
      </c>
      <c r="H9" s="894">
        <v>16546.11</v>
      </c>
      <c r="I9" s="894">
        <v>18489.34</v>
      </c>
      <c r="J9" s="894">
        <v>20678.849999999999</v>
      </c>
      <c r="K9" s="897">
        <v>23107.418064020181</v>
      </c>
      <c r="L9" s="897">
        <v>20943.400000000001</v>
      </c>
      <c r="M9" s="897">
        <v>20825.974999999999</v>
      </c>
      <c r="N9" s="897">
        <v>20549.650000000001</v>
      </c>
      <c r="O9" s="897">
        <v>17634.375</v>
      </c>
      <c r="P9" s="897">
        <v>21588.533500000001</v>
      </c>
      <c r="Q9" s="897">
        <v>17388.258000000002</v>
      </c>
      <c r="R9" s="897">
        <v>16669.275750000001</v>
      </c>
      <c r="S9" s="897">
        <v>17317.457999999999</v>
      </c>
      <c r="T9" s="897">
        <v>16669.2775</v>
      </c>
      <c r="U9" s="921">
        <f>(683113*25)/1000</f>
        <v>17077.825000000001</v>
      </c>
      <c r="V9" s="922">
        <v>16669.3</v>
      </c>
      <c r="W9" s="923">
        <f>+'Data Penunjang'!AA38/'Data Penunjang'!Z38*'Rimba Jawa'!V9*1.02</f>
        <v>17002.693650011126</v>
      </c>
      <c r="X9" s="923">
        <f>+'Data Penunjang'!AB38/'Data Penunjang'!AA38*'Rimba Jawa'!W9</f>
        <v>18588.711042301878</v>
      </c>
      <c r="Y9" s="923">
        <f>+'Data Penunjang'!AC38/'Data Penunjang'!AB38*'Rimba Jawa'!X9</f>
        <v>30769.211762130693</v>
      </c>
      <c r="Z9" s="789">
        <f>+'Data Penunjang'!AD38/'Data Penunjang'!AC38*'Rimba Jawa'!Y9</f>
        <v>18645.346624693633</v>
      </c>
      <c r="AA9" s="789">
        <f>+'Data Penunjang'!AE38/'Data Penunjang'!AD38*'Rimba Jawa'!Z9</f>
        <v>18669.686520233769</v>
      </c>
      <c r="AB9" s="789">
        <f>+'Data Penunjang'!AF38/'Data Penunjang'!AE38*'Rimba Jawa'!AA9</f>
        <v>11115.134669966088</v>
      </c>
      <c r="AC9" s="789">
        <f>+'Data Penunjang'!AG38/'Data Penunjang'!AF38*'Rimba Jawa'!AB9</f>
        <v>11264.080386647869</v>
      </c>
      <c r="AD9" s="789">
        <f>+'Data Penunjang'!AH38/'Data Penunjang'!AG38*'Rimba Jawa'!AC9</f>
        <v>11671.290479044956</v>
      </c>
      <c r="AE9" s="789">
        <f>+'Data Penunjang'!AI38/'Data Penunjang'!AH38*'Rimba Jawa'!AD9</f>
        <v>11477.648297340091</v>
      </c>
      <c r="AF9" s="789">
        <f>+'Data Penunjang'!AJ38/'Data Penunjang'!AI38*'Rimba Jawa'!AE9</f>
        <v>5004.99173111255</v>
      </c>
      <c r="AG9" s="789">
        <f>+'Data Penunjang'!AK38/'Data Penunjang'!AJ38*'Rimba Jawa'!AF9</f>
        <v>5004.9687810791656</v>
      </c>
      <c r="AH9" s="789">
        <f>+'Data Penunjang'!AL38/'Data Penunjang'!AK38*'Rimba Jawa'!AG9</f>
        <v>4773.0653237129391</v>
      </c>
      <c r="AI9" s="789">
        <f>+'Data Penunjang'!AM38/'Data Penunjang'!AL38*'Rimba Jawa'!AH9</f>
        <v>18200.447477467638</v>
      </c>
      <c r="AJ9" s="789">
        <f>+'Data Penunjang'!AN38/'Data Penunjang'!AM38*'Rimba Jawa'!AI9</f>
        <v>18205.292484516009</v>
      </c>
      <c r="AM9" s="677"/>
      <c r="AO9" s="47"/>
      <c r="AP9" s="47"/>
      <c r="AQ9" s="47"/>
      <c r="AR9" s="47"/>
    </row>
    <row r="10" spans="1:44" s="1" customFormat="1" ht="17.45" customHeight="1" x14ac:dyDescent="0.2">
      <c r="A10" s="461" t="s">
        <v>4</v>
      </c>
      <c r="B10" s="954">
        <v>151.4</v>
      </c>
      <c r="C10" s="894">
        <v>199</v>
      </c>
      <c r="D10" s="894">
        <v>163.80000000000001</v>
      </c>
      <c r="E10" s="894">
        <v>128.69999999999999</v>
      </c>
      <c r="F10" s="894">
        <v>111.3</v>
      </c>
      <c r="G10" s="894">
        <v>110.5</v>
      </c>
      <c r="H10" s="894">
        <v>90.58</v>
      </c>
      <c r="I10" s="894">
        <v>112.97</v>
      </c>
      <c r="J10" s="894">
        <v>90.18</v>
      </c>
      <c r="K10" s="897">
        <v>127.88494241090275</v>
      </c>
      <c r="L10" s="899">
        <v>101.413</v>
      </c>
      <c r="M10" s="899">
        <v>116.76600000000001</v>
      </c>
      <c r="N10" s="899">
        <v>143.35425000000001</v>
      </c>
      <c r="O10" s="899">
        <v>99.680750000000003</v>
      </c>
      <c r="P10" s="899">
        <v>107.14924999999999</v>
      </c>
      <c r="Q10" s="899">
        <v>131.131</v>
      </c>
      <c r="R10" s="899">
        <v>180.8235</v>
      </c>
      <c r="S10" s="899">
        <v>231.63367500000001</v>
      </c>
      <c r="T10" s="924">
        <f>'Data Penunjang'!X49/'Data Penunjang'!W49*'Rimba Jawa'!S10</f>
        <v>151.19422500000002</v>
      </c>
      <c r="U10" s="924">
        <f>'Data Penunjang'!Y49/'Data Penunjang'!X49*'Rimba Jawa'!T10</f>
        <v>79.361100000000008</v>
      </c>
      <c r="V10" s="924">
        <f>'Data Penunjang'!Z49/'Data Penunjang'!Y49*'Rimba Jawa'!U10</f>
        <v>108.28688325</v>
      </c>
      <c r="W10" s="924">
        <f>'Data Penunjang'!AA49/'Data Penunjang'!Z49*'Rimba Jawa'!V10</f>
        <v>40.679275000000004</v>
      </c>
      <c r="X10" s="924">
        <f>'Data Penunjang'!AB49/'Data Penunjang'!AA49*'Rimba Jawa'!W10</f>
        <v>31.572450000000003</v>
      </c>
      <c r="Y10" s="924">
        <f>'Data Penunjang'!AC49/'Data Penunjang'!AB49*'Rimba Jawa'!X10</f>
        <v>35.806225000000005</v>
      </c>
      <c r="Z10" s="788">
        <f>'Data Penunjang'!AD49/'Data Penunjang'!AC49*'Rimba Jawa'!Y10</f>
        <v>37.262225000000008</v>
      </c>
      <c r="AA10" s="788">
        <f>'Data Penunjang'!AE49/'Data Penunjang'!AD49*'Rimba Jawa'!Z10</f>
        <v>38.833999750000011</v>
      </c>
      <c r="AB10" s="788">
        <f>'Data Penunjang'!AF49/'Data Penunjang'!AE49*'Rimba Jawa'!AA10</f>
        <v>9.4913000000000007</v>
      </c>
      <c r="AC10" s="788">
        <f>'Data Penunjang'!AG49/'Data Penunjang'!AF49*'Rimba Jawa'!AB10</f>
        <v>25.46861135</v>
      </c>
      <c r="AD10" s="788">
        <f>'Data Penunjang'!AH49/'Data Penunjang'!AG49*'Rimba Jawa'!AC10</f>
        <v>19.207825</v>
      </c>
      <c r="AE10" s="788">
        <f>'Data Penunjang'!AI49/'Data Penunjang'!AH49*'Rimba Jawa'!AD10</f>
        <v>29.652349999999998</v>
      </c>
      <c r="AF10" s="788">
        <f>'Data Penunjang'!AJ49/'Data Penunjang'!AI49*'Rimba Jawa'!AE10</f>
        <v>41.400449999999999</v>
      </c>
      <c r="AG10" s="788">
        <f>'Data Penunjang'!AK49/'Data Penunjang'!AJ49*'Rimba Jawa'!AF10</f>
        <v>44.605925000000006</v>
      </c>
      <c r="AH10" s="788">
        <f>'Data Penunjang'!AL49/'Data Penunjang'!AK49*'Rimba Jawa'!AG10</f>
        <v>27.557075000000005</v>
      </c>
      <c r="AI10" s="788">
        <f>'Data Penunjang'!AM49/'Data Penunjang'!AL49*'Rimba Jawa'!AH10</f>
        <v>20.950475000000001</v>
      </c>
      <c r="AJ10" s="788">
        <f>'Data Penunjang'!AN49/'Data Penunjang'!AM49*'Rimba Jawa'!AI10</f>
        <v>14.2415</v>
      </c>
      <c r="AK10" s="677"/>
      <c r="AL10" s="677"/>
      <c r="AM10" s="677"/>
      <c r="AN10" s="677"/>
      <c r="AO10" s="47"/>
      <c r="AP10" s="47"/>
      <c r="AQ10" s="47"/>
      <c r="AR10" s="47"/>
    </row>
    <row r="11" spans="1:44" s="1" customFormat="1" ht="17.45" customHeight="1" x14ac:dyDescent="0.2">
      <c r="A11" s="461" t="s">
        <v>13</v>
      </c>
      <c r="B11" s="954">
        <v>98.1</v>
      </c>
      <c r="C11" s="894">
        <v>99.5</v>
      </c>
      <c r="D11" s="894">
        <v>131.9</v>
      </c>
      <c r="E11" s="894">
        <v>203.7</v>
      </c>
      <c r="F11" s="894">
        <v>180.7</v>
      </c>
      <c r="G11" s="894">
        <v>179.7</v>
      </c>
      <c r="H11" s="894">
        <v>104.13</v>
      </c>
      <c r="I11" s="894">
        <v>89.47</v>
      </c>
      <c r="J11" s="894">
        <v>383.59</v>
      </c>
      <c r="K11" s="897">
        <v>362.1789611289235</v>
      </c>
      <c r="L11" s="899">
        <v>365.46128584515054</v>
      </c>
      <c r="M11" s="899">
        <v>361.32855486125897</v>
      </c>
      <c r="N11" s="899">
        <v>366.18725026684263</v>
      </c>
      <c r="O11" s="899">
        <v>426.74900000000002</v>
      </c>
      <c r="P11" s="899">
        <v>348.56700000000001</v>
      </c>
      <c r="Q11" s="899">
        <v>452.61337945887908</v>
      </c>
      <c r="R11" s="899">
        <v>341.63089772531799</v>
      </c>
      <c r="S11" s="899">
        <v>340.16397144962116</v>
      </c>
      <c r="T11" s="924">
        <f t="shared" ref="T11:AA11" si="22">AO31/AN31*S11</f>
        <v>287.74120838979786</v>
      </c>
      <c r="U11" s="924">
        <f t="shared" si="22"/>
        <v>256.21155395168495</v>
      </c>
      <c r="V11" s="924">
        <f t="shared" si="22"/>
        <v>385.25197813769665</v>
      </c>
      <c r="W11" s="924">
        <f t="shared" si="22"/>
        <v>886.96328503180519</v>
      </c>
      <c r="X11" s="924">
        <f t="shared" si="22"/>
        <v>2248.6402479437611</v>
      </c>
      <c r="Y11" s="924">
        <f t="shared" si="22"/>
        <v>1221.983000492703</v>
      </c>
      <c r="Z11" s="788">
        <f t="shared" si="22"/>
        <v>913.12498570618072</v>
      </c>
      <c r="AA11" s="790">
        <f t="shared" si="22"/>
        <v>1073.5777352276577</v>
      </c>
      <c r="AB11" s="790">
        <f>'Data Penunjang'!AF70/'Data Penunjang'!AE70*AA11</f>
        <v>774.3561350298927</v>
      </c>
      <c r="AC11" s="790">
        <f>'Data Penunjang'!AG70/'Data Penunjang'!AF70*AB11</f>
        <v>946.4398188870789</v>
      </c>
      <c r="AD11" s="790">
        <f>'Data Penunjang'!AH70/'Data Penunjang'!AG70*AC11</f>
        <v>1017.125808713615</v>
      </c>
      <c r="AE11" s="790">
        <f>'Data Penunjang'!AI70/'Data Penunjang'!AH70*AD11</f>
        <v>936.76548742367368</v>
      </c>
      <c r="AF11" s="790">
        <f>'Data Penunjang'!AJ70/'Data Penunjang'!AI70*AE11</f>
        <v>786.88873885885482</v>
      </c>
      <c r="AG11" s="790">
        <f>'Data Penunjang'!AK70/'Data Penunjang'!AJ70*AF11</f>
        <v>451.25409290334858</v>
      </c>
      <c r="AH11" s="790">
        <f>'Data Penunjang'!AL70/'Data Penunjang'!AK70*AG11</f>
        <v>560.54125036085316</v>
      </c>
      <c r="AI11" s="790">
        <f>'Data Penunjang'!AM70/'Data Penunjang'!AL70*AH11</f>
        <v>765.90150767603041</v>
      </c>
      <c r="AJ11" s="790">
        <f>'Data Penunjang'!AN70/'Data Penunjang'!AM70*AI11</f>
        <v>600.18275889184724</v>
      </c>
      <c r="AK11" s="677"/>
      <c r="AL11" s="677"/>
      <c r="AM11" s="677"/>
      <c r="AN11" s="677"/>
      <c r="AO11" s="47"/>
      <c r="AP11" s="47"/>
      <c r="AQ11" s="47"/>
      <c r="AR11" s="47"/>
    </row>
    <row r="12" spans="1:44" s="1" customFormat="1" ht="17.45" customHeight="1" x14ac:dyDescent="0.2">
      <c r="A12" s="461" t="s">
        <v>5</v>
      </c>
      <c r="B12" s="954">
        <v>490.6</v>
      </c>
      <c r="C12" s="894">
        <v>571.1</v>
      </c>
      <c r="D12" s="894">
        <v>634.6</v>
      </c>
      <c r="E12" s="894">
        <v>790.7</v>
      </c>
      <c r="F12" s="894">
        <v>837.4</v>
      </c>
      <c r="G12" s="894">
        <v>940.2</v>
      </c>
      <c r="H12" s="894">
        <v>986.61</v>
      </c>
      <c r="I12" s="894">
        <v>996.75</v>
      </c>
      <c r="J12" s="894">
        <v>956.77</v>
      </c>
      <c r="K12" s="897">
        <v>995.87900000000002</v>
      </c>
      <c r="L12" s="899">
        <v>913.23599999999999</v>
      </c>
      <c r="M12" s="899">
        <v>800.601</v>
      </c>
      <c r="N12" s="899">
        <v>816.48699999999997</v>
      </c>
      <c r="O12" s="899">
        <v>549.649</v>
      </c>
      <c r="P12" s="899">
        <v>398.88600000000002</v>
      </c>
      <c r="Q12" s="899">
        <v>393.68599999999998</v>
      </c>
      <c r="R12" s="899">
        <v>384.34100000000001</v>
      </c>
      <c r="S12" s="899">
        <v>632.096</v>
      </c>
      <c r="T12" s="899">
        <v>605.21299999999997</v>
      </c>
      <c r="U12" s="899">
        <f>'Data Penunjang'!Y52</f>
        <v>524.19000000000005</v>
      </c>
      <c r="V12" s="924">
        <f>'Data Penunjang'!Z52</f>
        <v>439.42899999999997</v>
      </c>
      <c r="W12" s="924">
        <f>'Data Penunjang'!AA52</f>
        <v>533.79999999999995</v>
      </c>
      <c r="X12" s="924">
        <f>'Data Penunjang'!AB52</f>
        <v>525.49</v>
      </c>
      <c r="Y12" s="924">
        <f>'Data Penunjang'!AC52</f>
        <v>524.06771049999998</v>
      </c>
      <c r="Z12" s="788">
        <f>'Data Penunjang'!AD52</f>
        <v>462.59172999999993</v>
      </c>
      <c r="AA12" s="788">
        <f>'Data Penunjang'!AE52</f>
        <v>398.58370600000006</v>
      </c>
      <c r="AB12" s="788">
        <f>'Data Penunjang'!AF52</f>
        <v>297.79399999999998</v>
      </c>
      <c r="AC12" s="788">
        <f>'Data Penunjang'!AG52</f>
        <v>330.07528300000001</v>
      </c>
      <c r="AD12" s="788">
        <f>'Data Penunjang'!AH52</f>
        <v>409.822</v>
      </c>
      <c r="AE12" s="788">
        <f>'Data Penunjang'!AI52</f>
        <v>377.44400000000002</v>
      </c>
      <c r="AF12" s="788">
        <f>'Data Penunjang'!AJ52</f>
        <v>413.68829999999997</v>
      </c>
      <c r="AG12" s="788">
        <f>'Data Penunjang'!AK52</f>
        <v>491.423</v>
      </c>
      <c r="AH12" s="788">
        <f>'Data Penunjang'!AL52</f>
        <v>425.291</v>
      </c>
      <c r="AI12" s="788">
        <f>'Data Penunjang'!AM52</f>
        <v>453.15300000000002</v>
      </c>
      <c r="AJ12" s="788">
        <f>'Data Penunjang'!AN52</f>
        <v>408.12900000000002</v>
      </c>
      <c r="AK12" s="677"/>
      <c r="AL12" s="677"/>
      <c r="AM12" s="677"/>
      <c r="AN12" s="677"/>
    </row>
    <row r="13" spans="1:44" ht="17.45" customHeight="1" x14ac:dyDescent="0.2">
      <c r="A13" s="185" t="s">
        <v>99</v>
      </c>
      <c r="B13" s="959">
        <v>8065.1999999999825</v>
      </c>
      <c r="C13" s="8">
        <v>9039.0455536067748</v>
      </c>
      <c r="D13" s="8">
        <v>10037.82126452752</v>
      </c>
      <c r="E13" s="8">
        <v>11029.543388682301</v>
      </c>
      <c r="F13" s="8">
        <v>12367.130231614065</v>
      </c>
      <c r="G13" s="8">
        <v>13810.409999999974</v>
      </c>
      <c r="H13" s="8">
        <v>15545.950000000012</v>
      </c>
      <c r="I13" s="8">
        <v>17516.089999999997</v>
      </c>
      <c r="J13" s="8">
        <v>19428.670000000013</v>
      </c>
      <c r="K13" s="8">
        <v>21877.245045302174</v>
      </c>
      <c r="L13" s="8">
        <v>19766.115714154847</v>
      </c>
      <c r="M13" s="8">
        <v>19780.811445138766</v>
      </c>
      <c r="N13" s="8">
        <v>19510.329999733134</v>
      </c>
      <c r="O13" s="8">
        <v>16757.657750000013</v>
      </c>
      <c r="P13" s="8">
        <v>20948.229750000057</v>
      </c>
      <c r="Q13" s="8">
        <v>16673.089620541141</v>
      </c>
      <c r="R13" s="8">
        <v>16124.127352274663</v>
      </c>
      <c r="S13" s="8">
        <v>16576.831703550357</v>
      </c>
      <c r="T13" s="315">
        <f t="shared" ref="T13:W13" si="23">T14-T8</f>
        <v>15927.517516610213</v>
      </c>
      <c r="U13" s="315">
        <f t="shared" si="23"/>
        <v>16376.784546048322</v>
      </c>
      <c r="V13" s="315">
        <f t="shared" si="23"/>
        <v>15952.905905112275</v>
      </c>
      <c r="W13" s="315">
        <f t="shared" si="23"/>
        <v>15622.609639979375</v>
      </c>
      <c r="X13" s="315">
        <f t="shared" ref="X13:AC13" si="24">X14-X8</f>
        <v>15846.153244358138</v>
      </c>
      <c r="Y13" s="315">
        <f t="shared" si="24"/>
        <v>29058.967276138021</v>
      </c>
      <c r="Z13" s="568">
        <f t="shared" si="24"/>
        <v>17306.892133987509</v>
      </c>
      <c r="AA13" s="568">
        <f t="shared" si="24"/>
        <v>17236.359078756068</v>
      </c>
      <c r="AB13" s="568">
        <f t="shared" si="24"/>
        <v>10052.475834936195</v>
      </c>
      <c r="AC13" s="568">
        <f t="shared" si="24"/>
        <v>10013.033896110777</v>
      </c>
      <c r="AD13" s="568">
        <f t="shared" ref="AD13:AE13" si="25">AD14-AD8</f>
        <v>10263.55049533135</v>
      </c>
      <c r="AE13" s="568">
        <f t="shared" si="25"/>
        <v>10193.091159916483</v>
      </c>
      <c r="AF13" s="568">
        <f t="shared" ref="AF13:AG13" si="26">AF14-AF8</f>
        <v>3845.8151422536466</v>
      </c>
      <c r="AG13" s="568">
        <f t="shared" si="26"/>
        <v>4106.8976131759118</v>
      </c>
      <c r="AH13" s="568">
        <f t="shared" ref="AH13:AI13" si="27">AH14-AH8</f>
        <v>3814.79014835204</v>
      </c>
      <c r="AI13" s="568">
        <f t="shared" si="27"/>
        <v>17002.343444791506</v>
      </c>
      <c r="AJ13" s="568">
        <f t="shared" ref="AJ13" si="28">AJ14-AJ8</f>
        <v>17211.222225624253</v>
      </c>
      <c r="AO13" s="10"/>
      <c r="AP13" s="10"/>
      <c r="AQ13" s="10"/>
      <c r="AR13" s="10"/>
    </row>
    <row r="14" spans="1:44" s="1" customFormat="1" ht="17.45" customHeight="1" thickBot="1" x14ac:dyDescent="0.25">
      <c r="A14" s="958" t="s">
        <v>10</v>
      </c>
      <c r="B14" s="960">
        <v>76085.499999999985</v>
      </c>
      <c r="C14" s="925">
        <v>85124.54555360676</v>
      </c>
      <c r="D14" s="925">
        <v>95162.36681813428</v>
      </c>
      <c r="E14" s="925">
        <v>106191.91020681658</v>
      </c>
      <c r="F14" s="925">
        <v>118559.04043843065</v>
      </c>
      <c r="G14" s="925">
        <v>132369.45043843062</v>
      </c>
      <c r="H14" s="925">
        <v>147915.405</v>
      </c>
      <c r="I14" s="925">
        <v>165431.495</v>
      </c>
      <c r="J14" s="925">
        <v>184860.16500000001</v>
      </c>
      <c r="K14" s="925">
        <v>206737.41004530218</v>
      </c>
      <c r="L14" s="925">
        <v>226503.52575945703</v>
      </c>
      <c r="M14" s="925">
        <v>246284.33720459579</v>
      </c>
      <c r="N14" s="925">
        <v>265794.66720432893</v>
      </c>
      <c r="O14" s="925">
        <v>282552.32495432894</v>
      </c>
      <c r="P14" s="925">
        <v>303500.554704329</v>
      </c>
      <c r="Q14" s="925">
        <v>320173.64432487014</v>
      </c>
      <c r="R14" s="925">
        <v>336297.7716771448</v>
      </c>
      <c r="S14" s="925">
        <v>352874.60338069516</v>
      </c>
      <c r="T14" s="925">
        <f t="shared" ref="T14:W14" si="29">T8+T9+T10-T11-T12</f>
        <v>368802.12089730537</v>
      </c>
      <c r="U14" s="925">
        <f t="shared" si="29"/>
        <v>385178.90544335369</v>
      </c>
      <c r="V14" s="925">
        <f t="shared" si="29"/>
        <v>401131.81134846597</v>
      </c>
      <c r="W14" s="925">
        <f t="shared" si="29"/>
        <v>416754.42098844534</v>
      </c>
      <c r="X14" s="902">
        <f t="shared" ref="X14:AC14" si="30">X8+X9+X10-X11-X12</f>
        <v>432600.57423280348</v>
      </c>
      <c r="Y14" s="902">
        <f t="shared" si="30"/>
        <v>461659.5415089415</v>
      </c>
      <c r="Z14" s="926">
        <f t="shared" si="30"/>
        <v>478966.43364292901</v>
      </c>
      <c r="AA14" s="926">
        <f t="shared" si="30"/>
        <v>496202.79272168508</v>
      </c>
      <c r="AB14" s="926">
        <f t="shared" si="30"/>
        <v>506255.26855662127</v>
      </c>
      <c r="AC14" s="926">
        <f t="shared" si="30"/>
        <v>516268.30245273205</v>
      </c>
      <c r="AD14" s="926">
        <f t="shared" ref="AD14:AE14" si="31">AD8+AD9+AD10-AD11-AD12</f>
        <v>526531.8529480634</v>
      </c>
      <c r="AE14" s="926">
        <f t="shared" si="31"/>
        <v>536724.94410797989</v>
      </c>
      <c r="AF14" s="926">
        <f t="shared" ref="AF14:AG14" si="32">AF8+AF9+AF10-AF11-AF12</f>
        <v>540570.75925023353</v>
      </c>
      <c r="AG14" s="926">
        <f t="shared" si="32"/>
        <v>544677.65686340944</v>
      </c>
      <c r="AH14" s="926">
        <f t="shared" ref="AH14:AI14" si="33">AH8+AH9+AH10-AH11-AH12</f>
        <v>548492.44701176148</v>
      </c>
      <c r="AI14" s="926">
        <f t="shared" si="33"/>
        <v>565494.79045655299</v>
      </c>
      <c r="AJ14" s="926">
        <f t="shared" ref="AJ14" si="34">AJ8+AJ9+AJ10-AJ11-AJ12</f>
        <v>582706.01268217724</v>
      </c>
      <c r="AO14" s="47"/>
      <c r="AP14" s="47"/>
      <c r="AQ14" s="47"/>
      <c r="AR14" s="47"/>
    </row>
    <row r="15" spans="1:44" ht="17.45" hidden="1" customHeight="1" x14ac:dyDescent="0.2">
      <c r="A15" s="190"/>
      <c r="B15" s="190"/>
      <c r="C15" s="916"/>
      <c r="D15" s="916"/>
      <c r="E15" s="916"/>
      <c r="F15" s="916"/>
      <c r="G15" s="916"/>
      <c r="H15" s="916"/>
      <c r="I15" s="916"/>
      <c r="J15" s="916"/>
      <c r="K15" s="917"/>
      <c r="L15" s="917"/>
      <c r="M15" s="917"/>
      <c r="N15" s="917"/>
      <c r="O15" s="917"/>
      <c r="P15" s="917"/>
      <c r="Q15" s="917"/>
      <c r="R15" s="917"/>
      <c r="S15" s="917"/>
      <c r="T15" s="917"/>
      <c r="U15" s="917"/>
      <c r="V15" s="918"/>
      <c r="W15" s="918"/>
      <c r="X15" s="919"/>
      <c r="Y15" s="920"/>
      <c r="Z15" s="891"/>
      <c r="AA15" s="891"/>
      <c r="AB15" s="891"/>
      <c r="AC15" s="892"/>
      <c r="AD15" s="892"/>
      <c r="AE15" s="892"/>
      <c r="AF15" s="892"/>
      <c r="AG15" s="892"/>
      <c r="AH15" s="892"/>
      <c r="AI15" s="869"/>
      <c r="AJ15" s="869"/>
      <c r="AK15" s="54"/>
      <c r="AO15" s="10"/>
      <c r="AP15" s="10"/>
      <c r="AQ15" s="10"/>
      <c r="AR15" s="10"/>
    </row>
    <row r="16" spans="1:44" ht="17.45" hidden="1" customHeight="1" x14ac:dyDescent="0.2">
      <c r="A16" s="185" t="s">
        <v>6</v>
      </c>
      <c r="B16" s="186">
        <v>12008</v>
      </c>
      <c r="C16" s="186">
        <v>9770</v>
      </c>
      <c r="D16" s="186">
        <v>9185</v>
      </c>
      <c r="E16" s="186">
        <v>18258</v>
      </c>
      <c r="F16" s="186">
        <v>25412</v>
      </c>
      <c r="G16" s="186">
        <v>26376</v>
      </c>
      <c r="H16" s="186">
        <v>22716.92</v>
      </c>
      <c r="I16" s="186">
        <v>34715.29</v>
      </c>
      <c r="J16" s="186">
        <v>34771.360000000001</v>
      </c>
      <c r="K16" s="186">
        <v>45203.574229748629</v>
      </c>
      <c r="L16" s="196">
        <v>43766.821806638982</v>
      </c>
      <c r="M16" s="197">
        <v>55171.949133940347</v>
      </c>
      <c r="N16" s="198">
        <v>58596.729392134919</v>
      </c>
      <c r="O16" s="198">
        <v>64064.608523985196</v>
      </c>
      <c r="P16" s="198">
        <v>67100.2</v>
      </c>
      <c r="Q16" s="198">
        <v>74400.65378401523</v>
      </c>
      <c r="R16" s="198">
        <v>94504.643298862225</v>
      </c>
      <c r="S16" s="198">
        <v>102273.37472226114</v>
      </c>
      <c r="T16" s="198">
        <v>107249.50955999673</v>
      </c>
      <c r="U16" s="198">
        <f>'Rent Perhutani'!U34</f>
        <v>131879.42676208814</v>
      </c>
      <c r="V16" s="198">
        <f>'Rent Perhutani'!V34</f>
        <v>130151.01233230378</v>
      </c>
      <c r="W16" s="198">
        <f>'Rent Perhutani'!W34</f>
        <v>105751.02876270992</v>
      </c>
      <c r="X16" s="566">
        <f>'Rent Perhutani'!X34</f>
        <v>144513.98309940819</v>
      </c>
      <c r="Y16" s="572">
        <f>'Rent Perhutani'!Y34</f>
        <v>282415.76968720753</v>
      </c>
      <c r="Z16" s="569">
        <f>'Rent Perhutani'!Z34</f>
        <v>561063.99995527719</v>
      </c>
      <c r="AA16" s="569">
        <f>'Rent Perhutani'!AA34</f>
        <v>479402.82697570632</v>
      </c>
      <c r="AB16" s="569">
        <f>'Rent Perhutani'!AB34</f>
        <v>-371787.0487389777</v>
      </c>
      <c r="AC16" s="573" t="e">
        <f>'Rent Perhutani'!AC34</f>
        <v>#REF!</v>
      </c>
      <c r="AD16" s="573">
        <f>'Rent Perhutani'!AD34</f>
        <v>-371787.0487389777</v>
      </c>
      <c r="AE16" s="573" t="str">
        <f>'Rent Perhutani'!AE34</f>
        <v>" rasio harga x harga rimba</v>
      </c>
      <c r="AF16" s="573">
        <f>'Rent Perhutani'!AF34</f>
        <v>0</v>
      </c>
      <c r="AG16" s="573">
        <f>'Rent Perhutani'!AG34</f>
        <v>0</v>
      </c>
      <c r="AH16" s="573">
        <f>'Rent Perhutani'!AH34</f>
        <v>0</v>
      </c>
      <c r="AI16" s="927"/>
      <c r="AJ16" s="927"/>
      <c r="AL16" s="179"/>
    </row>
    <row r="17" spans="1:50" ht="17.45" hidden="1" customHeight="1" x14ac:dyDescent="0.2">
      <c r="A17" s="185"/>
      <c r="B17" s="186"/>
      <c r="C17" s="186"/>
      <c r="D17" s="186"/>
      <c r="E17" s="186"/>
      <c r="F17" s="186"/>
      <c r="G17" s="186"/>
      <c r="H17" s="186"/>
      <c r="I17" s="186"/>
      <c r="J17" s="186"/>
      <c r="K17" s="187"/>
      <c r="L17" s="187"/>
      <c r="M17" s="187"/>
      <c r="N17" s="187"/>
      <c r="O17" s="187"/>
      <c r="P17" s="187"/>
      <c r="Q17" s="187"/>
      <c r="R17" s="187"/>
      <c r="S17" s="187"/>
      <c r="T17" s="187">
        <f t="shared" ref="T17:W17" si="35">T16/S16*100-100</f>
        <v>4.8655232617961843</v>
      </c>
      <c r="U17" s="187">
        <f t="shared" si="35"/>
        <v>22.965062780369294</v>
      </c>
      <c r="V17" s="187">
        <f t="shared" si="35"/>
        <v>-1.3106020189960645</v>
      </c>
      <c r="W17" s="187">
        <f t="shared" si="35"/>
        <v>-18.747440478830399</v>
      </c>
      <c r="X17" s="565">
        <f t="shared" ref="X17:AH17" si="36">X16/W16*100-100</f>
        <v>36.654919380195111</v>
      </c>
      <c r="Y17" s="570">
        <f t="shared" si="36"/>
        <v>95.42452822225485</v>
      </c>
      <c r="Z17" s="568">
        <f t="shared" si="36"/>
        <v>98.665959969830794</v>
      </c>
      <c r="AA17" s="568">
        <f t="shared" si="36"/>
        <v>-14.554698391998087</v>
      </c>
      <c r="AB17" s="568">
        <f t="shared" si="36"/>
        <v>-177.55211855640934</v>
      </c>
      <c r="AC17" s="571" t="e">
        <f t="shared" si="36"/>
        <v>#REF!</v>
      </c>
      <c r="AD17" s="571" t="e">
        <f t="shared" si="36"/>
        <v>#REF!</v>
      </c>
      <c r="AE17" s="571" t="e">
        <f t="shared" si="36"/>
        <v>#VALUE!</v>
      </c>
      <c r="AF17" s="571" t="e">
        <f t="shared" si="36"/>
        <v>#VALUE!</v>
      </c>
      <c r="AG17" s="571" t="e">
        <f t="shared" si="36"/>
        <v>#DIV/0!</v>
      </c>
      <c r="AH17" s="571" t="e">
        <f t="shared" si="36"/>
        <v>#DIV/0!</v>
      </c>
      <c r="AI17" s="869"/>
      <c r="AJ17" s="869"/>
      <c r="AO17" s="10"/>
      <c r="AP17" s="10"/>
      <c r="AQ17" s="10"/>
      <c r="AR17" s="10"/>
    </row>
    <row r="18" spans="1:50" ht="17.45" hidden="1" customHeight="1" x14ac:dyDescent="0.2">
      <c r="A18" s="185" t="s">
        <v>7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7"/>
      <c r="X18" s="565"/>
      <c r="Y18" s="570"/>
      <c r="Z18" s="568"/>
      <c r="AA18" s="568"/>
      <c r="AB18" s="568"/>
      <c r="AC18" s="571"/>
      <c r="AD18" s="571"/>
      <c r="AE18" s="571"/>
      <c r="AF18" s="571"/>
      <c r="AG18" s="571"/>
      <c r="AH18" s="571"/>
      <c r="AI18" s="869"/>
      <c r="AJ18" s="869"/>
      <c r="AO18" s="10"/>
      <c r="AP18" s="10"/>
      <c r="AQ18" s="10"/>
      <c r="AR18" s="10"/>
    </row>
    <row r="19" spans="1:50" ht="17.45" hidden="1" customHeight="1" x14ac:dyDescent="0.2">
      <c r="A19" s="185" t="s">
        <v>8</v>
      </c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306"/>
      <c r="Y19" s="489"/>
      <c r="Z19" s="310"/>
      <c r="AA19" s="310"/>
      <c r="AB19" s="310"/>
      <c r="AC19" s="496"/>
      <c r="AD19" s="496"/>
      <c r="AE19" s="496"/>
      <c r="AF19" s="496"/>
      <c r="AG19" s="496"/>
      <c r="AH19" s="496"/>
      <c r="AI19" s="877"/>
      <c r="AJ19" s="877"/>
    </row>
    <row r="20" spans="1:50" ht="17.45" hidden="1" customHeight="1" x14ac:dyDescent="0.2">
      <c r="A20" s="185"/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306"/>
      <c r="Y20" s="489"/>
      <c r="Z20" s="310"/>
      <c r="AA20" s="310"/>
      <c r="AB20" s="310"/>
      <c r="AC20" s="496"/>
      <c r="AD20" s="496"/>
      <c r="AE20" s="496"/>
      <c r="AF20" s="496"/>
      <c r="AG20" s="496"/>
      <c r="AH20" s="496"/>
      <c r="AI20" s="877"/>
      <c r="AJ20" s="877"/>
      <c r="AO20" s="10"/>
      <c r="AP20" s="10"/>
      <c r="AQ20" s="10"/>
      <c r="AR20" s="10"/>
    </row>
    <row r="21" spans="1:50" ht="17.45" hidden="1" customHeight="1" x14ac:dyDescent="0.2">
      <c r="A21" s="185" t="s">
        <v>2</v>
      </c>
      <c r="B21" s="186">
        <v>674.2</v>
      </c>
      <c r="C21" s="186">
        <f t="shared" ref="C21:W21" si="37">B28</f>
        <v>913.64692160000016</v>
      </c>
      <c r="D21" s="186">
        <f t="shared" si="37"/>
        <v>831.67904765873845</v>
      </c>
      <c r="E21" s="186">
        <f t="shared" si="37"/>
        <v>874.0785768245637</v>
      </c>
      <c r="F21" s="186">
        <f t="shared" si="37"/>
        <v>1938.8641341560574</v>
      </c>
      <c r="G21" s="186">
        <f t="shared" si="37"/>
        <v>3012.8345732213998</v>
      </c>
      <c r="H21" s="186">
        <f t="shared" si="37"/>
        <v>3491.3888623640469</v>
      </c>
      <c r="I21" s="186">
        <f t="shared" si="37"/>
        <v>3360.1945561277939</v>
      </c>
      <c r="J21" s="186">
        <f t="shared" si="37"/>
        <v>5743.0144580337446</v>
      </c>
      <c r="K21" s="186">
        <f t="shared" si="37"/>
        <v>6427.8514808495947</v>
      </c>
      <c r="L21" s="186">
        <f t="shared" si="37"/>
        <v>9345.28199502399</v>
      </c>
      <c r="M21" s="186">
        <f t="shared" si="37"/>
        <v>9913.3515844648136</v>
      </c>
      <c r="N21" s="186">
        <f t="shared" si="37"/>
        <v>13587.999058713363</v>
      </c>
      <c r="O21" s="186">
        <f t="shared" si="37"/>
        <v>15574.710322019815</v>
      </c>
      <c r="P21" s="186">
        <f t="shared" si="37"/>
        <v>18101.616219716136</v>
      </c>
      <c r="Q21" s="186">
        <f t="shared" si="37"/>
        <v>20364.960054746611</v>
      </c>
      <c r="R21" s="186">
        <f t="shared" si="37"/>
        <v>23821.140596156289</v>
      </c>
      <c r="S21" s="186">
        <f t="shared" si="37"/>
        <v>31781.713088525976</v>
      </c>
      <c r="T21" s="186">
        <f t="shared" si="37"/>
        <v>36089.688675498313</v>
      </c>
      <c r="U21" s="186">
        <f t="shared" si="37"/>
        <v>39553.858724897815</v>
      </c>
      <c r="V21" s="186">
        <f t="shared" si="37"/>
        <v>50797.185384693235</v>
      </c>
      <c r="W21" s="186">
        <f t="shared" si="37"/>
        <v>52207.723459668749</v>
      </c>
      <c r="X21" s="309">
        <f t="shared" ref="X21:AH21" si="38">W28</f>
        <v>44072.220894910795</v>
      </c>
      <c r="Y21" s="545">
        <f t="shared" si="38"/>
        <v>62516.844207448834</v>
      </c>
      <c r="Z21" s="315">
        <f t="shared" si="38"/>
        <v>130379.94688266622</v>
      </c>
      <c r="AA21" s="315">
        <f t="shared" si="38"/>
        <v>268730.83523799072</v>
      </c>
      <c r="AB21" s="315">
        <f t="shared" si="38"/>
        <v>237881.03371799138</v>
      </c>
      <c r="AC21" s="497">
        <f t="shared" si="38"/>
        <v>-188219.14007124968</v>
      </c>
      <c r="AD21" s="497" t="e">
        <f t="shared" si="38"/>
        <v>#REF!</v>
      </c>
      <c r="AE21" s="497" t="e">
        <f t="shared" si="38"/>
        <v>#REF!</v>
      </c>
      <c r="AF21" s="497" t="e">
        <f t="shared" si="38"/>
        <v>#REF!</v>
      </c>
      <c r="AG21" s="497" t="e">
        <f t="shared" si="38"/>
        <v>#REF!</v>
      </c>
      <c r="AH21" s="497" t="e">
        <f t="shared" si="38"/>
        <v>#REF!</v>
      </c>
      <c r="AI21" s="915"/>
      <c r="AJ21" s="915"/>
      <c r="AL21" s="266"/>
    </row>
    <row r="22" spans="1:50" ht="17.45" hidden="1" customHeight="1" x14ac:dyDescent="0.2">
      <c r="A22" s="185" t="s">
        <v>3</v>
      </c>
      <c r="B22" s="186">
        <f t="shared" ref="B22:S22" si="39">B9*B16/1000000</f>
        <v>102.09802000000001</v>
      </c>
      <c r="C22" s="186">
        <f t="shared" si="39"/>
        <v>92.919007058738316</v>
      </c>
      <c r="D22" s="186">
        <f t="shared" si="39"/>
        <v>97.733187814685266</v>
      </c>
      <c r="E22" s="186">
        <f t="shared" si="39"/>
        <v>217.1833537905614</v>
      </c>
      <c r="F22" s="186">
        <f t="shared" si="39"/>
        <v>337.3171150457764</v>
      </c>
      <c r="G22" s="186">
        <f t="shared" si="39"/>
        <v>390.88730856000001</v>
      </c>
      <c r="H22" s="186">
        <f t="shared" si="39"/>
        <v>375.87665718119996</v>
      </c>
      <c r="I22" s="186">
        <f t="shared" si="39"/>
        <v>641.86280000859995</v>
      </c>
      <c r="J22" s="186">
        <f t="shared" si="39"/>
        <v>719.03173773599997</v>
      </c>
      <c r="K22" s="186">
        <f t="shared" si="39"/>
        <v>1044.5378877147705</v>
      </c>
      <c r="L22" s="186">
        <f t="shared" si="39"/>
        <v>916.62605582516289</v>
      </c>
      <c r="M22" s="186">
        <f t="shared" si="39"/>
        <v>1149.0096333647132</v>
      </c>
      <c r="N22" s="186">
        <f t="shared" si="39"/>
        <v>1204.1422801530855</v>
      </c>
      <c r="O22" s="186">
        <f t="shared" si="39"/>
        <v>1129.7393309401514</v>
      </c>
      <c r="P22" s="186">
        <f t="shared" si="39"/>
        <v>1448.5949155567</v>
      </c>
      <c r="Q22" s="186">
        <f t="shared" si="39"/>
        <v>1293.6977633651334</v>
      </c>
      <c r="R22" s="186">
        <f t="shared" si="39"/>
        <v>1575.323958804124</v>
      </c>
      <c r="S22" s="186">
        <f t="shared" si="39"/>
        <v>1771.1148712710187</v>
      </c>
      <c r="T22" s="186">
        <f t="shared" ref="T22:W22" si="40">T9*T16/1000000</f>
        <v>1787.7718365944884</v>
      </c>
      <c r="U22" s="186">
        <f t="shared" si="40"/>
        <v>2252.213771343258</v>
      </c>
      <c r="V22" s="186">
        <f t="shared" si="40"/>
        <v>2169.5262698708716</v>
      </c>
      <c r="W22" s="186">
        <f t="shared" si="40"/>
        <v>1798.0523452258717</v>
      </c>
      <c r="X22" s="309">
        <f t="shared" ref="X22:AC22" si="41">X9*X16/1000000</f>
        <v>2686.3286734069957</v>
      </c>
      <c r="Y22" s="545">
        <f t="shared" si="41"/>
        <v>8689.7106224708186</v>
      </c>
      <c r="Z22" s="315">
        <f t="shared" si="41"/>
        <v>10461.232757803236</v>
      </c>
      <c r="AA22" s="315">
        <f t="shared" si="41"/>
        <v>8950.300496550306</v>
      </c>
      <c r="AB22" s="315">
        <f t="shared" si="41"/>
        <v>-4132.4631152829825</v>
      </c>
      <c r="AC22" s="497" t="e">
        <f t="shared" si="41"/>
        <v>#REF!</v>
      </c>
      <c r="AD22" s="497">
        <f t="shared" ref="AD22:AE22" si="42">AD9*AD16/1000000</f>
        <v>-4339.2346421794527</v>
      </c>
      <c r="AE22" s="497" t="e">
        <f t="shared" si="42"/>
        <v>#VALUE!</v>
      </c>
      <c r="AF22" s="497">
        <f t="shared" ref="AF22:AG22" si="43">AF9*AF16/1000000</f>
        <v>0</v>
      </c>
      <c r="AG22" s="497">
        <f t="shared" si="43"/>
        <v>0</v>
      </c>
      <c r="AH22" s="497">
        <f t="shared" ref="AH22" si="44">AH9*AH16/1000000</f>
        <v>0</v>
      </c>
      <c r="AI22" s="915"/>
      <c r="AJ22" s="915"/>
      <c r="AO22" s="10"/>
      <c r="AP22" s="10"/>
      <c r="AQ22" s="10"/>
      <c r="AR22" s="10"/>
    </row>
    <row r="23" spans="1:50" ht="17.45" hidden="1" customHeight="1" x14ac:dyDescent="0.2">
      <c r="A23" s="185" t="s">
        <v>4</v>
      </c>
      <c r="B23" s="186">
        <f t="shared" ref="B23:W23" si="45">B10*B16/1000000</f>
        <v>1.8180111999999999</v>
      </c>
      <c r="C23" s="186">
        <f t="shared" si="45"/>
        <v>1.9442299999999999</v>
      </c>
      <c r="D23" s="186">
        <f t="shared" si="45"/>
        <v>1.5045029999999999</v>
      </c>
      <c r="E23" s="186">
        <f t="shared" si="45"/>
        <v>2.3498045999999997</v>
      </c>
      <c r="F23" s="186">
        <f t="shared" si="45"/>
        <v>2.8283556000000001</v>
      </c>
      <c r="G23" s="186">
        <f t="shared" si="45"/>
        <v>2.9145479999999999</v>
      </c>
      <c r="H23" s="186">
        <f t="shared" si="45"/>
        <v>2.0576986135999999</v>
      </c>
      <c r="I23" s="186">
        <f t="shared" si="45"/>
        <v>3.9217863113</v>
      </c>
      <c r="J23" s="186">
        <f t="shared" si="45"/>
        <v>3.1356812448000007</v>
      </c>
      <c r="K23" s="186">
        <f t="shared" si="45"/>
        <v>5.7808564871383714</v>
      </c>
      <c r="L23" s="186">
        <f t="shared" si="45"/>
        <v>4.4385246998766794</v>
      </c>
      <c r="M23" s="186">
        <f t="shared" si="45"/>
        <v>6.4422078125736784</v>
      </c>
      <c r="N23" s="186">
        <f t="shared" si="45"/>
        <v>8.4000901944624573</v>
      </c>
      <c r="O23" s="186">
        <f t="shared" si="45"/>
        <v>6.3860082261272382</v>
      </c>
      <c r="P23" s="186">
        <f t="shared" si="45"/>
        <v>7.1897361048499997</v>
      </c>
      <c r="Q23" s="186">
        <f t="shared" si="45"/>
        <v>9.7562321313517018</v>
      </c>
      <c r="R23" s="186">
        <f t="shared" si="45"/>
        <v>17.088660367551814</v>
      </c>
      <c r="S23" s="186">
        <f t="shared" si="45"/>
        <v>23.689957641569453</v>
      </c>
      <c r="T23" s="186">
        <f t="shared" si="45"/>
        <v>16.215506479553799</v>
      </c>
      <c r="U23" s="186">
        <f t="shared" si="45"/>
        <v>10.466096375208753</v>
      </c>
      <c r="V23" s="186">
        <f t="shared" si="45"/>
        <v>14.093647477297491</v>
      </c>
      <c r="W23" s="186">
        <f t="shared" si="45"/>
        <v>4.3018751805711872</v>
      </c>
      <c r="X23" s="309">
        <f t="shared" ref="X23:AC23" si="46">X10*X16/1000000</f>
        <v>4.5626605057069103</v>
      </c>
      <c r="Y23" s="545">
        <f t="shared" si="46"/>
        <v>10.112242592968334</v>
      </c>
      <c r="Z23" s="315">
        <f t="shared" si="46"/>
        <v>20.906493005733534</v>
      </c>
      <c r="AA23" s="315">
        <f t="shared" si="46"/>
        <v>18.617129262923878</v>
      </c>
      <c r="AB23" s="315">
        <f t="shared" si="46"/>
        <v>-3.528742415696259</v>
      </c>
      <c r="AC23" s="497" t="e">
        <f t="shared" si="46"/>
        <v>#REF!</v>
      </c>
      <c r="AD23" s="497">
        <f t="shared" ref="AD23:AE23" si="47">AD10*AD16/1000000</f>
        <v>-7.1412205694447541</v>
      </c>
      <c r="AE23" s="497" t="e">
        <f t="shared" si="47"/>
        <v>#VALUE!</v>
      </c>
      <c r="AF23" s="497">
        <f t="shared" ref="AF23:AG23" si="48">AF10*AF16/1000000</f>
        <v>0</v>
      </c>
      <c r="AG23" s="497">
        <f t="shared" si="48"/>
        <v>0</v>
      </c>
      <c r="AH23" s="497">
        <f t="shared" ref="AH23" si="49">AH10*AH16/1000000</f>
        <v>0</v>
      </c>
      <c r="AI23" s="915"/>
      <c r="AJ23" s="915"/>
      <c r="AL23" s="1004" t="s">
        <v>202</v>
      </c>
      <c r="AM23" s="1004"/>
      <c r="AN23" s="992">
        <v>2007</v>
      </c>
      <c r="AO23" s="992">
        <v>2008</v>
      </c>
      <c r="AP23" s="992">
        <v>2009</v>
      </c>
      <c r="AQ23" s="992">
        <v>2010</v>
      </c>
      <c r="AR23" s="992">
        <v>2011</v>
      </c>
      <c r="AS23" s="992">
        <v>2012</v>
      </c>
      <c r="AT23" s="992">
        <v>2013</v>
      </c>
      <c r="AU23" s="992">
        <v>2014</v>
      </c>
      <c r="AV23" s="1006">
        <v>2015</v>
      </c>
      <c r="AW23" s="1006">
        <v>2016</v>
      </c>
      <c r="AX23" s="1006">
        <v>2017</v>
      </c>
    </row>
    <row r="24" spans="1:50" ht="18" hidden="1" customHeight="1" x14ac:dyDescent="0.2">
      <c r="A24" s="185" t="s">
        <v>13</v>
      </c>
      <c r="B24" s="186">
        <f t="shared" ref="B24:W24" si="50">B11*B16/1000000</f>
        <v>1.1779847999999999</v>
      </c>
      <c r="C24" s="186">
        <f t="shared" si="50"/>
        <v>0.97211499999999995</v>
      </c>
      <c r="D24" s="186">
        <f t="shared" si="50"/>
        <v>1.2115015</v>
      </c>
      <c r="E24" s="186">
        <f t="shared" si="50"/>
        <v>3.7191545999999995</v>
      </c>
      <c r="F24" s="186">
        <f t="shared" si="50"/>
        <v>4.5919483999999997</v>
      </c>
      <c r="G24" s="186">
        <f t="shared" si="50"/>
        <v>4.7397671999999993</v>
      </c>
      <c r="H24" s="186">
        <f t="shared" si="50"/>
        <v>2.3655128795999998</v>
      </c>
      <c r="I24" s="186">
        <f t="shared" si="50"/>
        <v>3.1059769963000003</v>
      </c>
      <c r="J24" s="186">
        <f t="shared" si="50"/>
        <v>13.337945982400001</v>
      </c>
      <c r="K24" s="186">
        <f t="shared" si="50"/>
        <v>16.371783553844537</v>
      </c>
      <c r="L24" s="186">
        <f t="shared" si="50"/>
        <v>15.995078974809857</v>
      </c>
      <c r="M24" s="186">
        <f t="shared" si="50"/>
        <v>19.935200649445552</v>
      </c>
      <c r="N24" s="186">
        <f t="shared" si="50"/>
        <v>21.457375210736163</v>
      </c>
      <c r="O24" s="186">
        <f t="shared" si="50"/>
        <v>27.339507623002159</v>
      </c>
      <c r="P24" s="186">
        <f t="shared" si="50"/>
        <v>23.388915413399999</v>
      </c>
      <c r="Q24" s="186">
        <f t="shared" si="50"/>
        <v>33.674731343133175</v>
      </c>
      <c r="R24" s="186">
        <f t="shared" si="50"/>
        <v>32.285706129401262</v>
      </c>
      <c r="S24" s="186">
        <f t="shared" si="50"/>
        <v>34.789717319079642</v>
      </c>
      <c r="T24" s="186">
        <f t="shared" si="50"/>
        <v>30.860103480006639</v>
      </c>
      <c r="U24" s="186">
        <f t="shared" si="50"/>
        <v>33.789032864972036</v>
      </c>
      <c r="V24" s="186">
        <f t="shared" si="50"/>
        <v>50.140934957643786</v>
      </c>
      <c r="W24" s="186">
        <f t="shared" si="50"/>
        <v>93.797279866866106</v>
      </c>
      <c r="X24" s="309">
        <f t="shared" ref="X24:AC24" si="51">X11*X16/1000000</f>
        <v>324.95995878799374</v>
      </c>
      <c r="Y24" s="545">
        <f t="shared" si="51"/>
        <v>345.10726962883001</v>
      </c>
      <c r="Z24" s="315">
        <f t="shared" si="51"/>
        <v>512.32155693941513</v>
      </c>
      <c r="AA24" s="538">
        <f t="shared" si="51"/>
        <v>514.67620124631549</v>
      </c>
      <c r="AB24" s="538">
        <f t="shared" si="51"/>
        <v>-287.8955821156851</v>
      </c>
      <c r="AC24" s="544" t="e">
        <f t="shared" si="51"/>
        <v>#REF!</v>
      </c>
      <c r="AD24" s="544">
        <f t="shared" ref="AD24:AE24" si="52">AD11*AD16/1000000</f>
        <v>-378.15420261788086</v>
      </c>
      <c r="AE24" s="544" t="e">
        <f t="shared" si="52"/>
        <v>#VALUE!</v>
      </c>
      <c r="AF24" s="544">
        <f t="shared" ref="AF24:AG24" si="53">AF11*AF16/1000000</f>
        <v>0</v>
      </c>
      <c r="AG24" s="544">
        <f t="shared" si="53"/>
        <v>0</v>
      </c>
      <c r="AH24" s="544">
        <f t="shared" ref="AH24" si="54">AH11*AH16/1000000</f>
        <v>0</v>
      </c>
      <c r="AI24" s="928"/>
      <c r="AJ24" s="928"/>
      <c r="AL24" s="1004"/>
      <c r="AM24" s="1004"/>
      <c r="AN24" s="992"/>
      <c r="AO24" s="992"/>
      <c r="AP24" s="992"/>
      <c r="AQ24" s="992"/>
      <c r="AR24" s="992"/>
      <c r="AS24" s="992"/>
      <c r="AT24" s="992"/>
      <c r="AU24" s="992"/>
      <c r="AV24" s="1007"/>
      <c r="AW24" s="1007"/>
      <c r="AX24" s="1007"/>
    </row>
    <row r="25" spans="1:50" ht="17.45" hidden="1" customHeight="1" x14ac:dyDescent="0.2">
      <c r="A25" s="185" t="s">
        <v>5</v>
      </c>
      <c r="B25" s="186">
        <f t="shared" ref="B25:W25" si="55">B12*B16/1000000</f>
        <v>5.8911248000000001</v>
      </c>
      <c r="C25" s="186">
        <f t="shared" si="55"/>
        <v>5.5796469999999996</v>
      </c>
      <c r="D25" s="186">
        <f t="shared" si="55"/>
        <v>5.8288010000000003</v>
      </c>
      <c r="E25" s="186">
        <f t="shared" si="55"/>
        <v>14.436600600000002</v>
      </c>
      <c r="F25" s="186">
        <f t="shared" si="55"/>
        <v>21.280008800000001</v>
      </c>
      <c r="G25" s="186">
        <f t="shared" si="55"/>
        <v>24.798715200000004</v>
      </c>
      <c r="H25" s="186">
        <f t="shared" si="55"/>
        <v>22.4127404412</v>
      </c>
      <c r="I25" s="186">
        <f t="shared" si="55"/>
        <v>34.602465307499997</v>
      </c>
      <c r="J25" s="186">
        <f t="shared" si="55"/>
        <v>33.268194107200003</v>
      </c>
      <c r="K25" s="186">
        <f t="shared" si="55"/>
        <v>45.017290300347838</v>
      </c>
      <c r="L25" s="186">
        <f t="shared" si="55"/>
        <v>39.969437279407757</v>
      </c>
      <c r="M25" s="186">
        <f t="shared" si="55"/>
        <v>44.170717648581771</v>
      </c>
      <c r="N25" s="186">
        <f t="shared" si="55"/>
        <v>47.843467791196062</v>
      </c>
      <c r="O25" s="186">
        <f t="shared" si="55"/>
        <v>35.213048010599941</v>
      </c>
      <c r="P25" s="186">
        <f t="shared" si="55"/>
        <v>26.765330377200002</v>
      </c>
      <c r="Q25" s="186">
        <f t="shared" si="55"/>
        <v>29.290495785613821</v>
      </c>
      <c r="R25" s="186">
        <f t="shared" si="55"/>
        <v>36.322009110128008</v>
      </c>
      <c r="S25" s="186">
        <f t="shared" si="55"/>
        <v>64.646591068442376</v>
      </c>
      <c r="T25" s="186">
        <f t="shared" si="55"/>
        <v>64.9087974293343</v>
      </c>
      <c r="U25" s="186">
        <f t="shared" si="55"/>
        <v>69.129876714418998</v>
      </c>
      <c r="V25" s="186">
        <f t="shared" si="55"/>
        <v>57.192129198171912</v>
      </c>
      <c r="W25" s="186">
        <f t="shared" si="55"/>
        <v>56.449899153534545</v>
      </c>
      <c r="X25" s="309">
        <f t="shared" ref="X25:AC25" si="56">X12*X16/1000000</f>
        <v>75.940652978908005</v>
      </c>
      <c r="Y25" s="545">
        <f t="shared" si="56"/>
        <v>148.00498582907016</v>
      </c>
      <c r="Z25" s="315">
        <f t="shared" si="56"/>
        <v>259.54356638003156</v>
      </c>
      <c r="AA25" s="315">
        <f t="shared" si="56"/>
        <v>191.08215544285383</v>
      </c>
      <c r="AB25" s="315">
        <f t="shared" si="56"/>
        <v>-110.71595239217513</v>
      </c>
      <c r="AC25" s="497" t="e">
        <f t="shared" si="56"/>
        <v>#REF!</v>
      </c>
      <c r="AD25" s="497">
        <f t="shared" ref="AD25:AE25" si="57">AD12*AD16/1000000</f>
        <v>-152.3665118883053</v>
      </c>
      <c r="AE25" s="497" t="e">
        <f t="shared" si="57"/>
        <v>#VALUE!</v>
      </c>
      <c r="AF25" s="497">
        <f t="shared" ref="AF25:AG25" si="58">AF12*AF16/1000000</f>
        <v>0</v>
      </c>
      <c r="AG25" s="497">
        <f t="shared" si="58"/>
        <v>0</v>
      </c>
      <c r="AH25" s="497">
        <f t="shared" ref="AH25" si="59">AH12*AH16/1000000</f>
        <v>0</v>
      </c>
      <c r="AI25" s="915"/>
      <c r="AJ25" s="915"/>
      <c r="AL25" s="331" t="s">
        <v>203</v>
      </c>
      <c r="AM25" s="332" t="s">
        <v>154</v>
      </c>
      <c r="AN25" s="333">
        <f>'Data Penunjang'!W64</f>
        <v>16918356</v>
      </c>
      <c r="AO25" s="333">
        <f>'Data Penunjang'!X64</f>
        <v>12777434</v>
      </c>
      <c r="AP25" s="333">
        <f>'Data Penunjang'!Y64</f>
        <v>9718774</v>
      </c>
      <c r="AQ25" s="334">
        <f>'Data Penunjang'!Z64</f>
        <v>8077904</v>
      </c>
      <c r="AR25" s="335">
        <f>'Data Penunjang'!AA64</f>
        <v>23932473</v>
      </c>
      <c r="AS25" s="336">
        <f>'Data Penunjang'!AB64</f>
        <v>40646372</v>
      </c>
      <c r="AT25" s="336">
        <f>'Data Penunjang'!AC64</f>
        <v>42237796</v>
      </c>
      <c r="AU25" s="336">
        <f>'Data Penunjang'!AD64</f>
        <v>29708748</v>
      </c>
      <c r="AV25" s="336">
        <f>'Data Penunjang'!AE64</f>
        <v>38158228</v>
      </c>
      <c r="AW25" s="336">
        <f>'Data Penunjang'!AF64</f>
        <v>38456014</v>
      </c>
      <c r="AX25" s="336">
        <f>'Data Penunjang'!AG64</f>
        <v>49292712</v>
      </c>
    </row>
    <row r="26" spans="1:50" ht="17.45" hidden="1" customHeight="1" x14ac:dyDescent="0.2">
      <c r="A26" s="185" t="s">
        <v>99</v>
      </c>
      <c r="B26" s="186">
        <f t="shared" ref="B26:W26" si="60">B13*B16/1000000</f>
        <v>96.846921599999789</v>
      </c>
      <c r="C26" s="186">
        <f t="shared" si="60"/>
        <v>88.311475058738182</v>
      </c>
      <c r="D26" s="186">
        <f t="shared" si="60"/>
        <v>92.19738831468527</v>
      </c>
      <c r="E26" s="186">
        <f t="shared" si="60"/>
        <v>201.37740319056144</v>
      </c>
      <c r="F26" s="186">
        <f t="shared" si="60"/>
        <v>314.27351344577659</v>
      </c>
      <c r="G26" s="186">
        <f t="shared" si="60"/>
        <v>364.26337415999933</v>
      </c>
      <c r="H26" s="186">
        <f t="shared" si="60"/>
        <v>353.15610247400019</v>
      </c>
      <c r="I26" s="186">
        <f t="shared" si="60"/>
        <v>608.07614401609987</v>
      </c>
      <c r="J26" s="186">
        <f t="shared" si="60"/>
        <v>675.56127889120046</v>
      </c>
      <c r="K26" s="186">
        <f t="shared" si="60"/>
        <v>988.92967034771721</v>
      </c>
      <c r="L26" s="186">
        <f t="shared" si="60"/>
        <v>865.1000642708218</v>
      </c>
      <c r="M26" s="186">
        <f t="shared" si="60"/>
        <v>1091.345922879261</v>
      </c>
      <c r="N26" s="186">
        <f t="shared" si="60"/>
        <v>1143.2415273456143</v>
      </c>
      <c r="O26" s="186">
        <f t="shared" si="60"/>
        <v>1073.5727835326775</v>
      </c>
      <c r="P26" s="186">
        <f t="shared" si="60"/>
        <v>1405.6304058709538</v>
      </c>
      <c r="Q26" s="186">
        <f t="shared" si="60"/>
        <v>1240.4887683677391</v>
      </c>
      <c r="R26" s="186">
        <f t="shared" si="60"/>
        <v>1523.804903932145</v>
      </c>
      <c r="S26" s="186">
        <f t="shared" si="60"/>
        <v>1695.3685205250642</v>
      </c>
      <c r="T26" s="186">
        <f t="shared" si="60"/>
        <v>1708.2184421647023</v>
      </c>
      <c r="U26" s="186">
        <f t="shared" si="60"/>
        <v>2159.7609581390766</v>
      </c>
      <c r="V26" s="186">
        <f t="shared" si="60"/>
        <v>2076.2868531923496</v>
      </c>
      <c r="W26" s="186">
        <f t="shared" si="60"/>
        <v>1652.107041386048</v>
      </c>
      <c r="X26" s="309">
        <f t="shared" ref="X26:AC26" si="61">X13*X16/1000000</f>
        <v>2289.9907221458043</v>
      </c>
      <c r="Y26" s="545">
        <f t="shared" si="61"/>
        <v>8206.710609605896</v>
      </c>
      <c r="Z26" s="315">
        <f t="shared" si="61"/>
        <v>9710.2741274895561</v>
      </c>
      <c r="AA26" s="315">
        <f t="shared" si="61"/>
        <v>8263.1592691240403</v>
      </c>
      <c r="AB26" s="315">
        <f t="shared" si="61"/>
        <v>-3737.3803231908182</v>
      </c>
      <c r="AC26" s="497" t="e">
        <f t="shared" si="61"/>
        <v>#REF!</v>
      </c>
      <c r="AD26" s="497">
        <f t="shared" ref="AD26:AE26" si="62">AD13*AD16/1000000</f>
        <v>-3815.8551482427156</v>
      </c>
      <c r="AE26" s="497" t="e">
        <f t="shared" si="62"/>
        <v>#VALUE!</v>
      </c>
      <c r="AF26" s="497">
        <f t="shared" ref="AF26:AG26" si="63">AF13*AF16/1000000</f>
        <v>0</v>
      </c>
      <c r="AG26" s="497">
        <f t="shared" si="63"/>
        <v>0</v>
      </c>
      <c r="AH26" s="497">
        <f t="shared" ref="AH26" si="64">AH13*AH16/1000000</f>
        <v>0</v>
      </c>
      <c r="AI26" s="915"/>
      <c r="AJ26" s="915"/>
      <c r="AL26" s="91" t="s">
        <v>204</v>
      </c>
      <c r="AM26" s="337" t="s">
        <v>154</v>
      </c>
      <c r="AN26" s="338">
        <f>'Data Penunjang'!W65</f>
        <v>272528</v>
      </c>
      <c r="AO26" s="338">
        <f>'Data Penunjang'!X65</f>
        <v>271964</v>
      </c>
      <c r="AP26" s="338">
        <f>'Data Penunjang'!Y65</f>
        <v>192619</v>
      </c>
      <c r="AQ26" s="339">
        <f>'Data Penunjang'!Z65</f>
        <v>28722</v>
      </c>
      <c r="AR26" s="340">
        <f>'Data Penunjang'!AA65</f>
        <v>339582</v>
      </c>
      <c r="AS26" s="341">
        <f>'Data Penunjang'!AB65</f>
        <v>367931</v>
      </c>
      <c r="AT26" s="341">
        <f>'Data Penunjang'!AC65</f>
        <v>975266</v>
      </c>
      <c r="AU26" s="341">
        <f>'Data Penunjang'!AD65</f>
        <v>1014200</v>
      </c>
      <c r="AV26" s="341">
        <f>'Data Penunjang'!AE65</f>
        <v>774572</v>
      </c>
      <c r="AW26" s="341">
        <f>'Data Penunjang'!AF65</f>
        <v>305815</v>
      </c>
      <c r="AX26" s="341">
        <f>'Data Penunjang'!AG65</f>
        <v>211048</v>
      </c>
    </row>
    <row r="27" spans="1:50" ht="17.45" hidden="1" customHeight="1" x14ac:dyDescent="0.2">
      <c r="A27" s="185" t="s">
        <v>100</v>
      </c>
      <c r="B27" s="186">
        <v>142.6</v>
      </c>
      <c r="C27" s="186">
        <f t="shared" ref="C27:W27" si="65">C8*(C16-B16)/1000000</f>
        <v>-170.27934899999997</v>
      </c>
      <c r="D27" s="186">
        <f t="shared" si="65"/>
        <v>-49.797859148859956</v>
      </c>
      <c r="E27" s="186">
        <f t="shared" si="65"/>
        <v>863.40815414093231</v>
      </c>
      <c r="F27" s="186">
        <f t="shared" si="65"/>
        <v>759.69692561956583</v>
      </c>
      <c r="G27" s="186">
        <f t="shared" si="65"/>
        <v>114.29091498264714</v>
      </c>
      <c r="H27" s="186">
        <f t="shared" si="65"/>
        <v>-484.35040871025296</v>
      </c>
      <c r="I27" s="186">
        <f t="shared" si="65"/>
        <v>1774.7437578898505</v>
      </c>
      <c r="J27" s="186">
        <f t="shared" si="65"/>
        <v>9.2757439246499516</v>
      </c>
      <c r="K27" s="186">
        <f t="shared" si="65"/>
        <v>1928.5008438266796</v>
      </c>
      <c r="L27" s="186">
        <f t="shared" si="65"/>
        <v>-297.03047483000051</v>
      </c>
      <c r="M27" s="186">
        <f t="shared" si="65"/>
        <v>2583.3015513692917</v>
      </c>
      <c r="N27" s="186">
        <f t="shared" si="65"/>
        <v>843.46973596083478</v>
      </c>
      <c r="O27" s="186">
        <f t="shared" si="65"/>
        <v>1453.3331141636393</v>
      </c>
      <c r="P27" s="186">
        <f t="shared" si="65"/>
        <v>857.71342915952505</v>
      </c>
      <c r="Q27" s="186">
        <f t="shared" si="65"/>
        <v>2215.6917730419414</v>
      </c>
      <c r="R27" s="186">
        <f t="shared" si="65"/>
        <v>6436.7675884375403</v>
      </c>
      <c r="S27" s="186">
        <f t="shared" si="65"/>
        <v>2612.6070664472691</v>
      </c>
      <c r="T27" s="186">
        <f t="shared" si="65"/>
        <v>1755.951607234806</v>
      </c>
      <c r="U27" s="186">
        <f t="shared" si="65"/>
        <v>9083.5657016563382</v>
      </c>
      <c r="V27" s="186">
        <f t="shared" si="65"/>
        <v>-665.74877821683788</v>
      </c>
      <c r="W27" s="186">
        <f t="shared" si="65"/>
        <v>-9787.6096061439966</v>
      </c>
      <c r="X27" s="309">
        <f t="shared" ref="X27:AH27" si="66">X8*(X16-W16)/1000000</f>
        <v>16154.632590392233</v>
      </c>
      <c r="Y27" s="545">
        <f t="shared" si="66"/>
        <v>59656.392065611508</v>
      </c>
      <c r="Z27" s="315">
        <f t="shared" si="66"/>
        <v>128640.61422783499</v>
      </c>
      <c r="AA27" s="315">
        <f t="shared" si="66"/>
        <v>-39112.960789123375</v>
      </c>
      <c r="AB27" s="315">
        <f t="shared" si="66"/>
        <v>-422362.79346605024</v>
      </c>
      <c r="AC27" s="497" t="e">
        <f t="shared" si="66"/>
        <v>#REF!</v>
      </c>
      <c r="AD27" s="497" t="e">
        <f t="shared" si="66"/>
        <v>#REF!</v>
      </c>
      <c r="AE27" s="497" t="e">
        <f t="shared" si="66"/>
        <v>#VALUE!</v>
      </c>
      <c r="AF27" s="497" t="e">
        <f t="shared" si="66"/>
        <v>#VALUE!</v>
      </c>
      <c r="AG27" s="497">
        <f t="shared" si="66"/>
        <v>0</v>
      </c>
      <c r="AH27" s="497">
        <f t="shared" si="66"/>
        <v>0</v>
      </c>
      <c r="AI27" s="915"/>
      <c r="AJ27" s="915"/>
      <c r="AL27" s="91" t="s">
        <v>205</v>
      </c>
      <c r="AM27" s="337" t="s">
        <v>154</v>
      </c>
      <c r="AN27" s="338">
        <f>'Data Penunjang'!W66</f>
        <v>593150</v>
      </c>
      <c r="AO27" s="338">
        <f>'Data Penunjang'!X66</f>
        <v>707604</v>
      </c>
      <c r="AP27" s="338">
        <f>'Data Penunjang'!Y66</f>
        <v>471534</v>
      </c>
      <c r="AQ27" s="339">
        <f>'Data Penunjang'!Z66</f>
        <v>1292101</v>
      </c>
      <c r="AR27" s="340">
        <f>'Data Penunjang'!AA66</f>
        <v>1656549</v>
      </c>
      <c r="AS27" s="341">
        <f>'Data Penunjang'!AB66</f>
        <v>4638857</v>
      </c>
      <c r="AT27" s="341">
        <f>'Data Penunjang'!AC66</f>
        <v>1228118</v>
      </c>
      <c r="AU27" s="341">
        <f>'Data Penunjang'!AD66</f>
        <v>2328120</v>
      </c>
      <c r="AV27" s="341">
        <f>'Data Penunjang'!AE66</f>
        <v>1669381</v>
      </c>
      <c r="AW27" s="341">
        <f>'Data Penunjang'!AF66</f>
        <v>1120886</v>
      </c>
      <c r="AX27" s="341">
        <f>'Data Penunjang'!AG66</f>
        <v>1702742</v>
      </c>
    </row>
    <row r="28" spans="1:50" ht="17.45" hidden="1" customHeight="1" x14ac:dyDescent="0.2">
      <c r="A28" s="185" t="s">
        <v>101</v>
      </c>
      <c r="B28" s="201">
        <f t="shared" ref="B28:W28" si="67">B21+B22+B23-B24-B25+B27</f>
        <v>913.64692160000016</v>
      </c>
      <c r="C28" s="201">
        <f t="shared" si="67"/>
        <v>831.67904765873845</v>
      </c>
      <c r="D28" s="201">
        <f t="shared" si="67"/>
        <v>874.0785768245637</v>
      </c>
      <c r="E28" s="201">
        <f t="shared" si="67"/>
        <v>1938.8641341560574</v>
      </c>
      <c r="F28" s="201">
        <f t="shared" si="67"/>
        <v>3012.8345732213998</v>
      </c>
      <c r="G28" s="201">
        <f t="shared" si="67"/>
        <v>3491.3888623640469</v>
      </c>
      <c r="H28" s="201">
        <f t="shared" si="67"/>
        <v>3360.1945561277939</v>
      </c>
      <c r="I28" s="201">
        <f t="shared" si="67"/>
        <v>5743.0144580337446</v>
      </c>
      <c r="J28" s="201">
        <f t="shared" si="67"/>
        <v>6427.8514808495947</v>
      </c>
      <c r="K28" s="201">
        <f t="shared" si="67"/>
        <v>9345.28199502399</v>
      </c>
      <c r="L28" s="201">
        <f t="shared" si="67"/>
        <v>9913.3515844648136</v>
      </c>
      <c r="M28" s="201">
        <f t="shared" si="67"/>
        <v>13587.999058713363</v>
      </c>
      <c r="N28" s="201">
        <f t="shared" si="67"/>
        <v>15574.710322019815</v>
      </c>
      <c r="O28" s="201">
        <f t="shared" si="67"/>
        <v>18101.616219716136</v>
      </c>
      <c r="P28" s="201">
        <f t="shared" si="67"/>
        <v>20364.960054746611</v>
      </c>
      <c r="Q28" s="201">
        <f t="shared" si="67"/>
        <v>23821.140596156289</v>
      </c>
      <c r="R28" s="201">
        <f t="shared" si="67"/>
        <v>31781.713088525976</v>
      </c>
      <c r="S28" s="201">
        <f t="shared" si="67"/>
        <v>36089.688675498313</v>
      </c>
      <c r="T28" s="201">
        <f t="shared" si="67"/>
        <v>39553.858724897815</v>
      </c>
      <c r="U28" s="201">
        <f t="shared" si="67"/>
        <v>50797.185384693235</v>
      </c>
      <c r="V28" s="201">
        <f t="shared" si="67"/>
        <v>52207.723459668749</v>
      </c>
      <c r="W28" s="201">
        <f t="shared" si="67"/>
        <v>44072.220894910795</v>
      </c>
      <c r="X28" s="309">
        <f t="shared" ref="X28:AC28" si="68">X21+X22+X23-X24-X25+X27</f>
        <v>62516.844207448834</v>
      </c>
      <c r="Y28" s="545">
        <f t="shared" si="68"/>
        <v>130379.94688266622</v>
      </c>
      <c r="Z28" s="315">
        <f t="shared" si="68"/>
        <v>268730.83523799072</v>
      </c>
      <c r="AA28" s="315">
        <f t="shared" si="68"/>
        <v>237881.03371799138</v>
      </c>
      <c r="AB28" s="315">
        <f t="shared" si="68"/>
        <v>-188219.14007124968</v>
      </c>
      <c r="AC28" s="497" t="e">
        <f t="shared" si="68"/>
        <v>#REF!</v>
      </c>
      <c r="AD28" s="497" t="e">
        <f t="shared" ref="AD28:AE28" si="69">AD21+AD22+AD23-AD24-AD25+AD27</f>
        <v>#REF!</v>
      </c>
      <c r="AE28" s="497" t="e">
        <f t="shared" si="69"/>
        <v>#REF!</v>
      </c>
      <c r="AF28" s="497" t="e">
        <f t="shared" ref="AF28:AG28" si="70">AF21+AF22+AF23-AF24-AF25+AF27</f>
        <v>#REF!</v>
      </c>
      <c r="AG28" s="497" t="e">
        <f t="shared" si="70"/>
        <v>#REF!</v>
      </c>
      <c r="AH28" s="497" t="e">
        <f t="shared" ref="AH28" si="71">AH21+AH22+AH23-AH24-AH25+AH27</f>
        <v>#REF!</v>
      </c>
      <c r="AI28" s="915"/>
      <c r="AJ28" s="915"/>
      <c r="AL28" s="91" t="s">
        <v>206</v>
      </c>
      <c r="AM28" s="337" t="s">
        <v>154</v>
      </c>
      <c r="AN28" s="338">
        <f>'Data Penunjang'!W67</f>
        <v>89897</v>
      </c>
      <c r="AO28" s="338">
        <f>'Data Penunjang'!X67</f>
        <v>79529</v>
      </c>
      <c r="AP28" s="338">
        <f>'Data Penunjang'!Y67</f>
        <v>29710</v>
      </c>
      <c r="AQ28" s="339">
        <f>'Data Penunjang'!Z67</f>
        <v>34813</v>
      </c>
      <c r="AR28" s="340">
        <f>'Data Penunjang'!AA67</f>
        <v>233255</v>
      </c>
      <c r="AS28" s="341">
        <f>'Data Penunjang'!AB67</f>
        <v>131288</v>
      </c>
      <c r="AT28" s="341">
        <f>'Data Penunjang'!AC67</f>
        <v>236050</v>
      </c>
      <c r="AU28" s="341">
        <f>'Data Penunjang'!AD67</f>
        <v>182068</v>
      </c>
      <c r="AV28" s="341">
        <f>'Data Penunjang'!AE67</f>
        <v>43287</v>
      </c>
      <c r="AW28" s="341">
        <f>'Data Penunjang'!AF67</f>
        <v>107205</v>
      </c>
      <c r="AX28" s="341">
        <f>'Data Penunjang'!AG67</f>
        <v>184927</v>
      </c>
    </row>
    <row r="29" spans="1:50" ht="17.45" hidden="1" customHeight="1" thickBot="1" x14ac:dyDescent="0.25">
      <c r="A29" s="188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567"/>
      <c r="Y29" s="574"/>
      <c r="Z29" s="575"/>
      <c r="AA29" s="575"/>
      <c r="AB29" s="575"/>
      <c r="AC29" s="576"/>
      <c r="AD29" s="576"/>
      <c r="AE29" s="576"/>
      <c r="AF29" s="576"/>
      <c r="AG29" s="576"/>
      <c r="AH29" s="576"/>
      <c r="AI29" s="405"/>
      <c r="AJ29" s="405"/>
      <c r="AL29" s="91" t="s">
        <v>207</v>
      </c>
      <c r="AM29" s="337" t="s">
        <v>154</v>
      </c>
      <c r="AN29" s="338">
        <f>'Data Penunjang'!W68</f>
        <v>2345097</v>
      </c>
      <c r="AO29" s="338">
        <f>'Data Penunjang'!X68</f>
        <v>1495144</v>
      </c>
      <c r="AP29" s="338">
        <f>'Data Penunjang'!Y68</f>
        <v>3822571</v>
      </c>
      <c r="AQ29" s="339">
        <f>'Data Penunjang'!Z68</f>
        <v>54750</v>
      </c>
      <c r="AR29" s="340">
        <f>'Data Penunjang'!AA68</f>
        <v>22995049</v>
      </c>
      <c r="AS29" s="341">
        <f>'Data Penunjang'!AB68</f>
        <v>27925113</v>
      </c>
      <c r="AT29" s="341">
        <f>'Data Penunjang'!AC68</f>
        <v>7359556</v>
      </c>
      <c r="AU29" s="341">
        <f>'Data Penunjang'!AD68</f>
        <v>11046629</v>
      </c>
      <c r="AV29" s="341">
        <f>'Data Penunjang'!AE68</f>
        <v>12879190</v>
      </c>
      <c r="AW29" s="341">
        <f>'Data Penunjang'!AF68</f>
        <v>522062</v>
      </c>
      <c r="AX29" s="341">
        <f>'Data Penunjang'!AG68</f>
        <v>6089975</v>
      </c>
    </row>
    <row r="30" spans="1:50" ht="17.45" customHeight="1" thickTop="1" x14ac:dyDescent="0.2">
      <c r="C30" s="154">
        <f t="shared" ref="C30" si="72">+C28/B28*100-100</f>
        <v>-8.9715044185468997</v>
      </c>
      <c r="D30" s="154">
        <f t="shared" ref="D30" si="73">+D28/C28*100-100</f>
        <v>5.0980638847623112</v>
      </c>
      <c r="E30" s="154">
        <f t="shared" ref="E30" si="74">+E28/D28*100-100</f>
        <v>121.81805910399368</v>
      </c>
      <c r="F30" s="154">
        <f t="shared" ref="F30" si="75">+F28/E28*100-100</f>
        <v>55.391732723593691</v>
      </c>
      <c r="G30" s="154">
        <f t="shared" ref="G30" si="76">+G28/F28*100-100</f>
        <v>15.883855469401524</v>
      </c>
      <c r="H30" s="154">
        <f t="shared" ref="H30" si="77">+H28/G28*100-100</f>
        <v>-3.7576537993370493</v>
      </c>
      <c r="I30" s="154">
        <f t="shared" ref="I30" si="78">+I28/H28*100-100</f>
        <v>70.91315285778731</v>
      </c>
      <c r="J30" s="154">
        <f t="shared" ref="J30" si="79">+J28/I28*100-100</f>
        <v>11.924696129884381</v>
      </c>
      <c r="K30" s="154">
        <f t="shared" ref="K30" si="80">+K28/J28*100-100</f>
        <v>45.387335455186758</v>
      </c>
      <c r="L30" s="154">
        <f t="shared" ref="L30" si="81">+L28/K28*100-100</f>
        <v>6.0786778798467509</v>
      </c>
      <c r="M30" s="154">
        <f t="shared" ref="M30" si="82">+M28/L28*100-100</f>
        <v>37.06766014439637</v>
      </c>
      <c r="N30" s="154">
        <f t="shared" ref="N30" si="83">+N28/M28*100-100</f>
        <v>14.621073012457003</v>
      </c>
      <c r="O30" s="154">
        <f t="shared" ref="O30" si="84">+O28/N28*100-100</f>
        <v>16.224416669398551</v>
      </c>
      <c r="P30" s="154">
        <f t="shared" ref="P30" si="85">+P28/O28*100-100</f>
        <v>12.503545581555642</v>
      </c>
      <c r="Q30" s="154">
        <f t="shared" ref="Q30" si="86">+Q28/P28*100-100</f>
        <v>16.971211984302997</v>
      </c>
      <c r="R30" s="154">
        <f t="shared" ref="R30" si="87">+R28/Q28*100-100</f>
        <v>33.418099608774327</v>
      </c>
      <c r="S30" s="154">
        <f t="shared" ref="S30" si="88">+S28/R28*100-100</f>
        <v>13.554887916119384</v>
      </c>
      <c r="T30" s="154">
        <f t="shared" ref="T30" si="89">+T28/S28*100-100</f>
        <v>9.5987806393890196</v>
      </c>
      <c r="U30" s="154">
        <f t="shared" ref="U30" si="90">+U28/T28*100-100</f>
        <v>28.425359806218154</v>
      </c>
      <c r="V30" s="154">
        <f t="shared" ref="V30" si="91">+V28/U28*100-100</f>
        <v>2.7768036049504303</v>
      </c>
      <c r="W30" s="154">
        <f t="shared" ref="W30" si="92">+W28/V28*100-100</f>
        <v>-15.582948318063998</v>
      </c>
      <c r="X30" s="154">
        <f t="shared" ref="X30:Y30" si="93">+X28/W28*100-100</f>
        <v>41.850905032716241</v>
      </c>
      <c r="Y30" s="154">
        <f t="shared" si="93"/>
        <v>108.5517088003165</v>
      </c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L30" s="91" t="s">
        <v>208</v>
      </c>
      <c r="AM30" s="337" t="s">
        <v>154</v>
      </c>
      <c r="AN30" s="338">
        <f>'Data Penunjang'!W69</f>
        <v>11530432</v>
      </c>
      <c r="AO30" s="338">
        <f>'Data Penunjang'!X69</f>
        <v>11524867</v>
      </c>
      <c r="AP30" s="338">
        <f>'Data Penunjang'!Y69</f>
        <v>9678490</v>
      </c>
      <c r="AQ30" s="339">
        <f>'Data Penunjang'!Z69</f>
        <v>26469493</v>
      </c>
      <c r="AR30" s="340">
        <f>'Data Penunjang'!AA69</f>
        <v>33628477</v>
      </c>
      <c r="AS30" s="341">
        <f>'Data Penunjang'!AB69</f>
        <v>136168967</v>
      </c>
      <c r="AT30" s="341">
        <f>'Data Penunjang'!AC69</f>
        <v>62017916</v>
      </c>
      <c r="AU30" s="341">
        <f>'Data Penunjang'!AD69</f>
        <v>40947442</v>
      </c>
      <c r="AV30" s="341">
        <f>'Data Penunjang'!AE69</f>
        <v>46678527</v>
      </c>
      <c r="AW30" s="341">
        <f>'Data Penunjang'!AF69</f>
        <v>31763130</v>
      </c>
      <c r="AX30" s="341">
        <f>'Data Penunjang'!AG69</f>
        <v>30855268</v>
      </c>
    </row>
    <row r="31" spans="1:50" s="1" customFormat="1" ht="17.45" customHeight="1" x14ac:dyDescent="0.2">
      <c r="AL31" s="515" t="s">
        <v>279</v>
      </c>
      <c r="AM31" s="516" t="s">
        <v>154</v>
      </c>
      <c r="AN31" s="517">
        <f>SUM(AN25:AN30)</f>
        <v>31749460</v>
      </c>
      <c r="AO31" s="517">
        <f t="shared" ref="AO31:AS31" si="94">SUM(AO25:AO30)</f>
        <v>26856542</v>
      </c>
      <c r="AP31" s="517">
        <f t="shared" si="94"/>
        <v>23913698</v>
      </c>
      <c r="AQ31" s="517">
        <f t="shared" si="94"/>
        <v>35957783</v>
      </c>
      <c r="AR31" s="517">
        <f t="shared" si="94"/>
        <v>82785385</v>
      </c>
      <c r="AS31" s="517">
        <f t="shared" si="94"/>
        <v>209878528</v>
      </c>
      <c r="AT31" s="517">
        <f t="shared" ref="AT31" si="95">SUM(AT25:AT30)</f>
        <v>114054702</v>
      </c>
      <c r="AU31" s="517">
        <f t="shared" ref="AU31:AV31" si="96">SUM(AU25:AU30)</f>
        <v>85227207</v>
      </c>
      <c r="AV31" s="518">
        <f t="shared" si="96"/>
        <v>100203185</v>
      </c>
      <c r="AW31" s="518">
        <f t="shared" ref="AW31:AX31" si="97">SUM(AW25:AW30)</f>
        <v>72275112</v>
      </c>
      <c r="AX31" s="518">
        <f t="shared" si="97"/>
        <v>88336672</v>
      </c>
    </row>
    <row r="32" spans="1:50" ht="17.45" customHeight="1" x14ac:dyDescent="0.2">
      <c r="AQ32" s="1"/>
    </row>
    <row r="33" spans="38:50" ht="17.45" customHeight="1" x14ac:dyDescent="0.2">
      <c r="AL33" s="1004" t="s">
        <v>202</v>
      </c>
      <c r="AM33" s="1004"/>
      <c r="AN33" s="992">
        <v>2007</v>
      </c>
      <c r="AO33" s="992">
        <v>2008</v>
      </c>
      <c r="AP33" s="992">
        <v>2009</v>
      </c>
      <c r="AQ33" s="992">
        <v>2010</v>
      </c>
      <c r="AR33" s="992">
        <v>2011</v>
      </c>
      <c r="AS33" s="992">
        <v>2012</v>
      </c>
      <c r="AT33" s="992">
        <v>2013</v>
      </c>
      <c r="AU33" s="992">
        <v>2014</v>
      </c>
      <c r="AV33" s="1006">
        <v>2015</v>
      </c>
      <c r="AW33" s="1006">
        <v>2016</v>
      </c>
      <c r="AX33" s="1006">
        <v>2017</v>
      </c>
    </row>
    <row r="34" spans="38:50" x14ac:dyDescent="0.2">
      <c r="AL34" s="1004"/>
      <c r="AM34" s="1004"/>
      <c r="AN34" s="992"/>
      <c r="AO34" s="992"/>
      <c r="AP34" s="992"/>
      <c r="AQ34" s="992"/>
      <c r="AR34" s="992"/>
      <c r="AS34" s="992"/>
      <c r="AT34" s="992"/>
      <c r="AU34" s="992"/>
      <c r="AV34" s="1007"/>
      <c r="AW34" s="1007"/>
      <c r="AX34" s="1007"/>
    </row>
    <row r="35" spans="38:50" x14ac:dyDescent="0.2">
      <c r="AL35" s="331" t="s">
        <v>203</v>
      </c>
      <c r="AM35" s="332" t="s">
        <v>56</v>
      </c>
      <c r="AN35" s="4"/>
      <c r="AO35" s="387">
        <f>AO25/AN25*100-100</f>
        <v>-24.475912434990732</v>
      </c>
      <c r="AP35" s="387">
        <f t="shared" ref="AP35:AX35" si="98">AP25/AO25*100-100</f>
        <v>-23.937983166260153</v>
      </c>
      <c r="AQ35" s="387">
        <f t="shared" si="98"/>
        <v>-16.883508146192099</v>
      </c>
      <c r="AR35" s="387">
        <f t="shared" si="98"/>
        <v>196.27082718487372</v>
      </c>
      <c r="AS35" s="387">
        <f t="shared" si="98"/>
        <v>69.837743053131192</v>
      </c>
      <c r="AT35" s="387">
        <f t="shared" si="98"/>
        <v>3.9152916279957282</v>
      </c>
      <c r="AU35" s="387">
        <f t="shared" si="98"/>
        <v>-29.663119732857268</v>
      </c>
      <c r="AV35" s="387">
        <f t="shared" si="98"/>
        <v>28.441050427301747</v>
      </c>
      <c r="AW35" s="387">
        <f t="shared" si="98"/>
        <v>0.78039787382159886</v>
      </c>
      <c r="AX35" s="387">
        <f t="shared" si="98"/>
        <v>28.179462385259171</v>
      </c>
    </row>
    <row r="36" spans="38:50" x14ac:dyDescent="0.2">
      <c r="AL36" s="91" t="s">
        <v>204</v>
      </c>
      <c r="AM36" s="332" t="s">
        <v>56</v>
      </c>
      <c r="AN36" s="4"/>
      <c r="AO36" s="387">
        <f t="shared" ref="AO36:AS36" si="99">AO26/AN26*100-100</f>
        <v>-0.20695121235249303</v>
      </c>
      <c r="AP36" s="387">
        <f t="shared" si="99"/>
        <v>-29.174817255224966</v>
      </c>
      <c r="AQ36" s="387">
        <f t="shared" si="99"/>
        <v>-85.088698415005794</v>
      </c>
      <c r="AR36" s="387">
        <f t="shared" si="99"/>
        <v>1082.3062460831418</v>
      </c>
      <c r="AS36" s="387">
        <f t="shared" si="99"/>
        <v>8.3482045573675805</v>
      </c>
      <c r="AT36" s="387">
        <f>AT26/AS26*100-100</f>
        <v>165.06763496416448</v>
      </c>
      <c r="AU36" s="387">
        <f>AU26/AT26*100-100</f>
        <v>3.9921416311037348</v>
      </c>
      <c r="AV36" s="387">
        <f>AV26/AU26*100-100</f>
        <v>-23.627292447249062</v>
      </c>
      <c r="AW36" s="387">
        <f>AW26/AV26*100-100</f>
        <v>-60.518195855259421</v>
      </c>
      <c r="AX36" s="387">
        <f>AX26/AW26*100-100</f>
        <v>-30.988342625443494</v>
      </c>
    </row>
    <row r="37" spans="38:50" x14ac:dyDescent="0.2">
      <c r="AL37" s="91" t="s">
        <v>205</v>
      </c>
      <c r="AM37" s="332" t="s">
        <v>56</v>
      </c>
      <c r="AN37" s="4"/>
      <c r="AO37" s="387">
        <f t="shared" ref="AO37:AX37" si="100">AO27/AN27*100-100</f>
        <v>19.295962235522211</v>
      </c>
      <c r="AP37" s="387">
        <f t="shared" si="100"/>
        <v>-33.361880373768386</v>
      </c>
      <c r="AQ37" s="387">
        <f t="shared" si="100"/>
        <v>174.02074929909611</v>
      </c>
      <c r="AR37" s="387">
        <f t="shared" si="100"/>
        <v>28.205844589548349</v>
      </c>
      <c r="AS37" s="387">
        <f t="shared" si="100"/>
        <v>180.03137848623857</v>
      </c>
      <c r="AT37" s="387">
        <f t="shared" si="100"/>
        <v>-73.525418007065099</v>
      </c>
      <c r="AU37" s="387">
        <f t="shared" si="100"/>
        <v>89.568103390716516</v>
      </c>
      <c r="AV37" s="387">
        <f t="shared" si="100"/>
        <v>-28.294890297750968</v>
      </c>
      <c r="AW37" s="387">
        <f t="shared" si="100"/>
        <v>-32.856190408301046</v>
      </c>
      <c r="AX37" s="387">
        <f t="shared" si="100"/>
        <v>51.910363765806693</v>
      </c>
    </row>
    <row r="38" spans="38:50" x14ac:dyDescent="0.2">
      <c r="AL38" s="91" t="s">
        <v>206</v>
      </c>
      <c r="AM38" s="332" t="s">
        <v>56</v>
      </c>
      <c r="AN38" s="4"/>
      <c r="AO38" s="387">
        <f t="shared" ref="AO38:AX38" si="101">AO28/AN28*100-100</f>
        <v>-11.533199105643121</v>
      </c>
      <c r="AP38" s="387">
        <f t="shared" si="101"/>
        <v>-62.642558060581678</v>
      </c>
      <c r="AQ38" s="387">
        <f t="shared" si="101"/>
        <v>17.176035005048803</v>
      </c>
      <c r="AR38" s="387">
        <f t="shared" si="101"/>
        <v>570.02269267227757</v>
      </c>
      <c r="AS38" s="387">
        <f t="shared" si="101"/>
        <v>-43.714818546226233</v>
      </c>
      <c r="AT38" s="387">
        <f t="shared" si="101"/>
        <v>79.795563951008461</v>
      </c>
      <c r="AU38" s="387">
        <f t="shared" si="101"/>
        <v>-22.868883711078155</v>
      </c>
      <c r="AV38" s="387">
        <f t="shared" si="101"/>
        <v>-76.224817101302818</v>
      </c>
      <c r="AW38" s="387">
        <f t="shared" si="101"/>
        <v>147.66096056552777</v>
      </c>
      <c r="AX38" s="387">
        <f t="shared" si="101"/>
        <v>72.498484212490098</v>
      </c>
    </row>
    <row r="39" spans="38:50" x14ac:dyDescent="0.2">
      <c r="AL39" s="91" t="s">
        <v>207</v>
      </c>
      <c r="AM39" s="332" t="s">
        <v>56</v>
      </c>
      <c r="AN39" s="4"/>
      <c r="AO39" s="387">
        <f t="shared" ref="AO39:AX39" si="102">AO29/AN29*100-100</f>
        <v>-36.243831278620888</v>
      </c>
      <c r="AP39" s="387">
        <f t="shared" si="102"/>
        <v>155.66574189509504</v>
      </c>
      <c r="AQ39" s="387">
        <f t="shared" si="102"/>
        <v>-98.567717905043494</v>
      </c>
      <c r="AR39" s="387">
        <f t="shared" si="102"/>
        <v>41900.089497716894</v>
      </c>
      <c r="AS39" s="387">
        <f t="shared" si="102"/>
        <v>21.439675992862632</v>
      </c>
      <c r="AT39" s="387">
        <f t="shared" si="102"/>
        <v>-73.645385069704105</v>
      </c>
      <c r="AU39" s="387">
        <f t="shared" si="102"/>
        <v>50.099122827518414</v>
      </c>
      <c r="AV39" s="387">
        <f t="shared" si="102"/>
        <v>16.589323313021566</v>
      </c>
      <c r="AW39" s="387">
        <f t="shared" si="102"/>
        <v>-95.946468683201346</v>
      </c>
      <c r="AX39" s="387">
        <f t="shared" si="102"/>
        <v>1066.5233248158265</v>
      </c>
    </row>
    <row r="40" spans="38:50" x14ac:dyDescent="0.2">
      <c r="AL40" s="91" t="s">
        <v>208</v>
      </c>
      <c r="AM40" s="332" t="s">
        <v>56</v>
      </c>
      <c r="AN40" s="4"/>
      <c r="AO40" s="387">
        <f t="shared" ref="AO40:AX40" si="103">AO30/AN30*100-100</f>
        <v>-4.8263586307953688E-2</v>
      </c>
      <c r="AP40" s="387">
        <f t="shared" si="103"/>
        <v>-16.020809611078377</v>
      </c>
      <c r="AQ40" s="387">
        <f t="shared" si="103"/>
        <v>173.48783746224876</v>
      </c>
      <c r="AR40" s="387">
        <f t="shared" si="103"/>
        <v>27.046169716964357</v>
      </c>
      <c r="AS40" s="387">
        <f t="shared" si="103"/>
        <v>304.92159963116973</v>
      </c>
      <c r="AT40" s="387">
        <f t="shared" si="103"/>
        <v>-54.455176266410241</v>
      </c>
      <c r="AU40" s="387">
        <f t="shared" si="103"/>
        <v>-33.974817857472033</v>
      </c>
      <c r="AV40" s="387">
        <f t="shared" si="103"/>
        <v>13.996197857731872</v>
      </c>
      <c r="AW40" s="387">
        <f t="shared" si="103"/>
        <v>-31.953444032199215</v>
      </c>
      <c r="AX40" s="387">
        <f t="shared" si="103"/>
        <v>-2.8582258738354795</v>
      </c>
    </row>
    <row r="41" spans="38:50" x14ac:dyDescent="0.2">
      <c r="AL41" s="342" t="s">
        <v>279</v>
      </c>
      <c r="AM41" s="343" t="s">
        <v>56</v>
      </c>
      <c r="AN41" s="4"/>
      <c r="AO41" s="320"/>
      <c r="AP41" s="320"/>
      <c r="AQ41" s="320"/>
      <c r="AR41" s="320"/>
      <c r="AS41" s="320"/>
      <c r="AT41" s="320"/>
      <c r="AU41" s="320"/>
      <c r="AV41" s="320"/>
      <c r="AW41" s="320"/>
      <c r="AX41" s="320"/>
    </row>
  </sheetData>
  <mergeCells count="60">
    <mergeCell ref="AX23:AX24"/>
    <mergeCell ref="AX33:AX34"/>
    <mergeCell ref="AQ23:AQ24"/>
    <mergeCell ref="AT23:AT24"/>
    <mergeCell ref="AU23:AU24"/>
    <mergeCell ref="AW23:AW24"/>
    <mergeCell ref="AW33:AW34"/>
    <mergeCell ref="AR33:AR34"/>
    <mergeCell ref="AS33:AS34"/>
    <mergeCell ref="AT33:AT34"/>
    <mergeCell ref="AU33:AU34"/>
    <mergeCell ref="AV33:AV34"/>
    <mergeCell ref="AS23:AS24"/>
    <mergeCell ref="AR23:AR24"/>
    <mergeCell ref="AV23:AV24"/>
    <mergeCell ref="AO23:AO24"/>
    <mergeCell ref="Y4:Y5"/>
    <mergeCell ref="AP23:AP24"/>
    <mergeCell ref="AA4:AA5"/>
    <mergeCell ref="AL23:AM24"/>
    <mergeCell ref="AN23:AN24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O4:O5"/>
    <mergeCell ref="P4:P5"/>
    <mergeCell ref="Z4:Z5"/>
    <mergeCell ref="V4:V5"/>
    <mergeCell ref="W4:W5"/>
    <mergeCell ref="X4:X5"/>
    <mergeCell ref="S4:S5"/>
    <mergeCell ref="U4:U5"/>
    <mergeCell ref="T4:T5"/>
    <mergeCell ref="A4:A5"/>
    <mergeCell ref="B4:B5"/>
    <mergeCell ref="C4:C5"/>
    <mergeCell ref="D4:D5"/>
    <mergeCell ref="R4:R5"/>
    <mergeCell ref="E4:E5"/>
    <mergeCell ref="F4:F5"/>
    <mergeCell ref="G4:G5"/>
    <mergeCell ref="H4:H5"/>
    <mergeCell ref="Q4:Q5"/>
    <mergeCell ref="I4:I5"/>
    <mergeCell ref="J4:J5"/>
    <mergeCell ref="K4:K5"/>
    <mergeCell ref="L4:L5"/>
    <mergeCell ref="M4:M5"/>
    <mergeCell ref="N4:N5"/>
    <mergeCell ref="AL33:AM34"/>
    <mergeCell ref="AN33:AN34"/>
    <mergeCell ref="AO33:AO34"/>
    <mergeCell ref="AP33:AP34"/>
    <mergeCell ref="AQ33:AQ34"/>
  </mergeCells>
  <phoneticPr fontId="0" type="noConversion"/>
  <printOptions horizontalCentered="1" verticalCentered="1"/>
  <pageMargins left="0.25" right="0.25" top="0.75" bottom="0.75" header="0.3" footer="0.3"/>
  <pageSetup paperSize="9" scale="90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/>
  </sheetPr>
  <dimension ref="A1:CG34"/>
  <sheetViews>
    <sheetView zoomScaleNormal="100" zoomScaleSheetLayoutView="80" workbookViewId="0">
      <pane xSplit="1" ySplit="5" topLeftCell="AH6" activePane="bottomRight" state="frozen"/>
      <selection activeCell="AF6" sqref="AF6"/>
      <selection pane="topRight" activeCell="AF6" sqref="AF6"/>
      <selection pane="bottomLeft" activeCell="AF6" sqref="AF6"/>
      <selection pane="bottomRight" activeCell="AH41" sqref="AH41"/>
    </sheetView>
  </sheetViews>
  <sheetFormatPr defaultColWidth="9.33203125" defaultRowHeight="13.5" x14ac:dyDescent="0.2"/>
  <cols>
    <col min="1" max="1" width="32.1640625" style="2" customWidth="1"/>
    <col min="2" max="19" width="15.83203125" style="2" customWidth="1"/>
    <col min="20" max="21" width="14.1640625" style="2" customWidth="1"/>
    <col min="22" max="22" width="14.83203125" style="2" customWidth="1"/>
    <col min="23" max="23" width="15.6640625" style="2" customWidth="1"/>
    <col min="24" max="29" width="16.1640625" style="2" customWidth="1"/>
    <col min="30" max="30" width="19.1640625" style="2" bestFit="1" customWidth="1"/>
    <col min="31" max="31" width="19.5" style="2" bestFit="1" customWidth="1"/>
    <col min="32" max="34" width="18.6640625" style="2" bestFit="1" customWidth="1"/>
    <col min="35" max="59" width="18.5" style="2" customWidth="1"/>
    <col min="60" max="72" width="9.83203125" style="2" hidden="1" customWidth="1"/>
    <col min="73" max="76" width="9.33203125" style="2" hidden="1" customWidth="1"/>
    <col min="77" max="85" width="0" style="2" hidden="1" customWidth="1"/>
    <col min="86" max="16384" width="9.33203125" style="2"/>
  </cols>
  <sheetData>
    <row r="1" spans="1:85" ht="15" x14ac:dyDescent="0.2">
      <c r="A1" s="324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spans="1:85" ht="15" x14ac:dyDescent="0.2">
      <c r="A2" s="1" t="s">
        <v>119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W2" s="159">
        <v>276481.40210216056</v>
      </c>
      <c r="X2" s="159">
        <v>303357.85453382012</v>
      </c>
      <c r="Y2" s="159">
        <v>327010.60209837143</v>
      </c>
      <c r="Z2" s="159">
        <v>699859.48602876521</v>
      </c>
      <c r="AA2" s="159">
        <v>2223867.7816299163</v>
      </c>
      <c r="AB2" s="159">
        <v>1604043.7536041769</v>
      </c>
      <c r="AC2" s="159">
        <v>1960507.3311512959</v>
      </c>
      <c r="AD2" s="159"/>
      <c r="AE2" s="159"/>
      <c r="AF2" s="159"/>
      <c r="AG2" s="159"/>
      <c r="AH2" s="159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</row>
    <row r="3" spans="1:85" ht="15.75" thickBot="1" x14ac:dyDescent="0.25">
      <c r="A3" s="1"/>
      <c r="W3" s="159">
        <v>28564.608667</v>
      </c>
      <c r="X3" s="159">
        <v>34409.832029999998</v>
      </c>
      <c r="Y3" s="159">
        <v>9283.2668704999996</v>
      </c>
      <c r="Z3" s="159">
        <v>19867.803487000001</v>
      </c>
      <c r="AA3" s="159">
        <v>63131.769945999993</v>
      </c>
      <c r="AB3" s="159">
        <v>19845.440002499996</v>
      </c>
      <c r="AC3" s="159">
        <v>30697.098963240667</v>
      </c>
      <c r="AD3" s="159"/>
      <c r="AE3" s="159"/>
      <c r="AF3" s="159"/>
      <c r="AG3" s="159"/>
      <c r="AH3" s="159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</row>
    <row r="4" spans="1:85" ht="17.45" customHeight="1" thickTop="1" x14ac:dyDescent="0.2">
      <c r="A4" s="961" t="s">
        <v>0</v>
      </c>
      <c r="B4" s="995">
        <v>1990</v>
      </c>
      <c r="C4" s="991">
        <v>1991</v>
      </c>
      <c r="D4" s="991">
        <v>1992</v>
      </c>
      <c r="E4" s="991">
        <v>1993</v>
      </c>
      <c r="F4" s="991">
        <v>1994</v>
      </c>
      <c r="G4" s="991">
        <v>1995</v>
      </c>
      <c r="H4" s="991">
        <v>1996</v>
      </c>
      <c r="I4" s="991">
        <v>1997</v>
      </c>
      <c r="J4" s="991">
        <v>1998</v>
      </c>
      <c r="K4" s="991">
        <v>1999</v>
      </c>
      <c r="L4" s="991">
        <v>2000</v>
      </c>
      <c r="M4" s="993">
        <v>2001</v>
      </c>
      <c r="N4" s="993">
        <v>2002</v>
      </c>
      <c r="O4" s="993">
        <v>2003</v>
      </c>
      <c r="P4" s="993">
        <v>2004</v>
      </c>
      <c r="Q4" s="993">
        <v>2005</v>
      </c>
      <c r="R4" s="993">
        <v>2006</v>
      </c>
      <c r="S4" s="993">
        <v>2007</v>
      </c>
      <c r="T4" s="993">
        <v>2008</v>
      </c>
      <c r="U4" s="993">
        <v>2009</v>
      </c>
      <c r="V4" s="993">
        <v>2010</v>
      </c>
      <c r="W4" s="993">
        <v>2011</v>
      </c>
      <c r="X4" s="993">
        <v>2012</v>
      </c>
      <c r="Y4" s="993">
        <v>2013</v>
      </c>
      <c r="Z4" s="999">
        <v>2014</v>
      </c>
      <c r="AA4" s="999">
        <v>2015</v>
      </c>
      <c r="AB4" s="999">
        <v>2016</v>
      </c>
      <c r="AC4" s="999">
        <v>2017</v>
      </c>
      <c r="AD4" s="999">
        <v>2018</v>
      </c>
      <c r="AE4" s="999">
        <v>2019</v>
      </c>
      <c r="AF4" s="999">
        <v>2020</v>
      </c>
      <c r="AG4" s="999">
        <v>2021</v>
      </c>
      <c r="AH4" s="999">
        <v>2022</v>
      </c>
      <c r="AI4" s="999">
        <v>2023</v>
      </c>
      <c r="AJ4" s="999">
        <v>2024</v>
      </c>
      <c r="AK4" s="184"/>
      <c r="AL4" s="184"/>
      <c r="AM4" s="184"/>
      <c r="AN4" s="184"/>
      <c r="AO4" s="184"/>
      <c r="AP4" s="184"/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" t="s">
        <v>67</v>
      </c>
    </row>
    <row r="5" spans="1:85" ht="17.45" customHeight="1" x14ac:dyDescent="0.2">
      <c r="A5" s="990"/>
      <c r="B5" s="996"/>
      <c r="C5" s="992"/>
      <c r="D5" s="992"/>
      <c r="E5" s="992"/>
      <c r="F5" s="992"/>
      <c r="G5" s="992"/>
      <c r="H5" s="992"/>
      <c r="I5" s="992"/>
      <c r="J5" s="992"/>
      <c r="K5" s="992"/>
      <c r="L5" s="992"/>
      <c r="M5" s="994"/>
      <c r="N5" s="994"/>
      <c r="O5" s="994"/>
      <c r="P5" s="994"/>
      <c r="Q5" s="994"/>
      <c r="R5" s="994"/>
      <c r="S5" s="994"/>
      <c r="T5" s="994"/>
      <c r="U5" s="994"/>
      <c r="V5" s="994"/>
      <c r="W5" s="994"/>
      <c r="X5" s="994"/>
      <c r="Y5" s="994"/>
      <c r="Z5" s="1000"/>
      <c r="AA5" s="1000"/>
      <c r="AB5" s="1000"/>
      <c r="AC5" s="1000"/>
      <c r="AD5" s="1000"/>
      <c r="AE5" s="1000"/>
      <c r="AF5" s="1000"/>
      <c r="AG5" s="1000"/>
      <c r="AH5" s="1000"/>
      <c r="AI5" s="1000"/>
      <c r="AJ5" s="1000"/>
      <c r="AK5" s="184"/>
      <c r="AL5" s="184"/>
      <c r="AM5" s="184"/>
      <c r="AN5" s="184"/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184"/>
      <c r="BF5" s="184"/>
      <c r="BG5" s="184"/>
      <c r="BH5" s="61">
        <v>1991</v>
      </c>
      <c r="BI5" s="61">
        <f>+BH5+1</f>
        <v>1992</v>
      </c>
      <c r="BJ5" s="61">
        <f t="shared" ref="BJ5:BT5" si="0">+BI5+1</f>
        <v>1993</v>
      </c>
      <c r="BK5" s="61">
        <f t="shared" si="0"/>
        <v>1994</v>
      </c>
      <c r="BL5" s="61">
        <f t="shared" si="0"/>
        <v>1995</v>
      </c>
      <c r="BM5" s="61">
        <f t="shared" si="0"/>
        <v>1996</v>
      </c>
      <c r="BN5" s="61">
        <f t="shared" si="0"/>
        <v>1997</v>
      </c>
      <c r="BO5" s="61">
        <f t="shared" si="0"/>
        <v>1998</v>
      </c>
      <c r="BP5" s="61">
        <f t="shared" si="0"/>
        <v>1999</v>
      </c>
      <c r="BQ5" s="61">
        <f t="shared" si="0"/>
        <v>2000</v>
      </c>
      <c r="BR5" s="61">
        <f t="shared" si="0"/>
        <v>2001</v>
      </c>
      <c r="BS5" s="61">
        <f t="shared" si="0"/>
        <v>2002</v>
      </c>
      <c r="BT5" s="61">
        <f t="shared" si="0"/>
        <v>2003</v>
      </c>
      <c r="BU5" s="155">
        <f>+BT5+1</f>
        <v>2004</v>
      </c>
      <c r="BV5" s="155">
        <f>+BU5+1</f>
        <v>2005</v>
      </c>
      <c r="BW5" s="155">
        <f>+BV5+1</f>
        <v>2006</v>
      </c>
      <c r="BX5" s="155">
        <f>+BW5+1</f>
        <v>2007</v>
      </c>
      <c r="BY5" s="155">
        <v>2008</v>
      </c>
      <c r="BZ5" s="61">
        <v>2009</v>
      </c>
      <c r="CA5" s="61">
        <v>2010</v>
      </c>
      <c r="CB5" s="61">
        <v>2011</v>
      </c>
      <c r="CC5" s="61">
        <v>2012</v>
      </c>
      <c r="CD5" s="61">
        <v>2013</v>
      </c>
      <c r="CE5" s="200">
        <v>2014</v>
      </c>
      <c r="CF5" s="2">
        <v>2015</v>
      </c>
    </row>
    <row r="6" spans="1:85" ht="17.45" customHeight="1" x14ac:dyDescent="0.2">
      <c r="A6" s="185" t="s">
        <v>187</v>
      </c>
      <c r="B6" s="38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5"/>
      <c r="P6" s="5"/>
      <c r="Q6" s="5"/>
      <c r="R6" s="5"/>
      <c r="S6" s="5"/>
      <c r="T6" s="5"/>
      <c r="U6" s="5"/>
      <c r="V6" s="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</row>
    <row r="7" spans="1:85" ht="17.45" customHeight="1" x14ac:dyDescent="0.2">
      <c r="A7" s="185"/>
      <c r="B7" s="953"/>
      <c r="C7" s="60"/>
      <c r="D7" s="60"/>
      <c r="E7" s="60"/>
      <c r="F7" s="60"/>
      <c r="G7" s="60"/>
      <c r="H7" s="60"/>
      <c r="I7" s="60"/>
      <c r="J7" s="60"/>
      <c r="K7" s="60"/>
      <c r="L7" s="5"/>
      <c r="M7" s="6"/>
      <c r="N7" s="5"/>
      <c r="O7" s="5"/>
      <c r="P7" s="5"/>
      <c r="Q7" s="5"/>
      <c r="R7" s="5"/>
      <c r="S7" s="5"/>
      <c r="T7" s="5"/>
      <c r="U7" s="5"/>
      <c r="V7" s="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85" s="1" customFormat="1" ht="17.45" customHeight="1" x14ac:dyDescent="0.2">
      <c r="A8" s="461" t="s">
        <v>2</v>
      </c>
      <c r="B8" s="954">
        <v>8544100</v>
      </c>
      <c r="C8" s="895">
        <f t="shared" ref="C8:W8" si="1">+B14</f>
        <v>8532878.8000000007</v>
      </c>
      <c r="D8" s="895">
        <f t="shared" si="1"/>
        <v>8519248.6000000015</v>
      </c>
      <c r="E8" s="895">
        <f t="shared" si="1"/>
        <v>8485914.4000000022</v>
      </c>
      <c r="F8" s="895">
        <f t="shared" si="1"/>
        <v>8442976.200000003</v>
      </c>
      <c r="G8" s="895">
        <f t="shared" si="1"/>
        <v>8408592.8600000031</v>
      </c>
      <c r="H8" s="895">
        <f t="shared" si="1"/>
        <v>8372034.6600000039</v>
      </c>
      <c r="I8" s="895">
        <f t="shared" si="1"/>
        <v>8339545.5600000024</v>
      </c>
      <c r="J8" s="895">
        <f t="shared" si="1"/>
        <v>8261234.1100000022</v>
      </c>
      <c r="K8" s="895">
        <f t="shared" si="1"/>
        <v>8178041.3000000026</v>
      </c>
      <c r="L8" s="895">
        <f t="shared" si="1"/>
        <v>8080178.9151982032</v>
      </c>
      <c r="M8" s="895">
        <f t="shared" si="1"/>
        <v>7993806.6623234684</v>
      </c>
      <c r="N8" s="895">
        <f t="shared" si="1"/>
        <v>7879785.0438754121</v>
      </c>
      <c r="O8" s="895">
        <f t="shared" si="1"/>
        <v>7734416.7001964608</v>
      </c>
      <c r="P8" s="895">
        <f t="shared" si="1"/>
        <v>7570133.916399071</v>
      </c>
      <c r="Q8" s="895">
        <f t="shared" si="1"/>
        <v>7373657.5083990702</v>
      </c>
      <c r="R8" s="895">
        <f t="shared" si="1"/>
        <v>7115825.2805579724</v>
      </c>
      <c r="S8" s="895">
        <f t="shared" si="1"/>
        <v>6812220.0909741828</v>
      </c>
      <c r="T8" s="895">
        <f t="shared" si="1"/>
        <v>6500648.8226029677</v>
      </c>
      <c r="U8" s="895">
        <f t="shared" si="1"/>
        <v>6282105.2385316044</v>
      </c>
      <c r="V8" s="895">
        <f t="shared" si="1"/>
        <v>6039224.318214979</v>
      </c>
      <c r="W8" s="895">
        <f t="shared" si="1"/>
        <v>5770970.0524127893</v>
      </c>
      <c r="X8" s="895">
        <f t="shared" ref="X8:AH8" si="2">+W14</f>
        <v>5478994.8484336715</v>
      </c>
      <c r="Y8" s="895">
        <f t="shared" si="2"/>
        <v>5132541.4995256364</v>
      </c>
      <c r="Z8" s="932">
        <f t="shared" si="2"/>
        <v>5036128.4897454036</v>
      </c>
      <c r="AA8" s="932">
        <f t="shared" si="2"/>
        <v>4833123.4864505986</v>
      </c>
      <c r="AB8" s="932">
        <f t="shared" si="2"/>
        <v>4216414.9785331069</v>
      </c>
      <c r="AC8" s="932">
        <f t="shared" si="2"/>
        <v>4020448.1825403962</v>
      </c>
      <c r="AD8" s="932">
        <f t="shared" si="2"/>
        <v>3856490.2026474155</v>
      </c>
      <c r="AE8" s="932">
        <f t="shared" si="2"/>
        <v>3716003.0175107354</v>
      </c>
      <c r="AF8" s="932">
        <f t="shared" si="2"/>
        <v>3380213.0687514129</v>
      </c>
      <c r="AG8" s="932">
        <f t="shared" si="2"/>
        <v>3296694.3454221291</v>
      </c>
      <c r="AH8" s="932">
        <f t="shared" si="2"/>
        <v>3162430.7855759608</v>
      </c>
      <c r="AI8" s="932">
        <f t="shared" ref="AI8" si="3">+AH14</f>
        <v>3083637.0777398562</v>
      </c>
      <c r="AJ8" s="932">
        <f t="shared" ref="AJ8" si="4">+AI14</f>
        <v>2815937.7899653669</v>
      </c>
      <c r="AK8" s="678"/>
      <c r="AL8" s="678"/>
      <c r="AM8" s="678"/>
      <c r="AN8" s="678"/>
      <c r="AO8" s="678"/>
      <c r="AP8" s="678"/>
      <c r="AQ8" s="678"/>
      <c r="AR8" s="678"/>
      <c r="AS8" s="678"/>
      <c r="AT8" s="678"/>
      <c r="AU8" s="678"/>
      <c r="AV8" s="678"/>
      <c r="AW8" s="678"/>
      <c r="AX8" s="678"/>
      <c r="AY8" s="678"/>
      <c r="AZ8" s="678"/>
      <c r="BA8" s="678"/>
      <c r="BB8" s="678"/>
      <c r="BC8" s="678"/>
      <c r="BD8" s="678"/>
      <c r="BE8" s="678"/>
      <c r="BF8" s="678"/>
      <c r="BG8" s="678"/>
      <c r="BH8" s="679">
        <f t="shared" ref="BH8:BT14" si="5">C8/B8*100-100</f>
        <v>-0.13133273252886113</v>
      </c>
      <c r="BI8" s="679">
        <f t="shared" si="5"/>
        <v>-0.159737414763228</v>
      </c>
      <c r="BJ8" s="679">
        <f t="shared" si="5"/>
        <v>-0.39128098691708146</v>
      </c>
      <c r="BK8" s="679">
        <f t="shared" si="5"/>
        <v>-0.50599379131138278</v>
      </c>
      <c r="BL8" s="679">
        <f t="shared" si="5"/>
        <v>-0.40724193916358331</v>
      </c>
      <c r="BM8" s="679">
        <f t="shared" si="5"/>
        <v>-0.43477191259798076</v>
      </c>
      <c r="BN8" s="679">
        <f t="shared" si="5"/>
        <v>-0.38806695527944157</v>
      </c>
      <c r="BO8" s="679">
        <f t="shared" si="5"/>
        <v>-0.93903737843480428</v>
      </c>
      <c r="BP8" s="679">
        <f t="shared" si="5"/>
        <v>-1.0070264187198887</v>
      </c>
      <c r="BQ8" s="679">
        <f t="shared" si="5"/>
        <v>-1.1966482096611486</v>
      </c>
      <c r="BR8" s="679">
        <f t="shared" si="5"/>
        <v>-1.0689398561741683</v>
      </c>
      <c r="BS8" s="679">
        <f t="shared" si="5"/>
        <v>-1.4263744829539746</v>
      </c>
      <c r="BT8" s="679">
        <f t="shared" si="5"/>
        <v>-1.8448262594667995</v>
      </c>
      <c r="BU8" s="680">
        <f t="shared" ref="BU8:BU14" si="6">P8/O8*100-100</f>
        <v>-2.1240487830609993</v>
      </c>
      <c r="BV8" s="680">
        <f t="shared" ref="BV8:BV14" si="7">Q8/P8*100-100</f>
        <v>-2.5954152221056006</v>
      </c>
      <c r="BW8" s="680">
        <f t="shared" ref="BW8:BW14" si="8">R8/Q8*100-100</f>
        <v>-3.4966667159060449</v>
      </c>
      <c r="BX8" s="680">
        <f t="shared" ref="BX8:CC8" si="9">S8/R8*100-100</f>
        <v>-4.2666195081167473</v>
      </c>
      <c r="BY8" s="680">
        <f t="shared" si="9"/>
        <v>-4.5737111280950842</v>
      </c>
      <c r="BZ8" s="680">
        <f t="shared" si="9"/>
        <v>-3.3618734073355938</v>
      </c>
      <c r="CA8" s="680">
        <f t="shared" si="9"/>
        <v>-3.8662345041102384</v>
      </c>
      <c r="CB8" s="680">
        <f t="shared" si="9"/>
        <v>-4.4418662342629744</v>
      </c>
      <c r="CC8" s="680">
        <f t="shared" si="9"/>
        <v>-5.0593782557760107</v>
      </c>
      <c r="CD8" s="680"/>
      <c r="CE8" s="681">
        <f>SUM(BX8:CB8)/5</f>
        <v>-4.1020609563841273</v>
      </c>
    </row>
    <row r="9" spans="1:85" s="1" customFormat="1" ht="17.45" customHeight="1" x14ac:dyDescent="0.2">
      <c r="A9" s="461" t="s">
        <v>3</v>
      </c>
      <c r="B9" s="954">
        <v>30900</v>
      </c>
      <c r="C9" s="894">
        <v>30861</v>
      </c>
      <c r="D9" s="894">
        <v>30814</v>
      </c>
      <c r="E9" s="894">
        <v>30694</v>
      </c>
      <c r="F9" s="894">
        <v>30542</v>
      </c>
      <c r="G9" s="894">
        <v>30419</v>
      </c>
      <c r="H9" s="894">
        <v>32997.620000000003</v>
      </c>
      <c r="I9" s="894">
        <v>31893.09</v>
      </c>
      <c r="J9" s="894">
        <v>31366.37</v>
      </c>
      <c r="K9" s="894">
        <v>33107.012000000002</v>
      </c>
      <c r="L9" s="933">
        <v>32276.025998800003</v>
      </c>
      <c r="M9" s="933">
        <v>32279.899121919858</v>
      </c>
      <c r="N9" s="933">
        <v>32293.456679551065</v>
      </c>
      <c r="O9" s="933">
        <v>32244.40291885483</v>
      </c>
      <c r="P9" s="933">
        <v>32163.848999999998</v>
      </c>
      <c r="Q9" s="933">
        <v>31726.62</v>
      </c>
      <c r="R9" s="933">
        <v>30730.92</v>
      </c>
      <c r="S9" s="933">
        <v>29735.238191999997</v>
      </c>
      <c r="T9" s="934">
        <v>28768.842950759998</v>
      </c>
      <c r="U9" s="935">
        <f>'Data Penunjang'!Y14/'Data Penunjang'!X14*T9</f>
        <v>29427.551231494133</v>
      </c>
      <c r="V9" s="935">
        <f>'Data Penunjang'!Z14/'Data Penunjang'!Y14*U9</f>
        <v>29417.615158007069</v>
      </c>
      <c r="W9" s="935">
        <f>'Data Penunjang'!AA14/'Data Penunjang'!Z14*V9</f>
        <v>29641.821247985419</v>
      </c>
      <c r="X9" s="935">
        <f>'Data Penunjang'!AB14/'Data Penunjang'!AA14*W9</f>
        <v>29470.767849793789</v>
      </c>
      <c r="Y9" s="935">
        <f>'Data Penunjang'!AC14/'Data Penunjang'!AB14*X9</f>
        <v>22422.400566197779</v>
      </c>
      <c r="Z9" s="936">
        <f>'Data Penunjang'!AD14/'Data Penunjang'!AC14*Y9</f>
        <v>23276.944523064743</v>
      </c>
      <c r="AA9" s="936">
        <f>'Data Penunjang'!AE14/'Data Penunjang'!AD14*Z9</f>
        <v>23334.934443186987</v>
      </c>
      <c r="AB9" s="936">
        <f>'Data Penunjang'!AF14/'Data Penunjang'!AE14*AA9</f>
        <v>23679.321060541522</v>
      </c>
      <c r="AC9" s="936">
        <f>'Data Penunjang'!AG14/'Data Penunjang'!AF14*AB9</f>
        <v>23728.337103781352</v>
      </c>
      <c r="AD9" s="936">
        <f>'Data Penunjang'!AH14/'Data Penunjang'!AG14*AC9</f>
        <v>23708.237402915915</v>
      </c>
      <c r="AE9" s="936">
        <f>'Data Penunjang'!AI14/'Data Penunjang'!AH14*AD9</f>
        <v>23731.665256390424</v>
      </c>
      <c r="AF9" s="936">
        <f>'Data Penunjang'!AJ14/'Data Penunjang'!AI14*AE9</f>
        <v>23696.412297305927</v>
      </c>
      <c r="AG9" s="936">
        <f>'Data Penunjang'!AK14/'Data Penunjang'!AJ14*AF9</f>
        <v>23543.4291512411</v>
      </c>
      <c r="AH9" s="936">
        <f>'Data Penunjang'!AL14/'Data Penunjang'!AK14*AG9</f>
        <v>23540.200208568473</v>
      </c>
      <c r="AI9" s="936">
        <f>'Data Penunjang'!AM14/'Data Penunjang'!AL14*AH9</f>
        <v>23309.776398597503</v>
      </c>
      <c r="AJ9" s="936">
        <f>'Data Penunjang'!AN14/'Data Penunjang'!AM14*AI9</f>
        <v>23297.341821189439</v>
      </c>
      <c r="AK9" s="682"/>
      <c r="AL9" s="682"/>
      <c r="AM9" s="682"/>
      <c r="AN9" s="682"/>
      <c r="AO9" s="682"/>
      <c r="AP9" s="682"/>
      <c r="AQ9" s="682"/>
      <c r="AR9" s="682"/>
      <c r="AS9" s="682"/>
      <c r="AT9" s="682"/>
      <c r="AU9" s="682"/>
      <c r="AV9" s="682"/>
      <c r="AW9" s="682"/>
      <c r="AX9" s="682"/>
      <c r="AY9" s="682"/>
      <c r="AZ9" s="682"/>
      <c r="BA9" s="682"/>
      <c r="BB9" s="682"/>
      <c r="BC9" s="682"/>
      <c r="BD9" s="682"/>
      <c r="BE9" s="682"/>
      <c r="BF9" s="682"/>
      <c r="BG9" s="682"/>
      <c r="BH9" s="679">
        <f t="shared" si="5"/>
        <v>-0.12621359223300033</v>
      </c>
      <c r="BI9" s="679">
        <f t="shared" si="5"/>
        <v>-0.15229577784258197</v>
      </c>
      <c r="BJ9" s="679">
        <f t="shared" si="5"/>
        <v>-0.38943337444018766</v>
      </c>
      <c r="BK9" s="679">
        <f t="shared" si="5"/>
        <v>-0.49521079038248672</v>
      </c>
      <c r="BL9" s="679">
        <f t="shared" si="5"/>
        <v>-0.40272411760854254</v>
      </c>
      <c r="BM9" s="679">
        <f t="shared" si="5"/>
        <v>8.4770045037640926</v>
      </c>
      <c r="BN9" s="679">
        <f t="shared" si="5"/>
        <v>-3.3473020175394481</v>
      </c>
      <c r="BO9" s="679">
        <f t="shared" si="5"/>
        <v>-1.6515176171390067</v>
      </c>
      <c r="BP9" s="679">
        <f t="shared" si="5"/>
        <v>5.5493893619185286</v>
      </c>
      <c r="BQ9" s="679">
        <f t="shared" si="5"/>
        <v>-2.5100000000000051</v>
      </c>
      <c r="BR9" s="679">
        <f t="shared" si="5"/>
        <v>1.1999999999986244E-2</v>
      </c>
      <c r="BS9" s="679">
        <f t="shared" si="5"/>
        <v>4.2000000000001592E-2</v>
      </c>
      <c r="BT9" s="679">
        <f t="shared" si="5"/>
        <v>-0.1518999999999977</v>
      </c>
      <c r="BU9" s="680">
        <f t="shared" si="6"/>
        <v>-0.24982295084686257</v>
      </c>
      <c r="BV9" s="680">
        <f t="shared" si="7"/>
        <v>-1.3593802159685566</v>
      </c>
      <c r="BW9" s="680">
        <f t="shared" si="8"/>
        <v>-3.1383740215629672</v>
      </c>
      <c r="BX9" s="680">
        <f t="shared" ref="BX9:BZ10" si="10">S9/R9*100-100</f>
        <v>-3.2400000000000091</v>
      </c>
      <c r="BY9" s="680">
        <f t="shared" si="10"/>
        <v>-3.25</v>
      </c>
      <c r="BZ9" s="680">
        <f t="shared" si="10"/>
        <v>2.2896585791147857</v>
      </c>
      <c r="CA9" s="680">
        <f t="shared" ref="CA9:CA14" si="11">V9/U9*100-100</f>
        <v>-3.3764527020622381E-2</v>
      </c>
      <c r="CB9" s="680">
        <f t="shared" ref="CB9:CB14" si="12">W9/V9*100-100</f>
        <v>0.76214910275392356</v>
      </c>
      <c r="CC9" s="680">
        <f t="shared" ref="CC9:CC14" si="13">X9/W9*100-100</f>
        <v>-0.57706777448181867</v>
      </c>
      <c r="CD9" s="680"/>
      <c r="CE9" s="681">
        <f>AVERAGE(BT9:CC9)</f>
        <v>-0.89485018080121248</v>
      </c>
    </row>
    <row r="10" spans="1:85" s="846" customFormat="1" ht="17.45" customHeight="1" x14ac:dyDescent="0.2">
      <c r="A10" s="461" t="s">
        <v>4</v>
      </c>
      <c r="B10" s="954">
        <v>619.79999999999995</v>
      </c>
      <c r="C10" s="894">
        <v>931.8</v>
      </c>
      <c r="D10" s="894">
        <v>949.8</v>
      </c>
      <c r="E10" s="894">
        <v>1456.8</v>
      </c>
      <c r="F10" s="894">
        <v>1239.6600000000001</v>
      </c>
      <c r="G10" s="894">
        <v>1543.8</v>
      </c>
      <c r="H10" s="894">
        <v>2552.9499999999998</v>
      </c>
      <c r="I10" s="894">
        <v>2137.73</v>
      </c>
      <c r="J10" s="894">
        <v>1576.88</v>
      </c>
      <c r="K10" s="894">
        <v>1279.5337500000001</v>
      </c>
      <c r="L10" s="933">
        <v>3339.4118458216622</v>
      </c>
      <c r="M10" s="933">
        <v>1242.9955546802055</v>
      </c>
      <c r="N10" s="933">
        <v>4865.3544062208221</v>
      </c>
      <c r="O10" s="933">
        <v>5830.7560000000003</v>
      </c>
      <c r="P10" s="933">
        <v>5525.549</v>
      </c>
      <c r="Q10" s="933">
        <v>5407.2110000000002</v>
      </c>
      <c r="R10" s="933">
        <v>7042.8923275000006</v>
      </c>
      <c r="S10" s="933">
        <v>6178.7294389157514</v>
      </c>
      <c r="T10" s="934">
        <v>7954.0144035166131</v>
      </c>
      <c r="U10" s="934">
        <f>('Data Penunjang'!Y10/'Data Penunjang'!X10*'Rimba Luar Jawa'!T10)</f>
        <v>6050.4457817272396</v>
      </c>
      <c r="V10" s="934">
        <f>('Data Penunjang'!Z10/'Data Penunjang'!Y10*'Rimba Luar Jawa'!U10)</f>
        <v>4452.6684139242016</v>
      </c>
      <c r="W10" s="934">
        <f>('Data Penunjang'!AA10/'Data Penunjang'!Z10*'Rimba Luar Jawa'!V10)</f>
        <v>4825.045830800148</v>
      </c>
      <c r="X10" s="934">
        <f>('Data Penunjang'!AB10/'Data Penunjang'!AA10*'Rimba Luar Jawa'!W10)</f>
        <v>6148.3529399184035</v>
      </c>
      <c r="Y10" s="934">
        <f>('Data Penunjang'!AC10/'Data Penunjang'!AB10*'Rimba Luar Jawa'!X10)</f>
        <v>11054.912192862294</v>
      </c>
      <c r="Z10" s="937">
        <f>('Data Penunjang'!AD10/'Data Penunjang'!AC10*'Rimba Luar Jawa'!Y10)</f>
        <v>11134.353403775602</v>
      </c>
      <c r="AA10" s="937">
        <f>('Data Penunjang'!AE10/'Data Penunjang'!AD10*'Rimba Luar Jawa'!Z10)</f>
        <v>15628.693521395524</v>
      </c>
      <c r="AB10" s="937">
        <f>('Data Penunjang'!AF10/'Data Penunjang'!AE10*'Rimba Luar Jawa'!AA10)</f>
        <v>17100.81062688</v>
      </c>
      <c r="AC10" s="937">
        <f>('Data Penunjang'!AG10/'Data Penunjang'!AF10*'Rimba Luar Jawa'!AB10)</f>
        <v>7325.8898007830194</v>
      </c>
      <c r="AD10" s="937">
        <f>('Data Penunjang'!AH10/'Data Penunjang'!AG10*'Rimba Luar Jawa'!AC10)</f>
        <v>9085.3763361775891</v>
      </c>
      <c r="AE10" s="937">
        <f>('Data Penunjang'!AI10/'Data Penunjang'!AH10*'Rimba Luar Jawa'!AD10)</f>
        <v>12956.789117866147</v>
      </c>
      <c r="AF10" s="937">
        <f>('Data Penunjang'!AJ10/'Data Penunjang'!AI10*'Rimba Luar Jawa'!AE10)</f>
        <v>10701.94742123783</v>
      </c>
      <c r="AG10" s="937">
        <f>('Data Penunjang'!AK10/'Data Penunjang'!AJ10*'Rimba Luar Jawa'!AF10)</f>
        <v>4682.0450082777288</v>
      </c>
      <c r="AH10" s="937">
        <f>('Data Penunjang'!AL10/'Data Penunjang'!AK10*'Rimba Luar Jawa'!AG10)</f>
        <v>6591.1412798072479</v>
      </c>
      <c r="AI10" s="937">
        <f>('Data Penunjang'!AM10/'Data Penunjang'!AL10*'Rimba Luar Jawa'!AH10)</f>
        <v>4322.3928778424679</v>
      </c>
      <c r="AJ10" s="937">
        <f>('Data Penunjang'!AN10/'Data Penunjang'!AM10*'Rimba Luar Jawa'!AI10)</f>
        <v>7699.2765355714391</v>
      </c>
      <c r="AK10" s="949"/>
      <c r="AL10" s="949"/>
      <c r="AM10" s="949"/>
      <c r="AN10" s="949"/>
      <c r="AO10" s="949"/>
      <c r="AP10" s="949"/>
      <c r="AQ10" s="949"/>
      <c r="AR10" s="949"/>
      <c r="AS10" s="949"/>
      <c r="AT10" s="949"/>
      <c r="AU10" s="949"/>
      <c r="AV10" s="949"/>
      <c r="AW10" s="949"/>
      <c r="AX10" s="949"/>
      <c r="AY10" s="949"/>
      <c r="AZ10" s="949"/>
      <c r="BA10" s="949"/>
      <c r="BB10" s="949"/>
      <c r="BC10" s="949"/>
      <c r="BD10" s="949"/>
      <c r="BE10" s="949"/>
      <c r="BF10" s="949"/>
      <c r="BG10" s="949"/>
      <c r="BH10" s="950">
        <f t="shared" si="5"/>
        <v>50.338818973862544</v>
      </c>
      <c r="BI10" s="950">
        <f t="shared" si="5"/>
        <v>1.9317450096587123</v>
      </c>
      <c r="BJ10" s="950">
        <f t="shared" si="5"/>
        <v>53.379658875552764</v>
      </c>
      <c r="BK10" s="950">
        <f t="shared" si="5"/>
        <v>-14.905271828665562</v>
      </c>
      <c r="BL10" s="950">
        <f t="shared" si="5"/>
        <v>24.534146459513082</v>
      </c>
      <c r="BM10" s="950">
        <f t="shared" si="5"/>
        <v>65.367923306127722</v>
      </c>
      <c r="BN10" s="950">
        <f t="shared" si="5"/>
        <v>-16.264321667091011</v>
      </c>
      <c r="BO10" s="950">
        <f t="shared" si="5"/>
        <v>-26.235773460633467</v>
      </c>
      <c r="BP10" s="950">
        <f t="shared" si="5"/>
        <v>-18.856618766171181</v>
      </c>
      <c r="BQ10" s="950">
        <f t="shared" si="5"/>
        <v>160.9866168689698</v>
      </c>
      <c r="BR10" s="950">
        <f t="shared" si="5"/>
        <v>-62.778009659531328</v>
      </c>
      <c r="BS10" s="950">
        <f t="shared" si="5"/>
        <v>291.42170604725675</v>
      </c>
      <c r="BT10" s="950">
        <f t="shared" si="5"/>
        <v>19.842369397485598</v>
      </c>
      <c r="BU10" s="950">
        <f t="shared" si="6"/>
        <v>-5.2344327219317819</v>
      </c>
      <c r="BV10" s="950">
        <f t="shared" si="7"/>
        <v>-2.1416514449514352</v>
      </c>
      <c r="BW10" s="950">
        <f t="shared" si="8"/>
        <v>30.25</v>
      </c>
      <c r="BX10" s="950">
        <f t="shared" si="10"/>
        <v>-12.269999999999996</v>
      </c>
      <c r="BY10" s="950">
        <f t="shared" si="10"/>
        <v>28.732201047993954</v>
      </c>
      <c r="BZ10" s="950">
        <f t="shared" si="10"/>
        <v>-23.932174688390944</v>
      </c>
      <c r="CA10" s="950">
        <f t="shared" si="11"/>
        <v>-26.407597480311864</v>
      </c>
      <c r="CB10" s="950">
        <f t="shared" si="12"/>
        <v>8.363017010461931</v>
      </c>
      <c r="CC10" s="950">
        <f t="shared" si="13"/>
        <v>27.425793568033498</v>
      </c>
      <c r="CD10" s="950"/>
      <c r="CE10" s="932">
        <f t="shared" ref="CE10:CE14" si="14">AVERAGE(BT10:CC10)</f>
        <v>4.4627524688388958</v>
      </c>
    </row>
    <row r="11" spans="1:85" s="846" customFormat="1" ht="17.45" customHeight="1" x14ac:dyDescent="0.2">
      <c r="A11" s="755" t="s">
        <v>13</v>
      </c>
      <c r="B11" s="955">
        <v>15455</v>
      </c>
      <c r="C11" s="938">
        <v>18612</v>
      </c>
      <c r="D11" s="938">
        <v>37724</v>
      </c>
      <c r="E11" s="938">
        <v>47160</v>
      </c>
      <c r="F11" s="938">
        <v>38175</v>
      </c>
      <c r="G11" s="938">
        <v>40691</v>
      </c>
      <c r="H11" s="938">
        <v>39765.83</v>
      </c>
      <c r="I11" s="938">
        <v>79973.899999999994</v>
      </c>
      <c r="J11" s="938">
        <v>92320.84</v>
      </c>
      <c r="K11" s="938">
        <v>108270.5358</v>
      </c>
      <c r="L11" s="939">
        <v>97333.10523555601</v>
      </c>
      <c r="M11" s="939">
        <v>122921.97860198368</v>
      </c>
      <c r="N11" s="939">
        <v>158520.18360511816</v>
      </c>
      <c r="O11" s="939">
        <v>179191.21554722555</v>
      </c>
      <c r="P11" s="939">
        <v>210549.65</v>
      </c>
      <c r="Q11" s="939">
        <v>252743.79985999997</v>
      </c>
      <c r="R11" s="939">
        <v>303393.65735194396</v>
      </c>
      <c r="S11" s="939">
        <v>292592.8431502147</v>
      </c>
      <c r="T11" s="939">
        <v>206743.81</v>
      </c>
      <c r="U11" s="939">
        <f>(100+BZ11)/100*T11</f>
        <v>227447.8859018306</v>
      </c>
      <c r="V11" s="939">
        <f>(100+CA11)/100*U11</f>
        <v>248573.61358911431</v>
      </c>
      <c r="W11" s="940">
        <f>(100+CB11)/100*V11</f>
        <v>276481.40210216056</v>
      </c>
      <c r="X11" s="941">
        <f>('Data Penunjang'!AB35/'Data Penunjang'!AA35)*'Rimba Luar Jawa'!W11</f>
        <v>333058.25109185395</v>
      </c>
      <c r="Y11" s="941">
        <f>('Data Penunjang'!AC35/'Data Penunjang'!AB35)*'Rimba Luar Jawa'!X11</f>
        <v>89854.220317380546</v>
      </c>
      <c r="Z11" s="942">
        <f>('Data Penunjang'!AD35/'Data Penunjang'!AC35)*'Rimba Luar Jawa'!Y11</f>
        <v>192303.63800229388</v>
      </c>
      <c r="AA11" s="942">
        <f>('Data Penunjang'!AE35/'Data Penunjang'!AD35)*'Rimba Luar Jawa'!Z11</f>
        <v>611062.46808226639</v>
      </c>
      <c r="AB11" s="942">
        <f>('Data Penunjang'!AF35/'Data Penunjang'!AE35)*'Rimba Luar Jawa'!AA11</f>
        <v>192087.178269814</v>
      </c>
      <c r="AC11" s="942">
        <f>('Data Penunjang'!AG35/'Data Penunjang'!AF35)*'Rimba Luar Jawa'!AB11</f>
        <v>148297.99474921948</v>
      </c>
      <c r="AD11" s="942">
        <f>('Data Penunjang'!AH35/'Data Penunjang'!AG35)*'Rimba Luar Jawa'!AC11</f>
        <v>126820.66959306473</v>
      </c>
      <c r="AE11" s="942">
        <f>('Data Penunjang'!AI35/'Data Penunjang'!AH35)*'Rimba Luar Jawa'!AD11</f>
        <v>323896.68869440438</v>
      </c>
      <c r="AF11" s="942">
        <f>('Data Penunjang'!AJ35/'Data Penunjang'!AI35)*'Rimba Luar Jawa'!AE11</f>
        <v>66782.842341754251</v>
      </c>
      <c r="AG11" s="942">
        <f>('Data Penunjang'!AK35/'Data Penunjang'!AJ35)*'Rimba Luar Jawa'!AF11</f>
        <v>108661.98159303526</v>
      </c>
      <c r="AH11" s="942">
        <f>('Data Penunjang'!AL35/'Data Penunjang'!AK35)*'Rimba Luar Jawa'!AG11</f>
        <v>54795.275064801783</v>
      </c>
      <c r="AI11" s="942">
        <f>('Data Penunjang'!AM35/'Data Penunjang'!AL35)*'Rimba Luar Jawa'!AH11</f>
        <v>238112.68290016006</v>
      </c>
      <c r="AJ11" s="942">
        <f>('Data Penunjang'!AN35/'Data Penunjang'!AM35)*'Rimba Luar Jawa'!AI11</f>
        <v>95017.524095019035</v>
      </c>
      <c r="AK11" s="949"/>
      <c r="AL11" s="949"/>
      <c r="AM11" s="949"/>
      <c r="AN11" s="949"/>
      <c r="AO11" s="949"/>
      <c r="AP11" s="949"/>
      <c r="AQ11" s="949"/>
      <c r="AR11" s="949"/>
      <c r="AS11" s="949"/>
      <c r="AT11" s="949"/>
      <c r="AU11" s="949"/>
      <c r="AV11" s="949"/>
      <c r="AW11" s="949"/>
      <c r="AX11" s="949"/>
      <c r="AY11" s="949"/>
      <c r="AZ11" s="949"/>
      <c r="BA11" s="949"/>
      <c r="BB11" s="949"/>
      <c r="BC11" s="949"/>
      <c r="BD11" s="949"/>
      <c r="BE11" s="949"/>
      <c r="BF11" s="949"/>
      <c r="BG11" s="949"/>
      <c r="BH11" s="950">
        <f t="shared" si="5"/>
        <v>20.42704626334519</v>
      </c>
      <c r="BI11" s="950">
        <f t="shared" si="5"/>
        <v>102.68643885665162</v>
      </c>
      <c r="BJ11" s="950">
        <f t="shared" si="5"/>
        <v>25.013254161806799</v>
      </c>
      <c r="BK11" s="950">
        <f t="shared" si="5"/>
        <v>-19.052162849872772</v>
      </c>
      <c r="BL11" s="950">
        <f t="shared" si="5"/>
        <v>6.5907007203667405</v>
      </c>
      <c r="BM11" s="950">
        <f t="shared" si="5"/>
        <v>-2.2736477353714548</v>
      </c>
      <c r="BN11" s="950">
        <f t="shared" si="5"/>
        <v>101.11211057332389</v>
      </c>
      <c r="BO11" s="950">
        <f t="shared" si="5"/>
        <v>15.43871187975077</v>
      </c>
      <c r="BP11" s="950">
        <f t="shared" si="5"/>
        <v>17.276376384790268</v>
      </c>
      <c r="BQ11" s="950">
        <f t="shared" si="5"/>
        <v>-10.101945541904286</v>
      </c>
      <c r="BR11" s="950">
        <f t="shared" si="5"/>
        <v>26.289999999999992</v>
      </c>
      <c r="BS11" s="950">
        <f t="shared" si="5"/>
        <v>28.960000000000008</v>
      </c>
      <c r="BT11" s="950">
        <f t="shared" si="5"/>
        <v>13.039999999999992</v>
      </c>
      <c r="BU11" s="950">
        <f t="shared" si="6"/>
        <v>17.499984224678684</v>
      </c>
      <c r="BV11" s="950">
        <f t="shared" si="7"/>
        <v>20.039999999999992</v>
      </c>
      <c r="BW11" s="950">
        <f t="shared" si="8"/>
        <v>20.039999999999992</v>
      </c>
      <c r="BX11" s="950">
        <f t="shared" ref="BX11:BY14" si="15">S11/R11*100-100</f>
        <v>-3.5600000000000165</v>
      </c>
      <c r="BY11" s="950">
        <f t="shared" si="15"/>
        <v>-29.340783672600139</v>
      </c>
      <c r="BZ11" s="951">
        <f>AVERAGE(BP11:BY11)</f>
        <v>10.014363139496448</v>
      </c>
      <c r="CA11" s="951">
        <f>AVERAGE(BQ11:BZ11)</f>
        <v>9.2881618149670668</v>
      </c>
      <c r="CB11" s="951">
        <f t="shared" ref="CB11" si="16">AVERAGE(BR11:CA11)</f>
        <v>11.227172550654203</v>
      </c>
      <c r="CC11" s="951">
        <f>AVERAGE(BS11:CB11)</f>
        <v>9.720889805719624</v>
      </c>
      <c r="CD11" s="951">
        <f>AVERAGE(BT11:CC11)</f>
        <v>7.796978786291584</v>
      </c>
      <c r="CE11" s="932">
        <f>AVERAGE(BT11:CD11)</f>
        <v>7.796978786291584</v>
      </c>
      <c r="CF11" s="932">
        <f>AVERAGE(BU11:CE11)</f>
        <v>7.3203404941362757</v>
      </c>
      <c r="CG11" s="932">
        <f>AVERAGE(BV11:CF11)</f>
        <v>6.3949183368142375</v>
      </c>
    </row>
    <row r="12" spans="1:85" s="846" customFormat="1" ht="17.45" customHeight="1" x14ac:dyDescent="0.2">
      <c r="A12" s="461" t="s">
        <v>5</v>
      </c>
      <c r="B12" s="954">
        <v>27286</v>
      </c>
      <c r="C12" s="894">
        <v>26811</v>
      </c>
      <c r="D12" s="894">
        <v>27374</v>
      </c>
      <c r="E12" s="894">
        <v>27929</v>
      </c>
      <c r="F12" s="894">
        <v>27990</v>
      </c>
      <c r="G12" s="894">
        <v>27830</v>
      </c>
      <c r="H12" s="894">
        <v>28273.84</v>
      </c>
      <c r="I12" s="894">
        <v>32368.37</v>
      </c>
      <c r="J12" s="894">
        <v>23815.22</v>
      </c>
      <c r="K12" s="894">
        <v>23978.394751799999</v>
      </c>
      <c r="L12" s="933">
        <v>24654.585483800758</v>
      </c>
      <c r="M12" s="933">
        <v>24622.534522671816</v>
      </c>
      <c r="N12" s="933">
        <v>24006.971159605022</v>
      </c>
      <c r="O12" s="933">
        <v>23166.727169018846</v>
      </c>
      <c r="P12" s="933">
        <v>23616.155999999999</v>
      </c>
      <c r="Q12" s="934">
        <f>'Data Penunjang'!U12/'Data Penunjang'!T12*'Rimba Luar Jawa'!P12</f>
        <v>42222.258981098756</v>
      </c>
      <c r="R12" s="934">
        <f>'Data Penunjang'!V12/'Data Penunjang'!U12*'Rimba Luar Jawa'!Q12</f>
        <v>37985.344559344987</v>
      </c>
      <c r="S12" s="934">
        <f>'Data Penunjang'!W12/'Data Penunjang'!V12*'Rimba Luar Jawa'!R12</f>
        <v>54892.392851917422</v>
      </c>
      <c r="T12" s="934">
        <f>'Data Penunjang'!X12/'Data Penunjang'!W12*'Rimba Luar Jawa'!S12</f>
        <v>48522.631425640371</v>
      </c>
      <c r="U12" s="934">
        <f>'Data Penunjang'!Y12/'Data Penunjang'!X12*'Rimba Luar Jawa'!T12</f>
        <v>50911.031428016264</v>
      </c>
      <c r="V12" s="934">
        <f>'Data Penunjang'!Z12/'Data Penunjang'!Y12*'Rimba Luar Jawa'!U12</f>
        <v>53550.935785007052</v>
      </c>
      <c r="W12" s="934">
        <f>'Data Penunjang'!AA12/'Data Penunjang'!Z12*'Rimba Luar Jawa'!V12</f>
        <v>49960.668955743778</v>
      </c>
      <c r="X12" s="934">
        <f>'Data Penunjang'!AB12/'Data Penunjang'!AA12*'Rimba Luar Jawa'!W12</f>
        <v>49014.218605893555</v>
      </c>
      <c r="Y12" s="934">
        <f>'Data Penunjang'!AC12/'Data Penunjang'!AB12*'Rimba Luar Jawa'!X12</f>
        <v>40036.102221912457</v>
      </c>
      <c r="Z12" s="943">
        <f>'Data Penunjang'!AD12/'Data Penunjang'!AC12*'Rimba Luar Jawa'!Y12</f>
        <v>45112.663219351198</v>
      </c>
      <c r="AA12" s="944">
        <f>'Data Penunjang'!AE12/'Data Penunjang'!AD12*'Rimba Luar Jawa'!Z12</f>
        <v>44609.667799806826</v>
      </c>
      <c r="AB12" s="944">
        <f>'Data Penunjang'!AF12/'Data Penunjang'!AE12*'Rimba Luar Jawa'!AA12</f>
        <v>44659.749410318356</v>
      </c>
      <c r="AC12" s="944">
        <f>'Data Penunjang'!AG12/'Data Penunjang'!AF12*'Rimba Luar Jawa'!AB12</f>
        <v>46714.212048325615</v>
      </c>
      <c r="AD12" s="944">
        <f>'Data Penunjang'!AH12/'Data Penunjang'!AG12*'Rimba Luar Jawa'!AC12</f>
        <v>46460.129282709138</v>
      </c>
      <c r="AE12" s="944">
        <f>'Data Penunjang'!AI12/'Data Penunjang'!AH12*'Rimba Luar Jawa'!AD12</f>
        <v>48581.714439174735</v>
      </c>
      <c r="AF12" s="944">
        <f>'Data Penunjang'!AJ12/'Data Penunjang'!AI12*'Rimba Luar Jawa'!AE12</f>
        <v>51134.240706073819</v>
      </c>
      <c r="AG12" s="944">
        <f>'Data Penunjang'!AK12/'Data Penunjang'!AJ12*'Rimba Luar Jawa'!AF12</f>
        <v>53827.052412652039</v>
      </c>
      <c r="AH12" s="944">
        <f>'Data Penunjang'!AL12/'Data Penunjang'!AK12*'Rimba Luar Jawa'!AG12</f>
        <v>54129.774259678721</v>
      </c>
      <c r="AI12" s="944">
        <f>'Data Penunjang'!AM12/'Data Penunjang'!AL12*'Rimba Luar Jawa'!AH12</f>
        <v>57218.77415076855</v>
      </c>
      <c r="AJ12" s="944">
        <f>'Data Penunjang'!AN12/'Data Penunjang'!AM12*'Rimba Luar Jawa'!AI12</f>
        <v>54503.682260901885</v>
      </c>
      <c r="AK12" s="949"/>
      <c r="AL12" s="949"/>
      <c r="AM12" s="949"/>
      <c r="AN12" s="949"/>
      <c r="AO12" s="949"/>
      <c r="AP12" s="949"/>
      <c r="AQ12" s="949"/>
      <c r="AR12" s="949"/>
      <c r="AS12" s="949"/>
      <c r="AT12" s="949"/>
      <c r="AU12" s="949"/>
      <c r="AV12" s="949"/>
      <c r="AW12" s="949"/>
      <c r="AX12" s="949"/>
      <c r="AY12" s="949"/>
      <c r="AZ12" s="949"/>
      <c r="BA12" s="949"/>
      <c r="BB12" s="949"/>
      <c r="BC12" s="949"/>
      <c r="BD12" s="949"/>
      <c r="BE12" s="949"/>
      <c r="BF12" s="949"/>
      <c r="BG12" s="949"/>
      <c r="BH12" s="950">
        <f t="shared" si="5"/>
        <v>-1.7408194678589837</v>
      </c>
      <c r="BI12" s="950">
        <f t="shared" si="5"/>
        <v>2.0998843758158898</v>
      </c>
      <c r="BJ12" s="950">
        <f t="shared" si="5"/>
        <v>2.0274713231533497</v>
      </c>
      <c r="BK12" s="950">
        <f t="shared" si="5"/>
        <v>0.21841097067563453</v>
      </c>
      <c r="BL12" s="950">
        <f t="shared" si="5"/>
        <v>-0.57163272597355785</v>
      </c>
      <c r="BM12" s="950">
        <f t="shared" si="5"/>
        <v>1.5948257276320561</v>
      </c>
      <c r="BN12" s="950">
        <f t="shared" si="5"/>
        <v>14.481690495525186</v>
      </c>
      <c r="BO12" s="950">
        <f t="shared" si="5"/>
        <v>-26.424407531179355</v>
      </c>
      <c r="BP12" s="950">
        <f t="shared" si="5"/>
        <v>0.68517003748023342</v>
      </c>
      <c r="BQ12" s="950">
        <f t="shared" si="5"/>
        <v>2.8199999999999932</v>
      </c>
      <c r="BR12" s="950">
        <f t="shared" si="5"/>
        <v>-0.13000000000000966</v>
      </c>
      <c r="BS12" s="950">
        <f t="shared" si="5"/>
        <v>-2.4999999999999858</v>
      </c>
      <c r="BT12" s="950">
        <f t="shared" si="5"/>
        <v>-3.5</v>
      </c>
      <c r="BU12" s="950">
        <f t="shared" si="6"/>
        <v>1.939975498922351</v>
      </c>
      <c r="BV12" s="950">
        <f t="shared" si="7"/>
        <v>78.785484738069812</v>
      </c>
      <c r="BW12" s="950">
        <f t="shared" si="8"/>
        <v>-10.034788578343168</v>
      </c>
      <c r="BX12" s="950">
        <f t="shared" si="15"/>
        <v>44.509398265845221</v>
      </c>
      <c r="BY12" s="950">
        <f t="shared" si="15"/>
        <v>-11.604087734817242</v>
      </c>
      <c r="BZ12" s="950">
        <f>U12/T12*100-100</f>
        <v>4.9222392360069165</v>
      </c>
      <c r="CA12" s="950">
        <f t="shared" si="11"/>
        <v>5.1853287645986512</v>
      </c>
      <c r="CB12" s="950">
        <f t="shared" si="12"/>
        <v>-6.7043960607472002</v>
      </c>
      <c r="CC12" s="950">
        <f t="shared" si="13"/>
        <v>-1.8943908671211034</v>
      </c>
      <c r="CD12" s="950"/>
      <c r="CE12" s="932">
        <f t="shared" si="14"/>
        <v>10.160476326241424</v>
      </c>
    </row>
    <row r="13" spans="1:85" s="828" customFormat="1" ht="17.45" customHeight="1" x14ac:dyDescent="0.2">
      <c r="A13" s="185" t="s">
        <v>99</v>
      </c>
      <c r="B13" s="956">
        <f t="shared" ref="B13:W13" si="17">B14-B8</f>
        <v>-11221.199999999255</v>
      </c>
      <c r="C13" s="315">
        <f t="shared" si="17"/>
        <v>-13630.199999999255</v>
      </c>
      <c r="D13" s="315">
        <f t="shared" si="17"/>
        <v>-33334.199999999255</v>
      </c>
      <c r="E13" s="315">
        <f t="shared" si="17"/>
        <v>-42938.199999999255</v>
      </c>
      <c r="F13" s="315">
        <f t="shared" si="17"/>
        <v>-34383.339999999851</v>
      </c>
      <c r="G13" s="315">
        <f t="shared" si="17"/>
        <v>-36558.199999999255</v>
      </c>
      <c r="H13" s="315">
        <f t="shared" si="17"/>
        <v>-32489.10000000149</v>
      </c>
      <c r="I13" s="315">
        <f t="shared" si="17"/>
        <v>-78311.450000000186</v>
      </c>
      <c r="J13" s="315">
        <f t="shared" si="17"/>
        <v>-83192.80999999959</v>
      </c>
      <c r="K13" s="315">
        <f t="shared" si="17"/>
        <v>-97862.384801799431</v>
      </c>
      <c r="L13" s="315">
        <f t="shared" si="17"/>
        <v>-86372.252874734811</v>
      </c>
      <c r="M13" s="315">
        <f t="shared" si="17"/>
        <v>-114021.61844805628</v>
      </c>
      <c r="N13" s="315">
        <f t="shared" si="17"/>
        <v>-145368.34367895126</v>
      </c>
      <c r="O13" s="315">
        <f t="shared" si="17"/>
        <v>-164282.78379738983</v>
      </c>
      <c r="P13" s="315">
        <f t="shared" si="17"/>
        <v>-196476.40800000075</v>
      </c>
      <c r="Q13" s="315">
        <f t="shared" si="17"/>
        <v>-257832.22784109786</v>
      </c>
      <c r="R13" s="315">
        <f t="shared" si="17"/>
        <v>-303605.18958378956</v>
      </c>
      <c r="S13" s="315">
        <f>S14-S8</f>
        <v>-311571.26837121509</v>
      </c>
      <c r="T13" s="315">
        <f t="shared" si="17"/>
        <v>-218543.58407136332</v>
      </c>
      <c r="U13" s="315">
        <f t="shared" si="17"/>
        <v>-242880.92031662539</v>
      </c>
      <c r="V13" s="315">
        <f t="shared" si="17"/>
        <v>-268254.26580218971</v>
      </c>
      <c r="W13" s="315">
        <f t="shared" si="17"/>
        <v>-291975.2039791178</v>
      </c>
      <c r="X13" s="315">
        <f t="shared" ref="X13:Y13" si="18">X14-X8</f>
        <v>-346453.34890803508</v>
      </c>
      <c r="Y13" s="315">
        <f t="shared" si="18"/>
        <v>-96413.009780232795</v>
      </c>
      <c r="Z13" s="428">
        <f t="shared" ref="Z13:AA13" si="19">Z14-Z8</f>
        <v>-203005.00329480506</v>
      </c>
      <c r="AA13" s="428">
        <f t="shared" si="19"/>
        <v>-616708.50791749172</v>
      </c>
      <c r="AB13" s="428">
        <f t="shared" ref="AB13:AC13" si="20">AB14-AB8</f>
        <v>-195966.79599271063</v>
      </c>
      <c r="AC13" s="428">
        <f t="shared" si="20"/>
        <v>-163957.97989298077</v>
      </c>
      <c r="AD13" s="428">
        <f t="shared" ref="AD13:AE13" si="21">AD14-AD8</f>
        <v>-140487.18513668003</v>
      </c>
      <c r="AE13" s="428">
        <f t="shared" si="21"/>
        <v>-335789.94875932252</v>
      </c>
      <c r="AF13" s="428">
        <f t="shared" ref="AF13:AG13" si="22">AF14-AF8</f>
        <v>-83518.723329283763</v>
      </c>
      <c r="AG13" s="428">
        <f t="shared" si="22"/>
        <v>-134263.55984616838</v>
      </c>
      <c r="AH13" s="428">
        <f t="shared" ref="AH13:AI13" si="23">AH14-AH8</f>
        <v>-78793.707836104557</v>
      </c>
      <c r="AI13" s="428">
        <f t="shared" si="23"/>
        <v>-267699.28777448926</v>
      </c>
      <c r="AJ13" s="428">
        <f t="shared" ref="AJ13" si="24">AJ14-AJ8</f>
        <v>-118524.58799915947</v>
      </c>
      <c r="AK13" s="915"/>
      <c r="AL13" s="915"/>
      <c r="AM13" s="915"/>
      <c r="AN13" s="915"/>
      <c r="AO13" s="915"/>
      <c r="AP13" s="915"/>
      <c r="AQ13" s="915"/>
      <c r="AR13" s="915"/>
      <c r="AS13" s="915"/>
      <c r="AT13" s="915"/>
      <c r="AU13" s="915"/>
      <c r="AV13" s="915"/>
      <c r="AW13" s="915"/>
      <c r="AX13" s="915"/>
      <c r="AY13" s="915"/>
      <c r="AZ13" s="915"/>
      <c r="BA13" s="915"/>
      <c r="BB13" s="915"/>
      <c r="BC13" s="915"/>
      <c r="BD13" s="915"/>
      <c r="BE13" s="915"/>
      <c r="BF13" s="915"/>
      <c r="BG13" s="915"/>
      <c r="BH13" s="952">
        <f t="shared" si="5"/>
        <v>21.468292161267598</v>
      </c>
      <c r="BI13" s="952">
        <f t="shared" si="5"/>
        <v>144.56134172646827</v>
      </c>
      <c r="BJ13" s="952">
        <f t="shared" si="5"/>
        <v>28.811250907477046</v>
      </c>
      <c r="BK13" s="952">
        <f t="shared" si="5"/>
        <v>-19.923657722027372</v>
      </c>
      <c r="BL13" s="952">
        <f t="shared" si="5"/>
        <v>6.3253308142821965</v>
      </c>
      <c r="BM13" s="952">
        <f t="shared" si="5"/>
        <v>-11.13047141270043</v>
      </c>
      <c r="BN13" s="952">
        <f t="shared" si="5"/>
        <v>141.03914851441436</v>
      </c>
      <c r="BO13" s="952">
        <f t="shared" si="5"/>
        <v>6.2332647397020509</v>
      </c>
      <c r="BP13" s="952">
        <f t="shared" si="5"/>
        <v>17.633224315658907</v>
      </c>
      <c r="BQ13" s="952">
        <f t="shared" si="5"/>
        <v>-11.741111715533563</v>
      </c>
      <c r="BR13" s="952">
        <f t="shared" si="5"/>
        <v>32.011861046881791</v>
      </c>
      <c r="BS13" s="952">
        <f t="shared" si="5"/>
        <v>27.491913952418855</v>
      </c>
      <c r="BT13" s="952">
        <f t="shared" si="5"/>
        <v>13.011388614436896</v>
      </c>
      <c r="BU13" s="952">
        <f t="shared" si="6"/>
        <v>19.596468636856883</v>
      </c>
      <c r="BV13" s="952">
        <f t="shared" si="7"/>
        <v>31.22808507426339</v>
      </c>
      <c r="BW13" s="952">
        <f t="shared" si="8"/>
        <v>17.753002456660141</v>
      </c>
      <c r="BX13" s="952">
        <f t="shared" si="15"/>
        <v>2.6238282680036491</v>
      </c>
      <c r="BY13" s="952">
        <f t="shared" si="15"/>
        <v>-29.857593990026018</v>
      </c>
      <c r="BZ13" s="952">
        <f>U13/T13*100-100</f>
        <v>11.13614766989221</v>
      </c>
      <c r="CA13" s="952">
        <f t="shared" si="11"/>
        <v>10.446825321843733</v>
      </c>
      <c r="CB13" s="952">
        <f t="shared" si="12"/>
        <v>8.8427067901391183</v>
      </c>
      <c r="CC13" s="952">
        <f t="shared" si="13"/>
        <v>18.658483387107623</v>
      </c>
      <c r="CD13" s="952"/>
      <c r="CE13" s="428">
        <f t="shared" si="14"/>
        <v>10.343934222917763</v>
      </c>
    </row>
    <row r="14" spans="1:85" s="846" customFormat="1" ht="17.45" customHeight="1" thickBot="1" x14ac:dyDescent="0.25">
      <c r="A14" s="958" t="s">
        <v>10</v>
      </c>
      <c r="B14" s="957">
        <f t="shared" ref="B14:S14" si="25">B8+B9+B10-B11-B12</f>
        <v>8532878.8000000007</v>
      </c>
      <c r="C14" s="902">
        <f t="shared" si="25"/>
        <v>8519248.6000000015</v>
      </c>
      <c r="D14" s="902">
        <f t="shared" si="25"/>
        <v>8485914.4000000022</v>
      </c>
      <c r="E14" s="902">
        <f t="shared" si="25"/>
        <v>8442976.200000003</v>
      </c>
      <c r="F14" s="902">
        <f t="shared" si="25"/>
        <v>8408592.8600000031</v>
      </c>
      <c r="G14" s="902">
        <f t="shared" si="25"/>
        <v>8372034.6600000039</v>
      </c>
      <c r="H14" s="902">
        <f t="shared" si="25"/>
        <v>8339545.5600000024</v>
      </c>
      <c r="I14" s="902">
        <f t="shared" si="25"/>
        <v>8261234.1100000022</v>
      </c>
      <c r="J14" s="902">
        <f t="shared" si="25"/>
        <v>8178041.3000000026</v>
      </c>
      <c r="K14" s="902">
        <f t="shared" si="25"/>
        <v>8080178.9151982032</v>
      </c>
      <c r="L14" s="902">
        <f t="shared" si="25"/>
        <v>7993806.6623234684</v>
      </c>
      <c r="M14" s="902">
        <f t="shared" si="25"/>
        <v>7879785.0438754121</v>
      </c>
      <c r="N14" s="902">
        <f t="shared" si="25"/>
        <v>7734416.7001964608</v>
      </c>
      <c r="O14" s="902">
        <f t="shared" si="25"/>
        <v>7570133.916399071</v>
      </c>
      <c r="P14" s="902">
        <f t="shared" si="25"/>
        <v>7373657.5083990702</v>
      </c>
      <c r="Q14" s="902">
        <f t="shared" si="25"/>
        <v>7115825.2805579724</v>
      </c>
      <c r="R14" s="902">
        <f t="shared" si="25"/>
        <v>6812220.0909741828</v>
      </c>
      <c r="S14" s="902">
        <f t="shared" si="25"/>
        <v>6500648.8226029677</v>
      </c>
      <c r="T14" s="902">
        <f t="shared" ref="T14:W14" si="26">T8+T9+T10-T11-T12</f>
        <v>6282105.2385316044</v>
      </c>
      <c r="U14" s="902">
        <f t="shared" si="26"/>
        <v>6039224.318214979</v>
      </c>
      <c r="V14" s="902">
        <f t="shared" si="26"/>
        <v>5770970.0524127893</v>
      </c>
      <c r="W14" s="902">
        <f t="shared" si="26"/>
        <v>5478994.8484336715</v>
      </c>
      <c r="X14" s="902">
        <f t="shared" ref="X14:AC14" si="27">X8+X9+X10-X11-X12</f>
        <v>5132541.4995256364</v>
      </c>
      <c r="Y14" s="902">
        <f t="shared" si="27"/>
        <v>5036128.4897454036</v>
      </c>
      <c r="Z14" s="945">
        <f t="shared" si="27"/>
        <v>4833123.4864505986</v>
      </c>
      <c r="AA14" s="945">
        <f t="shared" si="27"/>
        <v>4216414.9785331069</v>
      </c>
      <c r="AB14" s="945">
        <f t="shared" si="27"/>
        <v>4020448.1825403962</v>
      </c>
      <c r="AC14" s="945">
        <f t="shared" si="27"/>
        <v>3856490.2026474155</v>
      </c>
      <c r="AD14" s="945">
        <f t="shared" ref="AD14:AE14" si="28">AD8+AD9+AD10-AD11-AD12</f>
        <v>3716003.0175107354</v>
      </c>
      <c r="AE14" s="945">
        <f t="shared" si="28"/>
        <v>3380213.0687514129</v>
      </c>
      <c r="AF14" s="945">
        <f t="shared" ref="AF14:AG14" si="29">AF8+AF9+AF10-AF11-AF12</f>
        <v>3296694.3454221291</v>
      </c>
      <c r="AG14" s="945">
        <f t="shared" si="29"/>
        <v>3162430.7855759608</v>
      </c>
      <c r="AH14" s="945">
        <f t="shared" ref="AH14:AI14" si="30">AH8+AH9+AH10-AH11-AH12</f>
        <v>3083637.0777398562</v>
      </c>
      <c r="AI14" s="945">
        <f t="shared" si="30"/>
        <v>2815937.7899653669</v>
      </c>
      <c r="AJ14" s="945">
        <f t="shared" ref="AJ14" si="31">AJ8+AJ9+AJ10-AJ11-AJ12</f>
        <v>2697413.2019662075</v>
      </c>
      <c r="AK14" s="881"/>
      <c r="AL14" s="881"/>
      <c r="AM14" s="881"/>
      <c r="AN14" s="881"/>
      <c r="AO14" s="881"/>
      <c r="AP14" s="881"/>
      <c r="AQ14" s="881"/>
      <c r="AR14" s="881"/>
      <c r="AS14" s="881"/>
      <c r="AT14" s="881"/>
      <c r="AU14" s="881"/>
      <c r="AV14" s="881"/>
      <c r="AW14" s="881"/>
      <c r="AX14" s="881"/>
      <c r="AY14" s="881"/>
      <c r="AZ14" s="881"/>
      <c r="BA14" s="881"/>
      <c r="BB14" s="881"/>
      <c r="BC14" s="881"/>
      <c r="BD14" s="881"/>
      <c r="BE14" s="881"/>
      <c r="BF14" s="881"/>
      <c r="BG14" s="881"/>
      <c r="BH14" s="950">
        <f t="shared" si="5"/>
        <v>-0.159737414763228</v>
      </c>
      <c r="BI14" s="950">
        <f t="shared" si="5"/>
        <v>-0.39128098691708146</v>
      </c>
      <c r="BJ14" s="950">
        <f t="shared" si="5"/>
        <v>-0.50599379131138278</v>
      </c>
      <c r="BK14" s="950">
        <f t="shared" si="5"/>
        <v>-0.40724193916358331</v>
      </c>
      <c r="BL14" s="950">
        <f t="shared" si="5"/>
        <v>-0.43477191259798076</v>
      </c>
      <c r="BM14" s="950">
        <f t="shared" si="5"/>
        <v>-0.38806695527944157</v>
      </c>
      <c r="BN14" s="950">
        <f t="shared" si="5"/>
        <v>-0.93903737843480428</v>
      </c>
      <c r="BO14" s="950">
        <f t="shared" si="5"/>
        <v>-1.0070264187198887</v>
      </c>
      <c r="BP14" s="950">
        <f t="shared" si="5"/>
        <v>-1.1966482096611486</v>
      </c>
      <c r="BQ14" s="950">
        <f t="shared" si="5"/>
        <v>-1.0689398561741683</v>
      </c>
      <c r="BR14" s="950">
        <f t="shared" si="5"/>
        <v>-1.4263744829539746</v>
      </c>
      <c r="BS14" s="950">
        <f t="shared" si="5"/>
        <v>-1.8448262594667995</v>
      </c>
      <c r="BT14" s="950">
        <f t="shared" si="5"/>
        <v>-2.1240487830609993</v>
      </c>
      <c r="BU14" s="950">
        <f t="shared" si="6"/>
        <v>-2.5954152221056006</v>
      </c>
      <c r="BV14" s="950">
        <f t="shared" si="7"/>
        <v>-3.4966667159060449</v>
      </c>
      <c r="BW14" s="950">
        <f t="shared" si="8"/>
        <v>-4.2666195081167473</v>
      </c>
      <c r="BX14" s="950">
        <f t="shared" si="15"/>
        <v>-4.5737111280950842</v>
      </c>
      <c r="BY14" s="950">
        <f t="shared" si="15"/>
        <v>-3.3618734073355938</v>
      </c>
      <c r="BZ14" s="950">
        <f>U14/T14*100-100</f>
        <v>-3.8662345041102384</v>
      </c>
      <c r="CA14" s="950">
        <f t="shared" si="11"/>
        <v>-4.4418662342629744</v>
      </c>
      <c r="CB14" s="950">
        <f t="shared" si="12"/>
        <v>-5.0593782557760107</v>
      </c>
      <c r="CC14" s="950">
        <f t="shared" si="13"/>
        <v>-6.3233012348438109</v>
      </c>
      <c r="CD14" s="950"/>
      <c r="CE14" s="932">
        <f t="shared" si="14"/>
        <v>-4.0109114993613106</v>
      </c>
    </row>
    <row r="15" spans="1:85" ht="17.45" hidden="1" customHeight="1" x14ac:dyDescent="0.2">
      <c r="A15" s="190"/>
      <c r="B15" s="916"/>
      <c r="C15" s="918">
        <f t="shared" ref="C15" si="32">+C14/B14*100-100</f>
        <v>-0.159737414763228</v>
      </c>
      <c r="D15" s="918">
        <f t="shared" ref="D15" si="33">+D14/C14*100-100</f>
        <v>-0.39128098691708146</v>
      </c>
      <c r="E15" s="918">
        <f t="shared" ref="E15" si="34">+E14/D14*100-100</f>
        <v>-0.50599379131138278</v>
      </c>
      <c r="F15" s="918">
        <f t="shared" ref="F15" si="35">+F14/E14*100-100</f>
        <v>-0.40724193916358331</v>
      </c>
      <c r="G15" s="918">
        <f t="shared" ref="G15" si="36">+G14/F14*100-100</f>
        <v>-0.43477191259798076</v>
      </c>
      <c r="H15" s="918">
        <f t="shared" ref="H15" si="37">+H14/G14*100-100</f>
        <v>-0.38806695527944157</v>
      </c>
      <c r="I15" s="918">
        <f t="shared" ref="I15" si="38">+I14/H14*100-100</f>
        <v>-0.93903737843480428</v>
      </c>
      <c r="J15" s="918">
        <f t="shared" ref="J15" si="39">+J14/I14*100-100</f>
        <v>-1.0070264187198887</v>
      </c>
      <c r="K15" s="918">
        <f t="shared" ref="K15" si="40">+K14/J14*100-100</f>
        <v>-1.1966482096611486</v>
      </c>
      <c r="L15" s="918">
        <f t="shared" ref="L15" si="41">+L14/K14*100-100</f>
        <v>-1.0689398561741683</v>
      </c>
      <c r="M15" s="918">
        <f t="shared" ref="M15" si="42">+M14/L14*100-100</f>
        <v>-1.4263744829539746</v>
      </c>
      <c r="N15" s="918">
        <f t="shared" ref="N15" si="43">+N14/M14*100-100</f>
        <v>-1.8448262594667995</v>
      </c>
      <c r="O15" s="918">
        <f t="shared" ref="O15" si="44">+O14/N14*100-100</f>
        <v>-2.1240487830609993</v>
      </c>
      <c r="P15" s="918">
        <f t="shared" ref="P15" si="45">+P14/O14*100-100</f>
        <v>-2.5954152221056006</v>
      </c>
      <c r="Q15" s="918">
        <f t="shared" ref="Q15" si="46">+Q14/P14*100-100</f>
        <v>-3.4966667159060449</v>
      </c>
      <c r="R15" s="918">
        <f t="shared" ref="R15" si="47">+R14/Q14*100-100</f>
        <v>-4.2666195081167473</v>
      </c>
      <c r="S15" s="918">
        <f t="shared" ref="S15" si="48">+S14/R14*100-100</f>
        <v>-4.5737111280950842</v>
      </c>
      <c r="T15" s="918">
        <f t="shared" ref="T15" si="49">+T14/S14*100-100</f>
        <v>-3.3618734073355938</v>
      </c>
      <c r="U15" s="918">
        <f t="shared" ref="U15" si="50">+U14/T14*100-100</f>
        <v>-3.8662345041102384</v>
      </c>
      <c r="V15" s="918">
        <f t="shared" ref="V15" si="51">+V14/U14*100-100</f>
        <v>-4.4418662342629744</v>
      </c>
      <c r="W15" s="918">
        <f t="shared" ref="W15" si="52">+W14/V14*100-100</f>
        <v>-5.0593782557760107</v>
      </c>
      <c r="X15" s="919">
        <f t="shared" ref="X15:AB15" si="53">+X14/W14*100-100</f>
        <v>-6.3233012348438109</v>
      </c>
      <c r="Y15" s="929">
        <f t="shared" si="53"/>
        <v>-1.8784652747404778</v>
      </c>
      <c r="Z15" s="918">
        <f t="shared" si="53"/>
        <v>-4.0309734691671366</v>
      </c>
      <c r="AA15" s="930">
        <f t="shared" si="53"/>
        <v>-12.760040368229795</v>
      </c>
      <c r="AB15" s="930">
        <f t="shared" si="53"/>
        <v>-4.6477113137684398</v>
      </c>
      <c r="AC15" s="931">
        <f t="shared" ref="AC15:AH15" si="54">+AC14/AB14*100-100</f>
        <v>-4.0781020535223291</v>
      </c>
      <c r="AD15" s="931">
        <f t="shared" si="54"/>
        <v>-3.6428767546262151</v>
      </c>
      <c r="AE15" s="931">
        <f t="shared" si="54"/>
        <v>-9.0363206697356304</v>
      </c>
      <c r="AF15" s="931">
        <f t="shared" si="54"/>
        <v>-2.4708123905376738</v>
      </c>
      <c r="AG15" s="931">
        <f t="shared" si="54"/>
        <v>-4.0726723735432131</v>
      </c>
      <c r="AH15" s="931">
        <f t="shared" si="54"/>
        <v>-2.4915551731752572</v>
      </c>
      <c r="AI15" s="931">
        <f t="shared" ref="AI15" si="55">+AI14/AH14*100-100</f>
        <v>-8.6812838549307827</v>
      </c>
      <c r="AJ15" s="931">
        <f t="shared" ref="AJ15" si="56">+AJ14/AI14*100-100</f>
        <v>-4.2090627293516008</v>
      </c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1"/>
      <c r="AX15" s="181"/>
      <c r="AY15" s="181"/>
      <c r="AZ15" s="181"/>
      <c r="BA15" s="181"/>
      <c r="BB15" s="181"/>
      <c r="BC15" s="181"/>
      <c r="BD15" s="181"/>
      <c r="BE15" s="181"/>
      <c r="BF15" s="181"/>
      <c r="BG15" s="181"/>
      <c r="CE15" s="178">
        <f t="shared" ref="CE15:CE16" si="57">SUM(BX15:CB15)/5</f>
        <v>0</v>
      </c>
    </row>
    <row r="16" spans="1:85" ht="17.45" hidden="1" customHeight="1" x14ac:dyDescent="0.2">
      <c r="A16" s="185" t="s">
        <v>6</v>
      </c>
      <c r="B16" s="186">
        <v>9248</v>
      </c>
      <c r="C16" s="186">
        <v>10892</v>
      </c>
      <c r="D16" s="263">
        <f>'Rent Luar Jawa'!C21</f>
        <v>10449.648088245822</v>
      </c>
      <c r="E16" s="263">
        <f>'Rent Luar Jawa'!D21</f>
        <v>11449.124592636334</v>
      </c>
      <c r="F16" s="263">
        <f>'Rent Luar Jawa'!E21</f>
        <v>13832.444065320275</v>
      </c>
      <c r="G16" s="263">
        <f>'Rent Luar Jawa'!F21</f>
        <v>14934.936246393465</v>
      </c>
      <c r="H16" s="263">
        <f>'Rent Luar Jawa'!G21</f>
        <v>16213.936636023675</v>
      </c>
      <c r="I16" s="263">
        <f>'Rent Luar Jawa'!H21</f>
        <v>16463.8415366308</v>
      </c>
      <c r="J16" s="263">
        <f>'Rent Luar Jawa'!I21</f>
        <v>20970.164562552793</v>
      </c>
      <c r="K16" s="263">
        <f>'Rent Luar Jawa'!J21</f>
        <v>25681.925062237446</v>
      </c>
      <c r="L16" s="263">
        <f>'Rent Luar Jawa'!K21</f>
        <v>26770.790415207397</v>
      </c>
      <c r="M16" s="263">
        <f>'Rent Luar Jawa'!L21</f>
        <v>27075.427450865081</v>
      </c>
      <c r="N16" s="263">
        <f>'Rent Luar Jawa'!M21</f>
        <v>27739.591184551671</v>
      </c>
      <c r="O16" s="263">
        <f>'Rent Luar Jawa'!N21</f>
        <v>29401.825544969972</v>
      </c>
      <c r="P16" s="263">
        <f>'Rent Luar Jawa'!O21</f>
        <v>31866.155729289661</v>
      </c>
      <c r="Q16" s="263">
        <f>'Rent Luar Jawa'!P21</f>
        <v>36637.452249078415</v>
      </c>
      <c r="R16" s="263">
        <f>'Rent Luar Jawa'!Q21</f>
        <v>51408.525888100885</v>
      </c>
      <c r="S16" s="263">
        <f>'Rent Luar Jawa'!R21</f>
        <v>60527.018309955776</v>
      </c>
      <c r="T16" s="263">
        <f>'Rent Luar Jawa'!S21</f>
        <v>68443.028998793685</v>
      </c>
      <c r="U16" s="263">
        <f>'Rent Luar Jawa'!T21</f>
        <v>74765.23864963981</v>
      </c>
      <c r="V16" s="263">
        <f>'Rent Luar Jawa'!U21</f>
        <v>77695.811986194691</v>
      </c>
      <c r="W16" s="263">
        <f>'Rent Luar Jawa'!V21</f>
        <v>81228.307129457535</v>
      </c>
      <c r="X16" s="566">
        <f>'Rent Luar Jawa'!W21</f>
        <v>84165.257063821395</v>
      </c>
      <c r="Y16" s="591">
        <f>'Rent Luar Jawa'!X21</f>
        <v>142874.14969997693</v>
      </c>
      <c r="Z16" s="263">
        <f>'Rent Luar Jawa'!Y21</f>
        <v>150141.63894112405</v>
      </c>
      <c r="AA16" s="263">
        <f>'Rent Luar Jawa'!Z21</f>
        <v>163245.75433467393</v>
      </c>
      <c r="AB16" s="263">
        <f>'Rent Luar Jawa'!AA21</f>
        <v>166383.99035747439</v>
      </c>
      <c r="AC16" s="592">
        <f>'Rent Luar Jawa'!AB21</f>
        <v>167843.40172381196</v>
      </c>
      <c r="AD16" s="592">
        <f>'Rent Luar Jawa'!AC21</f>
        <v>173413.39467489213</v>
      </c>
      <c r="AE16" s="592">
        <f>'Rent Luar Jawa'!AD21</f>
        <v>0</v>
      </c>
      <c r="AF16" s="592">
        <f>'Rent Luar Jawa'!AE21</f>
        <v>0</v>
      </c>
      <c r="AG16" s="592">
        <f>'Rent Luar Jawa'!AF21</f>
        <v>0</v>
      </c>
      <c r="AH16" s="592">
        <f>'Rent Luar Jawa'!AG21</f>
        <v>0</v>
      </c>
      <c r="AI16" s="592">
        <f>'Rent Luar Jawa'!AH21</f>
        <v>0</v>
      </c>
      <c r="AJ16" s="592">
        <f>'Rent Luar Jawa'!AI21</f>
        <v>0</v>
      </c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  <c r="BB16" s="192"/>
      <c r="BC16" s="192"/>
      <c r="BD16" s="192"/>
      <c r="BE16" s="192"/>
      <c r="BF16" s="192"/>
      <c r="BG16" s="192"/>
      <c r="BH16" s="62">
        <f t="shared" ref="BH16:CC16" si="58">C16/B16*100-100</f>
        <v>17.776816608996555</v>
      </c>
      <c r="BI16" s="62">
        <f t="shared" si="58"/>
        <v>-4.0612551574933775</v>
      </c>
      <c r="BJ16" s="62">
        <f t="shared" si="58"/>
        <v>9.564690561347831</v>
      </c>
      <c r="BK16" s="62">
        <f t="shared" si="58"/>
        <v>20.816608758164847</v>
      </c>
      <c r="BL16" s="62">
        <f t="shared" si="58"/>
        <v>7.9703353642129002</v>
      </c>
      <c r="BM16" s="62">
        <f t="shared" si="58"/>
        <v>8.5638155297721283</v>
      </c>
      <c r="BN16" s="62">
        <f t="shared" si="58"/>
        <v>1.5412968868516117</v>
      </c>
      <c r="BO16" s="62">
        <f t="shared" si="58"/>
        <v>27.371030120131849</v>
      </c>
      <c r="BP16" s="62">
        <f t="shared" si="58"/>
        <v>22.468877083104147</v>
      </c>
      <c r="BQ16" s="62">
        <f t="shared" si="58"/>
        <v>4.2398120480890782</v>
      </c>
      <c r="BR16" s="62">
        <f t="shared" si="58"/>
        <v>1.1379456151008327</v>
      </c>
      <c r="BS16" s="62">
        <f t="shared" si="58"/>
        <v>2.4530129206339382</v>
      </c>
      <c r="BT16" s="62">
        <f t="shared" si="58"/>
        <v>5.9922813907365935</v>
      </c>
      <c r="BU16" s="156">
        <f t="shared" si="58"/>
        <v>8.3815550179035796</v>
      </c>
      <c r="BV16" s="156">
        <f t="shared" si="58"/>
        <v>14.972927893537019</v>
      </c>
      <c r="BW16" s="156">
        <f t="shared" si="58"/>
        <v>40.316869029543454</v>
      </c>
      <c r="BX16" s="156">
        <f t="shared" si="58"/>
        <v>17.737315482849652</v>
      </c>
      <c r="BY16" s="156">
        <f t="shared" si="58"/>
        <v>13.078474555446334</v>
      </c>
      <c r="BZ16" s="156">
        <f t="shared" si="58"/>
        <v>9.2371856467041482</v>
      </c>
      <c r="CA16" s="156">
        <f t="shared" si="58"/>
        <v>3.9197003707671598</v>
      </c>
      <c r="CB16" s="156">
        <f t="shared" si="58"/>
        <v>4.5465708549265287</v>
      </c>
      <c r="CC16" s="156">
        <f t="shared" si="58"/>
        <v>3.6156729570679005</v>
      </c>
      <c r="CD16" s="156"/>
      <c r="CE16" s="158">
        <f t="shared" si="57"/>
        <v>9.703849382138765</v>
      </c>
    </row>
    <row r="17" spans="1:83" ht="17.45" hidden="1" customHeight="1" x14ac:dyDescent="0.2">
      <c r="A17" s="185" t="s">
        <v>220</v>
      </c>
      <c r="B17" s="186"/>
      <c r="C17" s="264">
        <f t="shared" ref="C17:W17" si="59">+C16/B16*100-100</f>
        <v>17.776816608996555</v>
      </c>
      <c r="D17" s="264">
        <f t="shared" si="59"/>
        <v>-4.0612551574933775</v>
      </c>
      <c r="E17" s="264">
        <f t="shared" si="59"/>
        <v>9.564690561347831</v>
      </c>
      <c r="F17" s="264">
        <f t="shared" si="59"/>
        <v>20.816608758164847</v>
      </c>
      <c r="G17" s="264">
        <f t="shared" si="59"/>
        <v>7.9703353642129002</v>
      </c>
      <c r="H17" s="264">
        <f t="shared" si="59"/>
        <v>8.5638155297721283</v>
      </c>
      <c r="I17" s="264">
        <f t="shared" si="59"/>
        <v>1.5412968868516117</v>
      </c>
      <c r="J17" s="264">
        <f t="shared" si="59"/>
        <v>27.371030120131849</v>
      </c>
      <c r="K17" s="264">
        <f t="shared" si="59"/>
        <v>22.468877083104147</v>
      </c>
      <c r="L17" s="264">
        <f t="shared" si="59"/>
        <v>4.2398120480890782</v>
      </c>
      <c r="M17" s="264">
        <f t="shared" si="59"/>
        <v>1.1379456151008327</v>
      </c>
      <c r="N17" s="264">
        <f t="shared" si="59"/>
        <v>2.4530129206339382</v>
      </c>
      <c r="O17" s="264">
        <f t="shared" si="59"/>
        <v>5.9922813907365935</v>
      </c>
      <c r="P17" s="264">
        <f t="shared" si="59"/>
        <v>8.3815550179035796</v>
      </c>
      <c r="Q17" s="264">
        <f t="shared" si="59"/>
        <v>14.972927893537019</v>
      </c>
      <c r="R17" s="264">
        <f t="shared" si="59"/>
        <v>40.316869029543454</v>
      </c>
      <c r="S17" s="264">
        <f t="shared" si="59"/>
        <v>17.737315482849652</v>
      </c>
      <c r="T17" s="264">
        <f t="shared" si="59"/>
        <v>13.078474555446334</v>
      </c>
      <c r="U17" s="264">
        <f t="shared" si="59"/>
        <v>9.2371856467041482</v>
      </c>
      <c r="V17" s="264">
        <f t="shared" si="59"/>
        <v>3.9197003707671598</v>
      </c>
      <c r="W17" s="264">
        <f t="shared" si="59"/>
        <v>4.5465708549265287</v>
      </c>
      <c r="X17" s="419">
        <f t="shared" ref="X17:AH17" si="60">+X16/W16*100-100</f>
        <v>3.6156729570679005</v>
      </c>
      <c r="Y17" s="593">
        <f t="shared" si="60"/>
        <v>69.754307993899857</v>
      </c>
      <c r="Z17" s="264">
        <f t="shared" si="60"/>
        <v>5.0866369153609696</v>
      </c>
      <c r="AA17" s="264">
        <f t="shared" si="60"/>
        <v>8.7278355864281281</v>
      </c>
      <c r="AB17" s="264">
        <f t="shared" si="60"/>
        <v>1.9223997803744908</v>
      </c>
      <c r="AC17" s="594">
        <f t="shared" si="60"/>
        <v>0.87713449064541749</v>
      </c>
      <c r="AD17" s="594">
        <f t="shared" si="60"/>
        <v>3.3185653376149276</v>
      </c>
      <c r="AE17" s="594">
        <f t="shared" si="60"/>
        <v>-100</v>
      </c>
      <c r="AF17" s="594" t="e">
        <f t="shared" si="60"/>
        <v>#DIV/0!</v>
      </c>
      <c r="AG17" s="594" t="e">
        <f t="shared" si="60"/>
        <v>#DIV/0!</v>
      </c>
      <c r="AH17" s="594" t="e">
        <f t="shared" si="60"/>
        <v>#DIV/0!</v>
      </c>
      <c r="AI17" s="594" t="e">
        <f t="shared" ref="AI17" si="61">+AI16/AH16*100-100</f>
        <v>#DIV/0!</v>
      </c>
      <c r="AJ17" s="594" t="e">
        <f t="shared" ref="AJ17" si="62">+AJ16/AI16*100-100</f>
        <v>#DIV/0!</v>
      </c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/>
      <c r="AX17" s="193"/>
      <c r="AY17" s="193"/>
      <c r="AZ17" s="193"/>
      <c r="BA17" s="193"/>
      <c r="BB17" s="193"/>
      <c r="BC17" s="193"/>
      <c r="BD17" s="193"/>
      <c r="BE17" s="193"/>
      <c r="BF17" s="193"/>
      <c r="BG17" s="193"/>
    </row>
    <row r="18" spans="1:83" ht="17.45" hidden="1" customHeight="1" x14ac:dyDescent="0.2">
      <c r="A18" s="185" t="s">
        <v>7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5"/>
      <c r="N18" s="185"/>
      <c r="O18" s="185"/>
      <c r="P18" s="185"/>
      <c r="Q18" s="185"/>
      <c r="R18" s="185"/>
      <c r="S18" s="185"/>
      <c r="T18" s="236"/>
      <c r="U18" s="236"/>
      <c r="V18" s="236"/>
      <c r="W18" s="265"/>
      <c r="X18" s="317"/>
      <c r="Y18" s="534"/>
      <c r="Z18" s="265"/>
      <c r="AA18" s="265"/>
      <c r="AB18" s="265"/>
      <c r="AC18" s="535"/>
      <c r="AD18" s="535"/>
      <c r="AE18" s="535"/>
      <c r="AF18" s="535"/>
      <c r="AG18" s="535"/>
      <c r="AH18" s="535"/>
      <c r="AI18" s="535"/>
      <c r="AJ18" s="535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  <c r="BE18" s="194"/>
      <c r="BF18" s="194"/>
      <c r="BG18" s="194"/>
    </row>
    <row r="19" spans="1:83" ht="17.45" hidden="1" customHeight="1" x14ac:dyDescent="0.2">
      <c r="A19" s="185" t="s">
        <v>8</v>
      </c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5"/>
      <c r="N19" s="185"/>
      <c r="O19" s="185"/>
      <c r="P19" s="185"/>
      <c r="Q19" s="185"/>
      <c r="R19" s="185"/>
      <c r="S19" s="185"/>
      <c r="T19" s="236"/>
      <c r="U19" s="236"/>
      <c r="V19" s="236"/>
      <c r="W19" s="236"/>
      <c r="X19" s="308"/>
      <c r="Y19" s="536"/>
      <c r="Z19" s="236"/>
      <c r="AA19" s="236"/>
      <c r="AB19" s="236"/>
      <c r="AC19" s="537"/>
      <c r="AD19" s="537"/>
      <c r="AE19" s="537"/>
      <c r="AF19" s="537"/>
      <c r="AG19" s="537"/>
      <c r="AH19" s="537"/>
      <c r="AI19" s="537"/>
      <c r="AJ19" s="537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</row>
    <row r="20" spans="1:83" ht="17.45" hidden="1" customHeight="1" x14ac:dyDescent="0.2">
      <c r="A20" s="185"/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5"/>
      <c r="N20" s="185"/>
      <c r="O20" s="185"/>
      <c r="P20" s="185"/>
      <c r="Q20" s="185"/>
      <c r="R20" s="185"/>
      <c r="S20" s="185"/>
      <c r="T20" s="236"/>
      <c r="U20" s="236"/>
      <c r="V20" s="236"/>
      <c r="W20" s="236"/>
      <c r="X20" s="308"/>
      <c r="Y20" s="536"/>
      <c r="Z20" s="236"/>
      <c r="AA20" s="236"/>
      <c r="AB20" s="236"/>
      <c r="AC20" s="537"/>
      <c r="AD20" s="537"/>
      <c r="AE20" s="537"/>
      <c r="AF20" s="537"/>
      <c r="AG20" s="537"/>
      <c r="AH20" s="537"/>
      <c r="AI20" s="537"/>
      <c r="AJ20" s="537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</row>
    <row r="21" spans="1:83" ht="17.45" hidden="1" customHeight="1" x14ac:dyDescent="0.2">
      <c r="A21" s="185" t="s">
        <v>2</v>
      </c>
      <c r="B21" s="186">
        <v>70232.501999999993</v>
      </c>
      <c r="C21" s="201">
        <f t="shared" ref="C21:W21" si="63">B28</f>
        <v>78912.063142399988</v>
      </c>
      <c r="D21" s="201">
        <f t="shared" si="63"/>
        <v>92791.655751199971</v>
      </c>
      <c r="E21" s="201">
        <f t="shared" si="63"/>
        <v>88674.819186977649</v>
      </c>
      <c r="F21" s="201">
        <f t="shared" si="63"/>
        <v>96664.686446463224</v>
      </c>
      <c r="G21" s="201">
        <f t="shared" si="63"/>
        <v>116311.39040400142</v>
      </c>
      <c r="H21" s="201">
        <f t="shared" si="63"/>
        <v>125035.80389969636</v>
      </c>
      <c r="I21" s="201">
        <f t="shared" si="63"/>
        <v>135216.86328307254</v>
      </c>
      <c r="J21" s="201">
        <f t="shared" si="63"/>
        <v>136011.64928404917</v>
      </c>
      <c r="K21" s="201">
        <f t="shared" si="63"/>
        <v>171494.87186035316</v>
      </c>
      <c r="L21" s="201">
        <f t="shared" si="63"/>
        <v>207514.54938959124</v>
      </c>
      <c r="M21" s="201">
        <f t="shared" si="63"/>
        <v>214000.52277675006</v>
      </c>
      <c r="N21" s="201">
        <f t="shared" si="63"/>
        <v>213348.54828386038</v>
      </c>
      <c r="O21" s="201">
        <f t="shared" si="63"/>
        <v>214549.5573144189</v>
      </c>
      <c r="P21" s="201">
        <f t="shared" si="63"/>
        <v>222575.75676202567</v>
      </c>
      <c r="Q21" s="201">
        <f t="shared" si="63"/>
        <v>234970.11845709069</v>
      </c>
      <c r="R21" s="201">
        <f t="shared" si="63"/>
        <v>260705.70892922764</v>
      </c>
      <c r="S21" s="201">
        <f t="shared" si="63"/>
        <v>350206.19290228718</v>
      </c>
      <c r="T21" s="201">
        <f t="shared" si="63"/>
        <v>393464.89031228214</v>
      </c>
      <c r="U21" s="201">
        <f t="shared" si="63"/>
        <v>429966.31101429212</v>
      </c>
      <c r="V21" s="201">
        <f t="shared" si="63"/>
        <v>451524.04741005093</v>
      </c>
      <c r="W21" s="201">
        <f t="shared" si="63"/>
        <v>448380.20417022391</v>
      </c>
      <c r="X21" s="309">
        <f t="shared" ref="X21:AH21" si="64">W28</f>
        <v>445049.4763092855</v>
      </c>
      <c r="Y21" s="532">
        <f t="shared" si="64"/>
        <v>431981.67469830613</v>
      </c>
      <c r="Z21" s="201">
        <f t="shared" si="64"/>
        <v>719532.57575220312</v>
      </c>
      <c r="AA21" s="201">
        <f t="shared" si="64"/>
        <v>725653.08146053215</v>
      </c>
      <c r="AB21" s="201">
        <f t="shared" si="64"/>
        <v>688311.8437586549</v>
      </c>
      <c r="AC21" s="533">
        <f t="shared" si="64"/>
        <v>668938.21163652663</v>
      </c>
      <c r="AD21" s="533">
        <f t="shared" si="64"/>
        <v>647286.43432689505</v>
      </c>
      <c r="AE21" s="533">
        <f t="shared" si="64"/>
        <v>644404.6978886791</v>
      </c>
      <c r="AF21" s="533">
        <f t="shared" si="64"/>
        <v>0</v>
      </c>
      <c r="AG21" s="533">
        <f t="shared" si="64"/>
        <v>0</v>
      </c>
      <c r="AH21" s="533">
        <f t="shared" si="64"/>
        <v>0</v>
      </c>
      <c r="AI21" s="533">
        <f t="shared" ref="AI21" si="65">AH28</f>
        <v>0</v>
      </c>
      <c r="AJ21" s="533">
        <f t="shared" ref="AJ21" si="66">AI28</f>
        <v>0</v>
      </c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</row>
    <row r="22" spans="1:83" ht="17.45" hidden="1" customHeight="1" x14ac:dyDescent="0.2">
      <c r="A22" s="185" t="s">
        <v>3</v>
      </c>
      <c r="B22" s="201">
        <f t="shared" ref="B22:W22" si="67">B9*B16/1000000</f>
        <v>285.76319999999998</v>
      </c>
      <c r="C22" s="201">
        <f t="shared" si="67"/>
        <v>336.138012</v>
      </c>
      <c r="D22" s="201">
        <f t="shared" si="67"/>
        <v>321.99545619120676</v>
      </c>
      <c r="E22" s="201">
        <f t="shared" si="67"/>
        <v>351.41943024637959</v>
      </c>
      <c r="F22" s="201">
        <f t="shared" si="67"/>
        <v>422.47050664301179</v>
      </c>
      <c r="G22" s="201">
        <f t="shared" si="67"/>
        <v>454.30582567904281</v>
      </c>
      <c r="H22" s="201">
        <f t="shared" si="67"/>
        <v>535.02131981958757</v>
      </c>
      <c r="I22" s="201">
        <f t="shared" si="67"/>
        <v>525.08277987350436</v>
      </c>
      <c r="J22" s="201">
        <f t="shared" si="67"/>
        <v>657.75794062991906</v>
      </c>
      <c r="K22" s="201">
        <f t="shared" si="67"/>
        <v>850.25180121859603</v>
      </c>
      <c r="L22" s="201">
        <f t="shared" si="67"/>
        <v>864.05472744965994</v>
      </c>
      <c r="M22" s="201">
        <f t="shared" si="67"/>
        <v>873.99206679678457</v>
      </c>
      <c r="N22" s="201">
        <f t="shared" si="67"/>
        <v>895.807286226776</v>
      </c>
      <c r="O22" s="201">
        <f t="shared" si="67"/>
        <v>948.04430942189026</v>
      </c>
      <c r="P22" s="201">
        <f t="shared" si="67"/>
        <v>1024.9382210873575</v>
      </c>
      <c r="Q22" s="201">
        <f t="shared" si="67"/>
        <v>1162.3825252746562</v>
      </c>
      <c r="R22" s="201">
        <f t="shared" si="67"/>
        <v>1579.8312963851572</v>
      </c>
      <c r="S22" s="201">
        <f t="shared" si="67"/>
        <v>1799.78530649808</v>
      </c>
      <c r="T22" s="201">
        <f t="shared" si="67"/>
        <v>1969.0267523406078</v>
      </c>
      <c r="U22" s="201">
        <f t="shared" si="67"/>
        <v>2200.1578906971608</v>
      </c>
      <c r="V22" s="201">
        <f t="shared" si="67"/>
        <v>2285.6254963987485</v>
      </c>
      <c r="W22" s="201">
        <f t="shared" si="67"/>
        <v>2407.7549602078398</v>
      </c>
      <c r="X22" s="309">
        <f t="shared" ref="X22:AC22" si="68">X9*X16/1000000</f>
        <v>2480.4147519460971</v>
      </c>
      <c r="Y22" s="532">
        <f t="shared" si="68"/>
        <v>3203.5814151277891</v>
      </c>
      <c r="Z22" s="201">
        <f t="shared" si="68"/>
        <v>3494.8386002345619</v>
      </c>
      <c r="AA22" s="201">
        <f t="shared" si="68"/>
        <v>3809.328975528224</v>
      </c>
      <c r="AB22" s="201">
        <f t="shared" si="68"/>
        <v>3939.8599270086806</v>
      </c>
      <c r="AC22" s="533">
        <f t="shared" si="68"/>
        <v>3982.6448167480062</v>
      </c>
      <c r="AD22" s="533">
        <f t="shared" ref="AD22:AE22" si="69">AD9*AD16/1000000</f>
        <v>4111.3259297978966</v>
      </c>
      <c r="AE22" s="533">
        <f t="shared" si="69"/>
        <v>0</v>
      </c>
      <c r="AF22" s="533">
        <f t="shared" ref="AF22:AG22" si="70">AF9*AF16/1000000</f>
        <v>0</v>
      </c>
      <c r="AG22" s="533">
        <f t="shared" si="70"/>
        <v>0</v>
      </c>
      <c r="AH22" s="533">
        <f t="shared" ref="AH22:AI22" si="71">AH9*AH16/1000000</f>
        <v>0</v>
      </c>
      <c r="AI22" s="533">
        <f t="shared" si="71"/>
        <v>0</v>
      </c>
      <c r="AJ22" s="533">
        <f t="shared" ref="AJ22" si="72">AJ9*AJ16/1000000</f>
        <v>0</v>
      </c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</row>
    <row r="23" spans="1:83" ht="17.45" hidden="1" customHeight="1" x14ac:dyDescent="0.2">
      <c r="A23" s="185" t="s">
        <v>4</v>
      </c>
      <c r="B23" s="201">
        <f t="shared" ref="B23:W23" si="73">B10*B16/1000000</f>
        <v>5.7319103999999994</v>
      </c>
      <c r="C23" s="201">
        <f t="shared" si="73"/>
        <v>10.1491656</v>
      </c>
      <c r="D23" s="201">
        <f t="shared" si="73"/>
        <v>9.9250757542158805</v>
      </c>
      <c r="E23" s="201">
        <f t="shared" si="73"/>
        <v>16.679084706552612</v>
      </c>
      <c r="F23" s="201">
        <f t="shared" si="73"/>
        <v>17.147527610014933</v>
      </c>
      <c r="G23" s="201">
        <f t="shared" si="73"/>
        <v>23.056554577182229</v>
      </c>
      <c r="H23" s="201">
        <f t="shared" si="73"/>
        <v>41.393369534936639</v>
      </c>
      <c r="I23" s="201">
        <f t="shared" si="73"/>
        <v>35.195247968101761</v>
      </c>
      <c r="J23" s="201">
        <f t="shared" si="73"/>
        <v>33.06743309539825</v>
      </c>
      <c r="K23" s="201">
        <f t="shared" si="73"/>
        <v>32.860889882103663</v>
      </c>
      <c r="L23" s="201">
        <f t="shared" si="73"/>
        <v>89.398694634552598</v>
      </c>
      <c r="M23" s="201">
        <f t="shared" si="73"/>
        <v>33.654635962491703</v>
      </c>
      <c r="N23" s="201">
        <f t="shared" si="73"/>
        <v>134.96294219652273</v>
      </c>
      <c r="O23" s="201">
        <f t="shared" si="73"/>
        <v>171.43487070728696</v>
      </c>
      <c r="P23" s="201">
        <f t="shared" si="73"/>
        <v>176.07800492382077</v>
      </c>
      <c r="Q23" s="201">
        <f t="shared" si="73"/>
        <v>198.10643481319156</v>
      </c>
      <c r="R23" s="201">
        <f t="shared" si="73"/>
        <v>362.06471254539088</v>
      </c>
      <c r="S23" s="201">
        <f t="shared" si="73"/>
        <v>373.98006988151644</v>
      </c>
      <c r="T23" s="201">
        <f t="shared" si="73"/>
        <v>544.39683847671017</v>
      </c>
      <c r="U23" s="201">
        <f t="shared" si="73"/>
        <v>452.36302280754359</v>
      </c>
      <c r="V23" s="201">
        <f t="shared" si="73"/>
        <v>345.95368792512249</v>
      </c>
      <c r="W23" s="201">
        <f t="shared" si="73"/>
        <v>391.930304657943</v>
      </c>
      <c r="X23" s="309">
        <f t="shared" ref="X23:AC23" si="74">X10*X16/1000000</f>
        <v>517.47770570733451</v>
      </c>
      <c r="Y23" s="532">
        <f t="shared" si="74"/>
        <v>1579.4611795631074</v>
      </c>
      <c r="Z23" s="201">
        <f t="shared" si="74"/>
        <v>1671.730068592552</v>
      </c>
      <c r="AA23" s="330">
        <f t="shared" si="74"/>
        <v>2551.3178631656438</v>
      </c>
      <c r="AB23" s="330">
        <f t="shared" si="74"/>
        <v>2845.3011104477978</v>
      </c>
      <c r="AC23" s="531">
        <f t="shared" si="74"/>
        <v>1229.6022648172011</v>
      </c>
      <c r="AD23" s="531">
        <f t="shared" ref="AD23:AE23" si="75">AD10*AD16/1000000</f>
        <v>1575.5259523554898</v>
      </c>
      <c r="AE23" s="531">
        <f t="shared" si="75"/>
        <v>0</v>
      </c>
      <c r="AF23" s="531">
        <f t="shared" ref="AF23:AG23" si="76">AF10*AF16/1000000</f>
        <v>0</v>
      </c>
      <c r="AG23" s="531">
        <f t="shared" si="76"/>
        <v>0</v>
      </c>
      <c r="AH23" s="531">
        <f t="shared" ref="AH23:AI23" si="77">AH10*AH16/1000000</f>
        <v>0</v>
      </c>
      <c r="AI23" s="531">
        <f t="shared" si="77"/>
        <v>0</v>
      </c>
      <c r="AJ23" s="531">
        <f t="shared" ref="AJ23" si="78">AJ10*AJ16/1000000</f>
        <v>0</v>
      </c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</row>
    <row r="24" spans="1:83" ht="17.45" hidden="1" customHeight="1" x14ac:dyDescent="0.2">
      <c r="A24" s="185" t="s">
        <v>13</v>
      </c>
      <c r="B24" s="201">
        <f t="shared" ref="B24:W24" si="79">B11*B16/1000000</f>
        <v>142.92784</v>
      </c>
      <c r="C24" s="201">
        <f t="shared" si="79"/>
        <v>202.72190399999999</v>
      </c>
      <c r="D24" s="201">
        <f t="shared" si="79"/>
        <v>394.2025244809854</v>
      </c>
      <c r="E24" s="201">
        <f t="shared" si="79"/>
        <v>539.94071578872956</v>
      </c>
      <c r="F24" s="201">
        <f t="shared" si="79"/>
        <v>528.05355219360149</v>
      </c>
      <c r="G24" s="201">
        <f t="shared" si="79"/>
        <v>607.71749080199652</v>
      </c>
      <c r="H24" s="201">
        <f t="shared" si="79"/>
        <v>644.76064789888926</v>
      </c>
      <c r="I24" s="201">
        <f t="shared" si="79"/>
        <v>1316.6776166663578</v>
      </c>
      <c r="J24" s="201">
        <f t="shared" si="79"/>
        <v>1935.9832073531063</v>
      </c>
      <c r="K24" s="201">
        <f t="shared" si="79"/>
        <v>2780.5957868638966</v>
      </c>
      <c r="L24" s="201">
        <f t="shared" si="79"/>
        <v>2605.684160722396</v>
      </c>
      <c r="M24" s="201">
        <f t="shared" si="79"/>
        <v>3328.1651137547988</v>
      </c>
      <c r="N24" s="201">
        <f t="shared" si="79"/>
        <v>4397.2850877060482</v>
      </c>
      <c r="O24" s="201">
        <f t="shared" si="79"/>
        <v>5268.5488587106374</v>
      </c>
      <c r="P24" s="201">
        <f t="shared" si="79"/>
        <v>6709.4079356474322</v>
      </c>
      <c r="Q24" s="201">
        <f t="shared" si="79"/>
        <v>9259.8888986213806</v>
      </c>
      <c r="R24" s="201">
        <f t="shared" si="79"/>
        <v>15597.020688263019</v>
      </c>
      <c r="S24" s="201">
        <f t="shared" si="79"/>
        <v>17709.772374715067</v>
      </c>
      <c r="T24" s="201">
        <f t="shared" si="79"/>
        <v>14150.172583151092</v>
      </c>
      <c r="U24" s="201">
        <f t="shared" si="79"/>
        <v>17005.195469806411</v>
      </c>
      <c r="V24" s="201">
        <f t="shared" si="79"/>
        <v>19313.128746148835</v>
      </c>
      <c r="W24" s="201">
        <f t="shared" si="79"/>
        <v>22458.116245537341</v>
      </c>
      <c r="X24" s="309">
        <f t="shared" ref="X24:AC24" si="80">X11*X16/1000000</f>
        <v>28031.93332037266</v>
      </c>
      <c r="Y24" s="532">
        <f t="shared" si="80"/>
        <v>12837.845324800137</v>
      </c>
      <c r="Z24" s="201">
        <f t="shared" si="80"/>
        <v>28872.78338400503</v>
      </c>
      <c r="AA24" s="201">
        <f t="shared" si="80"/>
        <v>99753.353547697188</v>
      </c>
      <c r="AB24" s="201">
        <f t="shared" si="80"/>
        <v>31960.231217039196</v>
      </c>
      <c r="AC24" s="533">
        <f t="shared" si="80"/>
        <v>24890.839907529</v>
      </c>
      <c r="AD24" s="533">
        <f t="shared" ref="AD24:AE24" si="81">AD11*AD16/1000000</f>
        <v>21992.402829076225</v>
      </c>
      <c r="AE24" s="533">
        <f t="shared" si="81"/>
        <v>0</v>
      </c>
      <c r="AF24" s="533">
        <f t="shared" ref="AF24:AG24" si="82">AF11*AF16/1000000</f>
        <v>0</v>
      </c>
      <c r="AG24" s="533">
        <f t="shared" si="82"/>
        <v>0</v>
      </c>
      <c r="AH24" s="533">
        <f t="shared" ref="AH24:AI24" si="83">AH11*AH16/1000000</f>
        <v>0</v>
      </c>
      <c r="AI24" s="533">
        <f t="shared" si="83"/>
        <v>0</v>
      </c>
      <c r="AJ24" s="533">
        <f t="shared" ref="AJ24" si="84">AJ11*AJ16/1000000</f>
        <v>0</v>
      </c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</row>
    <row r="25" spans="1:83" ht="17.45" hidden="1" customHeight="1" x14ac:dyDescent="0.2">
      <c r="A25" s="185" t="s">
        <v>5</v>
      </c>
      <c r="B25" s="201">
        <f t="shared" ref="B25:W25" si="85">B12*B16/1000000</f>
        <v>252.34092799999999</v>
      </c>
      <c r="C25" s="201">
        <f t="shared" si="85"/>
        <v>292.02541200000002</v>
      </c>
      <c r="D25" s="201">
        <f t="shared" si="85"/>
        <v>286.04866676764112</v>
      </c>
      <c r="E25" s="201">
        <f t="shared" si="85"/>
        <v>319.76260074774012</v>
      </c>
      <c r="F25" s="201">
        <f t="shared" si="85"/>
        <v>387.17010938831447</v>
      </c>
      <c r="G25" s="201">
        <f t="shared" si="85"/>
        <v>415.63927573713011</v>
      </c>
      <c r="H25" s="201">
        <f t="shared" si="85"/>
        <v>458.4302502170716</v>
      </c>
      <c r="I25" s="201">
        <f t="shared" si="85"/>
        <v>532.90771447903421</v>
      </c>
      <c r="J25" s="201">
        <f t="shared" si="85"/>
        <v>499.40908249339856</v>
      </c>
      <c r="K25" s="201">
        <f t="shared" si="85"/>
        <v>615.8113371284752</v>
      </c>
      <c r="L25" s="201">
        <f t="shared" si="85"/>
        <v>660.02274076064475</v>
      </c>
      <c r="M25" s="201">
        <f t="shared" si="85"/>
        <v>666.66564712502168</v>
      </c>
      <c r="N25" s="201">
        <f t="shared" si="85"/>
        <v>665.94356554676574</v>
      </c>
      <c r="O25" s="201">
        <f t="shared" si="85"/>
        <v>681.14407067140814</v>
      </c>
      <c r="P25" s="201">
        <f t="shared" si="85"/>
        <v>752.55610482319844</v>
      </c>
      <c r="Q25" s="201">
        <f t="shared" si="85"/>
        <v>1546.9159972682278</v>
      </c>
      <c r="R25" s="201">
        <f t="shared" si="85"/>
        <v>1952.7705691475189</v>
      </c>
      <c r="S25" s="201">
        <f t="shared" si="85"/>
        <v>3322.4728672252913</v>
      </c>
      <c r="T25" s="201">
        <f t="shared" si="85"/>
        <v>3321.0358697628817</v>
      </c>
      <c r="U25" s="201">
        <f t="shared" si="85"/>
        <v>3806.3754146149486</v>
      </c>
      <c r="V25" s="201">
        <f t="shared" si="85"/>
        <v>4160.683438436693</v>
      </c>
      <c r="W25" s="201">
        <f t="shared" si="85"/>
        <v>4058.2205623303098</v>
      </c>
      <c r="X25" s="309">
        <f t="shared" ref="X25:AC25" si="86">X12*X16/1000000</f>
        <v>4125.2943087473686</v>
      </c>
      <c r="Y25" s="532">
        <f t="shared" si="86"/>
        <v>5720.1240622570995</v>
      </c>
      <c r="Z25" s="201">
        <f t="shared" si="86"/>
        <v>6773.2891927523542</v>
      </c>
      <c r="AA25" s="330">
        <f t="shared" si="86"/>
        <v>7282.338870598679</v>
      </c>
      <c r="AB25" s="330">
        <f t="shared" si="86"/>
        <v>7430.6673152536323</v>
      </c>
      <c r="AC25" s="531">
        <f t="shared" si="86"/>
        <v>7840.6722590384534</v>
      </c>
      <c r="AD25" s="531">
        <f t="shared" ref="AD25:AE25" si="87">AD12*AD16/1000000</f>
        <v>8056.8087359489527</v>
      </c>
      <c r="AE25" s="531">
        <f t="shared" si="87"/>
        <v>0</v>
      </c>
      <c r="AF25" s="531">
        <f t="shared" ref="AF25:AG25" si="88">AF12*AF16/1000000</f>
        <v>0</v>
      </c>
      <c r="AG25" s="531">
        <f t="shared" si="88"/>
        <v>0</v>
      </c>
      <c r="AH25" s="531">
        <f t="shared" ref="AH25:AI25" si="89">AH12*AH16/1000000</f>
        <v>0</v>
      </c>
      <c r="AI25" s="531">
        <f t="shared" si="89"/>
        <v>0</v>
      </c>
      <c r="AJ25" s="531">
        <f t="shared" ref="AJ25" si="90">AJ12*AJ16/1000000</f>
        <v>0</v>
      </c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</row>
    <row r="26" spans="1:83" ht="17.45" hidden="1" customHeight="1" x14ac:dyDescent="0.2">
      <c r="A26" s="185" t="s">
        <v>99</v>
      </c>
      <c r="B26" s="201">
        <f t="shared" ref="B26:W26" si="91">B13*B16/1000000</f>
        <v>-103.77365759999311</v>
      </c>
      <c r="C26" s="201">
        <f t="shared" si="91"/>
        <v>-148.46013839999188</v>
      </c>
      <c r="D26" s="201">
        <f t="shared" si="91"/>
        <v>-348.33065930319606</v>
      </c>
      <c r="E26" s="201">
        <f t="shared" si="91"/>
        <v>-491.60480158352885</v>
      </c>
      <c r="F26" s="201">
        <f t="shared" si="91"/>
        <v>-475.60562732888718</v>
      </c>
      <c r="G26" s="201">
        <f t="shared" si="91"/>
        <v>-545.99438628289045</v>
      </c>
      <c r="H26" s="201">
        <f t="shared" si="91"/>
        <v>-526.77620876146091</v>
      </c>
      <c r="I26" s="201">
        <f t="shared" si="91"/>
        <v>-1289.3073033037892</v>
      </c>
      <c r="J26" s="201">
        <f t="shared" si="91"/>
        <v>-1744.566916121179</v>
      </c>
      <c r="K26" s="201">
        <f t="shared" si="91"/>
        <v>-2513.2944328916578</v>
      </c>
      <c r="L26" s="201">
        <f t="shared" si="91"/>
        <v>-2312.2534793988202</v>
      </c>
      <c r="M26" s="201">
        <f t="shared" si="91"/>
        <v>-3087.1840581205674</v>
      </c>
      <c r="N26" s="201">
        <f t="shared" si="91"/>
        <v>-4032.4584248295141</v>
      </c>
      <c r="O26" s="201">
        <f t="shared" si="91"/>
        <v>-4830.2137492528755</v>
      </c>
      <c r="P26" s="201">
        <f t="shared" si="91"/>
        <v>-6260.9478144594777</v>
      </c>
      <c r="Q26" s="201">
        <f t="shared" si="91"/>
        <v>-9446.3159358017292</v>
      </c>
      <c r="R26" s="201">
        <f t="shared" si="91"/>
        <v>-15607.895248480023</v>
      </c>
      <c r="S26" s="201">
        <f t="shared" si="91"/>
        <v>-18858.479865560679</v>
      </c>
      <c r="T26" s="201">
        <f t="shared" si="91"/>
        <v>-14957.784862096627</v>
      </c>
      <c r="U26" s="201">
        <f t="shared" si="91"/>
        <v>-18159.049970916651</v>
      </c>
      <c r="V26" s="201">
        <f t="shared" si="91"/>
        <v>-20842.233000261625</v>
      </c>
      <c r="W26" s="201">
        <f t="shared" si="91"/>
        <v>-23716.651543001793</v>
      </c>
      <c r="X26" s="309">
        <f t="shared" ref="X26:AC26" si="92">X13*X16/1000000</f>
        <v>-29159.335171466581</v>
      </c>
      <c r="Y26" s="532">
        <f t="shared" si="92"/>
        <v>-13774.926792366319</v>
      </c>
      <c r="Z26" s="201">
        <f t="shared" si="92"/>
        <v>-30479.503907930321</v>
      </c>
      <c r="AA26" s="201">
        <f t="shared" si="92"/>
        <v>-100675.04557960216</v>
      </c>
      <c r="AB26" s="201">
        <f t="shared" si="92"/>
        <v>-32605.737494836314</v>
      </c>
      <c r="AC26" s="533">
        <f t="shared" si="92"/>
        <v>-27519.265085002255</v>
      </c>
      <c r="AD26" s="533">
        <f t="shared" ref="AD26:AE26" si="93">AD13*AD16/1000000</f>
        <v>-24362.359682871735</v>
      </c>
      <c r="AE26" s="533">
        <f t="shared" si="93"/>
        <v>0</v>
      </c>
      <c r="AF26" s="533">
        <f t="shared" ref="AF26:AG26" si="94">AF13*AF16/1000000</f>
        <v>0</v>
      </c>
      <c r="AG26" s="533">
        <f t="shared" si="94"/>
        <v>0</v>
      </c>
      <c r="AH26" s="533">
        <f t="shared" ref="AH26:AI26" si="95">AH13*AH16/1000000</f>
        <v>0</v>
      </c>
      <c r="AI26" s="533">
        <f t="shared" si="95"/>
        <v>0</v>
      </c>
      <c r="AJ26" s="533">
        <f t="shared" ref="AJ26" si="96">AJ13*AJ16/1000000</f>
        <v>0</v>
      </c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</row>
    <row r="27" spans="1:83" ht="17.45" hidden="1" customHeight="1" x14ac:dyDescent="0.2">
      <c r="A27" s="185" t="s">
        <v>100</v>
      </c>
      <c r="B27" s="186">
        <v>8783.3348000000005</v>
      </c>
      <c r="C27" s="201">
        <f t="shared" ref="C27:W27" si="97">C8*(C16-B16)/1000000</f>
        <v>14028.052747200001</v>
      </c>
      <c r="D27" s="201">
        <f t="shared" si="97"/>
        <v>-3768.5059049191068</v>
      </c>
      <c r="E27" s="201">
        <f t="shared" si="97"/>
        <v>8481.4720610691093</v>
      </c>
      <c r="F27" s="201">
        <f t="shared" si="97"/>
        <v>20122.309584867075</v>
      </c>
      <c r="G27" s="201">
        <f t="shared" si="97"/>
        <v>9270.407881977857</v>
      </c>
      <c r="H27" s="201">
        <f t="shared" si="97"/>
        <v>10707.835592137624</v>
      </c>
      <c r="I27" s="201">
        <f t="shared" si="97"/>
        <v>2084.0933042803949</v>
      </c>
      <c r="J27" s="201">
        <f t="shared" si="97"/>
        <v>37227.789492425189</v>
      </c>
      <c r="K27" s="201">
        <f t="shared" si="97"/>
        <v>38532.971962129748</v>
      </c>
      <c r="L27" s="201">
        <f t="shared" si="97"/>
        <v>8798.2268665576503</v>
      </c>
      <c r="M27" s="201">
        <f t="shared" si="97"/>
        <v>2435.2095652308703</v>
      </c>
      <c r="N27" s="201">
        <f t="shared" si="97"/>
        <v>5233.4674553880413</v>
      </c>
      <c r="O27" s="201">
        <f t="shared" si="97"/>
        <v>12856.413196859688</v>
      </c>
      <c r="P27" s="201">
        <f t="shared" si="97"/>
        <v>18655.309509524457</v>
      </c>
      <c r="Q27" s="201">
        <f t="shared" si="97"/>
        <v>35181.906407938695</v>
      </c>
      <c r="R27" s="201">
        <f t="shared" si="97"/>
        <v>105108.37922153954</v>
      </c>
      <c r="S27" s="201">
        <f t="shared" si="97"/>
        <v>62117.177275555725</v>
      </c>
      <c r="T27" s="201">
        <f t="shared" si="97"/>
        <v>51459.205564106662</v>
      </c>
      <c r="U27" s="201">
        <f t="shared" si="97"/>
        <v>39716.786366675507</v>
      </c>
      <c r="V27" s="201">
        <f t="shared" si="97"/>
        <v>17698.389760434642</v>
      </c>
      <c r="W27" s="201">
        <f t="shared" si="97"/>
        <v>20385.923682063498</v>
      </c>
      <c r="X27" s="309">
        <f t="shared" ref="X27:AH27" si="98">X8*(X16-W16)/1000000</f>
        <v>16091.533560487198</v>
      </c>
      <c r="Y27" s="532">
        <f t="shared" si="98"/>
        <v>301325.8278462633</v>
      </c>
      <c r="Z27" s="201">
        <f t="shared" si="98"/>
        <v>36600.009616259231</v>
      </c>
      <c r="AA27" s="201">
        <f t="shared" si="98"/>
        <v>63333.807877724721</v>
      </c>
      <c r="AB27" s="201">
        <f t="shared" si="98"/>
        <v>13232.105372708063</v>
      </c>
      <c r="AC27" s="533">
        <f t="shared" si="98"/>
        <v>5867.4877753706432</v>
      </c>
      <c r="AD27" s="533">
        <f t="shared" si="98"/>
        <v>21480.623244655857</v>
      </c>
      <c r="AE27" s="533">
        <f t="shared" si="98"/>
        <v>-644404.69788867922</v>
      </c>
      <c r="AF27" s="533">
        <f t="shared" si="98"/>
        <v>0</v>
      </c>
      <c r="AG27" s="533">
        <f t="shared" si="98"/>
        <v>0</v>
      </c>
      <c r="AH27" s="533">
        <f t="shared" si="98"/>
        <v>0</v>
      </c>
      <c r="AI27" s="533">
        <f t="shared" ref="AI27" si="99">AI8*(AI16-AH16)/1000000</f>
        <v>0</v>
      </c>
      <c r="AJ27" s="533">
        <f t="shared" ref="AJ27" si="100">AJ8*(AJ16-AI16)/1000000</f>
        <v>0</v>
      </c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</row>
    <row r="28" spans="1:83" ht="17.45" hidden="1" customHeight="1" x14ac:dyDescent="0.2">
      <c r="A28" s="185" t="s">
        <v>101</v>
      </c>
      <c r="B28" s="186">
        <f t="shared" ref="B28:W28" si="101">B21+B22+B23-B24-B25+B27</f>
        <v>78912.063142399988</v>
      </c>
      <c r="C28" s="186">
        <f t="shared" si="101"/>
        <v>92791.655751199971</v>
      </c>
      <c r="D28" s="186">
        <f t="shared" si="101"/>
        <v>88674.819186977649</v>
      </c>
      <c r="E28" s="186">
        <f t="shared" si="101"/>
        <v>96664.686446463224</v>
      </c>
      <c r="F28" s="186">
        <f t="shared" si="101"/>
        <v>116311.39040400142</v>
      </c>
      <c r="G28" s="186">
        <f t="shared" si="101"/>
        <v>125035.80389969636</v>
      </c>
      <c r="H28" s="186">
        <f t="shared" si="101"/>
        <v>135216.86328307254</v>
      </c>
      <c r="I28" s="186">
        <f t="shared" si="101"/>
        <v>136011.64928404917</v>
      </c>
      <c r="J28" s="186">
        <f t="shared" si="101"/>
        <v>171494.87186035316</v>
      </c>
      <c r="K28" s="186">
        <f t="shared" si="101"/>
        <v>207514.54938959124</v>
      </c>
      <c r="L28" s="186">
        <f t="shared" si="101"/>
        <v>214000.52277675006</v>
      </c>
      <c r="M28" s="186">
        <f t="shared" si="101"/>
        <v>213348.54828386038</v>
      </c>
      <c r="N28" s="186">
        <f t="shared" si="101"/>
        <v>214549.5573144189</v>
      </c>
      <c r="O28" s="186">
        <f t="shared" si="101"/>
        <v>222575.75676202567</v>
      </c>
      <c r="P28" s="186">
        <f t="shared" si="101"/>
        <v>234970.11845709069</v>
      </c>
      <c r="Q28" s="186">
        <f t="shared" si="101"/>
        <v>260705.70892922764</v>
      </c>
      <c r="R28" s="186">
        <f t="shared" si="101"/>
        <v>350206.19290228718</v>
      </c>
      <c r="S28" s="186">
        <f t="shared" si="101"/>
        <v>393464.89031228214</v>
      </c>
      <c r="T28" s="186">
        <f t="shared" si="101"/>
        <v>429966.31101429212</v>
      </c>
      <c r="U28" s="186">
        <f t="shared" si="101"/>
        <v>451524.04741005093</v>
      </c>
      <c r="V28" s="186">
        <f t="shared" si="101"/>
        <v>448380.20417022391</v>
      </c>
      <c r="W28" s="186">
        <f t="shared" si="101"/>
        <v>445049.4763092855</v>
      </c>
      <c r="X28" s="309">
        <f t="shared" ref="X28:AC28" si="102">X21+X22+X23-X24-X25+X27</f>
        <v>431981.67469830613</v>
      </c>
      <c r="Y28" s="532">
        <f t="shared" si="102"/>
        <v>719532.57575220312</v>
      </c>
      <c r="Z28" s="201">
        <f t="shared" si="102"/>
        <v>725653.08146053215</v>
      </c>
      <c r="AA28" s="201">
        <f t="shared" si="102"/>
        <v>688311.8437586549</v>
      </c>
      <c r="AB28" s="201">
        <f t="shared" si="102"/>
        <v>668938.21163652663</v>
      </c>
      <c r="AC28" s="533">
        <f t="shared" si="102"/>
        <v>647286.43432689505</v>
      </c>
      <c r="AD28" s="533">
        <f t="shared" ref="AD28:AE28" si="103">AD21+AD22+AD23-AD24-AD25+AD27</f>
        <v>644404.6978886791</v>
      </c>
      <c r="AE28" s="533">
        <f t="shared" si="103"/>
        <v>0</v>
      </c>
      <c r="AF28" s="533">
        <f t="shared" ref="AF28:AG28" si="104">AF21+AF22+AF23-AF24-AF25+AF27</f>
        <v>0</v>
      </c>
      <c r="AG28" s="533">
        <f t="shared" si="104"/>
        <v>0</v>
      </c>
      <c r="AH28" s="533">
        <f t="shared" ref="AH28:AI28" si="105">AH21+AH22+AH23-AH24-AH25+AH27</f>
        <v>0</v>
      </c>
      <c r="AI28" s="533">
        <f t="shared" si="105"/>
        <v>0</v>
      </c>
      <c r="AJ28" s="533">
        <f t="shared" ref="AJ28" si="106">AJ21+AJ22+AJ23-AJ24-AJ25+AJ27</f>
        <v>0</v>
      </c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R28" s="62">
        <f t="shared" ref="BR28" si="107">M28/L28*100-100</f>
        <v>-0.3046602337368256</v>
      </c>
      <c r="BS28" s="62">
        <f t="shared" ref="BS28" si="108">N28/M28*100-100</f>
        <v>0.56293283465916488</v>
      </c>
      <c r="BT28" s="62">
        <f t="shared" ref="BT28" si="109">O28/N28*100-100</f>
        <v>3.7409536277180422</v>
      </c>
      <c r="BU28" s="156">
        <f t="shared" ref="BU28" si="110">P28/O28*100-100</f>
        <v>5.5686036410141639</v>
      </c>
      <c r="BV28" s="156">
        <f t="shared" ref="BV28" si="111">Q28/P28*100-100</f>
        <v>10.95270779158102</v>
      </c>
      <c r="BW28" s="156">
        <f t="shared" ref="BW28" si="112">R28/Q28*100-100</f>
        <v>34.330082122350348</v>
      </c>
      <c r="BX28" s="156">
        <f t="shared" ref="BX28" si="113">S28/R28*100-100</f>
        <v>12.352350782690124</v>
      </c>
      <c r="BY28" s="156">
        <f t="shared" ref="BY28" si="114">T28/S28*100-100</f>
        <v>9.2769193899460305</v>
      </c>
      <c r="BZ28" s="156">
        <f t="shared" ref="BZ28" si="115">U28/T28*100-100</f>
        <v>5.0138198839122907</v>
      </c>
      <c r="CA28" s="156">
        <f t="shared" ref="CA28" si="116">V28/U28*100-100</f>
        <v>-0.69627371074922451</v>
      </c>
      <c r="CB28" s="156">
        <f t="shared" ref="CB28" si="117">W28/V28*100-100</f>
        <v>-0.74283561806709031</v>
      </c>
      <c r="CC28" s="156">
        <f t="shared" ref="CC28" si="118">X28/W28*100-100</f>
        <v>-2.9362581705180872</v>
      </c>
      <c r="CD28" s="156"/>
      <c r="CE28" s="156">
        <f t="shared" ref="CE28" si="119">SUM(BX28:CB28)/5</f>
        <v>5.0407961455464259</v>
      </c>
    </row>
    <row r="29" spans="1:83" ht="17.45" hidden="1" customHeight="1" thickBot="1" x14ac:dyDescent="0.25">
      <c r="A29" s="188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567"/>
      <c r="Y29" s="574"/>
      <c r="Z29" s="575"/>
      <c r="AA29" s="575"/>
      <c r="AB29" s="595"/>
      <c r="AC29" s="576"/>
      <c r="AD29" s="576"/>
      <c r="AE29" s="576"/>
      <c r="AF29" s="576"/>
      <c r="AG29" s="576"/>
      <c r="AH29" s="576"/>
      <c r="AI29" s="576"/>
      <c r="AJ29" s="576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</row>
    <row r="30" spans="1:83" ht="17.45" hidden="1" customHeight="1" thickTop="1" x14ac:dyDescent="0.2">
      <c r="C30" s="154">
        <f t="shared" ref="C30" si="120">+C28/B28*100-100</f>
        <v>17.588682966954877</v>
      </c>
      <c r="D30" s="154">
        <f t="shared" ref="D30" si="121">+D28/C28*100-100</f>
        <v>-4.4366452251490216</v>
      </c>
      <c r="E30" s="154">
        <f t="shared" ref="E30" si="122">+E28/D28*100-100</f>
        <v>9.0103000296378752</v>
      </c>
      <c r="F30" s="154">
        <f t="shared" ref="F30" si="123">+F28/E28*100-100</f>
        <v>20.324592857826445</v>
      </c>
      <c r="G30" s="154">
        <f t="shared" ref="G30" si="124">+G28/F28*100-100</f>
        <v>7.5009106721114449</v>
      </c>
      <c r="H30" s="154">
        <f t="shared" ref="H30" si="125">+H28/G28*100-100</f>
        <v>8.1425152363105724</v>
      </c>
      <c r="I30" s="154">
        <f t="shared" ref="I30" si="126">+I28/H28*100-100</f>
        <v>0.58778615453663008</v>
      </c>
      <c r="J30" s="154">
        <f t="shared" ref="J30" si="127">+J28/I28*100-100</f>
        <v>26.088370197026435</v>
      </c>
      <c r="K30" s="154">
        <f t="shared" ref="K30" si="128">+K28/J28*100-100</f>
        <v>21.00335545809709</v>
      </c>
      <c r="L30" s="154">
        <f t="shared" ref="L30" si="129">+L28/K28*100-100</f>
        <v>3.1255511511060234</v>
      </c>
      <c r="M30" s="154">
        <f t="shared" ref="M30" si="130">+M28/L28*100-100</f>
        <v>-0.3046602337368256</v>
      </c>
      <c r="N30" s="154">
        <f t="shared" ref="N30" si="131">+N28/M28*100-100</f>
        <v>0.56293283465916488</v>
      </c>
      <c r="O30" s="154">
        <f t="shared" ref="O30" si="132">+O28/N28*100-100</f>
        <v>3.7409536277180422</v>
      </c>
      <c r="P30" s="154">
        <f t="shared" ref="P30" si="133">+P28/O28*100-100</f>
        <v>5.5686036410141639</v>
      </c>
      <c r="Q30" s="154">
        <f t="shared" ref="Q30" si="134">+Q28/P28*100-100</f>
        <v>10.95270779158102</v>
      </c>
      <c r="R30" s="154">
        <f t="shared" ref="R30" si="135">+R28/Q28*100-100</f>
        <v>34.330082122350348</v>
      </c>
      <c r="S30" s="154">
        <f t="shared" ref="S30" si="136">+S28/R28*100-100</f>
        <v>12.352350782690124</v>
      </c>
      <c r="T30" s="154">
        <f t="shared" ref="T30" si="137">+T28/S28*100-100</f>
        <v>9.2769193899460305</v>
      </c>
      <c r="U30" s="154">
        <f t="shared" ref="U30" si="138">+U28/T28*100-100</f>
        <v>5.0138198839122907</v>
      </c>
      <c r="V30" s="154">
        <f t="shared" ref="V30" si="139">+V28/U28*100-100</f>
        <v>-0.69627371074922451</v>
      </c>
      <c r="W30" s="154">
        <f t="shared" ref="W30" si="140">+W28/V28*100-100</f>
        <v>-0.74283561806709031</v>
      </c>
      <c r="X30" s="154">
        <f t="shared" ref="X30:Y30" si="141">+X28/W28*100-100</f>
        <v>-2.9362581705180872</v>
      </c>
      <c r="Y30" s="154">
        <f t="shared" si="141"/>
        <v>66.565532265858536</v>
      </c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</row>
    <row r="31" spans="1:83" ht="14.25" thickTop="1" x14ac:dyDescent="0.2"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</row>
    <row r="32" spans="1:83" x14ac:dyDescent="0.2">
      <c r="A32" s="2" t="s">
        <v>428</v>
      </c>
      <c r="T32" s="934">
        <f>T9</f>
        <v>28768.842950759998</v>
      </c>
      <c r="U32" s="946">
        <f>(100-3.2)/100*T32</f>
        <v>27848.239976335677</v>
      </c>
      <c r="V32" s="946">
        <f>(100-3.2)/100*U32</f>
        <v>26957.096297092936</v>
      </c>
      <c r="W32" s="946">
        <f>(100-3.2)/100*V32</f>
        <v>26094.469215585963</v>
      </c>
      <c r="X32" s="946">
        <f t="shared" ref="X32" si="142">(100-3.22)/100*W32</f>
        <v>25254.227306844095</v>
      </c>
      <c r="Y32" s="946">
        <f t="shared" ref="Y32" si="143">(100-3.22)/100*X32</f>
        <v>24441.041187563715</v>
      </c>
      <c r="Z32" s="947">
        <f t="shared" ref="Z32" si="144">(100-3.22)/100*Y32</f>
        <v>23654.039661324165</v>
      </c>
      <c r="AA32" s="948">
        <f>(100-3.22)/100*Z32</f>
        <v>22892.379584229526</v>
      </c>
      <c r="AB32" s="948">
        <f>(100-3.22)/100*AA32</f>
        <v>22155.244961617336</v>
      </c>
      <c r="AC32" s="948">
        <f t="shared" ref="AC32" si="145">(100-3.22)/100*AB32</f>
        <v>21441.846073853259</v>
      </c>
      <c r="AD32" s="948">
        <f t="shared" ref="AD32:AE32" si="146">(100-3.22)/100*AC32</f>
        <v>20751.418630275184</v>
      </c>
      <c r="AE32" s="948">
        <f t="shared" si="146"/>
        <v>20083.222950380325</v>
      </c>
      <c r="AF32" s="948">
        <f>(100-3.22)/100*AE32</f>
        <v>19436.543171378078</v>
      </c>
      <c r="AG32" s="948">
        <f>(100-3.22)/100*AF32</f>
        <v>18810.686481259705</v>
      </c>
      <c r="AH32" s="948">
        <f>(100-3.22)/100*AG32</f>
        <v>18204.982376563141</v>
      </c>
      <c r="AI32" s="948">
        <f>(100-3.22)/100*AH32</f>
        <v>17618.781944037808</v>
      </c>
      <c r="AJ32" s="948">
        <f>(100-3.22)/100*AI32</f>
        <v>17051.457165439791</v>
      </c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</row>
    <row r="33" spans="1:36" x14ac:dyDescent="0.2">
      <c r="A33" s="2" t="s">
        <v>429</v>
      </c>
      <c r="T33" s="159">
        <f>'Data Penunjang'!X14/'Data Penunjang'!W14*S9</f>
        <v>28948.205331821369</v>
      </c>
      <c r="U33" s="159">
        <f>'Data Penunjang'!Y14/'Data Penunjang'!X14*T9</f>
        <v>29427.551231494133</v>
      </c>
      <c r="V33" s="159">
        <f>'Data Penunjang'!Z14/'Data Penunjang'!Y14*U9</f>
        <v>29417.615158007069</v>
      </c>
      <c r="W33" s="159">
        <f>'Data Penunjang'!AA14/'Data Penunjang'!Z14*V9</f>
        <v>29641.821247985419</v>
      </c>
      <c r="X33" s="159">
        <f>'Data Penunjang'!AB14/'Data Penunjang'!AA14*W9</f>
        <v>29470.767849793789</v>
      </c>
      <c r="Y33" s="159">
        <f>'Data Penunjang'!AC14/'Data Penunjang'!AB14*X9</f>
        <v>22422.400566197779</v>
      </c>
      <c r="Z33" s="159">
        <f>'Data Penunjang'!AD14/'Data Penunjang'!AC14*Y9</f>
        <v>23276.944523064743</v>
      </c>
      <c r="AA33" s="159">
        <f>'Data Penunjang'!AE14/'Data Penunjang'!AD14*Z9</f>
        <v>23334.934443186987</v>
      </c>
      <c r="AB33" s="159">
        <f>'Data Penunjang'!AF14/'Data Penunjang'!AE14*AA9</f>
        <v>23679.321060541522</v>
      </c>
      <c r="AC33" s="159">
        <f>'Data Penunjang'!AG14/'Data Penunjang'!AF14*AB9</f>
        <v>23728.337103781352</v>
      </c>
      <c r="AD33" s="159">
        <f>'Data Penunjang'!AH14/'Data Penunjang'!AG14*AC9</f>
        <v>23708.237402915915</v>
      </c>
      <c r="AE33" s="159">
        <f>'Data Penunjang'!AI14/'Data Penunjang'!AH14*AD9</f>
        <v>23731.665256390424</v>
      </c>
      <c r="AF33" s="159">
        <f>'Data Penunjang'!AJ14/'Data Penunjang'!AI14*AE9</f>
        <v>23696.412297305927</v>
      </c>
      <c r="AG33" s="159">
        <f>'Data Penunjang'!AK14/'Data Penunjang'!AJ14*AF9</f>
        <v>23543.4291512411</v>
      </c>
      <c r="AH33" s="159">
        <f>'Data Penunjang'!AL14/'Data Penunjang'!AK14*AG9</f>
        <v>23540.200208568473</v>
      </c>
      <c r="AI33" s="159">
        <f>'Data Penunjang'!AM14/'Data Penunjang'!AL14*AH9</f>
        <v>23309.776398597503</v>
      </c>
      <c r="AJ33" s="159">
        <f>'Data Penunjang'!AN14/'Data Penunjang'!AM14*AI9</f>
        <v>23297.341821189439</v>
      </c>
    </row>
    <row r="34" spans="1:36" x14ac:dyDescent="0.2">
      <c r="T34" s="810">
        <f>T9-T33</f>
        <v>-179.36238106137171</v>
      </c>
      <c r="U34" s="810">
        <f t="shared" ref="U34:AD34" si="147">U9-U33</f>
        <v>0</v>
      </c>
      <c r="V34" s="810">
        <f t="shared" si="147"/>
        <v>0</v>
      </c>
      <c r="W34" s="810">
        <f t="shared" si="147"/>
        <v>0</v>
      </c>
      <c r="X34" s="810">
        <f t="shared" si="147"/>
        <v>0</v>
      </c>
      <c r="Y34" s="810">
        <f t="shared" si="147"/>
        <v>0</v>
      </c>
      <c r="Z34" s="810">
        <f t="shared" si="147"/>
        <v>0</v>
      </c>
      <c r="AA34" s="810">
        <f t="shared" si="147"/>
        <v>0</v>
      </c>
      <c r="AB34" s="810">
        <f t="shared" si="147"/>
        <v>0</v>
      </c>
      <c r="AC34" s="810">
        <f t="shared" si="147"/>
        <v>0</v>
      </c>
      <c r="AD34" s="810">
        <f t="shared" si="147"/>
        <v>0</v>
      </c>
      <c r="AE34" s="810">
        <f t="shared" ref="AE34:AF34" si="148">AE9-AE33</f>
        <v>0</v>
      </c>
      <c r="AF34" s="810">
        <f t="shared" si="148"/>
        <v>0</v>
      </c>
      <c r="AG34" s="810">
        <f t="shared" ref="AG34:AH34" si="149">AG9-AG33</f>
        <v>0</v>
      </c>
      <c r="AH34" s="810">
        <f t="shared" si="149"/>
        <v>0</v>
      </c>
      <c r="AI34" s="810">
        <f t="shared" ref="AI34:AJ34" si="150">AI9-AI33</f>
        <v>0</v>
      </c>
      <c r="AJ34" s="810">
        <f t="shared" si="150"/>
        <v>0</v>
      </c>
    </row>
  </sheetData>
  <mergeCells count="36">
    <mergeCell ref="AI4:AI5"/>
    <mergeCell ref="AJ4:AJ5"/>
    <mergeCell ref="T4:T5"/>
    <mergeCell ref="Z4:Z5"/>
    <mergeCell ref="W4:W5"/>
    <mergeCell ref="V4:V5"/>
    <mergeCell ref="AH4:AH5"/>
    <mergeCell ref="U4:U5"/>
    <mergeCell ref="AD4:AD5"/>
    <mergeCell ref="AC4:AC5"/>
    <mergeCell ref="Y4:Y5"/>
    <mergeCell ref="AG4:AG5"/>
    <mergeCell ref="X4:X5"/>
    <mergeCell ref="AF4:AF5"/>
    <mergeCell ref="AE4:AE5"/>
    <mergeCell ref="AB4:AB5"/>
    <mergeCell ref="AA4:AA5"/>
    <mergeCell ref="F4:F5"/>
    <mergeCell ref="N4:N5"/>
    <mergeCell ref="H4:H5"/>
    <mergeCell ref="M4:M5"/>
    <mergeCell ref="I4:I5"/>
    <mergeCell ref="G4:G5"/>
    <mergeCell ref="S4:S5"/>
    <mergeCell ref="Q4:Q5"/>
    <mergeCell ref="O4:O5"/>
    <mergeCell ref="P4:P5"/>
    <mergeCell ref="J4:J5"/>
    <mergeCell ref="K4:K5"/>
    <mergeCell ref="L4:L5"/>
    <mergeCell ref="R4:R5"/>
    <mergeCell ref="A4:A5"/>
    <mergeCell ref="B4:B5"/>
    <mergeCell ref="C4:C5"/>
    <mergeCell ref="D4:D5"/>
    <mergeCell ref="E4:E5"/>
  </mergeCells>
  <phoneticPr fontId="0" type="noConversion"/>
  <printOptions horizontalCentered="1" verticalCentered="1"/>
  <pageMargins left="0.62" right="0.32" top="0.84" bottom="1" header="0.5" footer="0.5"/>
  <pageSetup paperSize="9" scale="90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/>
  </sheetPr>
  <dimension ref="A1:CG32"/>
  <sheetViews>
    <sheetView zoomScaleNormal="100" zoomScaleSheetLayoutView="80" workbookViewId="0">
      <pane xSplit="1" ySplit="5" topLeftCell="AA6" activePane="bottomRight" state="frozen"/>
      <selection pane="topRight" activeCell="B1" sqref="B1"/>
      <selection pane="bottomLeft" activeCell="A6" sqref="A6"/>
      <selection pane="bottomRight" activeCell="AA9" sqref="AA9"/>
    </sheetView>
  </sheetViews>
  <sheetFormatPr defaultColWidth="9.33203125" defaultRowHeight="13.5" x14ac:dyDescent="0.2"/>
  <cols>
    <col min="1" max="1" width="32.1640625" style="2" customWidth="1"/>
    <col min="2" max="19" width="15.83203125" style="2" hidden="1" customWidth="1"/>
    <col min="20" max="21" width="14.1640625" style="2" hidden="1" customWidth="1"/>
    <col min="22" max="22" width="14.83203125" style="2" hidden="1" customWidth="1"/>
    <col min="23" max="23" width="15.6640625" style="2" hidden="1" customWidth="1"/>
    <col min="24" max="26" width="16.1640625" style="2" hidden="1" customWidth="1"/>
    <col min="27" max="29" width="16.1640625" style="2" customWidth="1"/>
    <col min="30" max="30" width="19.1640625" style="2" bestFit="1" customWidth="1"/>
    <col min="31" max="31" width="19.5" style="2" bestFit="1" customWidth="1"/>
    <col min="32" max="32" width="19.1640625" style="2" bestFit="1" customWidth="1"/>
    <col min="33" max="34" width="18.6640625" style="2" bestFit="1" customWidth="1"/>
    <col min="35" max="59" width="18.5" style="2" customWidth="1"/>
    <col min="60" max="72" width="9.83203125" style="2" hidden="1" customWidth="1"/>
    <col min="73" max="76" width="9.33203125" style="2" hidden="1" customWidth="1"/>
    <col min="77" max="85" width="0" style="2" hidden="1" customWidth="1"/>
    <col min="86" max="16384" width="9.33203125" style="2"/>
  </cols>
  <sheetData>
    <row r="1" spans="1:85" ht="15" x14ac:dyDescent="0.2">
      <c r="A1" s="324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spans="1:85" ht="15" x14ac:dyDescent="0.2">
      <c r="A2" s="1" t="s">
        <v>430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W2" s="159">
        <v>276481.40210216056</v>
      </c>
      <c r="X2" s="159">
        <v>303357.85453382012</v>
      </c>
      <c r="Y2" s="159">
        <v>327010.60209837143</v>
      </c>
      <c r="Z2" s="159">
        <v>699859.48602876521</v>
      </c>
      <c r="AA2" s="159"/>
      <c r="AB2" s="159"/>
      <c r="AC2" s="159"/>
      <c r="AD2" s="159"/>
      <c r="AE2" s="159"/>
      <c r="AF2" s="159"/>
      <c r="AG2" s="159"/>
      <c r="AH2" s="159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</row>
    <row r="3" spans="1:85" ht="15.75" thickBot="1" x14ac:dyDescent="0.25">
      <c r="A3" s="1"/>
      <c r="W3" s="159">
        <v>28564.608667</v>
      </c>
      <c r="X3" s="159">
        <v>34409.832029999998</v>
      </c>
      <c r="Y3" s="159">
        <v>9283.2668704999996</v>
      </c>
      <c r="Z3" s="159">
        <v>19867.803487000001</v>
      </c>
      <c r="AA3" s="159"/>
      <c r="AB3" s="159"/>
      <c r="AC3" s="159"/>
      <c r="AD3" s="159"/>
      <c r="AE3" s="159"/>
      <c r="AF3" s="159"/>
      <c r="AG3" s="159"/>
      <c r="AH3" s="159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</row>
    <row r="4" spans="1:85" ht="17.45" customHeight="1" thickTop="1" x14ac:dyDescent="0.2">
      <c r="A4" s="961" t="s">
        <v>0</v>
      </c>
      <c r="B4" s="995">
        <v>1990</v>
      </c>
      <c r="C4" s="991">
        <v>1991</v>
      </c>
      <c r="D4" s="991">
        <v>1992</v>
      </c>
      <c r="E4" s="991">
        <v>1993</v>
      </c>
      <c r="F4" s="991">
        <v>1994</v>
      </c>
      <c r="G4" s="991">
        <v>1995</v>
      </c>
      <c r="H4" s="991">
        <v>1996</v>
      </c>
      <c r="I4" s="991">
        <v>1997</v>
      </c>
      <c r="J4" s="991">
        <v>1998</v>
      </c>
      <c r="K4" s="991">
        <v>1999</v>
      </c>
      <c r="L4" s="991">
        <v>2000</v>
      </c>
      <c r="M4" s="993">
        <v>2001</v>
      </c>
      <c r="N4" s="993">
        <v>2002</v>
      </c>
      <c r="O4" s="993">
        <v>2003</v>
      </c>
      <c r="P4" s="993">
        <v>2004</v>
      </c>
      <c r="Q4" s="993">
        <v>2005</v>
      </c>
      <c r="R4" s="993">
        <v>2006</v>
      </c>
      <c r="S4" s="993">
        <v>2007</v>
      </c>
      <c r="T4" s="993">
        <v>2008</v>
      </c>
      <c r="U4" s="993">
        <v>2009</v>
      </c>
      <c r="V4" s="993">
        <v>2010</v>
      </c>
      <c r="W4" s="993">
        <v>2011</v>
      </c>
      <c r="X4" s="993">
        <v>2012</v>
      </c>
      <c r="Y4" s="993">
        <v>2013</v>
      </c>
      <c r="Z4" s="999">
        <v>2014</v>
      </c>
      <c r="AA4" s="999">
        <v>2015</v>
      </c>
      <c r="AB4" s="999">
        <v>2016</v>
      </c>
      <c r="AC4" s="999">
        <v>2017</v>
      </c>
      <c r="AD4" s="999">
        <v>2018</v>
      </c>
      <c r="AE4" s="999">
        <v>2019</v>
      </c>
      <c r="AF4" s="999">
        <v>2020</v>
      </c>
      <c r="AG4" s="999">
        <v>2021</v>
      </c>
      <c r="AH4" s="999">
        <v>2022</v>
      </c>
      <c r="AI4" s="999">
        <v>2023</v>
      </c>
      <c r="AJ4" s="999">
        <v>2024</v>
      </c>
      <c r="AK4" s="184"/>
      <c r="AL4" s="184"/>
      <c r="AM4" s="184"/>
      <c r="AN4" s="184"/>
      <c r="AO4" s="184"/>
      <c r="AP4" s="184"/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84"/>
      <c r="BH4" s="1" t="s">
        <v>67</v>
      </c>
    </row>
    <row r="5" spans="1:85" ht="17.45" customHeight="1" x14ac:dyDescent="0.2">
      <c r="A5" s="990"/>
      <c r="B5" s="996"/>
      <c r="C5" s="992"/>
      <c r="D5" s="992"/>
      <c r="E5" s="992"/>
      <c r="F5" s="992"/>
      <c r="G5" s="992"/>
      <c r="H5" s="992"/>
      <c r="I5" s="992"/>
      <c r="J5" s="992"/>
      <c r="K5" s="992"/>
      <c r="L5" s="992"/>
      <c r="M5" s="994"/>
      <c r="N5" s="994"/>
      <c r="O5" s="994"/>
      <c r="P5" s="994"/>
      <c r="Q5" s="994"/>
      <c r="R5" s="994"/>
      <c r="S5" s="994"/>
      <c r="T5" s="994"/>
      <c r="U5" s="994"/>
      <c r="V5" s="994"/>
      <c r="W5" s="994"/>
      <c r="X5" s="994"/>
      <c r="Y5" s="994"/>
      <c r="Z5" s="1000"/>
      <c r="AA5" s="1000"/>
      <c r="AB5" s="1000"/>
      <c r="AC5" s="1000"/>
      <c r="AD5" s="1000"/>
      <c r="AE5" s="1000"/>
      <c r="AF5" s="1000"/>
      <c r="AG5" s="1000"/>
      <c r="AH5" s="1000"/>
      <c r="AI5" s="1000"/>
      <c r="AJ5" s="1000"/>
      <c r="AK5" s="184"/>
      <c r="AL5" s="184"/>
      <c r="AM5" s="184"/>
      <c r="AN5" s="184"/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184"/>
      <c r="BF5" s="184"/>
      <c r="BG5" s="184"/>
      <c r="BH5" s="61">
        <v>1991</v>
      </c>
      <c r="BI5" s="61">
        <f>+BH5+1</f>
        <v>1992</v>
      </c>
      <c r="BJ5" s="61">
        <f t="shared" ref="BJ5:BT5" si="0">+BI5+1</f>
        <v>1993</v>
      </c>
      <c r="BK5" s="61">
        <f t="shared" si="0"/>
        <v>1994</v>
      </c>
      <c r="BL5" s="61">
        <f t="shared" si="0"/>
        <v>1995</v>
      </c>
      <c r="BM5" s="61">
        <f t="shared" si="0"/>
        <v>1996</v>
      </c>
      <c r="BN5" s="61">
        <f t="shared" si="0"/>
        <v>1997</v>
      </c>
      <c r="BO5" s="61">
        <f t="shared" si="0"/>
        <v>1998</v>
      </c>
      <c r="BP5" s="61">
        <f t="shared" si="0"/>
        <v>1999</v>
      </c>
      <c r="BQ5" s="61">
        <f t="shared" si="0"/>
        <v>2000</v>
      </c>
      <c r="BR5" s="61">
        <f t="shared" si="0"/>
        <v>2001</v>
      </c>
      <c r="BS5" s="61">
        <f t="shared" si="0"/>
        <v>2002</v>
      </c>
      <c r="BT5" s="61">
        <f t="shared" si="0"/>
        <v>2003</v>
      </c>
      <c r="BU5" s="155">
        <f>+BT5+1</f>
        <v>2004</v>
      </c>
      <c r="BV5" s="155">
        <f>+BU5+1</f>
        <v>2005</v>
      </c>
      <c r="BW5" s="155">
        <f>+BV5+1</f>
        <v>2006</v>
      </c>
      <c r="BX5" s="155">
        <f>+BW5+1</f>
        <v>2007</v>
      </c>
      <c r="BY5" s="155">
        <v>2008</v>
      </c>
      <c r="BZ5" s="61">
        <v>2009</v>
      </c>
      <c r="CA5" s="61">
        <v>2010</v>
      </c>
      <c r="CB5" s="61">
        <v>2011</v>
      </c>
      <c r="CC5" s="61">
        <v>2012</v>
      </c>
      <c r="CD5" s="61">
        <v>2013</v>
      </c>
      <c r="CE5" s="200">
        <v>2014</v>
      </c>
      <c r="CF5" s="2">
        <v>2015</v>
      </c>
    </row>
    <row r="6" spans="1:85" ht="17.45" customHeight="1" x14ac:dyDescent="0.2">
      <c r="A6" s="185" t="s">
        <v>187</v>
      </c>
      <c r="B6" s="38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5"/>
      <c r="P6" s="5"/>
      <c r="Q6" s="5"/>
      <c r="R6" s="5"/>
      <c r="S6" s="5"/>
      <c r="T6" s="5"/>
      <c r="U6" s="5"/>
      <c r="V6" s="5"/>
      <c r="W6" s="4"/>
      <c r="X6" s="4"/>
      <c r="Y6" s="4"/>
      <c r="Z6" s="4"/>
      <c r="AA6" s="6"/>
      <c r="AB6" s="4"/>
      <c r="AC6" s="4"/>
      <c r="AD6" s="4"/>
      <c r="AE6" s="4"/>
      <c r="AF6" s="4"/>
      <c r="AG6" s="4"/>
      <c r="AH6" s="4"/>
      <c r="AI6" s="4"/>
      <c r="AJ6" s="4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</row>
    <row r="7" spans="1:85" ht="17.45" customHeight="1" x14ac:dyDescent="0.2">
      <c r="A7" s="185"/>
      <c r="B7" s="953"/>
      <c r="C7" s="60"/>
      <c r="D7" s="60"/>
      <c r="E7" s="60"/>
      <c r="F7" s="60"/>
      <c r="G7" s="60"/>
      <c r="H7" s="60"/>
      <c r="I7" s="60"/>
      <c r="J7" s="60"/>
      <c r="K7" s="60"/>
      <c r="L7" s="5"/>
      <c r="M7" s="6"/>
      <c r="N7" s="5"/>
      <c r="O7" s="5"/>
      <c r="P7" s="5"/>
      <c r="Q7" s="5"/>
      <c r="R7" s="5"/>
      <c r="S7" s="5"/>
      <c r="T7" s="5"/>
      <c r="U7" s="5"/>
      <c r="V7" s="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</row>
    <row r="8" spans="1:85" s="1" customFormat="1" ht="17.45" customHeight="1" x14ac:dyDescent="0.2">
      <c r="A8" s="461" t="s">
        <v>2</v>
      </c>
      <c r="B8" s="954">
        <v>8544100</v>
      </c>
      <c r="C8" s="895">
        <f t="shared" ref="C8:X8" si="1">+B14</f>
        <v>8532878.8000000007</v>
      </c>
      <c r="D8" s="895">
        <f t="shared" si="1"/>
        <v>8519248.6000000015</v>
      </c>
      <c r="E8" s="895">
        <f t="shared" si="1"/>
        <v>8485914.4000000022</v>
      </c>
      <c r="F8" s="895">
        <f t="shared" si="1"/>
        <v>8442976.200000003</v>
      </c>
      <c r="G8" s="895">
        <f t="shared" si="1"/>
        <v>8408592.8600000031</v>
      </c>
      <c r="H8" s="895">
        <f t="shared" si="1"/>
        <v>8372034.6600000039</v>
      </c>
      <c r="I8" s="895">
        <f t="shared" si="1"/>
        <v>8339545.5600000024</v>
      </c>
      <c r="J8" s="895">
        <f t="shared" si="1"/>
        <v>8261234.1100000022</v>
      </c>
      <c r="K8" s="895">
        <f t="shared" si="1"/>
        <v>8178041.3000000026</v>
      </c>
      <c r="L8" s="895">
        <f t="shared" si="1"/>
        <v>8080178.9151982032</v>
      </c>
      <c r="M8" s="895">
        <f t="shared" si="1"/>
        <v>7993806.6623234684</v>
      </c>
      <c r="N8" s="895">
        <f t="shared" si="1"/>
        <v>7879785.0438754121</v>
      </c>
      <c r="O8" s="895">
        <f t="shared" si="1"/>
        <v>7734416.7001964608</v>
      </c>
      <c r="P8" s="895">
        <f t="shared" si="1"/>
        <v>7570133.916399071</v>
      </c>
      <c r="Q8" s="895">
        <f t="shared" si="1"/>
        <v>7373657.5083990702</v>
      </c>
      <c r="R8" s="895">
        <f t="shared" si="1"/>
        <v>7115825.2805579724</v>
      </c>
      <c r="S8" s="895">
        <f t="shared" si="1"/>
        <v>6812220.0909741828</v>
      </c>
      <c r="T8" s="895">
        <f t="shared" si="1"/>
        <v>6500648.8226029677</v>
      </c>
      <c r="U8" s="895">
        <f t="shared" si="1"/>
        <v>6282105.2385316044</v>
      </c>
      <c r="V8" s="895">
        <f t="shared" si="1"/>
        <v>6039224.318214979</v>
      </c>
      <c r="W8" s="895">
        <f t="shared" si="1"/>
        <v>5770970.0524127893</v>
      </c>
      <c r="X8" s="895">
        <f t="shared" si="1"/>
        <v>5478994.8484336715</v>
      </c>
      <c r="Y8" s="895"/>
      <c r="Z8" s="932"/>
      <c r="AA8" s="932">
        <f>'Jati Jawa'!AA8+'Rimba Luar Jawa'!AA8+'Rimba Jawa'!AA8</f>
        <v>5423882.4098763661</v>
      </c>
      <c r="AB8" s="932">
        <f>'Jati Jawa'!AB8+'Rimba Luar Jawa'!AB8+'Rimba Jawa'!AB8</f>
        <v>4827604.4524949323</v>
      </c>
      <c r="AC8" s="932">
        <f>'Jati Jawa'!AC8+'Rimba Luar Jawa'!AC8+'Rimba Jawa'!AC8</f>
        <v>4644893.8087344477</v>
      </c>
      <c r="AD8" s="932">
        <f>'Jati Jawa'!AD8+'Rimba Luar Jawa'!AD8+'Rimba Jawa'!AD8</f>
        <v>4493898.4906055126</v>
      </c>
      <c r="AE8" s="932">
        <f>'Jati Jawa'!AE8+'Rimba Luar Jawa'!AE8+'Rimba Jawa'!AE8</f>
        <v>4366432.4397125738</v>
      </c>
      <c r="AF8" s="932">
        <f>'Jati Jawa'!AF8+'Rimba Luar Jawa'!AF8+'Rimba Jawa'!AF8</f>
        <v>4043705.7230919288</v>
      </c>
      <c r="AG8" s="932">
        <f>'Jati Jawa'!AG8+'Rimba Luar Jawa'!AG8+'Rimba Jawa'!AG8</f>
        <v>3968297.7041478814</v>
      </c>
      <c r="AH8" s="932">
        <f>'Jati Jawa'!AH8+'Rimba Luar Jawa'!AH8+'Rimba Jawa'!AH8</f>
        <v>3842760.9381963522</v>
      </c>
      <c r="AI8" s="932">
        <f>'Jati Jawa'!AI8+'Rimba Luar Jawa'!AI8+'Rimba Jawa'!AI8</f>
        <v>3772327.2768327766</v>
      </c>
      <c r="AJ8" s="932">
        <f>'Jati Jawa'!AJ8+'Rimba Luar Jawa'!AJ8+'Rimba Jawa'!AJ8</f>
        <v>3525379.2393527976</v>
      </c>
      <c r="AK8" s="678"/>
      <c r="AL8" s="678"/>
      <c r="AM8" s="678"/>
      <c r="AN8" s="678"/>
      <c r="AO8" s="678"/>
      <c r="AP8" s="678"/>
      <c r="AQ8" s="678"/>
      <c r="AR8" s="678"/>
      <c r="AS8" s="678"/>
      <c r="AT8" s="678"/>
      <c r="AU8" s="678"/>
      <c r="AV8" s="678"/>
      <c r="AW8" s="678"/>
      <c r="AX8" s="678"/>
      <c r="AY8" s="678"/>
      <c r="AZ8" s="678"/>
      <c r="BA8" s="678"/>
      <c r="BB8" s="678"/>
      <c r="BC8" s="678"/>
      <c r="BD8" s="678"/>
      <c r="BE8" s="678"/>
      <c r="BF8" s="678"/>
      <c r="BG8" s="678"/>
      <c r="BH8" s="679">
        <f t="shared" ref="BH8:BQ10" si="2">C8/B8*100-100</f>
        <v>-0.13133273252886113</v>
      </c>
      <c r="BI8" s="679">
        <f t="shared" si="2"/>
        <v>-0.159737414763228</v>
      </c>
      <c r="BJ8" s="679">
        <f t="shared" si="2"/>
        <v>-0.39128098691708146</v>
      </c>
      <c r="BK8" s="679">
        <f t="shared" si="2"/>
        <v>-0.50599379131138278</v>
      </c>
      <c r="BL8" s="679">
        <f t="shared" si="2"/>
        <v>-0.40724193916358331</v>
      </c>
      <c r="BM8" s="679">
        <f t="shared" si="2"/>
        <v>-0.43477191259798076</v>
      </c>
      <c r="BN8" s="679">
        <f t="shared" si="2"/>
        <v>-0.38806695527944157</v>
      </c>
      <c r="BO8" s="679">
        <f t="shared" si="2"/>
        <v>-0.93903737843480428</v>
      </c>
      <c r="BP8" s="679">
        <f t="shared" si="2"/>
        <v>-1.0070264187198887</v>
      </c>
      <c r="BQ8" s="679">
        <f t="shared" si="2"/>
        <v>-1.1966482096611486</v>
      </c>
      <c r="BR8" s="679">
        <f t="shared" ref="BR8:CA10" si="3">M8/L8*100-100</f>
        <v>-1.0689398561741683</v>
      </c>
      <c r="BS8" s="679">
        <f t="shared" si="3"/>
        <v>-1.4263744829539746</v>
      </c>
      <c r="BT8" s="679">
        <f t="shared" si="3"/>
        <v>-1.8448262594667995</v>
      </c>
      <c r="BU8" s="680">
        <f t="shared" si="3"/>
        <v>-2.1240487830609993</v>
      </c>
      <c r="BV8" s="680">
        <f t="shared" si="3"/>
        <v>-2.5954152221056006</v>
      </c>
      <c r="BW8" s="680">
        <f t="shared" si="3"/>
        <v>-3.4966667159060449</v>
      </c>
      <c r="BX8" s="680">
        <f t="shared" si="3"/>
        <v>-4.2666195081167473</v>
      </c>
      <c r="BY8" s="680">
        <f t="shared" si="3"/>
        <v>-4.5737111280950842</v>
      </c>
      <c r="BZ8" s="680">
        <f t="shared" si="3"/>
        <v>-3.3618734073355938</v>
      </c>
      <c r="CA8" s="680">
        <f t="shared" si="3"/>
        <v>-3.8662345041102384</v>
      </c>
      <c r="CB8" s="680">
        <f t="shared" ref="CB8:CC10" si="4">W8/V8*100-100</f>
        <v>-4.4418662342629744</v>
      </c>
      <c r="CC8" s="680">
        <f t="shared" si="4"/>
        <v>-5.0593782557760107</v>
      </c>
      <c r="CD8" s="680"/>
      <c r="CE8" s="681">
        <f>SUM(BX8:CB8)/5</f>
        <v>-4.1020609563841273</v>
      </c>
    </row>
    <row r="9" spans="1:85" s="1" customFormat="1" ht="17.45" customHeight="1" x14ac:dyDescent="0.2">
      <c r="A9" s="461" t="s">
        <v>3</v>
      </c>
      <c r="B9" s="954">
        <v>30900</v>
      </c>
      <c r="C9" s="894">
        <v>30861</v>
      </c>
      <c r="D9" s="894">
        <v>30814</v>
      </c>
      <c r="E9" s="894">
        <v>30694</v>
      </c>
      <c r="F9" s="894">
        <v>30542</v>
      </c>
      <c r="G9" s="894">
        <v>30419</v>
      </c>
      <c r="H9" s="894">
        <v>32997.620000000003</v>
      </c>
      <c r="I9" s="894">
        <v>31893.09</v>
      </c>
      <c r="J9" s="894">
        <v>31366.37</v>
      </c>
      <c r="K9" s="894">
        <v>33107.012000000002</v>
      </c>
      <c r="L9" s="933">
        <v>32276.025998800003</v>
      </c>
      <c r="M9" s="933">
        <v>32279.899121919858</v>
      </c>
      <c r="N9" s="933">
        <v>32293.456679551065</v>
      </c>
      <c r="O9" s="933">
        <v>32244.40291885483</v>
      </c>
      <c r="P9" s="933">
        <v>32163.848999999998</v>
      </c>
      <c r="Q9" s="933">
        <v>31726.62</v>
      </c>
      <c r="R9" s="933">
        <v>30730.92</v>
      </c>
      <c r="S9" s="933">
        <v>29735.238191999997</v>
      </c>
      <c r="T9" s="934">
        <v>28768.842950759998</v>
      </c>
      <c r="U9" s="935">
        <f>'Data Penunjang'!Y14/'Data Penunjang'!X14*T9</f>
        <v>29427.551231494133</v>
      </c>
      <c r="V9" s="935">
        <f>'Data Penunjang'!Z14/'Data Penunjang'!Y14*U9</f>
        <v>29417.615158007069</v>
      </c>
      <c r="W9" s="935">
        <f>'Data Penunjang'!AA14/'Data Penunjang'!Z14*V9</f>
        <v>29641.821247985419</v>
      </c>
      <c r="X9" s="935">
        <f>'Data Penunjang'!AB14/'Data Penunjang'!AA14*W9</f>
        <v>29470.767849793789</v>
      </c>
      <c r="Y9" s="935"/>
      <c r="Z9" s="936"/>
      <c r="AA9" s="936">
        <f>'Jati Jawa'!AA9+'Rimba Luar Jawa'!AA9+'Rimba Jawa'!AA9</f>
        <v>46799.570508741323</v>
      </c>
      <c r="AB9" s="936">
        <f>'Jati Jawa'!AB9+'Rimba Luar Jawa'!AB9+'Rimba Jawa'!AB9</f>
        <v>39130.338927425328</v>
      </c>
      <c r="AC9" s="936">
        <f>'Jati Jawa'!AC9+'Rimba Luar Jawa'!AC9+'Rimba Jawa'!AC9</f>
        <v>39323.954805223388</v>
      </c>
      <c r="AD9" s="936">
        <f>'Jati Jawa'!AD9+'Rimba Luar Jawa'!AD9+'Rimba Jawa'!AD9</f>
        <v>39685.752055844685</v>
      </c>
      <c r="AE9" s="936">
        <f>'Jati Jawa'!AE9+'Rimba Luar Jawa'!AE9+'Rimba Jawa'!AE9</f>
        <v>39539.544512117682</v>
      </c>
      <c r="AF9" s="936">
        <f>'Jati Jawa'!AF9+'Rimba Luar Jawa'!AF9+'Rimba Jawa'!AF9</f>
        <v>34282.64867011951</v>
      </c>
      <c r="AG9" s="936">
        <f>'Jati Jawa'!AG9+'Rimba Luar Jawa'!AG9+'Rimba Jawa'!AG9</f>
        <v>34157.5529264664</v>
      </c>
      <c r="AH9" s="936">
        <f>'Jati Jawa'!AH9+'Rimba Luar Jawa'!AH9+'Rimba Jawa'!AH9</f>
        <v>33987.370240659839</v>
      </c>
      <c r="AI9" s="936">
        <f>'Jati Jawa'!AI9+'Rimba Luar Jawa'!AI9+'Rimba Jawa'!AI9</f>
        <v>46581.601407677124</v>
      </c>
      <c r="AJ9" s="936">
        <f>'Jati Jawa'!AJ9+'Rimba Luar Jawa'!AJ9+'Rimba Jawa'!AJ9</f>
        <v>46599.387353799291</v>
      </c>
      <c r="AK9" s="682"/>
      <c r="AL9" s="682"/>
      <c r="AM9" s="682"/>
      <c r="AN9" s="682"/>
      <c r="AO9" s="682"/>
      <c r="AP9" s="682"/>
      <c r="AQ9" s="682"/>
      <c r="AR9" s="682"/>
      <c r="AS9" s="682"/>
      <c r="AT9" s="682"/>
      <c r="AU9" s="682"/>
      <c r="AV9" s="682"/>
      <c r="AW9" s="682"/>
      <c r="AX9" s="682"/>
      <c r="AY9" s="682"/>
      <c r="AZ9" s="682"/>
      <c r="BA9" s="682"/>
      <c r="BB9" s="682"/>
      <c r="BC9" s="682"/>
      <c r="BD9" s="682"/>
      <c r="BE9" s="682"/>
      <c r="BF9" s="682"/>
      <c r="BG9" s="682"/>
      <c r="BH9" s="679">
        <f t="shared" si="2"/>
        <v>-0.12621359223300033</v>
      </c>
      <c r="BI9" s="679">
        <f t="shared" si="2"/>
        <v>-0.15229577784258197</v>
      </c>
      <c r="BJ9" s="679">
        <f t="shared" si="2"/>
        <v>-0.38943337444018766</v>
      </c>
      <c r="BK9" s="679">
        <f t="shared" si="2"/>
        <v>-0.49521079038248672</v>
      </c>
      <c r="BL9" s="679">
        <f t="shared" si="2"/>
        <v>-0.40272411760854254</v>
      </c>
      <c r="BM9" s="679">
        <f t="shared" si="2"/>
        <v>8.4770045037640926</v>
      </c>
      <c r="BN9" s="679">
        <f t="shared" si="2"/>
        <v>-3.3473020175394481</v>
      </c>
      <c r="BO9" s="679">
        <f t="shared" si="2"/>
        <v>-1.6515176171390067</v>
      </c>
      <c r="BP9" s="679">
        <f t="shared" si="2"/>
        <v>5.5493893619185286</v>
      </c>
      <c r="BQ9" s="679">
        <f t="shared" si="2"/>
        <v>-2.5100000000000051</v>
      </c>
      <c r="BR9" s="679">
        <f t="shared" si="3"/>
        <v>1.1999999999986244E-2</v>
      </c>
      <c r="BS9" s="679">
        <f t="shared" si="3"/>
        <v>4.2000000000001592E-2</v>
      </c>
      <c r="BT9" s="679">
        <f t="shared" si="3"/>
        <v>-0.1518999999999977</v>
      </c>
      <c r="BU9" s="680">
        <f t="shared" si="3"/>
        <v>-0.24982295084686257</v>
      </c>
      <c r="BV9" s="680">
        <f t="shared" si="3"/>
        <v>-1.3593802159685566</v>
      </c>
      <c r="BW9" s="680">
        <f t="shared" si="3"/>
        <v>-3.1383740215629672</v>
      </c>
      <c r="BX9" s="680">
        <f t="shared" si="3"/>
        <v>-3.2400000000000091</v>
      </c>
      <c r="BY9" s="680">
        <f t="shared" si="3"/>
        <v>-3.25</v>
      </c>
      <c r="BZ9" s="680">
        <f t="shared" si="3"/>
        <v>2.2896585791147857</v>
      </c>
      <c r="CA9" s="680">
        <f t="shared" si="3"/>
        <v>-3.3764527020622381E-2</v>
      </c>
      <c r="CB9" s="680">
        <f t="shared" si="4"/>
        <v>0.76214910275392356</v>
      </c>
      <c r="CC9" s="680">
        <f t="shared" si="4"/>
        <v>-0.57706777448181867</v>
      </c>
      <c r="CD9" s="680"/>
      <c r="CE9" s="681">
        <f>AVERAGE(BT9:CC9)</f>
        <v>-0.89485018080121248</v>
      </c>
    </row>
    <row r="10" spans="1:85" s="846" customFormat="1" ht="17.45" customHeight="1" x14ac:dyDescent="0.2">
      <c r="A10" s="461" t="s">
        <v>4</v>
      </c>
      <c r="B10" s="954">
        <v>619.79999999999995</v>
      </c>
      <c r="C10" s="894">
        <v>931.8</v>
      </c>
      <c r="D10" s="894">
        <v>949.8</v>
      </c>
      <c r="E10" s="894">
        <v>1456.8</v>
      </c>
      <c r="F10" s="894">
        <v>1239.6600000000001</v>
      </c>
      <c r="G10" s="894">
        <v>1543.8</v>
      </c>
      <c r="H10" s="894">
        <v>2552.9499999999998</v>
      </c>
      <c r="I10" s="894">
        <v>2137.73</v>
      </c>
      <c r="J10" s="894">
        <v>1576.88</v>
      </c>
      <c r="K10" s="894">
        <v>1279.5337500000001</v>
      </c>
      <c r="L10" s="933">
        <v>3339.4118458216622</v>
      </c>
      <c r="M10" s="933">
        <v>1242.9955546802055</v>
      </c>
      <c r="N10" s="933">
        <v>4865.3544062208221</v>
      </c>
      <c r="O10" s="933">
        <v>5830.7560000000003</v>
      </c>
      <c r="P10" s="933">
        <v>5525.549</v>
      </c>
      <c r="Q10" s="933">
        <v>5407.2110000000002</v>
      </c>
      <c r="R10" s="933">
        <v>7042.8923275000006</v>
      </c>
      <c r="S10" s="933">
        <v>6178.7294389157514</v>
      </c>
      <c r="T10" s="934">
        <v>7954.0144035166131</v>
      </c>
      <c r="U10" s="934">
        <f>('Data Penunjang'!Y10/'Data Penunjang'!X10*Indonesia!T10)</f>
        <v>6050.4457817272396</v>
      </c>
      <c r="V10" s="934">
        <f>('Data Penunjang'!Z10/'Data Penunjang'!Y10*Indonesia!U10)</f>
        <v>4452.6684139242016</v>
      </c>
      <c r="W10" s="934">
        <f>('Data Penunjang'!AA10/'Data Penunjang'!Z10*Indonesia!V10)</f>
        <v>4825.045830800148</v>
      </c>
      <c r="X10" s="934">
        <f>('Data Penunjang'!AB10/'Data Penunjang'!AA10*Indonesia!W10)</f>
        <v>6148.3529399184035</v>
      </c>
      <c r="Y10" s="934"/>
      <c r="Z10" s="937"/>
      <c r="AA10" s="937">
        <f>'Jati Jawa'!AA10+'Rimba Luar Jawa'!AA10+'Rimba Jawa'!AA10</f>
        <v>15687.855891145524</v>
      </c>
      <c r="AB10" s="937">
        <f>'Jati Jawa'!AB10+'Rimba Luar Jawa'!AB10+'Rimba Jawa'!AB10</f>
        <v>17114.781926880001</v>
      </c>
      <c r="AC10" s="937">
        <f>'Jati Jawa'!AC10+'Rimba Luar Jawa'!AC10+'Rimba Jawa'!AC10</f>
        <v>7358.61977213302</v>
      </c>
      <c r="AD10" s="937">
        <f>'Jati Jawa'!AD10+'Rimba Luar Jawa'!AD10+'Rimba Jawa'!AD10</f>
        <v>9119.8911611775893</v>
      </c>
      <c r="AE10" s="937">
        <f>'Jati Jawa'!AE10+'Rimba Luar Jawa'!AE10+'Rimba Jawa'!AE10</f>
        <v>13004.311467866148</v>
      </c>
      <c r="AF10" s="937">
        <f>'Jati Jawa'!AF10+'Rimba Luar Jawa'!AF10+'Rimba Jawa'!AF10</f>
        <v>10760.19887123783</v>
      </c>
      <c r="AG10" s="937">
        <f>'Jati Jawa'!AG10+'Rimba Luar Jawa'!AG10+'Rimba Jawa'!AG10</f>
        <v>4748.4949332777287</v>
      </c>
      <c r="AH10" s="937">
        <f>'Jati Jawa'!AH10+'Rimba Luar Jawa'!AH10+'Rimba Jawa'!AH10</f>
        <v>6631.7193548072473</v>
      </c>
      <c r="AI10" s="937">
        <f>'Jati Jawa'!AI10+'Rimba Luar Jawa'!AI10+'Rimba Jawa'!AI10</f>
        <v>4360.2023528424679</v>
      </c>
      <c r="AJ10" s="937">
        <f>'Jati Jawa'!AJ10+'Rimba Luar Jawa'!AJ10+'Rimba Jawa'!AJ10</f>
        <v>7727.5940355714392</v>
      </c>
      <c r="AK10" s="949"/>
      <c r="AL10" s="949"/>
      <c r="AM10" s="949"/>
      <c r="AN10" s="949"/>
      <c r="AO10" s="949"/>
      <c r="AP10" s="949"/>
      <c r="AQ10" s="949"/>
      <c r="AR10" s="949"/>
      <c r="AS10" s="949"/>
      <c r="AT10" s="949"/>
      <c r="AU10" s="949"/>
      <c r="AV10" s="949"/>
      <c r="AW10" s="949"/>
      <c r="AX10" s="949"/>
      <c r="AY10" s="949"/>
      <c r="AZ10" s="949"/>
      <c r="BA10" s="949"/>
      <c r="BB10" s="949"/>
      <c r="BC10" s="949"/>
      <c r="BD10" s="949"/>
      <c r="BE10" s="949"/>
      <c r="BF10" s="949"/>
      <c r="BG10" s="949"/>
      <c r="BH10" s="950">
        <f t="shared" si="2"/>
        <v>50.338818973862544</v>
      </c>
      <c r="BI10" s="950">
        <f t="shared" si="2"/>
        <v>1.9317450096587123</v>
      </c>
      <c r="BJ10" s="950">
        <f t="shared" si="2"/>
        <v>53.379658875552764</v>
      </c>
      <c r="BK10" s="950">
        <f t="shared" si="2"/>
        <v>-14.905271828665562</v>
      </c>
      <c r="BL10" s="950">
        <f t="shared" si="2"/>
        <v>24.534146459513082</v>
      </c>
      <c r="BM10" s="950">
        <f t="shared" si="2"/>
        <v>65.367923306127722</v>
      </c>
      <c r="BN10" s="950">
        <f t="shared" si="2"/>
        <v>-16.264321667091011</v>
      </c>
      <c r="BO10" s="950">
        <f t="shared" si="2"/>
        <v>-26.235773460633467</v>
      </c>
      <c r="BP10" s="950">
        <f t="shared" si="2"/>
        <v>-18.856618766171181</v>
      </c>
      <c r="BQ10" s="950">
        <f t="shared" si="2"/>
        <v>160.9866168689698</v>
      </c>
      <c r="BR10" s="950">
        <f t="shared" si="3"/>
        <v>-62.778009659531328</v>
      </c>
      <c r="BS10" s="950">
        <f t="shared" si="3"/>
        <v>291.42170604725675</v>
      </c>
      <c r="BT10" s="950">
        <f t="shared" si="3"/>
        <v>19.842369397485598</v>
      </c>
      <c r="BU10" s="950">
        <f t="shared" si="3"/>
        <v>-5.2344327219317819</v>
      </c>
      <c r="BV10" s="950">
        <f t="shared" si="3"/>
        <v>-2.1416514449514352</v>
      </c>
      <c r="BW10" s="950">
        <f t="shared" si="3"/>
        <v>30.25</v>
      </c>
      <c r="BX10" s="950">
        <f t="shared" si="3"/>
        <v>-12.269999999999996</v>
      </c>
      <c r="BY10" s="950">
        <f t="shared" si="3"/>
        <v>28.732201047993954</v>
      </c>
      <c r="BZ10" s="950">
        <f t="shared" si="3"/>
        <v>-23.932174688390944</v>
      </c>
      <c r="CA10" s="950">
        <f t="shared" si="3"/>
        <v>-26.407597480311864</v>
      </c>
      <c r="CB10" s="950">
        <f t="shared" si="4"/>
        <v>8.363017010461931</v>
      </c>
      <c r="CC10" s="950">
        <f t="shared" si="4"/>
        <v>27.425793568033498</v>
      </c>
      <c r="CD10" s="950"/>
      <c r="CE10" s="932">
        <f t="shared" ref="CE10:CE14" si="5">AVERAGE(BT10:CC10)</f>
        <v>4.4627524688388958</v>
      </c>
    </row>
    <row r="11" spans="1:85" s="846" customFormat="1" ht="17.45" customHeight="1" x14ac:dyDescent="0.2">
      <c r="A11" s="755" t="s">
        <v>13</v>
      </c>
      <c r="B11" s="955">
        <v>15455</v>
      </c>
      <c r="C11" s="938">
        <v>18612</v>
      </c>
      <c r="D11" s="938">
        <v>37724</v>
      </c>
      <c r="E11" s="938">
        <v>47160</v>
      </c>
      <c r="F11" s="938">
        <v>38175</v>
      </c>
      <c r="G11" s="938">
        <v>40691</v>
      </c>
      <c r="H11" s="938">
        <v>39765.83</v>
      </c>
      <c r="I11" s="938">
        <v>79973.899999999994</v>
      </c>
      <c r="J11" s="938">
        <v>92320.84</v>
      </c>
      <c r="K11" s="938">
        <v>108270.5358</v>
      </c>
      <c r="L11" s="939">
        <v>97333.10523555601</v>
      </c>
      <c r="M11" s="939">
        <v>122921.97860198368</v>
      </c>
      <c r="N11" s="939">
        <v>158520.18360511816</v>
      </c>
      <c r="O11" s="939">
        <v>179191.21554722555</v>
      </c>
      <c r="P11" s="939">
        <v>210549.65</v>
      </c>
      <c r="Q11" s="939">
        <v>252743.79985999997</v>
      </c>
      <c r="R11" s="939">
        <v>303393.65735194396</v>
      </c>
      <c r="S11" s="939">
        <v>292592.8431502147</v>
      </c>
      <c r="T11" s="939">
        <v>206743.81</v>
      </c>
      <c r="U11" s="939">
        <f>(100+BZ11)/100*T11</f>
        <v>227447.8859018306</v>
      </c>
      <c r="V11" s="939">
        <f>(100+CA11)/100*U11</f>
        <v>248573.61358911431</v>
      </c>
      <c r="W11" s="940">
        <f>(100+CB11)/100*V11</f>
        <v>276481.40210216056</v>
      </c>
      <c r="X11" s="941">
        <f>('Data Penunjang'!AB35/'Data Penunjang'!AA35)*Indonesia!W11</f>
        <v>333058.25109185395</v>
      </c>
      <c r="Y11" s="941"/>
      <c r="Z11" s="942"/>
      <c r="AA11" s="942">
        <f>'Jati Jawa'!AA11+'Rimba Luar Jawa'!AA11+'Rimba Jawa'!AA11</f>
        <v>613364.47576151264</v>
      </c>
      <c r="AB11" s="942">
        <f>'Jati Jawa'!AB11+'Rimba Luar Jawa'!AB11+'Rimba Jawa'!AB11</f>
        <v>193747.58320447133</v>
      </c>
      <c r="AC11" s="942">
        <f>'Jati Jawa'!AC11+'Rimba Luar Jawa'!AC11+'Rimba Jawa'!AC11</f>
        <v>150327.38829896596</v>
      </c>
      <c r="AD11" s="942">
        <f>'Jati Jawa'!AD11+'Rimba Luar Jawa'!AD11+'Rimba Jawa'!AD11</f>
        <v>129001.63082725217</v>
      </c>
      <c r="AE11" s="942">
        <f>'Jati Jawa'!AE11+'Rimba Luar Jawa'!AE11+'Rimba Jawa'!AE11</f>
        <v>325905.33816145471</v>
      </c>
      <c r="AF11" s="942">
        <f>'Jati Jawa'!AF11+'Rimba Luar Jawa'!AF11+'Rimba Jawa'!AF11</f>
        <v>68470.120179330988</v>
      </c>
      <c r="AG11" s="942">
        <f>'Jati Jawa'!AG11+'Rimba Luar Jawa'!AG11+'Rimba Jawa'!AG11</f>
        <v>109629.57839862151</v>
      </c>
      <c r="AH11" s="942">
        <f>'Jati Jawa'!AH11+'Rimba Luar Jawa'!AH11+'Rimba Jawa'!AH11</f>
        <v>55997.209699363979</v>
      </c>
      <c r="AI11" s="942">
        <f>'Jati Jawa'!AI11+'Rimba Luar Jawa'!AI11+'Rimba Jawa'!AI11</f>
        <v>239754.9590897297</v>
      </c>
      <c r="AJ11" s="942">
        <f>'Jati Jawa'!AJ11+'Rimba Luar Jawa'!AJ11+'Rimba Jawa'!AJ11</f>
        <v>96304.459614063904</v>
      </c>
      <c r="AK11" s="949"/>
      <c r="AL11" s="949"/>
      <c r="AM11" s="949"/>
      <c r="AN11" s="949"/>
      <c r="AO11" s="949"/>
      <c r="AP11" s="949"/>
      <c r="AQ11" s="949"/>
      <c r="AR11" s="949"/>
      <c r="AS11" s="949"/>
      <c r="AT11" s="949"/>
      <c r="AU11" s="949"/>
      <c r="AV11" s="949"/>
      <c r="AW11" s="949"/>
      <c r="AX11" s="949"/>
      <c r="AY11" s="949"/>
      <c r="AZ11" s="949"/>
      <c r="BA11" s="949"/>
      <c r="BB11" s="949"/>
      <c r="BC11" s="949"/>
      <c r="BD11" s="949"/>
      <c r="BE11" s="949"/>
      <c r="BF11" s="949"/>
      <c r="BG11" s="949"/>
      <c r="BH11" s="950">
        <f t="shared" ref="BH11:BQ14" si="6">C11/B11*100-100</f>
        <v>20.42704626334519</v>
      </c>
      <c r="BI11" s="950">
        <f t="shared" si="6"/>
        <v>102.68643885665162</v>
      </c>
      <c r="BJ11" s="950">
        <f t="shared" si="6"/>
        <v>25.013254161806799</v>
      </c>
      <c r="BK11" s="950">
        <f t="shared" si="6"/>
        <v>-19.052162849872772</v>
      </c>
      <c r="BL11" s="950">
        <f t="shared" si="6"/>
        <v>6.5907007203667405</v>
      </c>
      <c r="BM11" s="950">
        <f t="shared" si="6"/>
        <v>-2.2736477353714548</v>
      </c>
      <c r="BN11" s="950">
        <f t="shared" si="6"/>
        <v>101.11211057332389</v>
      </c>
      <c r="BO11" s="950">
        <f t="shared" si="6"/>
        <v>15.43871187975077</v>
      </c>
      <c r="BP11" s="950">
        <f t="shared" si="6"/>
        <v>17.276376384790268</v>
      </c>
      <c r="BQ11" s="950">
        <f t="shared" si="6"/>
        <v>-10.101945541904286</v>
      </c>
      <c r="BR11" s="950">
        <f t="shared" ref="BR11:BY14" si="7">M11/L11*100-100</f>
        <v>26.289999999999992</v>
      </c>
      <c r="BS11" s="950">
        <f t="shared" si="7"/>
        <v>28.960000000000008</v>
      </c>
      <c r="BT11" s="950">
        <f t="shared" si="7"/>
        <v>13.039999999999992</v>
      </c>
      <c r="BU11" s="950">
        <f t="shared" si="7"/>
        <v>17.499984224678684</v>
      </c>
      <c r="BV11" s="950">
        <f t="shared" si="7"/>
        <v>20.039999999999992</v>
      </c>
      <c r="BW11" s="950">
        <f t="shared" si="7"/>
        <v>20.039999999999992</v>
      </c>
      <c r="BX11" s="950">
        <f t="shared" si="7"/>
        <v>-3.5600000000000165</v>
      </c>
      <c r="BY11" s="950">
        <f t="shared" si="7"/>
        <v>-29.340783672600139</v>
      </c>
      <c r="BZ11" s="951">
        <f>AVERAGE(BP11:BY11)</f>
        <v>10.014363139496448</v>
      </c>
      <c r="CA11" s="951">
        <f>AVERAGE(BQ11:BZ11)</f>
        <v>9.2881618149670668</v>
      </c>
      <c r="CB11" s="951">
        <f t="shared" ref="CB11" si="8">AVERAGE(BR11:CA11)</f>
        <v>11.227172550654203</v>
      </c>
      <c r="CC11" s="951">
        <f>AVERAGE(BS11:CB11)</f>
        <v>9.720889805719624</v>
      </c>
      <c r="CD11" s="951">
        <f>AVERAGE(BT11:CC11)</f>
        <v>7.796978786291584</v>
      </c>
      <c r="CE11" s="932">
        <f>AVERAGE(BT11:CD11)</f>
        <v>7.796978786291584</v>
      </c>
      <c r="CF11" s="932">
        <f>AVERAGE(BU11:CE11)</f>
        <v>7.3203404941362757</v>
      </c>
      <c r="CG11" s="932">
        <f>AVERAGE(BV11:CF11)</f>
        <v>6.3949183368142375</v>
      </c>
    </row>
    <row r="12" spans="1:85" s="846" customFormat="1" ht="17.45" customHeight="1" x14ac:dyDescent="0.2">
      <c r="A12" s="461" t="s">
        <v>5</v>
      </c>
      <c r="B12" s="954">
        <v>27286</v>
      </c>
      <c r="C12" s="894">
        <v>26811</v>
      </c>
      <c r="D12" s="894">
        <v>27374</v>
      </c>
      <c r="E12" s="894">
        <v>27929</v>
      </c>
      <c r="F12" s="894">
        <v>27990</v>
      </c>
      <c r="G12" s="894">
        <v>27830</v>
      </c>
      <c r="H12" s="894">
        <v>28273.84</v>
      </c>
      <c r="I12" s="894">
        <v>32368.37</v>
      </c>
      <c r="J12" s="894">
        <v>23815.22</v>
      </c>
      <c r="K12" s="894">
        <v>23978.394751799999</v>
      </c>
      <c r="L12" s="933">
        <v>24654.585483800758</v>
      </c>
      <c r="M12" s="933">
        <v>24622.534522671816</v>
      </c>
      <c r="N12" s="933">
        <v>24006.971159605022</v>
      </c>
      <c r="O12" s="933">
        <v>23166.727169018846</v>
      </c>
      <c r="P12" s="933">
        <v>23616.155999999999</v>
      </c>
      <c r="Q12" s="934">
        <f>'Data Penunjang'!U12/'Data Penunjang'!T12*Indonesia!P12</f>
        <v>42222.258981098756</v>
      </c>
      <c r="R12" s="934">
        <f>'Data Penunjang'!V12/'Data Penunjang'!U12*Indonesia!Q12</f>
        <v>37985.344559344987</v>
      </c>
      <c r="S12" s="934">
        <f>'Data Penunjang'!W12/'Data Penunjang'!V12*Indonesia!R12</f>
        <v>54892.392851917422</v>
      </c>
      <c r="T12" s="934">
        <f>'Data Penunjang'!X12/'Data Penunjang'!W12*Indonesia!S12</f>
        <v>48522.631425640371</v>
      </c>
      <c r="U12" s="934">
        <f>'Data Penunjang'!Y12/'Data Penunjang'!X12*Indonesia!T12</f>
        <v>50911.031428016264</v>
      </c>
      <c r="V12" s="934">
        <f>'Data Penunjang'!Z12/'Data Penunjang'!Y12*Indonesia!U12</f>
        <v>53550.935785007052</v>
      </c>
      <c r="W12" s="934">
        <f>'Data Penunjang'!AA12/'Data Penunjang'!Z12*Indonesia!V12</f>
        <v>49960.668955743778</v>
      </c>
      <c r="X12" s="934">
        <f>'Data Penunjang'!AB12/'Data Penunjang'!AA12*Indonesia!W12</f>
        <v>49014.218605893555</v>
      </c>
      <c r="Y12" s="934"/>
      <c r="Z12" s="943"/>
      <c r="AA12" s="944">
        <f>'Jati Jawa'!AA12+'Rimba Luar Jawa'!AA12+'Rimba Jawa'!AA12</f>
        <v>45400.908019806826</v>
      </c>
      <c r="AB12" s="944">
        <f>'Jati Jawa'!AB12+'Rimba Luar Jawa'!AB12+'Rimba Jawa'!AB12</f>
        <v>45208.181410318357</v>
      </c>
      <c r="AC12" s="944">
        <f>'Jati Jawa'!AC12+'Rimba Luar Jawa'!AC12+'Rimba Jawa'!AC12</f>
        <v>47350.504407325614</v>
      </c>
      <c r="AD12" s="944">
        <f>'Jati Jawa'!AD12+'Rimba Luar Jawa'!AD12+'Rimba Jawa'!AD12</f>
        <v>47270.063282709139</v>
      </c>
      <c r="AE12" s="944">
        <f>'Jati Jawa'!AE12+'Rimba Luar Jawa'!AE12+'Rimba Jawa'!AE12</f>
        <v>49365.234439174739</v>
      </c>
      <c r="AF12" s="944">
        <f>'Jati Jawa'!AF12+'Rimba Luar Jawa'!AF12+'Rimba Jawa'!AF12</f>
        <v>51980.746306073823</v>
      </c>
      <c r="AG12" s="944">
        <f>'Jati Jawa'!AG12+'Rimba Luar Jawa'!AG12+'Rimba Jawa'!AG12</f>
        <v>54813.235412652044</v>
      </c>
      <c r="AH12" s="944">
        <f>'Jati Jawa'!AH12+'Rimba Luar Jawa'!AH12+'Rimba Jawa'!AH12</f>
        <v>55055.541259678721</v>
      </c>
      <c r="AI12" s="944">
        <f>'Jati Jawa'!AI12+'Rimba Luar Jawa'!AI12+'Rimba Jawa'!AI12</f>
        <v>58134.88215076855</v>
      </c>
      <c r="AJ12" s="944">
        <f>'Jati Jawa'!AJ12+'Rimba Luar Jawa'!AJ12+'Rimba Jawa'!AJ12</f>
        <v>55307.319260901888</v>
      </c>
      <c r="AK12" s="949"/>
      <c r="AL12" s="949"/>
      <c r="AM12" s="949"/>
      <c r="AN12" s="949"/>
      <c r="AO12" s="949"/>
      <c r="AP12" s="949"/>
      <c r="AQ12" s="949"/>
      <c r="AR12" s="949"/>
      <c r="AS12" s="949"/>
      <c r="AT12" s="949"/>
      <c r="AU12" s="949"/>
      <c r="AV12" s="949"/>
      <c r="AW12" s="949"/>
      <c r="AX12" s="949"/>
      <c r="AY12" s="949"/>
      <c r="AZ12" s="949"/>
      <c r="BA12" s="949"/>
      <c r="BB12" s="949"/>
      <c r="BC12" s="949"/>
      <c r="BD12" s="949"/>
      <c r="BE12" s="949"/>
      <c r="BF12" s="949"/>
      <c r="BG12" s="949"/>
      <c r="BH12" s="950">
        <f t="shared" si="6"/>
        <v>-1.7408194678589837</v>
      </c>
      <c r="BI12" s="950">
        <f t="shared" si="6"/>
        <v>2.0998843758158898</v>
      </c>
      <c r="BJ12" s="950">
        <f t="shared" si="6"/>
        <v>2.0274713231533497</v>
      </c>
      <c r="BK12" s="950">
        <f t="shared" si="6"/>
        <v>0.21841097067563453</v>
      </c>
      <c r="BL12" s="950">
        <f t="shared" si="6"/>
        <v>-0.57163272597355785</v>
      </c>
      <c r="BM12" s="950">
        <f t="shared" si="6"/>
        <v>1.5948257276320561</v>
      </c>
      <c r="BN12" s="950">
        <f t="shared" si="6"/>
        <v>14.481690495525186</v>
      </c>
      <c r="BO12" s="950">
        <f t="shared" si="6"/>
        <v>-26.424407531179355</v>
      </c>
      <c r="BP12" s="950">
        <f t="shared" si="6"/>
        <v>0.68517003748023342</v>
      </c>
      <c r="BQ12" s="950">
        <f t="shared" si="6"/>
        <v>2.8199999999999932</v>
      </c>
      <c r="BR12" s="950">
        <f t="shared" si="7"/>
        <v>-0.13000000000000966</v>
      </c>
      <c r="BS12" s="950">
        <f t="shared" si="7"/>
        <v>-2.4999999999999858</v>
      </c>
      <c r="BT12" s="950">
        <f t="shared" si="7"/>
        <v>-3.5</v>
      </c>
      <c r="BU12" s="950">
        <f t="shared" si="7"/>
        <v>1.939975498922351</v>
      </c>
      <c r="BV12" s="950">
        <f t="shared" si="7"/>
        <v>78.785484738069812</v>
      </c>
      <c r="BW12" s="950">
        <f t="shared" si="7"/>
        <v>-10.034788578343168</v>
      </c>
      <c r="BX12" s="950">
        <f t="shared" si="7"/>
        <v>44.509398265845221</v>
      </c>
      <c r="BY12" s="950">
        <f t="shared" si="7"/>
        <v>-11.604087734817242</v>
      </c>
      <c r="BZ12" s="950">
        <f t="shared" ref="BZ12:CC14" si="9">U12/T12*100-100</f>
        <v>4.9222392360069165</v>
      </c>
      <c r="CA12" s="950">
        <f t="shared" si="9"/>
        <v>5.1853287645986512</v>
      </c>
      <c r="CB12" s="950">
        <f t="shared" si="9"/>
        <v>-6.7043960607472002</v>
      </c>
      <c r="CC12" s="950">
        <f t="shared" si="9"/>
        <v>-1.8943908671211034</v>
      </c>
      <c r="CD12" s="950"/>
      <c r="CE12" s="932">
        <f t="shared" si="5"/>
        <v>10.160476326241424</v>
      </c>
    </row>
    <row r="13" spans="1:85" s="828" customFormat="1" ht="17.45" customHeight="1" x14ac:dyDescent="0.2">
      <c r="A13" s="185" t="s">
        <v>99</v>
      </c>
      <c r="B13" s="956">
        <f t="shared" ref="B13:X13" si="10">B14-B8</f>
        <v>-11221.199999999255</v>
      </c>
      <c r="C13" s="315">
        <f t="shared" si="10"/>
        <v>-13630.199999999255</v>
      </c>
      <c r="D13" s="315">
        <f t="shared" si="10"/>
        <v>-33334.199999999255</v>
      </c>
      <c r="E13" s="315">
        <f t="shared" si="10"/>
        <v>-42938.199999999255</v>
      </c>
      <c r="F13" s="315">
        <f t="shared" si="10"/>
        <v>-34383.339999999851</v>
      </c>
      <c r="G13" s="315">
        <f t="shared" si="10"/>
        <v>-36558.199999999255</v>
      </c>
      <c r="H13" s="315">
        <f t="shared" si="10"/>
        <v>-32489.10000000149</v>
      </c>
      <c r="I13" s="315">
        <f t="shared" si="10"/>
        <v>-78311.450000000186</v>
      </c>
      <c r="J13" s="315">
        <f t="shared" si="10"/>
        <v>-83192.80999999959</v>
      </c>
      <c r="K13" s="315">
        <f t="shared" si="10"/>
        <v>-97862.384801799431</v>
      </c>
      <c r="L13" s="315">
        <f t="shared" si="10"/>
        <v>-86372.252874734811</v>
      </c>
      <c r="M13" s="315">
        <f t="shared" si="10"/>
        <v>-114021.61844805628</v>
      </c>
      <c r="N13" s="315">
        <f t="shared" si="10"/>
        <v>-145368.34367895126</v>
      </c>
      <c r="O13" s="315">
        <f t="shared" si="10"/>
        <v>-164282.78379738983</v>
      </c>
      <c r="P13" s="315">
        <f t="shared" si="10"/>
        <v>-196476.40800000075</v>
      </c>
      <c r="Q13" s="315">
        <f t="shared" si="10"/>
        <v>-257832.22784109786</v>
      </c>
      <c r="R13" s="315">
        <f t="shared" si="10"/>
        <v>-303605.18958378956</v>
      </c>
      <c r="S13" s="315">
        <f>S14-S8</f>
        <v>-311571.26837121509</v>
      </c>
      <c r="T13" s="315">
        <f t="shared" si="10"/>
        <v>-218543.58407136332</v>
      </c>
      <c r="U13" s="315">
        <f t="shared" si="10"/>
        <v>-242880.92031662539</v>
      </c>
      <c r="V13" s="315">
        <f t="shared" si="10"/>
        <v>-268254.26580218971</v>
      </c>
      <c r="W13" s="315">
        <f t="shared" si="10"/>
        <v>-291975.2039791178</v>
      </c>
      <c r="X13" s="315">
        <f t="shared" si="10"/>
        <v>-346453.34890803508</v>
      </c>
      <c r="Y13" s="315"/>
      <c r="Z13" s="428"/>
      <c r="AA13" s="428">
        <f>'Jati Jawa'!AA13+'Rimba Luar Jawa'!AA13+'Rimba Jawa'!AA13</f>
        <v>-596277.95738143369</v>
      </c>
      <c r="AB13" s="428">
        <f>'Jati Jawa'!AB13+'Rimba Luar Jawa'!AB13+'Rimba Jawa'!AB13</f>
        <v>-182710.64376048415</v>
      </c>
      <c r="AC13" s="428">
        <f>'Jati Jawa'!AC13+'Rimba Luar Jawa'!AC13+'Rimba Jawa'!AC13</f>
        <v>-150995.31812893527</v>
      </c>
      <c r="AD13" s="428">
        <f>'Jati Jawa'!AD13+'Rimba Luar Jawa'!AD13+'Rimba Jawa'!AD13</f>
        <v>-127466.05089293869</v>
      </c>
      <c r="AE13" s="428">
        <f>'Jati Jawa'!AE13+'Rimba Luar Jawa'!AE13+'Rimba Jawa'!AE13</f>
        <v>-322726.71662064554</v>
      </c>
      <c r="AF13" s="428">
        <f>'Jati Jawa'!AF13+'Rimba Luar Jawa'!AF13+'Rimba Jawa'!AF13</f>
        <v>-75408.018944046969</v>
      </c>
      <c r="AG13" s="428">
        <f>'Jati Jawa'!AG13+'Rimba Luar Jawa'!AG13+'Rimba Jawa'!AG13</f>
        <v>-125536.76595152923</v>
      </c>
      <c r="AH13" s="428">
        <f>'Jati Jawa'!AH13+'Rimba Luar Jawa'!AH13+'Rimba Jawa'!AH13</f>
        <v>-70433.661363575404</v>
      </c>
      <c r="AI13" s="428">
        <f>'Jati Jawa'!AI13+'Rimba Luar Jawa'!AI13+'Rimba Jawa'!AI13</f>
        <v>-246948.03747997934</v>
      </c>
      <c r="AJ13" s="428">
        <f>'Jati Jawa'!AJ13+'Rimba Luar Jawa'!AJ13+'Rimba Jawa'!AJ13</f>
        <v>-97284.797485594405</v>
      </c>
      <c r="AK13" s="915"/>
      <c r="AL13" s="915"/>
      <c r="AM13" s="915"/>
      <c r="AN13" s="915"/>
      <c r="AO13" s="915"/>
      <c r="AP13" s="915"/>
      <c r="AQ13" s="915"/>
      <c r="AR13" s="915"/>
      <c r="AS13" s="915"/>
      <c r="AT13" s="915"/>
      <c r="AU13" s="915"/>
      <c r="AV13" s="915"/>
      <c r="AW13" s="915"/>
      <c r="AX13" s="915"/>
      <c r="AY13" s="915"/>
      <c r="AZ13" s="915"/>
      <c r="BA13" s="915"/>
      <c r="BB13" s="915"/>
      <c r="BC13" s="915"/>
      <c r="BD13" s="915"/>
      <c r="BE13" s="915"/>
      <c r="BF13" s="915"/>
      <c r="BG13" s="915"/>
      <c r="BH13" s="952">
        <f t="shared" si="6"/>
        <v>21.468292161267598</v>
      </c>
      <c r="BI13" s="952">
        <f t="shared" si="6"/>
        <v>144.56134172646827</v>
      </c>
      <c r="BJ13" s="952">
        <f t="shared" si="6"/>
        <v>28.811250907477046</v>
      </c>
      <c r="BK13" s="952">
        <f t="shared" si="6"/>
        <v>-19.923657722027372</v>
      </c>
      <c r="BL13" s="952">
        <f t="shared" si="6"/>
        <v>6.3253308142821965</v>
      </c>
      <c r="BM13" s="952">
        <f t="shared" si="6"/>
        <v>-11.13047141270043</v>
      </c>
      <c r="BN13" s="952">
        <f t="shared" si="6"/>
        <v>141.03914851441436</v>
      </c>
      <c r="BO13" s="952">
        <f t="shared" si="6"/>
        <v>6.2332647397020509</v>
      </c>
      <c r="BP13" s="952">
        <f t="shared" si="6"/>
        <v>17.633224315658907</v>
      </c>
      <c r="BQ13" s="952">
        <f t="shared" si="6"/>
        <v>-11.741111715533563</v>
      </c>
      <c r="BR13" s="952">
        <f t="shared" si="7"/>
        <v>32.011861046881791</v>
      </c>
      <c r="BS13" s="952">
        <f t="shared" si="7"/>
        <v>27.491913952418855</v>
      </c>
      <c r="BT13" s="952">
        <f t="shared" si="7"/>
        <v>13.011388614436896</v>
      </c>
      <c r="BU13" s="952">
        <f t="shared" si="7"/>
        <v>19.596468636856883</v>
      </c>
      <c r="BV13" s="952">
        <f t="shared" si="7"/>
        <v>31.22808507426339</v>
      </c>
      <c r="BW13" s="952">
        <f t="shared" si="7"/>
        <v>17.753002456660141</v>
      </c>
      <c r="BX13" s="952">
        <f t="shared" si="7"/>
        <v>2.6238282680036491</v>
      </c>
      <c r="BY13" s="952">
        <f t="shared" si="7"/>
        <v>-29.857593990026018</v>
      </c>
      <c r="BZ13" s="952">
        <f t="shared" si="9"/>
        <v>11.13614766989221</v>
      </c>
      <c r="CA13" s="952">
        <f t="shared" si="9"/>
        <v>10.446825321843733</v>
      </c>
      <c r="CB13" s="952">
        <f t="shared" si="9"/>
        <v>8.8427067901391183</v>
      </c>
      <c r="CC13" s="952">
        <f t="shared" si="9"/>
        <v>18.658483387107623</v>
      </c>
      <c r="CD13" s="952"/>
      <c r="CE13" s="428">
        <f t="shared" si="5"/>
        <v>10.343934222917763</v>
      </c>
    </row>
    <row r="14" spans="1:85" s="846" customFormat="1" ht="17.45" customHeight="1" thickBot="1" x14ac:dyDescent="0.25">
      <c r="A14" s="958" t="s">
        <v>10</v>
      </c>
      <c r="B14" s="957">
        <f t="shared" ref="B14:X14" si="11">B8+B9+B10-B11-B12</f>
        <v>8532878.8000000007</v>
      </c>
      <c r="C14" s="902">
        <f t="shared" si="11"/>
        <v>8519248.6000000015</v>
      </c>
      <c r="D14" s="902">
        <f t="shared" si="11"/>
        <v>8485914.4000000022</v>
      </c>
      <c r="E14" s="902">
        <f t="shared" si="11"/>
        <v>8442976.200000003</v>
      </c>
      <c r="F14" s="902">
        <f t="shared" si="11"/>
        <v>8408592.8600000031</v>
      </c>
      <c r="G14" s="902">
        <f t="shared" si="11"/>
        <v>8372034.6600000039</v>
      </c>
      <c r="H14" s="902">
        <f t="shared" si="11"/>
        <v>8339545.5600000024</v>
      </c>
      <c r="I14" s="902">
        <f t="shared" si="11"/>
        <v>8261234.1100000022</v>
      </c>
      <c r="J14" s="902">
        <f t="shared" si="11"/>
        <v>8178041.3000000026</v>
      </c>
      <c r="K14" s="902">
        <f t="shared" si="11"/>
        <v>8080178.9151982032</v>
      </c>
      <c r="L14" s="902">
        <f t="shared" si="11"/>
        <v>7993806.6623234684</v>
      </c>
      <c r="M14" s="902">
        <f t="shared" si="11"/>
        <v>7879785.0438754121</v>
      </c>
      <c r="N14" s="902">
        <f t="shared" si="11"/>
        <v>7734416.7001964608</v>
      </c>
      <c r="O14" s="902">
        <f t="shared" si="11"/>
        <v>7570133.916399071</v>
      </c>
      <c r="P14" s="902">
        <f t="shared" si="11"/>
        <v>7373657.5083990702</v>
      </c>
      <c r="Q14" s="902">
        <f t="shared" si="11"/>
        <v>7115825.2805579724</v>
      </c>
      <c r="R14" s="902">
        <f t="shared" si="11"/>
        <v>6812220.0909741828</v>
      </c>
      <c r="S14" s="902">
        <f t="shared" si="11"/>
        <v>6500648.8226029677</v>
      </c>
      <c r="T14" s="902">
        <f t="shared" si="11"/>
        <v>6282105.2385316044</v>
      </c>
      <c r="U14" s="902">
        <f t="shared" si="11"/>
        <v>6039224.318214979</v>
      </c>
      <c r="V14" s="902">
        <f t="shared" si="11"/>
        <v>5770970.0524127893</v>
      </c>
      <c r="W14" s="902">
        <f t="shared" si="11"/>
        <v>5478994.8484336715</v>
      </c>
      <c r="X14" s="902">
        <f t="shared" si="11"/>
        <v>5132541.4995256364</v>
      </c>
      <c r="Y14" s="902"/>
      <c r="Z14" s="945"/>
      <c r="AA14" s="945">
        <f>'Jati Jawa'!AA14+'Rimba Luar Jawa'!AA14+'Rimba Jawa'!AA14</f>
        <v>4827604.4524949323</v>
      </c>
      <c r="AB14" s="945">
        <f>'Jati Jawa'!AB14+'Rimba Luar Jawa'!AB14+'Rimba Jawa'!AB14</f>
        <v>4644893.8087344477</v>
      </c>
      <c r="AC14" s="945">
        <f>'Jati Jawa'!AC14+'Rimba Luar Jawa'!AC14+'Rimba Jawa'!AC14</f>
        <v>4493898.4906055126</v>
      </c>
      <c r="AD14" s="945">
        <f>'Jati Jawa'!AD14+'Rimba Luar Jawa'!AD14+'Rimba Jawa'!AD14</f>
        <v>4366432.4397125738</v>
      </c>
      <c r="AE14" s="945">
        <f>'Jati Jawa'!AE14+'Rimba Luar Jawa'!AE14+'Rimba Jawa'!AE14</f>
        <v>4043705.7230919288</v>
      </c>
      <c r="AF14" s="945">
        <f>'Jati Jawa'!AF14+'Rimba Luar Jawa'!AF14+'Rimba Jawa'!AF14</f>
        <v>3968297.7041478814</v>
      </c>
      <c r="AG14" s="945">
        <f>'Jati Jawa'!AG14+'Rimba Luar Jawa'!AG14+'Rimba Jawa'!AG14</f>
        <v>3842760.9381963522</v>
      </c>
      <c r="AH14" s="945">
        <f>'Jati Jawa'!AH14+'Rimba Luar Jawa'!AH14+'Rimba Jawa'!AH14</f>
        <v>3772327.2768327766</v>
      </c>
      <c r="AI14" s="945">
        <f>'Jati Jawa'!AI14+'Rimba Luar Jawa'!AI14+'Rimba Jawa'!AI14</f>
        <v>3525379.2393527976</v>
      </c>
      <c r="AJ14" s="945">
        <f>'Jati Jawa'!AJ14+'Rimba Luar Jawa'!AJ14+'Rimba Jawa'!AJ14</f>
        <v>3428094.441867203</v>
      </c>
      <c r="AK14" s="881"/>
      <c r="AL14" s="881"/>
      <c r="AM14" s="881"/>
      <c r="AN14" s="881"/>
      <c r="AO14" s="881"/>
      <c r="AP14" s="881"/>
      <c r="AQ14" s="881"/>
      <c r="AR14" s="881"/>
      <c r="AS14" s="881"/>
      <c r="AT14" s="881"/>
      <c r="AU14" s="881"/>
      <c r="AV14" s="881"/>
      <c r="AW14" s="881"/>
      <c r="AX14" s="881"/>
      <c r="AY14" s="881"/>
      <c r="AZ14" s="881"/>
      <c r="BA14" s="881"/>
      <c r="BB14" s="881"/>
      <c r="BC14" s="881"/>
      <c r="BD14" s="881"/>
      <c r="BE14" s="881"/>
      <c r="BF14" s="881"/>
      <c r="BG14" s="881"/>
      <c r="BH14" s="950">
        <f t="shared" si="6"/>
        <v>-0.159737414763228</v>
      </c>
      <c r="BI14" s="950">
        <f t="shared" si="6"/>
        <v>-0.39128098691708146</v>
      </c>
      <c r="BJ14" s="950">
        <f t="shared" si="6"/>
        <v>-0.50599379131138278</v>
      </c>
      <c r="BK14" s="950">
        <f t="shared" si="6"/>
        <v>-0.40724193916358331</v>
      </c>
      <c r="BL14" s="950">
        <f t="shared" si="6"/>
        <v>-0.43477191259798076</v>
      </c>
      <c r="BM14" s="950">
        <f t="shared" si="6"/>
        <v>-0.38806695527944157</v>
      </c>
      <c r="BN14" s="950">
        <f t="shared" si="6"/>
        <v>-0.93903737843480428</v>
      </c>
      <c r="BO14" s="950">
        <f t="shared" si="6"/>
        <v>-1.0070264187198887</v>
      </c>
      <c r="BP14" s="950">
        <f t="shared" si="6"/>
        <v>-1.1966482096611486</v>
      </c>
      <c r="BQ14" s="950">
        <f t="shared" si="6"/>
        <v>-1.0689398561741683</v>
      </c>
      <c r="BR14" s="950">
        <f t="shared" si="7"/>
        <v>-1.4263744829539746</v>
      </c>
      <c r="BS14" s="950">
        <f t="shared" si="7"/>
        <v>-1.8448262594667995</v>
      </c>
      <c r="BT14" s="950">
        <f t="shared" si="7"/>
        <v>-2.1240487830609993</v>
      </c>
      <c r="BU14" s="950">
        <f t="shared" si="7"/>
        <v>-2.5954152221056006</v>
      </c>
      <c r="BV14" s="950">
        <f t="shared" si="7"/>
        <v>-3.4966667159060449</v>
      </c>
      <c r="BW14" s="950">
        <f t="shared" si="7"/>
        <v>-4.2666195081167473</v>
      </c>
      <c r="BX14" s="950">
        <f t="shared" si="7"/>
        <v>-4.5737111280950842</v>
      </c>
      <c r="BY14" s="950">
        <f t="shared" si="7"/>
        <v>-3.3618734073355938</v>
      </c>
      <c r="BZ14" s="950">
        <f t="shared" si="9"/>
        <v>-3.8662345041102384</v>
      </c>
      <c r="CA14" s="950">
        <f t="shared" si="9"/>
        <v>-4.4418662342629744</v>
      </c>
      <c r="CB14" s="950">
        <f t="shared" si="9"/>
        <v>-5.0593782557760107</v>
      </c>
      <c r="CC14" s="950">
        <f t="shared" si="9"/>
        <v>-6.3233012348438109</v>
      </c>
      <c r="CD14" s="950"/>
      <c r="CE14" s="932">
        <f t="shared" si="5"/>
        <v>-4.0109114993613106</v>
      </c>
    </row>
    <row r="15" spans="1:85" ht="17.45" hidden="1" customHeight="1" x14ac:dyDescent="0.2">
      <c r="A15" s="190"/>
      <c r="B15" s="916"/>
      <c r="C15" s="918">
        <f t="shared" ref="C15:X15" si="12">+C14/B14*100-100</f>
        <v>-0.159737414763228</v>
      </c>
      <c r="D15" s="918">
        <f t="shared" si="12"/>
        <v>-0.39128098691708146</v>
      </c>
      <c r="E15" s="918">
        <f t="shared" si="12"/>
        <v>-0.50599379131138278</v>
      </c>
      <c r="F15" s="918">
        <f t="shared" si="12"/>
        <v>-0.40724193916358331</v>
      </c>
      <c r="G15" s="918">
        <f t="shared" si="12"/>
        <v>-0.43477191259798076</v>
      </c>
      <c r="H15" s="918">
        <f t="shared" si="12"/>
        <v>-0.38806695527944157</v>
      </c>
      <c r="I15" s="918">
        <f t="shared" si="12"/>
        <v>-0.93903737843480428</v>
      </c>
      <c r="J15" s="918">
        <f t="shared" si="12"/>
        <v>-1.0070264187198887</v>
      </c>
      <c r="K15" s="918">
        <f t="shared" si="12"/>
        <v>-1.1966482096611486</v>
      </c>
      <c r="L15" s="918">
        <f t="shared" si="12"/>
        <v>-1.0689398561741683</v>
      </c>
      <c r="M15" s="918">
        <f t="shared" si="12"/>
        <v>-1.4263744829539746</v>
      </c>
      <c r="N15" s="918">
        <f t="shared" si="12"/>
        <v>-1.8448262594667995</v>
      </c>
      <c r="O15" s="918">
        <f t="shared" si="12"/>
        <v>-2.1240487830609993</v>
      </c>
      <c r="P15" s="918">
        <f t="shared" si="12"/>
        <v>-2.5954152221056006</v>
      </c>
      <c r="Q15" s="918">
        <f t="shared" si="12"/>
        <v>-3.4966667159060449</v>
      </c>
      <c r="R15" s="918">
        <f t="shared" si="12"/>
        <v>-4.2666195081167473</v>
      </c>
      <c r="S15" s="918">
        <f t="shared" si="12"/>
        <v>-4.5737111280950842</v>
      </c>
      <c r="T15" s="918">
        <f t="shared" si="12"/>
        <v>-3.3618734073355938</v>
      </c>
      <c r="U15" s="918">
        <f t="shared" si="12"/>
        <v>-3.8662345041102384</v>
      </c>
      <c r="V15" s="918">
        <f t="shared" si="12"/>
        <v>-4.4418662342629744</v>
      </c>
      <c r="W15" s="918">
        <f t="shared" si="12"/>
        <v>-5.0593782557760107</v>
      </c>
      <c r="X15" s="919">
        <f t="shared" si="12"/>
        <v>-6.3233012348438109</v>
      </c>
      <c r="Y15" s="929"/>
      <c r="Z15" s="918"/>
      <c r="AA15" s="930"/>
      <c r="AB15" s="930"/>
      <c r="AC15" s="931"/>
      <c r="AD15" s="931"/>
      <c r="AE15" s="931"/>
      <c r="AF15" s="931"/>
      <c r="AG15" s="931"/>
      <c r="AH15" s="93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1"/>
      <c r="AX15" s="181"/>
      <c r="AY15" s="181"/>
      <c r="AZ15" s="181"/>
      <c r="BA15" s="181"/>
      <c r="BB15" s="181"/>
      <c r="BC15" s="181"/>
      <c r="BD15" s="181"/>
      <c r="BE15" s="181"/>
      <c r="BF15" s="181"/>
      <c r="BG15" s="181"/>
      <c r="CE15" s="178">
        <f t="shared" ref="CE15:CE16" si="13">SUM(BX15:CB15)/5</f>
        <v>0</v>
      </c>
    </row>
    <row r="16" spans="1:85" ht="17.45" hidden="1" customHeight="1" x14ac:dyDescent="0.2">
      <c r="A16" s="185" t="s">
        <v>6</v>
      </c>
      <c r="B16" s="186">
        <v>9248</v>
      </c>
      <c r="C16" s="186">
        <v>10892</v>
      </c>
      <c r="D16" s="263">
        <f>'Rent Luar Jawa'!C21</f>
        <v>10449.648088245822</v>
      </c>
      <c r="E16" s="263">
        <f>'Rent Luar Jawa'!D21</f>
        <v>11449.124592636334</v>
      </c>
      <c r="F16" s="263">
        <f>'Rent Luar Jawa'!E21</f>
        <v>13832.444065320275</v>
      </c>
      <c r="G16" s="263">
        <f>'Rent Luar Jawa'!F21</f>
        <v>14934.936246393465</v>
      </c>
      <c r="H16" s="263">
        <f>'Rent Luar Jawa'!G21</f>
        <v>16213.936636023675</v>
      </c>
      <c r="I16" s="263">
        <f>'Rent Luar Jawa'!H21</f>
        <v>16463.8415366308</v>
      </c>
      <c r="J16" s="263">
        <f>'Rent Luar Jawa'!I21</f>
        <v>20970.164562552793</v>
      </c>
      <c r="K16" s="263">
        <f>'Rent Luar Jawa'!J21</f>
        <v>25681.925062237446</v>
      </c>
      <c r="L16" s="263">
        <f>'Rent Luar Jawa'!K21</f>
        <v>26770.790415207397</v>
      </c>
      <c r="M16" s="263">
        <f>'Rent Luar Jawa'!L21</f>
        <v>27075.427450865081</v>
      </c>
      <c r="N16" s="263">
        <f>'Rent Luar Jawa'!M21</f>
        <v>27739.591184551671</v>
      </c>
      <c r="O16" s="263">
        <f>'Rent Luar Jawa'!N21</f>
        <v>29401.825544969972</v>
      </c>
      <c r="P16" s="263">
        <f>'Rent Luar Jawa'!O21</f>
        <v>31866.155729289661</v>
      </c>
      <c r="Q16" s="263">
        <f>'Rent Luar Jawa'!P21</f>
        <v>36637.452249078415</v>
      </c>
      <c r="R16" s="263">
        <f>'Rent Luar Jawa'!Q21</f>
        <v>51408.525888100885</v>
      </c>
      <c r="S16" s="263">
        <f>'Rent Luar Jawa'!R21</f>
        <v>60527.018309955776</v>
      </c>
      <c r="T16" s="263">
        <f>'Rent Luar Jawa'!S21</f>
        <v>68443.028998793685</v>
      </c>
      <c r="U16" s="263">
        <f>'Rent Luar Jawa'!T21</f>
        <v>74765.23864963981</v>
      </c>
      <c r="V16" s="263">
        <f>'Rent Luar Jawa'!U21</f>
        <v>77695.811986194691</v>
      </c>
      <c r="W16" s="263">
        <f>'Rent Luar Jawa'!V21</f>
        <v>81228.307129457535</v>
      </c>
      <c r="X16" s="566">
        <f>'Rent Luar Jawa'!W21</f>
        <v>84165.257063821395</v>
      </c>
      <c r="Y16" s="591"/>
      <c r="Z16" s="263"/>
      <c r="AA16" s="263"/>
      <c r="AB16" s="263"/>
      <c r="AC16" s="592"/>
      <c r="AD16" s="592"/>
      <c r="AE16" s="592"/>
      <c r="AF16" s="592"/>
      <c r="AG16" s="592"/>
      <c r="AH16" s="5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  <c r="BB16" s="192"/>
      <c r="BC16" s="192"/>
      <c r="BD16" s="192"/>
      <c r="BE16" s="192"/>
      <c r="BF16" s="192"/>
      <c r="BG16" s="192"/>
      <c r="BH16" s="62">
        <f t="shared" ref="BH16:CC16" si="14">C16/B16*100-100</f>
        <v>17.776816608996555</v>
      </c>
      <c r="BI16" s="62">
        <f t="shared" si="14"/>
        <v>-4.0612551574933775</v>
      </c>
      <c r="BJ16" s="62">
        <f t="shared" si="14"/>
        <v>9.564690561347831</v>
      </c>
      <c r="BK16" s="62">
        <f t="shared" si="14"/>
        <v>20.816608758164847</v>
      </c>
      <c r="BL16" s="62">
        <f t="shared" si="14"/>
        <v>7.9703353642129002</v>
      </c>
      <c r="BM16" s="62">
        <f t="shared" si="14"/>
        <v>8.5638155297721283</v>
      </c>
      <c r="BN16" s="62">
        <f t="shared" si="14"/>
        <v>1.5412968868516117</v>
      </c>
      <c r="BO16" s="62">
        <f t="shared" si="14"/>
        <v>27.371030120131849</v>
      </c>
      <c r="BP16" s="62">
        <f t="shared" si="14"/>
        <v>22.468877083104147</v>
      </c>
      <c r="BQ16" s="62">
        <f t="shared" si="14"/>
        <v>4.2398120480890782</v>
      </c>
      <c r="BR16" s="62">
        <f t="shared" si="14"/>
        <v>1.1379456151008327</v>
      </c>
      <c r="BS16" s="62">
        <f t="shared" si="14"/>
        <v>2.4530129206339382</v>
      </c>
      <c r="BT16" s="62">
        <f t="shared" si="14"/>
        <v>5.9922813907365935</v>
      </c>
      <c r="BU16" s="156">
        <f t="shared" si="14"/>
        <v>8.3815550179035796</v>
      </c>
      <c r="BV16" s="156">
        <f t="shared" si="14"/>
        <v>14.972927893537019</v>
      </c>
      <c r="BW16" s="156">
        <f t="shared" si="14"/>
        <v>40.316869029543454</v>
      </c>
      <c r="BX16" s="156">
        <f t="shared" si="14"/>
        <v>17.737315482849652</v>
      </c>
      <c r="BY16" s="156">
        <f t="shared" si="14"/>
        <v>13.078474555446334</v>
      </c>
      <c r="BZ16" s="156">
        <f t="shared" si="14"/>
        <v>9.2371856467041482</v>
      </c>
      <c r="CA16" s="156">
        <f t="shared" si="14"/>
        <v>3.9197003707671598</v>
      </c>
      <c r="CB16" s="156">
        <f t="shared" si="14"/>
        <v>4.5465708549265287</v>
      </c>
      <c r="CC16" s="156">
        <f t="shared" si="14"/>
        <v>3.6156729570679005</v>
      </c>
      <c r="CD16" s="156"/>
      <c r="CE16" s="158">
        <f t="shared" si="13"/>
        <v>9.703849382138765</v>
      </c>
    </row>
    <row r="17" spans="1:83" ht="17.45" hidden="1" customHeight="1" x14ac:dyDescent="0.2">
      <c r="A17" s="185" t="s">
        <v>220</v>
      </c>
      <c r="B17" s="186"/>
      <c r="C17" s="264">
        <f t="shared" ref="C17:X17" si="15">+C16/B16*100-100</f>
        <v>17.776816608996555</v>
      </c>
      <c r="D17" s="264">
        <f t="shared" si="15"/>
        <v>-4.0612551574933775</v>
      </c>
      <c r="E17" s="264">
        <f t="shared" si="15"/>
        <v>9.564690561347831</v>
      </c>
      <c r="F17" s="264">
        <f t="shared" si="15"/>
        <v>20.816608758164847</v>
      </c>
      <c r="G17" s="264">
        <f t="shared" si="15"/>
        <v>7.9703353642129002</v>
      </c>
      <c r="H17" s="264">
        <f t="shared" si="15"/>
        <v>8.5638155297721283</v>
      </c>
      <c r="I17" s="264">
        <f t="shared" si="15"/>
        <v>1.5412968868516117</v>
      </c>
      <c r="J17" s="264">
        <f t="shared" si="15"/>
        <v>27.371030120131849</v>
      </c>
      <c r="K17" s="264">
        <f t="shared" si="15"/>
        <v>22.468877083104147</v>
      </c>
      <c r="L17" s="264">
        <f t="shared" si="15"/>
        <v>4.2398120480890782</v>
      </c>
      <c r="M17" s="264">
        <f t="shared" si="15"/>
        <v>1.1379456151008327</v>
      </c>
      <c r="N17" s="264">
        <f t="shared" si="15"/>
        <v>2.4530129206339382</v>
      </c>
      <c r="O17" s="264">
        <f t="shared" si="15"/>
        <v>5.9922813907365935</v>
      </c>
      <c r="P17" s="264">
        <f t="shared" si="15"/>
        <v>8.3815550179035796</v>
      </c>
      <c r="Q17" s="264">
        <f t="shared" si="15"/>
        <v>14.972927893537019</v>
      </c>
      <c r="R17" s="264">
        <f t="shared" si="15"/>
        <v>40.316869029543454</v>
      </c>
      <c r="S17" s="264">
        <f t="shared" si="15"/>
        <v>17.737315482849652</v>
      </c>
      <c r="T17" s="264">
        <f t="shared" si="15"/>
        <v>13.078474555446334</v>
      </c>
      <c r="U17" s="264">
        <f t="shared" si="15"/>
        <v>9.2371856467041482</v>
      </c>
      <c r="V17" s="264">
        <f t="shared" si="15"/>
        <v>3.9197003707671598</v>
      </c>
      <c r="W17" s="264">
        <f t="shared" si="15"/>
        <v>4.5465708549265287</v>
      </c>
      <c r="X17" s="419">
        <f t="shared" si="15"/>
        <v>3.6156729570679005</v>
      </c>
      <c r="Y17" s="593"/>
      <c r="Z17" s="264"/>
      <c r="AA17" s="264"/>
      <c r="AB17" s="264"/>
      <c r="AC17" s="594"/>
      <c r="AD17" s="594"/>
      <c r="AE17" s="594"/>
      <c r="AF17" s="594"/>
      <c r="AG17" s="594"/>
      <c r="AH17" s="594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/>
      <c r="AX17" s="193"/>
      <c r="AY17" s="193"/>
      <c r="AZ17" s="193"/>
      <c r="BA17" s="193"/>
      <c r="BB17" s="193"/>
      <c r="BC17" s="193"/>
      <c r="BD17" s="193"/>
      <c r="BE17" s="193"/>
      <c r="BF17" s="193"/>
      <c r="BG17" s="193"/>
    </row>
    <row r="18" spans="1:83" ht="17.45" hidden="1" customHeight="1" x14ac:dyDescent="0.2">
      <c r="A18" s="185" t="s">
        <v>7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5"/>
      <c r="N18" s="185"/>
      <c r="O18" s="185"/>
      <c r="P18" s="185"/>
      <c r="Q18" s="185"/>
      <c r="R18" s="185"/>
      <c r="S18" s="185"/>
      <c r="T18" s="236"/>
      <c r="U18" s="236"/>
      <c r="V18" s="236"/>
      <c r="W18" s="265"/>
      <c r="X18" s="317"/>
      <c r="Y18" s="534"/>
      <c r="Z18" s="265"/>
      <c r="AA18" s="265"/>
      <c r="AB18" s="265"/>
      <c r="AC18" s="535"/>
      <c r="AD18" s="535"/>
      <c r="AE18" s="535"/>
      <c r="AF18" s="535"/>
      <c r="AG18" s="535"/>
      <c r="AH18" s="535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  <c r="BE18" s="194"/>
      <c r="BF18" s="194"/>
      <c r="BG18" s="194"/>
    </row>
    <row r="19" spans="1:83" ht="17.45" hidden="1" customHeight="1" x14ac:dyDescent="0.2">
      <c r="A19" s="185" t="s">
        <v>8</v>
      </c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5"/>
      <c r="N19" s="185"/>
      <c r="O19" s="185"/>
      <c r="P19" s="185"/>
      <c r="Q19" s="185"/>
      <c r="R19" s="185"/>
      <c r="S19" s="185"/>
      <c r="T19" s="236"/>
      <c r="U19" s="236"/>
      <c r="V19" s="236"/>
      <c r="W19" s="236"/>
      <c r="X19" s="308"/>
      <c r="Y19" s="536"/>
      <c r="Z19" s="236"/>
      <c r="AA19" s="236"/>
      <c r="AB19" s="236"/>
      <c r="AC19" s="537"/>
      <c r="AD19" s="537"/>
      <c r="AE19" s="537"/>
      <c r="AF19" s="537"/>
      <c r="AG19" s="537"/>
      <c r="AH19" s="537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</row>
    <row r="20" spans="1:83" ht="17.45" hidden="1" customHeight="1" x14ac:dyDescent="0.2">
      <c r="A20" s="185"/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5"/>
      <c r="N20" s="185"/>
      <c r="O20" s="185"/>
      <c r="P20" s="185"/>
      <c r="Q20" s="185"/>
      <c r="R20" s="185"/>
      <c r="S20" s="185"/>
      <c r="T20" s="236"/>
      <c r="U20" s="236"/>
      <c r="V20" s="236"/>
      <c r="W20" s="236"/>
      <c r="X20" s="308"/>
      <c r="Y20" s="536"/>
      <c r="Z20" s="236"/>
      <c r="AA20" s="236"/>
      <c r="AB20" s="236"/>
      <c r="AC20" s="537"/>
      <c r="AD20" s="537"/>
      <c r="AE20" s="537"/>
      <c r="AF20" s="537"/>
      <c r="AG20" s="537"/>
      <c r="AH20" s="537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</row>
    <row r="21" spans="1:83" ht="17.45" hidden="1" customHeight="1" x14ac:dyDescent="0.2">
      <c r="A21" s="185" t="s">
        <v>2</v>
      </c>
      <c r="B21" s="186">
        <v>70232.501999999993</v>
      </c>
      <c r="C21" s="201">
        <f t="shared" ref="C21:X21" si="16">B28</f>
        <v>78912.063142399988</v>
      </c>
      <c r="D21" s="201">
        <f t="shared" si="16"/>
        <v>92791.655751199971</v>
      </c>
      <c r="E21" s="201">
        <f t="shared" si="16"/>
        <v>88674.819186977649</v>
      </c>
      <c r="F21" s="201">
        <f t="shared" si="16"/>
        <v>96664.686446463224</v>
      </c>
      <c r="G21" s="201">
        <f t="shared" si="16"/>
        <v>116311.39040400142</v>
      </c>
      <c r="H21" s="201">
        <f t="shared" si="16"/>
        <v>125035.80389969636</v>
      </c>
      <c r="I21" s="201">
        <f t="shared" si="16"/>
        <v>135216.86328307254</v>
      </c>
      <c r="J21" s="201">
        <f t="shared" si="16"/>
        <v>136011.64928404917</v>
      </c>
      <c r="K21" s="201">
        <f t="shared" si="16"/>
        <v>171494.87186035316</v>
      </c>
      <c r="L21" s="201">
        <f t="shared" si="16"/>
        <v>207514.54938959124</v>
      </c>
      <c r="M21" s="201">
        <f t="shared" si="16"/>
        <v>214000.52277675006</v>
      </c>
      <c r="N21" s="201">
        <f t="shared" si="16"/>
        <v>213348.54828386038</v>
      </c>
      <c r="O21" s="201">
        <f t="shared" si="16"/>
        <v>214549.5573144189</v>
      </c>
      <c r="P21" s="201">
        <f t="shared" si="16"/>
        <v>222575.75676202567</v>
      </c>
      <c r="Q21" s="201">
        <f t="shared" si="16"/>
        <v>234970.11845709069</v>
      </c>
      <c r="R21" s="201">
        <f t="shared" si="16"/>
        <v>260705.70892922764</v>
      </c>
      <c r="S21" s="201">
        <f t="shared" si="16"/>
        <v>350206.19290228718</v>
      </c>
      <c r="T21" s="201">
        <f t="shared" si="16"/>
        <v>393464.89031228214</v>
      </c>
      <c r="U21" s="201">
        <f t="shared" si="16"/>
        <v>429966.31101429212</v>
      </c>
      <c r="V21" s="201">
        <f t="shared" si="16"/>
        <v>451524.04741005093</v>
      </c>
      <c r="W21" s="201">
        <f t="shared" si="16"/>
        <v>448380.20417022391</v>
      </c>
      <c r="X21" s="309">
        <f t="shared" si="16"/>
        <v>445049.4763092855</v>
      </c>
      <c r="Y21" s="532"/>
      <c r="Z21" s="201"/>
      <c r="AA21" s="201"/>
      <c r="AB21" s="201"/>
      <c r="AC21" s="533"/>
      <c r="AD21" s="533"/>
      <c r="AE21" s="533"/>
      <c r="AF21" s="533"/>
      <c r="AG21" s="533"/>
      <c r="AH21" s="533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</row>
    <row r="22" spans="1:83" ht="17.45" hidden="1" customHeight="1" x14ac:dyDescent="0.2">
      <c r="A22" s="185" t="s">
        <v>3</v>
      </c>
      <c r="B22" s="201">
        <f t="shared" ref="B22:X22" si="17">B9*B16/1000000</f>
        <v>285.76319999999998</v>
      </c>
      <c r="C22" s="201">
        <f t="shared" si="17"/>
        <v>336.138012</v>
      </c>
      <c r="D22" s="201">
        <f t="shared" si="17"/>
        <v>321.99545619120676</v>
      </c>
      <c r="E22" s="201">
        <f t="shared" si="17"/>
        <v>351.41943024637959</v>
      </c>
      <c r="F22" s="201">
        <f t="shared" si="17"/>
        <v>422.47050664301179</v>
      </c>
      <c r="G22" s="201">
        <f t="shared" si="17"/>
        <v>454.30582567904281</v>
      </c>
      <c r="H22" s="201">
        <f t="shared" si="17"/>
        <v>535.02131981958757</v>
      </c>
      <c r="I22" s="201">
        <f t="shared" si="17"/>
        <v>525.08277987350436</v>
      </c>
      <c r="J22" s="201">
        <f t="shared" si="17"/>
        <v>657.75794062991906</v>
      </c>
      <c r="K22" s="201">
        <f t="shared" si="17"/>
        <v>850.25180121859603</v>
      </c>
      <c r="L22" s="201">
        <f t="shared" si="17"/>
        <v>864.05472744965994</v>
      </c>
      <c r="M22" s="201">
        <f t="shared" si="17"/>
        <v>873.99206679678457</v>
      </c>
      <c r="N22" s="201">
        <f t="shared" si="17"/>
        <v>895.807286226776</v>
      </c>
      <c r="O22" s="201">
        <f t="shared" si="17"/>
        <v>948.04430942189026</v>
      </c>
      <c r="P22" s="201">
        <f t="shared" si="17"/>
        <v>1024.9382210873575</v>
      </c>
      <c r="Q22" s="201">
        <f t="shared" si="17"/>
        <v>1162.3825252746562</v>
      </c>
      <c r="R22" s="201">
        <f t="shared" si="17"/>
        <v>1579.8312963851572</v>
      </c>
      <c r="S22" s="201">
        <f t="shared" si="17"/>
        <v>1799.78530649808</v>
      </c>
      <c r="T22" s="201">
        <f t="shared" si="17"/>
        <v>1969.0267523406078</v>
      </c>
      <c r="U22" s="201">
        <f t="shared" si="17"/>
        <v>2200.1578906971608</v>
      </c>
      <c r="V22" s="201">
        <f t="shared" si="17"/>
        <v>2285.6254963987485</v>
      </c>
      <c r="W22" s="201">
        <f t="shared" si="17"/>
        <v>2407.7549602078398</v>
      </c>
      <c r="X22" s="309">
        <f t="shared" si="17"/>
        <v>2480.4147519460971</v>
      </c>
      <c r="Y22" s="532"/>
      <c r="Z22" s="201"/>
      <c r="AA22" s="201"/>
      <c r="AB22" s="201"/>
      <c r="AC22" s="533"/>
      <c r="AD22" s="533"/>
      <c r="AE22" s="533"/>
      <c r="AF22" s="533"/>
      <c r="AG22" s="533"/>
      <c r="AH22" s="533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</row>
    <row r="23" spans="1:83" ht="17.45" hidden="1" customHeight="1" x14ac:dyDescent="0.2">
      <c r="A23" s="185" t="s">
        <v>4</v>
      </c>
      <c r="B23" s="201">
        <f t="shared" ref="B23:X23" si="18">B10*B16/1000000</f>
        <v>5.7319103999999994</v>
      </c>
      <c r="C23" s="201">
        <f t="shared" si="18"/>
        <v>10.1491656</v>
      </c>
      <c r="D23" s="201">
        <f t="shared" si="18"/>
        <v>9.9250757542158805</v>
      </c>
      <c r="E23" s="201">
        <f t="shared" si="18"/>
        <v>16.679084706552612</v>
      </c>
      <c r="F23" s="201">
        <f t="shared" si="18"/>
        <v>17.147527610014933</v>
      </c>
      <c r="G23" s="201">
        <f t="shared" si="18"/>
        <v>23.056554577182229</v>
      </c>
      <c r="H23" s="201">
        <f t="shared" si="18"/>
        <v>41.393369534936639</v>
      </c>
      <c r="I23" s="201">
        <f t="shared" si="18"/>
        <v>35.195247968101761</v>
      </c>
      <c r="J23" s="201">
        <f t="shared" si="18"/>
        <v>33.06743309539825</v>
      </c>
      <c r="K23" s="201">
        <f t="shared" si="18"/>
        <v>32.860889882103663</v>
      </c>
      <c r="L23" s="201">
        <f t="shared" si="18"/>
        <v>89.398694634552598</v>
      </c>
      <c r="M23" s="201">
        <f t="shared" si="18"/>
        <v>33.654635962491703</v>
      </c>
      <c r="N23" s="201">
        <f t="shared" si="18"/>
        <v>134.96294219652273</v>
      </c>
      <c r="O23" s="201">
        <f t="shared" si="18"/>
        <v>171.43487070728696</v>
      </c>
      <c r="P23" s="201">
        <f t="shared" si="18"/>
        <v>176.07800492382077</v>
      </c>
      <c r="Q23" s="201">
        <f t="shared" si="18"/>
        <v>198.10643481319156</v>
      </c>
      <c r="R23" s="201">
        <f t="shared" si="18"/>
        <v>362.06471254539088</v>
      </c>
      <c r="S23" s="201">
        <f t="shared" si="18"/>
        <v>373.98006988151644</v>
      </c>
      <c r="T23" s="201">
        <f t="shared" si="18"/>
        <v>544.39683847671017</v>
      </c>
      <c r="U23" s="201">
        <f t="shared" si="18"/>
        <v>452.36302280754359</v>
      </c>
      <c r="V23" s="201">
        <f t="shared" si="18"/>
        <v>345.95368792512249</v>
      </c>
      <c r="W23" s="201">
        <f t="shared" si="18"/>
        <v>391.930304657943</v>
      </c>
      <c r="X23" s="309">
        <f t="shared" si="18"/>
        <v>517.47770570733451</v>
      </c>
      <c r="Y23" s="532"/>
      <c r="Z23" s="201"/>
      <c r="AA23" s="330"/>
      <c r="AB23" s="330"/>
      <c r="AC23" s="531"/>
      <c r="AD23" s="531"/>
      <c r="AE23" s="531"/>
      <c r="AF23" s="531"/>
      <c r="AG23" s="531"/>
      <c r="AH23" s="531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</row>
    <row r="24" spans="1:83" ht="17.45" hidden="1" customHeight="1" x14ac:dyDescent="0.2">
      <c r="A24" s="185" t="s">
        <v>13</v>
      </c>
      <c r="B24" s="201">
        <f t="shared" ref="B24:X24" si="19">B11*B16/1000000</f>
        <v>142.92784</v>
      </c>
      <c r="C24" s="201">
        <f t="shared" si="19"/>
        <v>202.72190399999999</v>
      </c>
      <c r="D24" s="201">
        <f t="shared" si="19"/>
        <v>394.2025244809854</v>
      </c>
      <c r="E24" s="201">
        <f t="shared" si="19"/>
        <v>539.94071578872956</v>
      </c>
      <c r="F24" s="201">
        <f t="shared" si="19"/>
        <v>528.05355219360149</v>
      </c>
      <c r="G24" s="201">
        <f t="shared" si="19"/>
        <v>607.71749080199652</v>
      </c>
      <c r="H24" s="201">
        <f t="shared" si="19"/>
        <v>644.76064789888926</v>
      </c>
      <c r="I24" s="201">
        <f t="shared" si="19"/>
        <v>1316.6776166663578</v>
      </c>
      <c r="J24" s="201">
        <f t="shared" si="19"/>
        <v>1935.9832073531063</v>
      </c>
      <c r="K24" s="201">
        <f t="shared" si="19"/>
        <v>2780.5957868638966</v>
      </c>
      <c r="L24" s="201">
        <f t="shared" si="19"/>
        <v>2605.684160722396</v>
      </c>
      <c r="M24" s="201">
        <f t="shared" si="19"/>
        <v>3328.1651137547988</v>
      </c>
      <c r="N24" s="201">
        <f t="shared" si="19"/>
        <v>4397.2850877060482</v>
      </c>
      <c r="O24" s="201">
        <f t="shared" si="19"/>
        <v>5268.5488587106374</v>
      </c>
      <c r="P24" s="201">
        <f t="shared" si="19"/>
        <v>6709.4079356474322</v>
      </c>
      <c r="Q24" s="201">
        <f t="shared" si="19"/>
        <v>9259.8888986213806</v>
      </c>
      <c r="R24" s="201">
        <f t="shared" si="19"/>
        <v>15597.020688263019</v>
      </c>
      <c r="S24" s="201">
        <f t="shared" si="19"/>
        <v>17709.772374715067</v>
      </c>
      <c r="T24" s="201">
        <f t="shared" si="19"/>
        <v>14150.172583151092</v>
      </c>
      <c r="U24" s="201">
        <f t="shared" si="19"/>
        <v>17005.195469806411</v>
      </c>
      <c r="V24" s="201">
        <f t="shared" si="19"/>
        <v>19313.128746148835</v>
      </c>
      <c r="W24" s="201">
        <f t="shared" si="19"/>
        <v>22458.116245537341</v>
      </c>
      <c r="X24" s="309">
        <f t="shared" si="19"/>
        <v>28031.93332037266</v>
      </c>
      <c r="Y24" s="532"/>
      <c r="Z24" s="201"/>
      <c r="AA24" s="201"/>
      <c r="AB24" s="201"/>
      <c r="AC24" s="533"/>
      <c r="AD24" s="533"/>
      <c r="AE24" s="533"/>
      <c r="AF24" s="533"/>
      <c r="AG24" s="533"/>
      <c r="AH24" s="533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</row>
    <row r="25" spans="1:83" ht="17.45" hidden="1" customHeight="1" x14ac:dyDescent="0.2">
      <c r="A25" s="185" t="s">
        <v>5</v>
      </c>
      <c r="B25" s="201">
        <f t="shared" ref="B25:X25" si="20">B12*B16/1000000</f>
        <v>252.34092799999999</v>
      </c>
      <c r="C25" s="201">
        <f t="shared" si="20"/>
        <v>292.02541200000002</v>
      </c>
      <c r="D25" s="201">
        <f t="shared" si="20"/>
        <v>286.04866676764112</v>
      </c>
      <c r="E25" s="201">
        <f t="shared" si="20"/>
        <v>319.76260074774012</v>
      </c>
      <c r="F25" s="201">
        <f t="shared" si="20"/>
        <v>387.17010938831447</v>
      </c>
      <c r="G25" s="201">
        <f t="shared" si="20"/>
        <v>415.63927573713011</v>
      </c>
      <c r="H25" s="201">
        <f t="shared" si="20"/>
        <v>458.4302502170716</v>
      </c>
      <c r="I25" s="201">
        <f t="shared" si="20"/>
        <v>532.90771447903421</v>
      </c>
      <c r="J25" s="201">
        <f t="shared" si="20"/>
        <v>499.40908249339856</v>
      </c>
      <c r="K25" s="201">
        <f t="shared" si="20"/>
        <v>615.8113371284752</v>
      </c>
      <c r="L25" s="201">
        <f t="shared" si="20"/>
        <v>660.02274076064475</v>
      </c>
      <c r="M25" s="201">
        <f t="shared" si="20"/>
        <v>666.66564712502168</v>
      </c>
      <c r="N25" s="201">
        <f t="shared" si="20"/>
        <v>665.94356554676574</v>
      </c>
      <c r="O25" s="201">
        <f t="shared" si="20"/>
        <v>681.14407067140814</v>
      </c>
      <c r="P25" s="201">
        <f t="shared" si="20"/>
        <v>752.55610482319844</v>
      </c>
      <c r="Q25" s="201">
        <f t="shared" si="20"/>
        <v>1546.9159972682278</v>
      </c>
      <c r="R25" s="201">
        <f t="shared" si="20"/>
        <v>1952.7705691475189</v>
      </c>
      <c r="S25" s="201">
        <f t="shared" si="20"/>
        <v>3322.4728672252913</v>
      </c>
      <c r="T25" s="201">
        <f t="shared" si="20"/>
        <v>3321.0358697628817</v>
      </c>
      <c r="U25" s="201">
        <f t="shared" si="20"/>
        <v>3806.3754146149486</v>
      </c>
      <c r="V25" s="201">
        <f t="shared" si="20"/>
        <v>4160.683438436693</v>
      </c>
      <c r="W25" s="201">
        <f t="shared" si="20"/>
        <v>4058.2205623303098</v>
      </c>
      <c r="X25" s="309">
        <f t="shared" si="20"/>
        <v>4125.2943087473686</v>
      </c>
      <c r="Y25" s="532"/>
      <c r="Z25" s="201"/>
      <c r="AA25" s="330"/>
      <c r="AB25" s="330"/>
      <c r="AC25" s="531"/>
      <c r="AD25" s="531"/>
      <c r="AE25" s="531"/>
      <c r="AF25" s="531"/>
      <c r="AG25" s="531"/>
      <c r="AH25" s="531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</row>
    <row r="26" spans="1:83" ht="17.45" hidden="1" customHeight="1" x14ac:dyDescent="0.2">
      <c r="A26" s="185" t="s">
        <v>99</v>
      </c>
      <c r="B26" s="201">
        <f t="shared" ref="B26:X26" si="21">B13*B16/1000000</f>
        <v>-103.77365759999311</v>
      </c>
      <c r="C26" s="201">
        <f t="shared" si="21"/>
        <v>-148.46013839999188</v>
      </c>
      <c r="D26" s="201">
        <f t="shared" si="21"/>
        <v>-348.33065930319606</v>
      </c>
      <c r="E26" s="201">
        <f t="shared" si="21"/>
        <v>-491.60480158352885</v>
      </c>
      <c r="F26" s="201">
        <f t="shared" si="21"/>
        <v>-475.60562732888718</v>
      </c>
      <c r="G26" s="201">
        <f t="shared" si="21"/>
        <v>-545.99438628289045</v>
      </c>
      <c r="H26" s="201">
        <f t="shared" si="21"/>
        <v>-526.77620876146091</v>
      </c>
      <c r="I26" s="201">
        <f t="shared" si="21"/>
        <v>-1289.3073033037892</v>
      </c>
      <c r="J26" s="201">
        <f t="shared" si="21"/>
        <v>-1744.566916121179</v>
      </c>
      <c r="K26" s="201">
        <f t="shared" si="21"/>
        <v>-2513.2944328916578</v>
      </c>
      <c r="L26" s="201">
        <f t="shared" si="21"/>
        <v>-2312.2534793988202</v>
      </c>
      <c r="M26" s="201">
        <f t="shared" si="21"/>
        <v>-3087.1840581205674</v>
      </c>
      <c r="N26" s="201">
        <f t="shared" si="21"/>
        <v>-4032.4584248295141</v>
      </c>
      <c r="O26" s="201">
        <f t="shared" si="21"/>
        <v>-4830.2137492528755</v>
      </c>
      <c r="P26" s="201">
        <f t="shared" si="21"/>
        <v>-6260.9478144594777</v>
      </c>
      <c r="Q26" s="201">
        <f t="shared" si="21"/>
        <v>-9446.3159358017292</v>
      </c>
      <c r="R26" s="201">
        <f t="shared" si="21"/>
        <v>-15607.895248480023</v>
      </c>
      <c r="S26" s="201">
        <f t="shared" si="21"/>
        <v>-18858.479865560679</v>
      </c>
      <c r="T26" s="201">
        <f t="shared" si="21"/>
        <v>-14957.784862096627</v>
      </c>
      <c r="U26" s="201">
        <f t="shared" si="21"/>
        <v>-18159.049970916651</v>
      </c>
      <c r="V26" s="201">
        <f t="shared" si="21"/>
        <v>-20842.233000261625</v>
      </c>
      <c r="W26" s="201">
        <f t="shared" si="21"/>
        <v>-23716.651543001793</v>
      </c>
      <c r="X26" s="309">
        <f t="shared" si="21"/>
        <v>-29159.335171466581</v>
      </c>
      <c r="Y26" s="532"/>
      <c r="Z26" s="201"/>
      <c r="AA26" s="201"/>
      <c r="AB26" s="201"/>
      <c r="AC26" s="533"/>
      <c r="AD26" s="533"/>
      <c r="AE26" s="533"/>
      <c r="AF26" s="533"/>
      <c r="AG26" s="533"/>
      <c r="AH26" s="533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</row>
    <row r="27" spans="1:83" ht="17.45" hidden="1" customHeight="1" x14ac:dyDescent="0.2">
      <c r="A27" s="185" t="s">
        <v>100</v>
      </c>
      <c r="B27" s="186">
        <v>8783.3348000000005</v>
      </c>
      <c r="C27" s="201">
        <f t="shared" ref="C27:X27" si="22">C8*(C16-B16)/1000000</f>
        <v>14028.052747200001</v>
      </c>
      <c r="D27" s="201">
        <f t="shared" si="22"/>
        <v>-3768.5059049191068</v>
      </c>
      <c r="E27" s="201">
        <f t="shared" si="22"/>
        <v>8481.4720610691093</v>
      </c>
      <c r="F27" s="201">
        <f t="shared" si="22"/>
        <v>20122.309584867075</v>
      </c>
      <c r="G27" s="201">
        <f t="shared" si="22"/>
        <v>9270.407881977857</v>
      </c>
      <c r="H27" s="201">
        <f t="shared" si="22"/>
        <v>10707.835592137624</v>
      </c>
      <c r="I27" s="201">
        <f t="shared" si="22"/>
        <v>2084.0933042803949</v>
      </c>
      <c r="J27" s="201">
        <f t="shared" si="22"/>
        <v>37227.789492425189</v>
      </c>
      <c r="K27" s="201">
        <f t="shared" si="22"/>
        <v>38532.971962129748</v>
      </c>
      <c r="L27" s="201">
        <f t="shared" si="22"/>
        <v>8798.2268665576503</v>
      </c>
      <c r="M27" s="201">
        <f t="shared" si="22"/>
        <v>2435.2095652308703</v>
      </c>
      <c r="N27" s="201">
        <f t="shared" si="22"/>
        <v>5233.4674553880413</v>
      </c>
      <c r="O27" s="201">
        <f t="shared" si="22"/>
        <v>12856.413196859688</v>
      </c>
      <c r="P27" s="201">
        <f t="shared" si="22"/>
        <v>18655.309509524457</v>
      </c>
      <c r="Q27" s="201">
        <f t="shared" si="22"/>
        <v>35181.906407938695</v>
      </c>
      <c r="R27" s="201">
        <f t="shared" si="22"/>
        <v>105108.37922153954</v>
      </c>
      <c r="S27" s="201">
        <f t="shared" si="22"/>
        <v>62117.177275555725</v>
      </c>
      <c r="T27" s="201">
        <f t="shared" si="22"/>
        <v>51459.205564106662</v>
      </c>
      <c r="U27" s="201">
        <f t="shared" si="22"/>
        <v>39716.786366675507</v>
      </c>
      <c r="V27" s="201">
        <f t="shared" si="22"/>
        <v>17698.389760434642</v>
      </c>
      <c r="W27" s="201">
        <f t="shared" si="22"/>
        <v>20385.923682063498</v>
      </c>
      <c r="X27" s="309">
        <f t="shared" si="22"/>
        <v>16091.533560487198</v>
      </c>
      <c r="Y27" s="532"/>
      <c r="Z27" s="201"/>
      <c r="AA27" s="201"/>
      <c r="AB27" s="201"/>
      <c r="AC27" s="533"/>
      <c r="AD27" s="533"/>
      <c r="AE27" s="533"/>
      <c r="AF27" s="533"/>
      <c r="AG27" s="533"/>
      <c r="AH27" s="533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</row>
    <row r="28" spans="1:83" ht="17.45" hidden="1" customHeight="1" x14ac:dyDescent="0.2">
      <c r="A28" s="185" t="s">
        <v>101</v>
      </c>
      <c r="B28" s="186">
        <f t="shared" ref="B28:X28" si="23">B21+B22+B23-B24-B25+B27</f>
        <v>78912.063142399988</v>
      </c>
      <c r="C28" s="186">
        <f t="shared" si="23"/>
        <v>92791.655751199971</v>
      </c>
      <c r="D28" s="186">
        <f t="shared" si="23"/>
        <v>88674.819186977649</v>
      </c>
      <c r="E28" s="186">
        <f t="shared" si="23"/>
        <v>96664.686446463224</v>
      </c>
      <c r="F28" s="186">
        <f t="shared" si="23"/>
        <v>116311.39040400142</v>
      </c>
      <c r="G28" s="186">
        <f t="shared" si="23"/>
        <v>125035.80389969636</v>
      </c>
      <c r="H28" s="186">
        <f t="shared" si="23"/>
        <v>135216.86328307254</v>
      </c>
      <c r="I28" s="186">
        <f t="shared" si="23"/>
        <v>136011.64928404917</v>
      </c>
      <c r="J28" s="186">
        <f t="shared" si="23"/>
        <v>171494.87186035316</v>
      </c>
      <c r="K28" s="186">
        <f t="shared" si="23"/>
        <v>207514.54938959124</v>
      </c>
      <c r="L28" s="186">
        <f t="shared" si="23"/>
        <v>214000.52277675006</v>
      </c>
      <c r="M28" s="186">
        <f t="shared" si="23"/>
        <v>213348.54828386038</v>
      </c>
      <c r="N28" s="186">
        <f t="shared" si="23"/>
        <v>214549.5573144189</v>
      </c>
      <c r="O28" s="186">
        <f t="shared" si="23"/>
        <v>222575.75676202567</v>
      </c>
      <c r="P28" s="186">
        <f t="shared" si="23"/>
        <v>234970.11845709069</v>
      </c>
      <c r="Q28" s="186">
        <f t="shared" si="23"/>
        <v>260705.70892922764</v>
      </c>
      <c r="R28" s="186">
        <f t="shared" si="23"/>
        <v>350206.19290228718</v>
      </c>
      <c r="S28" s="186">
        <f t="shared" si="23"/>
        <v>393464.89031228214</v>
      </c>
      <c r="T28" s="186">
        <f t="shared" si="23"/>
        <v>429966.31101429212</v>
      </c>
      <c r="U28" s="186">
        <f t="shared" si="23"/>
        <v>451524.04741005093</v>
      </c>
      <c r="V28" s="186">
        <f t="shared" si="23"/>
        <v>448380.20417022391</v>
      </c>
      <c r="W28" s="186">
        <f t="shared" si="23"/>
        <v>445049.4763092855</v>
      </c>
      <c r="X28" s="309">
        <f t="shared" si="23"/>
        <v>431981.67469830613</v>
      </c>
      <c r="Y28" s="532"/>
      <c r="Z28" s="201"/>
      <c r="AA28" s="201"/>
      <c r="AB28" s="201"/>
      <c r="AC28" s="533"/>
      <c r="AD28" s="533"/>
      <c r="AE28" s="533"/>
      <c r="AF28" s="533"/>
      <c r="AG28" s="533"/>
      <c r="AH28" s="533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R28" s="62">
        <f t="shared" ref="BR28:CC28" si="24">M28/L28*100-100</f>
        <v>-0.3046602337368256</v>
      </c>
      <c r="BS28" s="62">
        <f t="shared" si="24"/>
        <v>0.56293283465916488</v>
      </c>
      <c r="BT28" s="62">
        <f t="shared" si="24"/>
        <v>3.7409536277180422</v>
      </c>
      <c r="BU28" s="156">
        <f t="shared" si="24"/>
        <v>5.5686036410141639</v>
      </c>
      <c r="BV28" s="156">
        <f t="shared" si="24"/>
        <v>10.95270779158102</v>
      </c>
      <c r="BW28" s="156">
        <f t="shared" si="24"/>
        <v>34.330082122350348</v>
      </c>
      <c r="BX28" s="156">
        <f t="shared" si="24"/>
        <v>12.352350782690124</v>
      </c>
      <c r="BY28" s="156">
        <f t="shared" si="24"/>
        <v>9.2769193899460305</v>
      </c>
      <c r="BZ28" s="156">
        <f t="shared" si="24"/>
        <v>5.0138198839122907</v>
      </c>
      <c r="CA28" s="156">
        <f t="shared" si="24"/>
        <v>-0.69627371074922451</v>
      </c>
      <c r="CB28" s="156">
        <f t="shared" si="24"/>
        <v>-0.74283561806709031</v>
      </c>
      <c r="CC28" s="156">
        <f t="shared" si="24"/>
        <v>-2.9362581705180872</v>
      </c>
      <c r="CD28" s="156"/>
      <c r="CE28" s="156">
        <f t="shared" ref="CE28" si="25">SUM(BX28:CB28)/5</f>
        <v>5.0407961455464259</v>
      </c>
    </row>
    <row r="29" spans="1:83" ht="17.45" hidden="1" customHeight="1" thickBot="1" x14ac:dyDescent="0.25">
      <c r="A29" s="188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567"/>
      <c r="Y29" s="574"/>
      <c r="Z29" s="575"/>
      <c r="AA29" s="575"/>
      <c r="AB29" s="595"/>
      <c r="AC29" s="576"/>
      <c r="AD29" s="576"/>
      <c r="AE29" s="576"/>
      <c r="AF29" s="576"/>
      <c r="AG29" s="576"/>
      <c r="AH29" s="576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</row>
    <row r="30" spans="1:83" ht="17.45" hidden="1" customHeight="1" thickTop="1" x14ac:dyDescent="0.2">
      <c r="C30" s="154">
        <f t="shared" ref="C30:X30" si="26">+C28/B28*100-100</f>
        <v>17.588682966954877</v>
      </c>
      <c r="D30" s="154">
        <f t="shared" si="26"/>
        <v>-4.4366452251490216</v>
      </c>
      <c r="E30" s="154">
        <f t="shared" si="26"/>
        <v>9.0103000296378752</v>
      </c>
      <c r="F30" s="154">
        <f t="shared" si="26"/>
        <v>20.324592857826445</v>
      </c>
      <c r="G30" s="154">
        <f t="shared" si="26"/>
        <v>7.5009106721114449</v>
      </c>
      <c r="H30" s="154">
        <f t="shared" si="26"/>
        <v>8.1425152363105724</v>
      </c>
      <c r="I30" s="154">
        <f t="shared" si="26"/>
        <v>0.58778615453663008</v>
      </c>
      <c r="J30" s="154">
        <f t="shared" si="26"/>
        <v>26.088370197026435</v>
      </c>
      <c r="K30" s="154">
        <f t="shared" si="26"/>
        <v>21.00335545809709</v>
      </c>
      <c r="L30" s="154">
        <f t="shared" si="26"/>
        <v>3.1255511511060234</v>
      </c>
      <c r="M30" s="154">
        <f t="shared" si="26"/>
        <v>-0.3046602337368256</v>
      </c>
      <c r="N30" s="154">
        <f t="shared" si="26"/>
        <v>0.56293283465916488</v>
      </c>
      <c r="O30" s="154">
        <f t="shared" si="26"/>
        <v>3.7409536277180422</v>
      </c>
      <c r="P30" s="154">
        <f t="shared" si="26"/>
        <v>5.5686036410141639</v>
      </c>
      <c r="Q30" s="154">
        <f t="shared" si="26"/>
        <v>10.95270779158102</v>
      </c>
      <c r="R30" s="154">
        <f t="shared" si="26"/>
        <v>34.330082122350348</v>
      </c>
      <c r="S30" s="154">
        <f t="shared" si="26"/>
        <v>12.352350782690124</v>
      </c>
      <c r="T30" s="154">
        <f t="shared" si="26"/>
        <v>9.2769193899460305</v>
      </c>
      <c r="U30" s="154">
        <f t="shared" si="26"/>
        <v>5.0138198839122907</v>
      </c>
      <c r="V30" s="154">
        <f t="shared" si="26"/>
        <v>-0.69627371074922451</v>
      </c>
      <c r="W30" s="154">
        <f t="shared" si="26"/>
        <v>-0.74283561806709031</v>
      </c>
      <c r="X30" s="154">
        <f t="shared" si="26"/>
        <v>-2.9362581705180872</v>
      </c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</row>
    <row r="31" spans="1:83" ht="14.25" thickTop="1" x14ac:dyDescent="0.2"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</row>
    <row r="32" spans="1:83" x14ac:dyDescent="0.2">
      <c r="T32" s="810" t="e">
        <f>T9-#REF!</f>
        <v>#REF!</v>
      </c>
      <c r="U32" s="810" t="e">
        <f>U9-#REF!</f>
        <v>#REF!</v>
      </c>
      <c r="V32" s="810" t="e">
        <f>V9-#REF!</f>
        <v>#REF!</v>
      </c>
      <c r="W32" s="810" t="e">
        <f>W9-#REF!</f>
        <v>#REF!</v>
      </c>
      <c r="X32" s="810" t="e">
        <f>X9-#REF!</f>
        <v>#REF!</v>
      </c>
      <c r="Y32" s="810"/>
      <c r="Z32" s="810"/>
      <c r="AA32" s="810"/>
      <c r="AB32" s="810"/>
      <c r="AC32" s="810"/>
      <c r="AD32" s="810"/>
      <c r="AE32" s="810"/>
      <c r="AF32" s="810"/>
      <c r="AG32" s="810"/>
      <c r="AH32" s="810"/>
    </row>
  </sheetData>
  <mergeCells count="36">
    <mergeCell ref="AI4:AI5"/>
    <mergeCell ref="AJ4:AJ5"/>
    <mergeCell ref="AH4:AH5"/>
    <mergeCell ref="AG4:AG5"/>
    <mergeCell ref="T4:T5"/>
    <mergeCell ref="U4:U5"/>
    <mergeCell ref="V4:V5"/>
    <mergeCell ref="W4:W5"/>
    <mergeCell ref="AE4:AE5"/>
    <mergeCell ref="Y4:Y5"/>
    <mergeCell ref="Z4:Z5"/>
    <mergeCell ref="AA4:AA5"/>
    <mergeCell ref="AB4:AB5"/>
    <mergeCell ref="AC4:AC5"/>
    <mergeCell ref="AD4:AD5"/>
    <mergeCell ref="AF4:AF5"/>
    <mergeCell ref="X4:X5"/>
    <mergeCell ref="O4:O5"/>
    <mergeCell ref="P4:P5"/>
    <mergeCell ref="Q4:Q5"/>
    <mergeCell ref="R4:R5"/>
    <mergeCell ref="S4:S5"/>
    <mergeCell ref="M4:M5"/>
    <mergeCell ref="N4:N5"/>
    <mergeCell ref="L4:L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printOptions horizontalCentered="1" verticalCentered="1"/>
  <pageMargins left="0.62" right="0.32" top="0.84" bottom="1" header="0.5" footer="0.5"/>
  <pageSetup paperSize="9" scale="90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6"/>
  <sheetViews>
    <sheetView showGridLines="0" zoomScale="130" zoomScaleNormal="130" workbookViewId="0">
      <selection activeCell="P1" sqref="P1"/>
    </sheetView>
  </sheetViews>
  <sheetFormatPr defaultRowHeight="12.75" x14ac:dyDescent="0.2"/>
  <cols>
    <col min="1" max="1" width="2.1640625" customWidth="1"/>
    <col min="2" max="2" width="42.6640625" customWidth="1"/>
    <col min="3" max="6" width="10.1640625" bestFit="1" customWidth="1"/>
    <col min="8" max="8" width="3.5" customWidth="1"/>
    <col min="11" max="11" width="11.33203125" customWidth="1"/>
  </cols>
  <sheetData>
    <row r="2" spans="2:13" ht="15" hidden="1" x14ac:dyDescent="0.25">
      <c r="B2" s="354" t="s">
        <v>282</v>
      </c>
      <c r="C2" s="353">
        <v>2010</v>
      </c>
      <c r="D2" s="353">
        <v>2011</v>
      </c>
      <c r="E2" s="353">
        <v>2012</v>
      </c>
      <c r="F2" s="353">
        <v>2013</v>
      </c>
      <c r="G2" s="353">
        <v>2014</v>
      </c>
      <c r="H2" s="353"/>
      <c r="I2" s="353">
        <v>2015</v>
      </c>
      <c r="J2" s="396">
        <v>2016</v>
      </c>
    </row>
    <row r="3" spans="2:13" ht="15" hidden="1" x14ac:dyDescent="0.25">
      <c r="B3" s="352" t="s">
        <v>281</v>
      </c>
      <c r="C3" s="351">
        <v>100</v>
      </c>
      <c r="D3" s="350">
        <v>107.32330915349037</v>
      </c>
      <c r="E3" s="350">
        <v>113.42950744223346</v>
      </c>
      <c r="F3" s="350">
        <v>130.345704209404</v>
      </c>
      <c r="G3" s="350">
        <v>149.29271498116574</v>
      </c>
      <c r="H3" s="350"/>
      <c r="I3" s="350">
        <v>179.47327428012844</v>
      </c>
      <c r="J3" s="397">
        <v>191.17343623287942</v>
      </c>
    </row>
    <row r="4" spans="2:13" ht="15" hidden="1" x14ac:dyDescent="0.25">
      <c r="B4" s="352" t="s">
        <v>280</v>
      </c>
      <c r="C4" s="351">
        <v>100</v>
      </c>
      <c r="D4" s="350">
        <v>107.1274464534519</v>
      </c>
      <c r="E4" s="350">
        <v>112.45625361421948</v>
      </c>
      <c r="F4" s="350">
        <v>118.01151668609853</v>
      </c>
      <c r="G4" s="350">
        <v>124.0271075342888</v>
      </c>
      <c r="H4" s="350"/>
      <c r="I4" s="350">
        <v>134.52492137123957</v>
      </c>
      <c r="J4" s="397">
        <v>137.3587961315794</v>
      </c>
    </row>
    <row r="5" spans="2:13" hidden="1" x14ac:dyDescent="0.2"/>
    <row r="6" spans="2:13" hidden="1" x14ac:dyDescent="0.2">
      <c r="B6" s="443"/>
      <c r="C6" s="444"/>
      <c r="D6" s="444"/>
      <c r="E6" s="444"/>
      <c r="F6" s="444"/>
      <c r="G6" s="444"/>
      <c r="H6" s="444"/>
      <c r="I6" s="444"/>
      <c r="J6" s="444"/>
      <c r="K6" s="444"/>
      <c r="L6" s="444"/>
      <c r="M6" s="444"/>
    </row>
    <row r="7" spans="2:13" hidden="1" x14ac:dyDescent="0.2">
      <c r="B7" s="443"/>
      <c r="C7" s="445"/>
      <c r="D7" s="445"/>
      <c r="E7" s="445"/>
      <c r="F7" s="445"/>
      <c r="G7" s="445"/>
      <c r="H7" s="445"/>
      <c r="I7" s="445"/>
      <c r="J7" s="445"/>
      <c r="K7" s="445"/>
      <c r="L7" s="445"/>
    </row>
    <row r="8" spans="2:13" hidden="1" x14ac:dyDescent="0.2">
      <c r="B8" s="443"/>
      <c r="C8" s="445"/>
      <c r="D8" s="446"/>
      <c r="E8" s="446"/>
      <c r="F8" s="446"/>
      <c r="G8" s="446"/>
      <c r="H8" s="446"/>
      <c r="I8" s="446"/>
      <c r="J8" s="446"/>
      <c r="K8" s="446"/>
      <c r="L8" s="446"/>
    </row>
    <row r="9" spans="2:13" hidden="1" x14ac:dyDescent="0.2">
      <c r="B9" s="443"/>
      <c r="C9" s="445"/>
      <c r="D9" s="445"/>
      <c r="E9" s="445"/>
      <c r="F9" s="445"/>
      <c r="G9" s="445"/>
      <c r="H9" s="445"/>
      <c r="I9" s="445"/>
      <c r="J9" s="445"/>
      <c r="K9" s="445"/>
      <c r="L9" s="445"/>
    </row>
    <row r="10" spans="2:13" hidden="1" x14ac:dyDescent="0.2">
      <c r="B10" s="443"/>
      <c r="C10" s="445"/>
      <c r="D10" s="446"/>
      <c r="E10" s="446"/>
      <c r="F10" s="446"/>
      <c r="G10" s="446"/>
      <c r="H10" s="446"/>
      <c r="I10" s="446"/>
      <c r="J10" s="446"/>
      <c r="K10" s="446"/>
      <c r="L10" s="446"/>
    </row>
    <row r="11" spans="2:13" hidden="1" x14ac:dyDescent="0.2">
      <c r="B11" s="1008"/>
      <c r="C11" s="1008"/>
      <c r="D11" s="1008"/>
      <c r="E11" s="1008"/>
      <c r="F11" s="1008"/>
      <c r="G11" s="1008"/>
      <c r="H11" s="1008"/>
      <c r="I11" s="1008"/>
      <c r="J11" s="1008"/>
      <c r="K11" s="1008"/>
      <c r="L11" s="1008"/>
    </row>
    <row r="12" spans="2:13" hidden="1" x14ac:dyDescent="0.2">
      <c r="B12" s="443"/>
      <c r="C12" s="445"/>
      <c r="D12" s="445"/>
      <c r="E12" s="445"/>
      <c r="F12" s="447"/>
      <c r="G12" s="447"/>
      <c r="H12" s="447"/>
      <c r="I12" s="447"/>
      <c r="J12" s="447"/>
      <c r="K12" s="447"/>
      <c r="L12" s="447"/>
    </row>
    <row r="13" spans="2:13" hidden="1" x14ac:dyDescent="0.2">
      <c r="B13" s="448"/>
      <c r="C13" s="445"/>
      <c r="D13" s="445"/>
      <c r="E13" s="445"/>
      <c r="F13" s="445"/>
      <c r="G13" s="445"/>
      <c r="H13" s="445"/>
      <c r="I13" s="445"/>
      <c r="J13" s="445"/>
      <c r="K13" s="445"/>
      <c r="L13" s="445"/>
    </row>
    <row r="16" spans="2:13" x14ac:dyDescent="0.2">
      <c r="B16" s="615" t="s">
        <v>321</v>
      </c>
      <c r="I16" s="615" t="s">
        <v>320</v>
      </c>
    </row>
    <row r="17" spans="2:15" x14ac:dyDescent="0.2">
      <c r="B17" s="617" t="s">
        <v>309</v>
      </c>
      <c r="C17" s="617">
        <v>2013</v>
      </c>
      <c r="D17" s="617">
        <f>C17+1</f>
        <v>2014</v>
      </c>
      <c r="E17" s="617">
        <f t="shared" ref="E17:G17" si="0">D17+1</f>
        <v>2015</v>
      </c>
      <c r="F17" s="617">
        <f t="shared" si="0"/>
        <v>2016</v>
      </c>
      <c r="G17" s="617">
        <f t="shared" si="0"/>
        <v>2017</v>
      </c>
      <c r="I17" s="1011" t="s">
        <v>86</v>
      </c>
      <c r="J17" s="1009" t="s">
        <v>314</v>
      </c>
      <c r="K17" s="1010"/>
      <c r="L17" s="1009" t="s">
        <v>315</v>
      </c>
      <c r="M17" s="1010"/>
      <c r="N17" s="1009" t="s">
        <v>316</v>
      </c>
      <c r="O17" s="1010"/>
    </row>
    <row r="18" spans="2:15" ht="25.5" x14ac:dyDescent="0.2">
      <c r="B18" s="622" t="s">
        <v>310</v>
      </c>
      <c r="C18" s="618"/>
      <c r="D18" s="618"/>
      <c r="E18" s="618"/>
      <c r="F18" s="618"/>
      <c r="G18" s="618"/>
      <c r="H18" s="625"/>
      <c r="I18" s="1005"/>
      <c r="J18" s="623" t="s">
        <v>118</v>
      </c>
      <c r="K18" s="624" t="s">
        <v>313</v>
      </c>
      <c r="L18" s="623" t="s">
        <v>118</v>
      </c>
      <c r="M18" s="624" t="s">
        <v>313</v>
      </c>
      <c r="N18" s="623" t="s">
        <v>118</v>
      </c>
      <c r="O18" s="624" t="s">
        <v>313</v>
      </c>
    </row>
    <row r="19" spans="2:15" x14ac:dyDescent="0.2">
      <c r="B19" s="620" t="s">
        <v>311</v>
      </c>
      <c r="C19" s="618"/>
      <c r="D19" s="618"/>
      <c r="E19" s="618"/>
      <c r="F19" s="618"/>
      <c r="G19" s="618"/>
      <c r="H19" s="626"/>
      <c r="I19" s="627">
        <v>2013</v>
      </c>
      <c r="J19" s="397"/>
      <c r="K19" s="397"/>
      <c r="L19" s="397"/>
      <c r="M19" s="397"/>
      <c r="N19" s="397"/>
      <c r="O19" s="397"/>
    </row>
    <row r="20" spans="2:15" x14ac:dyDescent="0.2">
      <c r="B20" s="620" t="s">
        <v>312</v>
      </c>
      <c r="C20" s="621"/>
      <c r="D20" s="618"/>
      <c r="E20" s="618"/>
      <c r="F20" s="618"/>
      <c r="G20" s="618"/>
      <c r="H20" s="626"/>
      <c r="I20" s="627">
        <v>2014</v>
      </c>
      <c r="J20" s="397"/>
      <c r="K20" s="397"/>
      <c r="L20" s="397"/>
      <c r="M20" s="397"/>
      <c r="N20" s="397"/>
      <c r="O20" s="397"/>
    </row>
    <row r="21" spans="2:15" x14ac:dyDescent="0.2">
      <c r="H21" s="626"/>
      <c r="I21" s="627" t="s">
        <v>317</v>
      </c>
      <c r="J21" s="397"/>
      <c r="K21" s="397"/>
      <c r="L21" s="397"/>
      <c r="M21" s="397"/>
      <c r="N21" s="397"/>
      <c r="O21" s="397"/>
    </row>
    <row r="22" spans="2:15" x14ac:dyDescent="0.2">
      <c r="B22" s="616"/>
      <c r="C22" s="619"/>
      <c r="D22" s="619"/>
      <c r="E22" s="619"/>
      <c r="F22" s="619"/>
      <c r="G22" s="619"/>
      <c r="H22" s="619"/>
      <c r="I22" s="627" t="s">
        <v>318</v>
      </c>
      <c r="J22" s="397"/>
      <c r="K22" s="397"/>
      <c r="L22" s="397"/>
      <c r="M22" s="397"/>
      <c r="N22" s="397"/>
      <c r="O22" s="397"/>
    </row>
    <row r="23" spans="2:15" x14ac:dyDescent="0.2">
      <c r="B23" s="616"/>
      <c r="C23" s="619"/>
      <c r="D23" s="619"/>
      <c r="E23" s="619"/>
      <c r="F23" s="619"/>
      <c r="G23" s="619"/>
      <c r="H23" s="619"/>
      <c r="I23" s="627" t="s">
        <v>319</v>
      </c>
      <c r="J23" s="397"/>
      <c r="K23" s="397"/>
      <c r="L23" s="397"/>
      <c r="M23" s="397"/>
      <c r="N23" s="397"/>
      <c r="O23" s="397"/>
    </row>
    <row r="24" spans="2:15" x14ac:dyDescent="0.2">
      <c r="B24" s="616"/>
      <c r="C24" s="619"/>
      <c r="D24" s="619"/>
      <c r="E24" s="619"/>
      <c r="F24" s="619"/>
      <c r="G24" s="619"/>
      <c r="H24" s="619"/>
    </row>
    <row r="25" spans="2:15" x14ac:dyDescent="0.2">
      <c r="B25" s="616"/>
      <c r="C25" s="619"/>
      <c r="D25" s="619"/>
      <c r="E25" s="619"/>
      <c r="F25" s="619"/>
      <c r="G25" s="619"/>
      <c r="H25" s="619"/>
    </row>
    <row r="26" spans="2:15" x14ac:dyDescent="0.2">
      <c r="B26" s="616"/>
      <c r="C26" s="619"/>
      <c r="D26" s="619"/>
      <c r="E26" s="619"/>
      <c r="F26" s="619"/>
      <c r="G26" s="619"/>
      <c r="H26" s="619"/>
    </row>
  </sheetData>
  <mergeCells count="5">
    <mergeCell ref="B11:L11"/>
    <mergeCell ref="J17:K17"/>
    <mergeCell ref="L17:M17"/>
    <mergeCell ref="N17:O17"/>
    <mergeCell ref="I17:I18"/>
  </mergeCells>
  <conditionalFormatting sqref="F13:L13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M15"/>
  <sheetViews>
    <sheetView topLeftCell="B1" workbookViewId="0">
      <pane xSplit="1" ySplit="5" topLeftCell="C6" activePane="bottomRight" state="frozen"/>
      <selection activeCell="M5" sqref="M5"/>
      <selection pane="topRight" activeCell="M5" sqref="M5"/>
      <selection pane="bottomLeft" activeCell="M5" sqref="M5"/>
      <selection pane="bottomRight" activeCell="M5" sqref="M5"/>
    </sheetView>
  </sheetViews>
  <sheetFormatPr defaultRowHeight="12.75" x14ac:dyDescent="0.2"/>
  <cols>
    <col min="1" max="1" width="5.33203125" style="267" customWidth="1"/>
    <col min="2" max="2" width="30.1640625" customWidth="1"/>
    <col min="3" max="8" width="16.83203125" customWidth="1"/>
    <col min="9" max="9" width="16.33203125" customWidth="1"/>
    <col min="10" max="13" width="16.5" customWidth="1"/>
  </cols>
  <sheetData>
    <row r="1" spans="1:13" ht="15" x14ac:dyDescent="0.25">
      <c r="B1" s="628" t="s">
        <v>259</v>
      </c>
    </row>
    <row r="2" spans="1:13" x14ac:dyDescent="0.2">
      <c r="B2" s="286" t="s">
        <v>258</v>
      </c>
    </row>
    <row r="3" spans="1:13" ht="17.25" customHeight="1" thickBot="1" x14ac:dyDescent="0.25">
      <c r="B3" s="269"/>
      <c r="C3" s="270"/>
    </row>
    <row r="4" spans="1:13" s="267" customFormat="1" ht="15.75" thickTop="1" x14ac:dyDescent="0.2">
      <c r="A4" s="278" t="s">
        <v>127</v>
      </c>
      <c r="B4" s="278" t="s">
        <v>98</v>
      </c>
      <c r="C4" s="278">
        <v>2007</v>
      </c>
      <c r="D4" s="279">
        <v>2008</v>
      </c>
      <c r="E4" s="279">
        <v>2009</v>
      </c>
      <c r="F4" s="279">
        <v>2010</v>
      </c>
      <c r="G4" s="279">
        <v>2011</v>
      </c>
      <c r="H4" s="279">
        <v>2012</v>
      </c>
      <c r="I4" s="279">
        <v>2013</v>
      </c>
      <c r="J4" s="279">
        <v>2014</v>
      </c>
      <c r="K4" s="279">
        <v>2015</v>
      </c>
      <c r="L4" s="279">
        <v>2016</v>
      </c>
      <c r="M4" s="279">
        <v>2017</v>
      </c>
    </row>
    <row r="5" spans="1:13" ht="27.75" customHeight="1" x14ac:dyDescent="0.2">
      <c r="A5" s="280">
        <v>1</v>
      </c>
      <c r="B5" s="282" t="s">
        <v>248</v>
      </c>
      <c r="C5" s="272">
        <f>'Data Penunjang'!W37</f>
        <v>1099402.3700000001</v>
      </c>
      <c r="D5" s="273">
        <f>C14</f>
        <v>1118135.3700000001</v>
      </c>
      <c r="E5" s="273">
        <f t="shared" ref="E5:M5" si="0">D14</f>
        <v>1077401</v>
      </c>
      <c r="F5" s="273">
        <f t="shared" si="0"/>
        <v>1062957</v>
      </c>
      <c r="G5" s="273">
        <f t="shared" si="0"/>
        <v>1051725</v>
      </c>
      <c r="H5" s="273">
        <f t="shared" si="0"/>
        <v>1051334</v>
      </c>
      <c r="I5" s="273">
        <f t="shared" si="0"/>
        <v>1058626</v>
      </c>
      <c r="J5" s="273">
        <f t="shared" si="0"/>
        <v>1074858.75</v>
      </c>
      <c r="K5" s="273">
        <f t="shared" si="0"/>
        <v>1098198.75</v>
      </c>
      <c r="L5" s="273">
        <f t="shared" si="0"/>
        <v>1118527.1200000001</v>
      </c>
      <c r="M5" s="273">
        <f t="shared" si="0"/>
        <v>1123007.1200000001</v>
      </c>
    </row>
    <row r="6" spans="1:13" ht="16.5" customHeight="1" x14ac:dyDescent="0.2">
      <c r="A6" s="280">
        <v>2</v>
      </c>
      <c r="B6" s="282" t="s">
        <v>249</v>
      </c>
      <c r="C6" s="271"/>
      <c r="D6" s="274"/>
      <c r="E6" s="274"/>
      <c r="F6" s="274"/>
      <c r="G6" s="274"/>
      <c r="H6" s="274"/>
      <c r="I6" s="274"/>
      <c r="J6" s="274"/>
      <c r="K6" s="274"/>
      <c r="L6" s="274"/>
      <c r="M6" s="274"/>
    </row>
    <row r="7" spans="1:13" ht="16.5" customHeight="1" x14ac:dyDescent="0.2">
      <c r="A7" s="280"/>
      <c r="B7" s="282" t="s">
        <v>250</v>
      </c>
      <c r="C7" s="288">
        <f>'Data Penunjang'!W48</f>
        <v>62605</v>
      </c>
      <c r="D7" s="288">
        <f>'Data Penunjang'!X48</f>
        <v>32016</v>
      </c>
      <c r="E7" s="288">
        <f>'Data Penunjang'!Y48</f>
        <v>19150</v>
      </c>
      <c r="F7" s="288">
        <f>'Data Penunjang'!Z48</f>
        <v>19324</v>
      </c>
      <c r="G7" s="288">
        <f>'Data Penunjang'!AA48</f>
        <v>29868</v>
      </c>
      <c r="H7" s="288">
        <f>'Data Penunjang'!AB48</f>
        <v>24529</v>
      </c>
      <c r="I7" s="288">
        <f>'Data Penunjang'!AC48</f>
        <v>16232.75</v>
      </c>
      <c r="J7" s="288">
        <f>'Data Penunjang'!AD48</f>
        <v>23340</v>
      </c>
      <c r="K7" s="288">
        <f>'Data Penunjang'!AE48</f>
        <v>20328.37</v>
      </c>
      <c r="L7" s="288">
        <f>'Data Penunjang'!AF48</f>
        <v>4480</v>
      </c>
      <c r="M7" s="288">
        <f>'Data Penunjang'!AG48</f>
        <v>7261.3600000000006</v>
      </c>
    </row>
    <row r="8" spans="1:13" ht="16.5" customHeight="1" x14ac:dyDescent="0.2">
      <c r="A8" s="280"/>
      <c r="B8" s="282" t="s">
        <v>251</v>
      </c>
      <c r="C8" s="275"/>
      <c r="D8" s="275">
        <f>'Data Penunjang'!X39</f>
        <v>1131.6299999998882</v>
      </c>
      <c r="E8" s="275">
        <f>'Data Penunjang'!Y39</f>
        <v>0</v>
      </c>
      <c r="F8" s="275">
        <f>'Data Penunjang'!Z39</f>
        <v>-0.33000000007450581</v>
      </c>
      <c r="G8" s="275">
        <f>'Data Penunjang'!AA39</f>
        <v>0</v>
      </c>
      <c r="H8" s="275">
        <f>'Data Penunjang'!AB39</f>
        <v>0.33000000007450581</v>
      </c>
      <c r="I8" s="275">
        <f>'Data Penunjang'!AC39</f>
        <v>137838</v>
      </c>
      <c r="J8" s="275">
        <f>'Data Penunjang'!AD39</f>
        <v>-162931</v>
      </c>
      <c r="K8" s="275">
        <f>'Data Penunjang'!AE39</f>
        <v>1403.8956811300013</v>
      </c>
      <c r="L8" s="275">
        <f>'Data Penunjang'!AF39</f>
        <v>-107941.1725811325</v>
      </c>
      <c r="M8" s="275">
        <f>'Data Penunjang'!AG39</f>
        <v>-5786.7230999975</v>
      </c>
    </row>
    <row r="9" spans="1:13" ht="16.5" customHeight="1" x14ac:dyDescent="0.2">
      <c r="A9" s="280"/>
      <c r="B9" s="282" t="s">
        <v>252</v>
      </c>
      <c r="C9" s="276">
        <f>C8+C7</f>
        <v>62605</v>
      </c>
      <c r="D9" s="276">
        <f t="shared" ref="D9:I9" si="1">D8+D7</f>
        <v>33147.629999999888</v>
      </c>
      <c r="E9" s="276">
        <f t="shared" si="1"/>
        <v>19150</v>
      </c>
      <c r="F9" s="276">
        <f t="shared" si="1"/>
        <v>19323.669999999925</v>
      </c>
      <c r="G9" s="276">
        <f t="shared" si="1"/>
        <v>29868</v>
      </c>
      <c r="H9" s="276">
        <f t="shared" si="1"/>
        <v>24529.330000000075</v>
      </c>
      <c r="I9" s="276">
        <f t="shared" si="1"/>
        <v>154070.75</v>
      </c>
      <c r="J9" s="276">
        <f t="shared" ref="J9:K9" si="2">J8+J7</f>
        <v>-139591</v>
      </c>
      <c r="K9" s="276">
        <f t="shared" si="2"/>
        <v>21732.26568113</v>
      </c>
      <c r="L9" s="276">
        <f t="shared" ref="L9:M9" si="3">L8+L7</f>
        <v>-103461.1725811325</v>
      </c>
      <c r="M9" s="276">
        <f t="shared" si="3"/>
        <v>1474.6369000025006</v>
      </c>
    </row>
    <row r="10" spans="1:13" ht="15" x14ac:dyDescent="0.2">
      <c r="A10" s="280">
        <v>3</v>
      </c>
      <c r="B10" s="282" t="s">
        <v>253</v>
      </c>
      <c r="C10" s="271"/>
      <c r="D10" s="274"/>
      <c r="E10" s="274"/>
      <c r="F10" s="274"/>
      <c r="G10" s="274"/>
      <c r="H10" s="274"/>
      <c r="I10" s="274"/>
      <c r="J10" s="274"/>
      <c r="K10" s="274"/>
      <c r="L10" s="274"/>
      <c r="M10" s="274"/>
    </row>
    <row r="11" spans="1:13" ht="16.5" customHeight="1" x14ac:dyDescent="0.2">
      <c r="A11" s="280"/>
      <c r="B11" s="282" t="s">
        <v>254</v>
      </c>
      <c r="C11" s="287">
        <f>39708+3033</f>
        <v>42741</v>
      </c>
      <c r="D11" s="287">
        <f>70890+2992</f>
        <v>73882</v>
      </c>
      <c r="E11" s="287">
        <f>31029+2565</f>
        <v>33594</v>
      </c>
      <c r="F11" s="287">
        <f>28054+2502</f>
        <v>30556</v>
      </c>
      <c r="G11" s="287">
        <f>27622+2637</f>
        <v>30259</v>
      </c>
      <c r="H11" s="287">
        <f>14622+2615</f>
        <v>17237</v>
      </c>
      <c r="I11" s="287"/>
      <c r="J11" s="287"/>
      <c r="K11" s="287"/>
      <c r="L11" s="287"/>
      <c r="M11" s="287"/>
    </row>
    <row r="12" spans="1:13" ht="16.5" customHeight="1" x14ac:dyDescent="0.2">
      <c r="A12" s="280"/>
      <c r="B12" s="282" t="s">
        <v>255</v>
      </c>
      <c r="C12" s="275">
        <v>1131</v>
      </c>
      <c r="D12" s="275"/>
      <c r="E12" s="275">
        <f>'Data Penunjang'!Y39</f>
        <v>0</v>
      </c>
      <c r="F12" s="275">
        <f>'Data Penunjang'!Z39</f>
        <v>-0.33000000007450581</v>
      </c>
      <c r="G12" s="275">
        <f>'Data Penunjang'!AA39</f>
        <v>0</v>
      </c>
      <c r="H12" s="275">
        <f>'Data Penunjang'!AB39</f>
        <v>0.33000000007450581</v>
      </c>
      <c r="I12" s="275">
        <f>'Data Penunjang'!AC39</f>
        <v>137838</v>
      </c>
      <c r="J12" s="275">
        <f>'Data Penunjang'!AD39</f>
        <v>-162931</v>
      </c>
      <c r="K12" s="275">
        <f>'Data Penunjang'!AE39</f>
        <v>1403.8956811300013</v>
      </c>
      <c r="L12" s="275">
        <f>'Data Penunjang'!AF39</f>
        <v>-107941.1725811325</v>
      </c>
      <c r="M12" s="275">
        <f>'Data Penunjang'!AG39</f>
        <v>-5786.7230999975</v>
      </c>
    </row>
    <row r="13" spans="1:13" ht="16.5" customHeight="1" x14ac:dyDescent="0.2">
      <c r="A13" s="280"/>
      <c r="B13" s="282" t="s">
        <v>256</v>
      </c>
      <c r="C13" s="275">
        <f>C12+C11</f>
        <v>43872</v>
      </c>
      <c r="D13" s="275">
        <f t="shared" ref="D13:H13" si="4">D12+D11</f>
        <v>73882</v>
      </c>
      <c r="E13" s="275">
        <f t="shared" si="4"/>
        <v>33594</v>
      </c>
      <c r="F13" s="275">
        <f t="shared" si="4"/>
        <v>30555.669999999925</v>
      </c>
      <c r="G13" s="275">
        <f t="shared" si="4"/>
        <v>30259</v>
      </c>
      <c r="H13" s="275">
        <f t="shared" si="4"/>
        <v>17237.330000000075</v>
      </c>
      <c r="I13" s="275">
        <f t="shared" ref="I13" si="5">I12+I11</f>
        <v>137838</v>
      </c>
      <c r="J13" s="275">
        <f t="shared" ref="J13:K13" si="6">J12+J11</f>
        <v>-162931</v>
      </c>
      <c r="K13" s="275">
        <f t="shared" si="6"/>
        <v>1403.8956811300013</v>
      </c>
      <c r="L13" s="275">
        <f t="shared" ref="L13:M13" si="7">L12+L11</f>
        <v>-107941.1725811325</v>
      </c>
      <c r="M13" s="275">
        <f t="shared" si="7"/>
        <v>-5786.7230999975</v>
      </c>
    </row>
    <row r="14" spans="1:13" ht="32.25" customHeight="1" thickBot="1" x14ac:dyDescent="0.25">
      <c r="A14" s="281">
        <v>4</v>
      </c>
      <c r="B14" s="283" t="s">
        <v>257</v>
      </c>
      <c r="C14" s="277">
        <f>C5+C9-C13</f>
        <v>1118135.3700000001</v>
      </c>
      <c r="D14" s="277">
        <f t="shared" ref="D14:I14" si="8">D5+D9-D13</f>
        <v>1077401</v>
      </c>
      <c r="E14" s="277">
        <f t="shared" si="8"/>
        <v>1062957</v>
      </c>
      <c r="F14" s="277">
        <f t="shared" si="8"/>
        <v>1051725</v>
      </c>
      <c r="G14" s="277">
        <f t="shared" si="8"/>
        <v>1051334</v>
      </c>
      <c r="H14" s="277">
        <f t="shared" si="8"/>
        <v>1058626</v>
      </c>
      <c r="I14" s="277">
        <f t="shared" si="8"/>
        <v>1074858.75</v>
      </c>
      <c r="J14" s="277">
        <f t="shared" ref="J14:K14" si="9">J5+J9-J13</f>
        <v>1098198.75</v>
      </c>
      <c r="K14" s="277">
        <f t="shared" si="9"/>
        <v>1118527.1200000001</v>
      </c>
      <c r="L14" s="277">
        <f t="shared" ref="L14:M14" si="10">L5+L9-L13</f>
        <v>1123007.1200000001</v>
      </c>
      <c r="M14" s="277">
        <f t="shared" si="10"/>
        <v>1130268.4800000002</v>
      </c>
    </row>
    <row r="15" spans="1:13" ht="13.5" thickTop="1" x14ac:dyDescent="0.2">
      <c r="D15" s="284">
        <f t="shared" ref="D15:G15" si="11">D14/C14*100-100</f>
        <v>-3.6430624674720775</v>
      </c>
      <c r="E15" s="284">
        <f t="shared" si="11"/>
        <v>-1.3406336173810871</v>
      </c>
      <c r="F15" s="284">
        <f t="shared" si="11"/>
        <v>-1.0566749172355969</v>
      </c>
      <c r="G15" s="284">
        <f t="shared" si="11"/>
        <v>-3.7177018707353682E-2</v>
      </c>
      <c r="H15" s="284">
        <f t="shared" ref="H15:M15" si="12">H14/G14*100-100</f>
        <v>0.69359499454976969</v>
      </c>
      <c r="I15" s="284">
        <f t="shared" si="12"/>
        <v>1.5333791159484207</v>
      </c>
      <c r="J15" s="284">
        <f t="shared" si="12"/>
        <v>2.1714481088794173</v>
      </c>
      <c r="K15" s="284">
        <f t="shared" si="12"/>
        <v>1.8510647548997952</v>
      </c>
      <c r="L15" s="284">
        <f t="shared" si="12"/>
        <v>0.40052672124748767</v>
      </c>
      <c r="M15" s="284">
        <f t="shared" si="12"/>
        <v>0.6465996404368326</v>
      </c>
    </row>
  </sheetData>
  <pageMargins left="0.7" right="0.7" top="0.75" bottom="0.75" header="0.3" footer="0.3"/>
  <pageSetup orientation="portrait" copies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M15"/>
  <sheetViews>
    <sheetView workbookViewId="0">
      <pane xSplit="2" ySplit="4" topLeftCell="D5" activePane="bottomRight" state="frozen"/>
      <selection activeCell="M5" sqref="M5"/>
      <selection pane="topRight" activeCell="M5" sqref="M5"/>
      <selection pane="bottomLeft" activeCell="M5" sqref="M5"/>
      <selection pane="bottomRight" activeCell="M5" sqref="M5"/>
    </sheetView>
  </sheetViews>
  <sheetFormatPr defaultRowHeight="12.75" x14ac:dyDescent="0.2"/>
  <cols>
    <col min="1" max="1" width="5.33203125" style="267" customWidth="1"/>
    <col min="2" max="2" width="30.1640625" customWidth="1"/>
    <col min="3" max="8" width="16.83203125" customWidth="1"/>
    <col min="9" max="13" width="18.1640625" customWidth="1"/>
  </cols>
  <sheetData>
    <row r="1" spans="1:13" ht="15" x14ac:dyDescent="0.2">
      <c r="A1" s="268" t="s">
        <v>259</v>
      </c>
    </row>
    <row r="2" spans="1:13" x14ac:dyDescent="0.2">
      <c r="A2" s="286" t="s">
        <v>260</v>
      </c>
    </row>
    <row r="3" spans="1:13" ht="17.25" customHeight="1" thickBot="1" x14ac:dyDescent="0.25">
      <c r="B3" s="269"/>
      <c r="C3" s="270"/>
    </row>
    <row r="4" spans="1:13" s="267" customFormat="1" ht="15.75" thickTop="1" x14ac:dyDescent="0.2">
      <c r="A4" s="278" t="s">
        <v>127</v>
      </c>
      <c r="B4" s="278" t="s">
        <v>98</v>
      </c>
      <c r="C4" s="278">
        <v>2007</v>
      </c>
      <c r="D4" s="279">
        <v>2008</v>
      </c>
      <c r="E4" s="279">
        <v>2009</v>
      </c>
      <c r="F4" s="279">
        <v>2010</v>
      </c>
      <c r="G4" s="279">
        <v>2011</v>
      </c>
      <c r="H4" s="279">
        <v>2012</v>
      </c>
      <c r="I4" s="279">
        <v>2013</v>
      </c>
      <c r="J4" s="279">
        <v>2014</v>
      </c>
      <c r="K4" s="279">
        <v>2015</v>
      </c>
      <c r="L4" s="279">
        <v>2016</v>
      </c>
      <c r="M4" s="279">
        <v>2017</v>
      </c>
    </row>
    <row r="5" spans="1:13" ht="27.75" customHeight="1" x14ac:dyDescent="0.2">
      <c r="A5" s="280">
        <v>1</v>
      </c>
      <c r="B5" s="282" t="s">
        <v>248</v>
      </c>
      <c r="C5" s="272">
        <f>'Data Penunjang'!W38</f>
        <v>692698.32</v>
      </c>
      <c r="D5" s="273">
        <f>C14</f>
        <v>801479.60999999987</v>
      </c>
      <c r="E5" s="273">
        <f t="shared" ref="E5:M5" si="0">D14</f>
        <v>820599.28999999992</v>
      </c>
      <c r="F5" s="273">
        <f t="shared" si="0"/>
        <v>836074.28999999992</v>
      </c>
      <c r="G5" s="273">
        <f t="shared" si="0"/>
        <v>869107.91999999993</v>
      </c>
      <c r="H5" s="273">
        <f t="shared" si="0"/>
        <v>870837.91999999993</v>
      </c>
      <c r="I5" s="273">
        <f t="shared" si="0"/>
        <v>872259.91999999993</v>
      </c>
      <c r="J5" s="273">
        <f t="shared" si="0"/>
        <v>868964.41999999993</v>
      </c>
      <c r="K5" s="273">
        <f t="shared" si="0"/>
        <v>885343.41999999993</v>
      </c>
      <c r="L5" s="273">
        <f t="shared" si="0"/>
        <v>902413.30999999994</v>
      </c>
      <c r="M5" s="273">
        <f t="shared" si="0"/>
        <v>906585.30999999994</v>
      </c>
    </row>
    <row r="6" spans="1:13" ht="16.5" customHeight="1" x14ac:dyDescent="0.2">
      <c r="A6" s="280">
        <v>2</v>
      </c>
      <c r="B6" s="282" t="s">
        <v>249</v>
      </c>
      <c r="C6" s="271"/>
      <c r="D6" s="274"/>
      <c r="E6" s="274"/>
      <c r="F6" s="274"/>
      <c r="G6" s="274"/>
      <c r="H6" s="274"/>
      <c r="I6" s="274"/>
      <c r="J6" s="274"/>
      <c r="K6" s="274"/>
      <c r="L6" s="274"/>
      <c r="M6" s="274"/>
    </row>
    <row r="7" spans="1:13" ht="16.5" customHeight="1" x14ac:dyDescent="0.2">
      <c r="A7" s="280"/>
      <c r="B7" s="282" t="s">
        <v>250</v>
      </c>
      <c r="C7" s="288">
        <f>'Data Penunjang'!W49</f>
        <v>101817</v>
      </c>
      <c r="D7" s="288">
        <f>'Data Penunjang'!X49</f>
        <v>66459</v>
      </c>
      <c r="E7" s="288">
        <f>'Data Penunjang'!Y49</f>
        <v>34884</v>
      </c>
      <c r="F7" s="288">
        <f>'Data Penunjang'!Z49</f>
        <v>47598.63</v>
      </c>
      <c r="G7" s="288">
        <f>'Data Penunjang'!AA49</f>
        <v>17881</v>
      </c>
      <c r="H7" s="288">
        <f>'Data Penunjang'!AB49</f>
        <v>13878</v>
      </c>
      <c r="I7" s="288">
        <f>'Data Penunjang'!AC49</f>
        <v>15739</v>
      </c>
      <c r="J7" s="288">
        <f>'Data Penunjang'!AD49</f>
        <v>16379</v>
      </c>
      <c r="K7" s="288">
        <f>'Data Penunjang'!AE49</f>
        <v>17069.890000000003</v>
      </c>
      <c r="L7" s="288">
        <f>'Data Penunjang'!AF49</f>
        <v>4172</v>
      </c>
      <c r="M7" s="288">
        <f>'Data Penunjang'!AG49</f>
        <v>11194.994000000001</v>
      </c>
    </row>
    <row r="8" spans="1:13" ht="16.5" customHeight="1" x14ac:dyDescent="0.2">
      <c r="A8" s="280"/>
      <c r="B8" s="282" t="s">
        <v>251</v>
      </c>
      <c r="C8" s="288">
        <f>'Data Penunjang'!W40</f>
        <v>25927.289999999921</v>
      </c>
      <c r="D8" s="275"/>
      <c r="E8" s="275">
        <f>'Data Penunjang'!Y40</f>
        <v>0</v>
      </c>
      <c r="F8" s="275">
        <f>'Data Penunjang'!Z40</f>
        <v>3.0000000027939677E-2</v>
      </c>
      <c r="G8" s="275">
        <f>'Data Penunjang'!AA40</f>
        <v>0.30000000004656613</v>
      </c>
      <c r="H8" s="275">
        <f>'Data Penunjang'!AB40</f>
        <v>62196.669999999925</v>
      </c>
      <c r="I8" s="275">
        <f>'Data Penunjang'!AC40</f>
        <v>477666</v>
      </c>
      <c r="J8" s="275">
        <f>'Data Penunjang'!AD40</f>
        <v>-475445</v>
      </c>
      <c r="K8" s="275">
        <f>'Data Penunjang'!AE40</f>
        <v>954.50431886990555</v>
      </c>
      <c r="L8" s="275">
        <f>'Data Penunjang'!AF40</f>
        <v>-296256.50431886991</v>
      </c>
      <c r="M8" s="275">
        <f>'Data Penunjang'!AG40</f>
        <v>5841</v>
      </c>
    </row>
    <row r="9" spans="1:13" ht="16.5" customHeight="1" x14ac:dyDescent="0.2">
      <c r="A9" s="280"/>
      <c r="B9" s="282" t="s">
        <v>252</v>
      </c>
      <c r="C9" s="276">
        <f>C8+C7</f>
        <v>127744.28999999992</v>
      </c>
      <c r="D9" s="276">
        <f t="shared" ref="D9:H9" si="1">D8+D7</f>
        <v>66459</v>
      </c>
      <c r="E9" s="276">
        <f t="shared" si="1"/>
        <v>34884</v>
      </c>
      <c r="F9" s="276">
        <f t="shared" si="1"/>
        <v>47598.660000000025</v>
      </c>
      <c r="G9" s="276">
        <f t="shared" si="1"/>
        <v>17881.300000000047</v>
      </c>
      <c r="H9" s="276">
        <f t="shared" si="1"/>
        <v>76074.669999999925</v>
      </c>
      <c r="I9" s="276">
        <f t="shared" ref="I9:J9" si="2">I8+I7</f>
        <v>493405</v>
      </c>
      <c r="J9" s="276">
        <f t="shared" si="2"/>
        <v>-459066</v>
      </c>
      <c r="K9" s="276">
        <f t="shared" ref="K9:L9" si="3">K8+K7</f>
        <v>18024.394318869909</v>
      </c>
      <c r="L9" s="276">
        <f t="shared" si="3"/>
        <v>-292084.50431886991</v>
      </c>
      <c r="M9" s="276">
        <f t="shared" ref="M9" si="4">M8+M7</f>
        <v>17035.993999999999</v>
      </c>
    </row>
    <row r="10" spans="1:13" ht="15" x14ac:dyDescent="0.2">
      <c r="A10" s="280">
        <v>3</v>
      </c>
      <c r="B10" s="282" t="s">
        <v>253</v>
      </c>
      <c r="C10" s="271"/>
      <c r="D10" s="274"/>
      <c r="E10" s="274"/>
      <c r="F10" s="274"/>
      <c r="G10" s="274"/>
      <c r="H10" s="274"/>
      <c r="I10" s="274"/>
      <c r="J10" s="274"/>
      <c r="K10" s="274"/>
      <c r="L10" s="274"/>
      <c r="M10" s="274"/>
    </row>
    <row r="11" spans="1:13" ht="16.5" customHeight="1" x14ac:dyDescent="0.2">
      <c r="A11" s="280"/>
      <c r="B11" s="282" t="s">
        <v>254</v>
      </c>
      <c r="C11" s="287">
        <f>927+18036</f>
        <v>18963</v>
      </c>
      <c r="D11" s="287">
        <f>1187+20225</f>
        <v>21412</v>
      </c>
      <c r="E11" s="287">
        <f>483+18926</f>
        <v>19409</v>
      </c>
      <c r="F11" s="287">
        <f>610+13955</f>
        <v>14565</v>
      </c>
      <c r="G11" s="287">
        <f>571+15580</f>
        <v>16151</v>
      </c>
      <c r="H11" s="287">
        <f>987+11469</f>
        <v>12456</v>
      </c>
      <c r="I11" s="287">
        <v>19034.5</v>
      </c>
      <c r="J11" s="287"/>
      <c r="K11" s="287"/>
      <c r="L11" s="287"/>
      <c r="M11" s="287"/>
    </row>
    <row r="12" spans="1:13" ht="16.5" customHeight="1" x14ac:dyDescent="0.2">
      <c r="A12" s="280"/>
      <c r="B12" s="282" t="s">
        <v>255</v>
      </c>
      <c r="C12" s="275"/>
      <c r="D12" s="288">
        <v>25927.319999999901</v>
      </c>
      <c r="E12" s="275">
        <f>'Data Penunjang'!Y40</f>
        <v>0</v>
      </c>
      <c r="F12" s="275">
        <f>'Data Penunjang'!Z40</f>
        <v>3.0000000027939677E-2</v>
      </c>
      <c r="G12" s="275">
        <f>'Data Penunjang'!AA40</f>
        <v>0.30000000004656613</v>
      </c>
      <c r="H12" s="275">
        <f>'Data Penunjang'!AB40</f>
        <v>62196.669999999925</v>
      </c>
      <c r="I12" s="275">
        <f>'Data Penunjang'!AC40</f>
        <v>477666</v>
      </c>
      <c r="J12" s="275">
        <f>'Data Penunjang'!AD40</f>
        <v>-475445</v>
      </c>
      <c r="K12" s="275">
        <f>'Data Penunjang'!AE40</f>
        <v>954.50431886990555</v>
      </c>
      <c r="L12" s="275">
        <f>'Data Penunjang'!AF40</f>
        <v>-296256.50431886991</v>
      </c>
      <c r="M12" s="275">
        <f>'Data Penunjang'!AG40</f>
        <v>5841</v>
      </c>
    </row>
    <row r="13" spans="1:13" ht="16.5" customHeight="1" x14ac:dyDescent="0.2">
      <c r="A13" s="280"/>
      <c r="B13" s="282" t="s">
        <v>256</v>
      </c>
      <c r="C13" s="275">
        <f>C12+C11</f>
        <v>18963</v>
      </c>
      <c r="D13" s="275">
        <f t="shared" ref="D13:H13" si="5">D12+D11</f>
        <v>47339.319999999905</v>
      </c>
      <c r="E13" s="275">
        <f t="shared" si="5"/>
        <v>19409</v>
      </c>
      <c r="F13" s="275">
        <f t="shared" si="5"/>
        <v>14565.030000000028</v>
      </c>
      <c r="G13" s="275">
        <f t="shared" si="5"/>
        <v>16151.300000000047</v>
      </c>
      <c r="H13" s="275">
        <f t="shared" si="5"/>
        <v>74652.669999999925</v>
      </c>
      <c r="I13" s="275">
        <f t="shared" ref="I13:J13" si="6">I12+I11</f>
        <v>496700.5</v>
      </c>
      <c r="J13" s="275">
        <f t="shared" si="6"/>
        <v>-475445</v>
      </c>
      <c r="K13" s="275">
        <f t="shared" ref="K13:L13" si="7">K12+K11</f>
        <v>954.50431886990555</v>
      </c>
      <c r="L13" s="275">
        <f t="shared" si="7"/>
        <v>-296256.50431886991</v>
      </c>
      <c r="M13" s="275">
        <f t="shared" ref="M13" si="8">M12+M11</f>
        <v>5841</v>
      </c>
    </row>
    <row r="14" spans="1:13" ht="32.25" customHeight="1" thickBot="1" x14ac:dyDescent="0.25">
      <c r="A14" s="281">
        <v>4</v>
      </c>
      <c r="B14" s="283" t="s">
        <v>257</v>
      </c>
      <c r="C14" s="277">
        <f>C5+C9-C13</f>
        <v>801479.60999999987</v>
      </c>
      <c r="D14" s="277">
        <f t="shared" ref="D14:H14" si="9">D5+D9-D13</f>
        <v>820599.28999999992</v>
      </c>
      <c r="E14" s="277">
        <f t="shared" si="9"/>
        <v>836074.28999999992</v>
      </c>
      <c r="F14" s="277">
        <f t="shared" si="9"/>
        <v>869107.91999999993</v>
      </c>
      <c r="G14" s="277">
        <f t="shared" si="9"/>
        <v>870837.91999999993</v>
      </c>
      <c r="H14" s="277">
        <f t="shared" si="9"/>
        <v>872259.91999999993</v>
      </c>
      <c r="I14" s="277">
        <f t="shared" ref="I14:J14" si="10">I5+I9-I13</f>
        <v>868964.41999999993</v>
      </c>
      <c r="J14" s="277">
        <f t="shared" si="10"/>
        <v>885343.41999999993</v>
      </c>
      <c r="K14" s="277">
        <f t="shared" ref="K14:L14" si="11">K5+K9-K13</f>
        <v>902413.30999999994</v>
      </c>
      <c r="L14" s="277">
        <f t="shared" si="11"/>
        <v>906585.30999999994</v>
      </c>
      <c r="M14" s="277">
        <f t="shared" ref="M14" si="12">M5+M9-M13</f>
        <v>917780.30399999989</v>
      </c>
    </row>
    <row r="15" spans="1:13" ht="13.5" thickTop="1" x14ac:dyDescent="0.2">
      <c r="D15" s="284">
        <f t="shared" ref="D15:G15" si="13">D14/C14*100-100</f>
        <v>2.3855478993408212</v>
      </c>
      <c r="E15" s="284">
        <f t="shared" si="13"/>
        <v>1.885816888776489</v>
      </c>
      <c r="F15" s="284">
        <f t="shared" si="13"/>
        <v>3.9510400445395817</v>
      </c>
      <c r="G15" s="284">
        <f t="shared" si="13"/>
        <v>0.19905468126444248</v>
      </c>
      <c r="H15" s="284">
        <f>H14/G14*100-100</f>
        <v>0.16329100597731383</v>
      </c>
      <c r="I15" s="284">
        <f t="shared" ref="I15:M15" si="14">I14/H14*100-100</f>
        <v>-0.37781169631180944</v>
      </c>
      <c r="J15" s="284">
        <f t="shared" si="14"/>
        <v>1.8848873006791251</v>
      </c>
      <c r="K15" s="284">
        <f t="shared" si="14"/>
        <v>1.9280529582520671</v>
      </c>
      <c r="L15" s="284">
        <f t="shared" si="14"/>
        <v>0.46231587608120606</v>
      </c>
      <c r="M15" s="284">
        <f t="shared" si="14"/>
        <v>1.2348527906325728</v>
      </c>
    </row>
  </sheetData>
  <pageMargins left="0.7" right="0.7" top="0.75" bottom="0.75" header="0.3" footer="0.3"/>
  <pageSetup orientation="portrait" copies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M15"/>
  <sheetViews>
    <sheetView topLeftCell="B1" workbookViewId="0">
      <selection activeCell="M5" sqref="M5"/>
    </sheetView>
  </sheetViews>
  <sheetFormatPr defaultRowHeight="12.75" x14ac:dyDescent="0.2"/>
  <cols>
    <col min="1" max="1" width="5.33203125" style="267" customWidth="1"/>
    <col min="2" max="2" width="30.1640625" customWidth="1"/>
    <col min="3" max="8" width="16.83203125" customWidth="1"/>
    <col min="9" max="9" width="17.83203125" customWidth="1"/>
    <col min="10" max="13" width="16.1640625" customWidth="1"/>
  </cols>
  <sheetData>
    <row r="1" spans="1:13" ht="15" x14ac:dyDescent="0.2">
      <c r="A1" s="268" t="s">
        <v>259</v>
      </c>
    </row>
    <row r="2" spans="1:13" x14ac:dyDescent="0.2">
      <c r="A2" s="291" t="s">
        <v>261</v>
      </c>
      <c r="B2" s="292"/>
    </row>
    <row r="3" spans="1:13" ht="17.25" customHeight="1" thickBot="1" x14ac:dyDescent="0.25">
      <c r="A3" s="293" t="s">
        <v>262</v>
      </c>
      <c r="B3" s="294"/>
      <c r="C3" s="270"/>
    </row>
    <row r="4" spans="1:13" s="267" customFormat="1" ht="15.75" thickTop="1" x14ac:dyDescent="0.2">
      <c r="A4" s="278" t="s">
        <v>127</v>
      </c>
      <c r="B4" s="278" t="s">
        <v>98</v>
      </c>
      <c r="C4" s="278">
        <v>2007</v>
      </c>
      <c r="D4" s="279">
        <v>2008</v>
      </c>
      <c r="E4" s="279">
        <v>2009</v>
      </c>
      <c r="F4" s="279">
        <v>2010</v>
      </c>
      <c r="G4" s="279">
        <v>2011</v>
      </c>
      <c r="H4" s="279">
        <v>2012</v>
      </c>
      <c r="I4" s="279">
        <v>2013</v>
      </c>
      <c r="J4" s="279">
        <v>2014</v>
      </c>
      <c r="K4" s="279">
        <v>2015</v>
      </c>
      <c r="L4" s="279">
        <v>2016</v>
      </c>
      <c r="M4" s="279">
        <v>2017</v>
      </c>
    </row>
    <row r="5" spans="1:13" ht="27.75" customHeight="1" x14ac:dyDescent="0.2">
      <c r="A5" s="280">
        <v>1</v>
      </c>
      <c r="B5" s="282" t="s">
        <v>248</v>
      </c>
      <c r="C5" s="272">
        <f>'Data Penunjang'!W20</f>
        <v>22795961</v>
      </c>
      <c r="D5" s="273">
        <f>C14</f>
        <v>23000845.186999999</v>
      </c>
      <c r="E5" s="273">
        <f t="shared" ref="E5:M5" si="0">D14</f>
        <v>23396955.936999999</v>
      </c>
      <c r="F5" s="273">
        <f t="shared" si="0"/>
        <v>23676579.827</v>
      </c>
      <c r="G5" s="273">
        <f t="shared" si="0"/>
        <v>23915211.877</v>
      </c>
      <c r="H5" s="273">
        <f t="shared" si="0"/>
        <v>24124615.827000003</v>
      </c>
      <c r="I5" s="273">
        <f t="shared" si="0"/>
        <v>24378520.085393935</v>
      </c>
      <c r="J5" s="273">
        <f t="shared" si="0"/>
        <v>24810305.041742757</v>
      </c>
      <c r="K5" s="273">
        <f t="shared" si="0"/>
        <v>25225761.333351366</v>
      </c>
      <c r="L5" s="273">
        <f t="shared" si="0"/>
        <v>24606808.333351366</v>
      </c>
      <c r="M5" s="273">
        <f t="shared" si="0"/>
        <v>24990486.703351364</v>
      </c>
    </row>
    <row r="6" spans="1:13" ht="16.5" customHeight="1" x14ac:dyDescent="0.2">
      <c r="A6" s="280">
        <v>2</v>
      </c>
      <c r="B6" s="282" t="s">
        <v>249</v>
      </c>
      <c r="C6" s="271"/>
      <c r="D6" s="274"/>
      <c r="E6" s="274"/>
      <c r="F6" s="274"/>
      <c r="G6" s="274"/>
      <c r="H6" s="274"/>
      <c r="I6" s="274"/>
      <c r="J6" s="274"/>
      <c r="K6" s="274"/>
      <c r="L6" s="274"/>
      <c r="M6" s="274"/>
    </row>
    <row r="7" spans="1:13" ht="16.5" customHeight="1" x14ac:dyDescent="0.2">
      <c r="A7" s="280"/>
      <c r="B7" s="282" t="s">
        <v>250</v>
      </c>
      <c r="C7" s="288">
        <f>'Data Penunjang'!W10+'Data Penunjang'!W32+'Data Penunjang'!W33</f>
        <v>211858.80699999997</v>
      </c>
      <c r="D7" s="288">
        <f>'Data Penunjang'!X10+'Data Penunjang'!X32+'Data Penunjang'!X33</f>
        <v>402903.83</v>
      </c>
      <c r="E7" s="288">
        <f>'Data Penunjang'!Y10+'Data Penunjang'!Y32+'Data Penunjang'!Y33</f>
        <v>287243.3</v>
      </c>
      <c r="F7" s="288">
        <f>'Data Penunjang'!Z10+'Data Penunjang'!Z32+'Data Penunjang'!Z33</f>
        <v>242125.16999999998</v>
      </c>
      <c r="G7" s="288">
        <f>'Data Penunjang'!AA10+'Data Penunjang'!AA32+'Data Penunjang'!AA33</f>
        <v>216493.53</v>
      </c>
      <c r="H7" s="288">
        <f>'Data Penunjang'!AB10+'Data Penunjang'!AB32+'Data Penunjang'!AB33</f>
        <v>262028.29374331431</v>
      </c>
      <c r="I7" s="288">
        <f>'Data Penunjang'!AC10+'Data Penunjang'!AC32+'Data Penunjang'!AC33</f>
        <v>436703.70634882065</v>
      </c>
      <c r="J7" s="288">
        <f>'Data Penunjang'!AD10+'Data Penunjang'!AD32+'Data Penunjang'!AD33</f>
        <v>427505.24160860828</v>
      </c>
      <c r="K7" s="288">
        <f>'Data Penunjang'!AE10+'Data Penunjang'!AE32+'Data Penunjang'!AE33</f>
        <v>524468.05999999994</v>
      </c>
      <c r="L7" s="288">
        <f>'Data Penunjang'!AF10+'Data Penunjang'!AF32+'Data Penunjang'!AF33</f>
        <v>573869.4</v>
      </c>
      <c r="M7" s="288">
        <f>'Data Penunjang'!AG10+'Data Penunjang'!AG32+'Data Penunjang'!AG33</f>
        <v>245842.38</v>
      </c>
    </row>
    <row r="8" spans="1:13" ht="16.5" customHeight="1" x14ac:dyDescent="0.2">
      <c r="A8" s="280"/>
      <c r="B8" s="282" t="s">
        <v>251</v>
      </c>
      <c r="C8" s="288"/>
      <c r="D8" s="275"/>
      <c r="E8" s="275"/>
      <c r="F8" s="275"/>
      <c r="G8" s="275"/>
      <c r="H8" s="275"/>
      <c r="I8" s="275"/>
      <c r="J8" s="275"/>
      <c r="K8" s="275"/>
      <c r="L8" s="275"/>
      <c r="M8" s="275"/>
    </row>
    <row r="9" spans="1:13" ht="16.5" customHeight="1" x14ac:dyDescent="0.2">
      <c r="A9" s="280"/>
      <c r="B9" s="282" t="s">
        <v>252</v>
      </c>
      <c r="C9" s="276">
        <f>C8+C7</f>
        <v>211858.80699999997</v>
      </c>
      <c r="D9" s="276">
        <f t="shared" ref="D9:H9" si="1">D8+D7</f>
        <v>402903.83</v>
      </c>
      <c r="E9" s="276">
        <f t="shared" si="1"/>
        <v>287243.3</v>
      </c>
      <c r="F9" s="276">
        <f t="shared" si="1"/>
        <v>242125.16999999998</v>
      </c>
      <c r="G9" s="276">
        <f t="shared" si="1"/>
        <v>216493.53</v>
      </c>
      <c r="H9" s="276">
        <f t="shared" si="1"/>
        <v>262028.29374331431</v>
      </c>
      <c r="I9" s="276">
        <f t="shared" ref="I9:J9" si="2">I8+I7</f>
        <v>436703.70634882065</v>
      </c>
      <c r="J9" s="276">
        <f t="shared" si="2"/>
        <v>427505.24160860828</v>
      </c>
      <c r="K9" s="276">
        <f t="shared" ref="K9:L9" si="3">K8+K7</f>
        <v>524468.05999999994</v>
      </c>
      <c r="L9" s="276">
        <f t="shared" si="3"/>
        <v>573869.4</v>
      </c>
      <c r="M9" s="276">
        <f t="shared" ref="M9" si="4">M8+M7</f>
        <v>245842.38</v>
      </c>
    </row>
    <row r="10" spans="1:13" ht="15" x14ac:dyDescent="0.2">
      <c r="A10" s="280">
        <v>3</v>
      </c>
      <c r="B10" s="282" t="s">
        <v>253</v>
      </c>
      <c r="C10" s="271"/>
      <c r="D10" s="274"/>
      <c r="E10" s="274"/>
      <c r="F10" s="274"/>
      <c r="G10" s="274"/>
      <c r="H10" s="274"/>
      <c r="I10" s="274"/>
      <c r="J10" s="274"/>
      <c r="K10" s="274"/>
      <c r="L10" s="274"/>
      <c r="M10" s="274"/>
    </row>
    <row r="11" spans="1:13" ht="16.5" customHeight="1" x14ac:dyDescent="0.2">
      <c r="A11" s="280"/>
      <c r="B11" s="282" t="s">
        <v>254</v>
      </c>
      <c r="C11" s="287">
        <f>'Data Penunjang'!W7</f>
        <v>6974.62</v>
      </c>
      <c r="D11" s="287">
        <f>'Data Penunjang'!X7</f>
        <v>6793.08</v>
      </c>
      <c r="E11" s="287">
        <f>'Data Penunjang'!Y7</f>
        <v>7619.41</v>
      </c>
      <c r="F11" s="287">
        <f>'Data Penunjang'!Z7</f>
        <v>3493.12</v>
      </c>
      <c r="G11" s="287">
        <f>'Data Penunjang'!AA3</f>
        <v>7089.58</v>
      </c>
      <c r="H11" s="287">
        <f>'Data Penunjang'!AB3</f>
        <v>8124.0353493825105</v>
      </c>
      <c r="I11" s="287">
        <f>'Data Penunjang'!AC3</f>
        <v>4918.75</v>
      </c>
      <c r="J11" s="287">
        <f>'Data Penunjang'!AD7</f>
        <v>12048.95</v>
      </c>
      <c r="K11" s="347">
        <f>'Data Penunjang'!AE7</f>
        <v>1143421.06</v>
      </c>
      <c r="L11" s="347">
        <f>'Data Penunjang'!AF7</f>
        <v>190191.03</v>
      </c>
      <c r="M11" s="347">
        <f>'Data Penunjang'!AG7</f>
        <v>44259.59</v>
      </c>
    </row>
    <row r="12" spans="1:13" ht="16.5" customHeight="1" x14ac:dyDescent="0.2">
      <c r="A12" s="280"/>
      <c r="B12" s="282" t="s">
        <v>255</v>
      </c>
      <c r="C12" s="275"/>
      <c r="D12" s="288"/>
      <c r="E12" s="275"/>
      <c r="F12" s="275"/>
      <c r="G12" s="275"/>
      <c r="H12" s="275"/>
      <c r="I12" s="275"/>
      <c r="J12" s="275"/>
      <c r="K12" s="275"/>
      <c r="L12" s="275"/>
      <c r="M12" s="275"/>
    </row>
    <row r="13" spans="1:13" ht="16.5" customHeight="1" x14ac:dyDescent="0.2">
      <c r="A13" s="280"/>
      <c r="B13" s="282" t="s">
        <v>256</v>
      </c>
      <c r="C13" s="275">
        <f>C12+C11</f>
        <v>6974.62</v>
      </c>
      <c r="D13" s="275">
        <f t="shared" ref="D13:H13" si="5">D12+D11</f>
        <v>6793.08</v>
      </c>
      <c r="E13" s="275">
        <f t="shared" si="5"/>
        <v>7619.41</v>
      </c>
      <c r="F13" s="275">
        <f t="shared" si="5"/>
        <v>3493.12</v>
      </c>
      <c r="G13" s="275">
        <f t="shared" si="5"/>
        <v>7089.58</v>
      </c>
      <c r="H13" s="275">
        <f t="shared" si="5"/>
        <v>8124.0353493825105</v>
      </c>
      <c r="I13" s="275">
        <f t="shared" ref="I13:J13" si="6">I12+I11</f>
        <v>4918.75</v>
      </c>
      <c r="J13" s="275">
        <f t="shared" si="6"/>
        <v>12048.95</v>
      </c>
      <c r="K13" s="275">
        <f t="shared" ref="K13:L13" si="7">K12+K11</f>
        <v>1143421.06</v>
      </c>
      <c r="L13" s="275">
        <f t="shared" si="7"/>
        <v>190191.03</v>
      </c>
      <c r="M13" s="275">
        <f t="shared" ref="M13" si="8">M12+M11</f>
        <v>44259.59</v>
      </c>
    </row>
    <row r="14" spans="1:13" ht="32.25" customHeight="1" thickBot="1" x14ac:dyDescent="0.25">
      <c r="A14" s="281">
        <v>4</v>
      </c>
      <c r="B14" s="283" t="s">
        <v>257</v>
      </c>
      <c r="C14" s="277">
        <f>C5+C9-C13</f>
        <v>23000845.186999999</v>
      </c>
      <c r="D14" s="277">
        <f t="shared" ref="D14:H14" si="9">D5+D9-D13</f>
        <v>23396955.936999999</v>
      </c>
      <c r="E14" s="277">
        <f t="shared" si="9"/>
        <v>23676579.827</v>
      </c>
      <c r="F14" s="277">
        <f t="shared" si="9"/>
        <v>23915211.877</v>
      </c>
      <c r="G14" s="277">
        <f t="shared" si="9"/>
        <v>24124615.827000003</v>
      </c>
      <c r="H14" s="277">
        <f t="shared" si="9"/>
        <v>24378520.085393935</v>
      </c>
      <c r="I14" s="277">
        <f t="shared" ref="I14:J14" si="10">I5+I9-I13</f>
        <v>24810305.041742757</v>
      </c>
      <c r="J14" s="277">
        <f t="shared" si="10"/>
        <v>25225761.333351366</v>
      </c>
      <c r="K14" s="277">
        <f t="shared" ref="K14:L14" si="11">K5+K9-K13</f>
        <v>24606808.333351366</v>
      </c>
      <c r="L14" s="277">
        <f t="shared" si="11"/>
        <v>24990486.703351364</v>
      </c>
      <c r="M14" s="277">
        <f t="shared" ref="M14" si="12">M5+M9-M13</f>
        <v>25192069.493351363</v>
      </c>
    </row>
    <row r="15" spans="1:13" ht="13.5" thickTop="1" x14ac:dyDescent="0.2">
      <c r="D15" s="284">
        <f t="shared" ref="D15:G15" si="13">D14/C14*100-100</f>
        <v>1.7221573676078634</v>
      </c>
      <c r="E15" s="284">
        <f t="shared" si="13"/>
        <v>1.1951293610712952</v>
      </c>
      <c r="F15" s="284">
        <f t="shared" si="13"/>
        <v>1.0078822690761768</v>
      </c>
      <c r="G15" s="284">
        <f t="shared" si="13"/>
        <v>0.87560984647345208</v>
      </c>
      <c r="H15" s="284">
        <f>H14/G14*100-100</f>
        <v>1.052469644344626</v>
      </c>
      <c r="I15" s="284">
        <f t="shared" ref="I15:M15" si="14">I14/H14*100-100</f>
        <v>1.7711696806711501</v>
      </c>
      <c r="J15" s="284">
        <f t="shared" si="14"/>
        <v>1.6745311712597299</v>
      </c>
      <c r="K15" s="284">
        <f t="shared" si="14"/>
        <v>-2.4536543885463402</v>
      </c>
      <c r="L15" s="284">
        <f t="shared" si="14"/>
        <v>1.5592366340333967</v>
      </c>
      <c r="M15" s="284">
        <f t="shared" si="14"/>
        <v>0.80663811150571973</v>
      </c>
    </row>
  </sheetData>
  <pageMargins left="0.7" right="0.7" top="0.75" bottom="0.75" header="0.3" footer="0.3"/>
  <pageSetup orientation="portrait" copies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6"/>
  <sheetViews>
    <sheetView workbookViewId="0">
      <pane xSplit="1" ySplit="5" topLeftCell="K6" activePane="bottomRight" state="frozen"/>
      <selection activeCell="C9" sqref="C9"/>
      <selection pane="topRight" activeCell="C9" sqref="C9"/>
      <selection pane="bottomLeft" activeCell="C9" sqref="C9"/>
      <selection pane="bottomRight" activeCell="C9" sqref="C9"/>
    </sheetView>
  </sheetViews>
  <sheetFormatPr defaultColWidth="9.33203125" defaultRowHeight="13.5" x14ac:dyDescent="0.2"/>
  <cols>
    <col min="1" max="1" width="26.83203125" style="2" customWidth="1"/>
    <col min="2" max="12" width="12.83203125" style="2" customWidth="1"/>
    <col min="13" max="13" width="12.5" style="2" customWidth="1"/>
    <col min="14" max="16" width="13.5" style="2" customWidth="1"/>
    <col min="17" max="20" width="9.33203125" style="2"/>
    <col min="21" max="24" width="15.83203125" style="2" customWidth="1"/>
    <col min="25" max="16384" width="9.33203125" style="2"/>
  </cols>
  <sheetData>
    <row r="1" spans="1:24" ht="15" x14ac:dyDescent="0.2">
      <c r="A1" s="964" t="s">
        <v>12</v>
      </c>
      <c r="B1" s="964"/>
      <c r="C1" s="964"/>
      <c r="D1" s="964"/>
      <c r="E1" s="964"/>
      <c r="F1" s="964"/>
      <c r="G1" s="964"/>
      <c r="H1" s="964"/>
      <c r="I1" s="964"/>
      <c r="J1" s="964"/>
      <c r="K1" s="964"/>
      <c r="L1" s="964"/>
      <c r="M1" s="964"/>
      <c r="N1" s="964"/>
      <c r="O1" s="964"/>
      <c r="P1" s="3"/>
    </row>
    <row r="2" spans="1:24" ht="15" x14ac:dyDescent="0.2">
      <c r="A2" s="964" t="s">
        <v>120</v>
      </c>
      <c r="B2" s="964"/>
      <c r="C2" s="964"/>
      <c r="D2" s="964"/>
      <c r="E2" s="964"/>
      <c r="F2" s="964"/>
      <c r="G2" s="964"/>
      <c r="H2" s="964"/>
      <c r="I2" s="964"/>
      <c r="J2" s="964"/>
      <c r="K2" s="964"/>
      <c r="L2" s="964"/>
      <c r="M2" s="964"/>
      <c r="N2" s="964"/>
      <c r="O2" s="964"/>
      <c r="P2" s="3"/>
    </row>
    <row r="3" spans="1:24" ht="15.75" thickBot="1" x14ac:dyDescent="0.25">
      <c r="A3" s="1"/>
    </row>
    <row r="4" spans="1:24" ht="17.45" customHeight="1" thickTop="1" x14ac:dyDescent="0.2">
      <c r="A4" s="1016" t="s">
        <v>0</v>
      </c>
      <c r="B4" s="1012">
        <v>1990</v>
      </c>
      <c r="C4" s="1012">
        <v>1991</v>
      </c>
      <c r="D4" s="1012">
        <v>1992</v>
      </c>
      <c r="E4" s="1012">
        <v>1993</v>
      </c>
      <c r="F4" s="1012">
        <v>1994</v>
      </c>
      <c r="G4" s="1012">
        <v>1995</v>
      </c>
      <c r="H4" s="1012">
        <v>1996</v>
      </c>
      <c r="I4" s="1012">
        <v>1997</v>
      </c>
      <c r="J4" s="1012">
        <v>1998</v>
      </c>
      <c r="K4" s="1012">
        <v>1999</v>
      </c>
      <c r="L4" s="1012">
        <v>2000</v>
      </c>
      <c r="M4" s="1012">
        <v>2001</v>
      </c>
      <c r="N4" s="1012">
        <v>2002</v>
      </c>
      <c r="O4" s="967">
        <v>2003</v>
      </c>
      <c r="P4" s="1014">
        <v>2004</v>
      </c>
    </row>
    <row r="5" spans="1:24" ht="17.45" customHeight="1" thickBot="1" x14ac:dyDescent="0.25">
      <c r="A5" s="1017"/>
      <c r="B5" s="1013"/>
      <c r="C5" s="1013"/>
      <c r="D5" s="1013"/>
      <c r="E5" s="1013"/>
      <c r="F5" s="1013"/>
      <c r="G5" s="1013"/>
      <c r="H5" s="1013"/>
      <c r="I5" s="1013"/>
      <c r="J5" s="1013"/>
      <c r="K5" s="1013"/>
      <c r="L5" s="1013"/>
      <c r="M5" s="1013"/>
      <c r="N5" s="1013"/>
      <c r="O5" s="968"/>
      <c r="P5" s="1015"/>
    </row>
    <row r="6" spans="1:24" ht="17.45" customHeight="1" thickTop="1" x14ac:dyDescent="0.2">
      <c r="A6" s="87" t="s">
        <v>189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24" ht="17.45" customHeight="1" x14ac:dyDescent="0.2">
      <c r="A7" s="90"/>
      <c r="B7" s="91"/>
      <c r="C7" s="91"/>
      <c r="D7" s="91"/>
      <c r="E7" s="91"/>
      <c r="F7" s="91"/>
      <c r="G7" s="91"/>
      <c r="H7" s="91"/>
      <c r="I7" s="91"/>
      <c r="J7" s="91"/>
      <c r="K7" s="91"/>
      <c r="L7" s="92"/>
      <c r="M7" s="91"/>
      <c r="N7" s="91"/>
      <c r="O7" s="91"/>
      <c r="P7" s="93"/>
    </row>
    <row r="8" spans="1:24" ht="17.45" customHeight="1" x14ac:dyDescent="0.2">
      <c r="A8" s="90" t="s">
        <v>150</v>
      </c>
      <c r="B8" s="94">
        <v>32304.3</v>
      </c>
      <c r="C8" s="94">
        <f>+B14</f>
        <v>34013.5</v>
      </c>
      <c r="D8" s="94">
        <f t="shared" ref="D8:L8" si="0">+C14</f>
        <v>35879.599999999999</v>
      </c>
      <c r="E8" s="94">
        <f t="shared" si="0"/>
        <v>37930.399999999994</v>
      </c>
      <c r="F8" s="94">
        <f t="shared" si="0"/>
        <v>39907.9</v>
      </c>
      <c r="G8" s="94">
        <f t="shared" si="0"/>
        <v>42030</v>
      </c>
      <c r="H8" s="94">
        <f t="shared" si="0"/>
        <v>44303.5</v>
      </c>
      <c r="I8" s="94">
        <f t="shared" si="0"/>
        <v>48155.34</v>
      </c>
      <c r="J8" s="94">
        <f t="shared" si="0"/>
        <v>51768.62999999999</v>
      </c>
      <c r="K8" s="94">
        <f t="shared" si="0"/>
        <v>55203.609999999993</v>
      </c>
      <c r="L8" s="94">
        <f t="shared" si="0"/>
        <v>58459.021420438781</v>
      </c>
      <c r="M8" s="94">
        <f>+L14</f>
        <v>61941.596373199551</v>
      </c>
      <c r="N8" s="94">
        <f>+M14</f>
        <v>65429.511492385602</v>
      </c>
      <c r="O8" s="94">
        <f>+N14</f>
        <v>68732.765958093398</v>
      </c>
      <c r="P8" s="95">
        <f>+O14</f>
        <v>72397.756165219675</v>
      </c>
    </row>
    <row r="9" spans="1:24" ht="17.45" customHeight="1" x14ac:dyDescent="0.2">
      <c r="A9" s="90" t="s">
        <v>141</v>
      </c>
      <c r="B9" s="94">
        <v>2580.4</v>
      </c>
      <c r="C9" s="94">
        <v>2716.5</v>
      </c>
      <c r="D9" s="94">
        <v>2865.5</v>
      </c>
      <c r="E9" s="94">
        <v>3029.3</v>
      </c>
      <c r="F9" s="94">
        <v>3187.2</v>
      </c>
      <c r="G9" s="94">
        <v>3356.7</v>
      </c>
      <c r="H9" s="94">
        <v>4882.7299999999996</v>
      </c>
      <c r="I9" s="94">
        <v>4650.13</v>
      </c>
      <c r="J9" s="94">
        <v>4716.25</v>
      </c>
      <c r="K9" s="96">
        <v>4547.806505999999</v>
      </c>
      <c r="L9" s="97">
        <f>(1091256*4.3)/1000</f>
        <v>4692.4007999999994</v>
      </c>
      <c r="M9" s="97">
        <f>(1083924.65*4.3)/1000</f>
        <v>4660.8759949999994</v>
      </c>
      <c r="N9" s="97">
        <f>(1048896.22*4.3)/1000</f>
        <v>4510.2537459999994</v>
      </c>
      <c r="O9" s="97">
        <f>(1074270*4.3)/1000</f>
        <v>4619.3609999999999</v>
      </c>
      <c r="P9" s="175">
        <f>(1079908.21*4.3)/1000</f>
        <v>4643.6053029999994</v>
      </c>
      <c r="Q9" s="2" t="s">
        <v>218</v>
      </c>
    </row>
    <row r="10" spans="1:24" ht="17.45" customHeight="1" x14ac:dyDescent="0.2">
      <c r="A10" s="90" t="s">
        <v>142</v>
      </c>
      <c r="B10" s="94">
        <v>18.8</v>
      </c>
      <c r="C10" s="94">
        <v>21.5</v>
      </c>
      <c r="D10" s="94">
        <v>17.600000000000001</v>
      </c>
      <c r="E10" s="94">
        <v>16.3</v>
      </c>
      <c r="F10" s="94">
        <v>16.5</v>
      </c>
      <c r="G10" s="94">
        <v>19.899999999999999</v>
      </c>
      <c r="H10" s="94">
        <v>10.5</v>
      </c>
      <c r="I10" s="94">
        <v>15.89</v>
      </c>
      <c r="J10" s="94">
        <v>14.43</v>
      </c>
      <c r="K10" s="96">
        <v>31.780999999999999</v>
      </c>
      <c r="L10" s="97">
        <v>44.16</v>
      </c>
      <c r="M10" s="97">
        <v>46.587000000000003</v>
      </c>
      <c r="N10" s="97">
        <v>44.869</v>
      </c>
      <c r="O10" s="97">
        <v>40.185000000000002</v>
      </c>
      <c r="P10" s="175">
        <v>37.619</v>
      </c>
    </row>
    <row r="11" spans="1:24" ht="17.45" customHeight="1" x14ac:dyDescent="0.2">
      <c r="A11" s="90" t="s">
        <v>149</v>
      </c>
      <c r="B11" s="94">
        <v>112.7</v>
      </c>
      <c r="C11" s="94">
        <v>114.3</v>
      </c>
      <c r="D11" s="94">
        <v>151.5</v>
      </c>
      <c r="E11" s="94">
        <v>234</v>
      </c>
      <c r="F11" s="94">
        <v>207.6</v>
      </c>
      <c r="G11" s="94">
        <v>206.4</v>
      </c>
      <c r="H11" s="94">
        <v>208.87</v>
      </c>
      <c r="I11" s="94">
        <v>187.61</v>
      </c>
      <c r="J11" s="94">
        <v>534.95000000000005</v>
      </c>
      <c r="K11" s="96">
        <v>558.43808556121508</v>
      </c>
      <c r="L11" s="97">
        <f>('Data Penunjang'!O37/'Data Penunjang'!P37)*'Kayu Jati Jawa slh'!K11</f>
        <v>559.74384723923401</v>
      </c>
      <c r="M11" s="97">
        <f>('Data Penunjang'!P37/'Data Penunjang'!Q37)*'Kayu Jati Jawa slh'!L11</f>
        <v>564.6088758139482</v>
      </c>
      <c r="N11" s="97">
        <f>('Data Penunjang'!Q37/'Data Penunjang'!R37)*'Kayu Jati Jawa slh'!M11</f>
        <v>583.46428029221727</v>
      </c>
      <c r="O11" s="97">
        <f>('Data Penunjang'!R37/'Data Penunjang'!T37)*'Kayu Jati Jawa slh'!N11</f>
        <v>566.70879287372691</v>
      </c>
      <c r="P11" s="98">
        <f>('Data Penunjang'!S37/'Data Penunjang'!T37)*'Kayu Jati Jawa slh'!O11</f>
        <v>563.75002765827503</v>
      </c>
    </row>
    <row r="12" spans="1:24" ht="17.45" customHeight="1" x14ac:dyDescent="0.2">
      <c r="A12" s="90" t="s">
        <v>143</v>
      </c>
      <c r="B12" s="94">
        <v>777.3</v>
      </c>
      <c r="C12" s="94">
        <v>757.6</v>
      </c>
      <c r="D12" s="94">
        <v>680.8</v>
      </c>
      <c r="E12" s="94">
        <v>834.1</v>
      </c>
      <c r="F12" s="94">
        <v>874</v>
      </c>
      <c r="G12" s="94">
        <v>896.7</v>
      </c>
      <c r="H12" s="94">
        <v>832.52</v>
      </c>
      <c r="I12" s="94">
        <v>865.12</v>
      </c>
      <c r="J12" s="94">
        <v>760.75</v>
      </c>
      <c r="K12" s="96">
        <v>765.73800000000006</v>
      </c>
      <c r="L12" s="97">
        <v>694.24199999999996</v>
      </c>
      <c r="M12" s="97">
        <v>654.93899999999996</v>
      </c>
      <c r="N12" s="97">
        <v>668.404</v>
      </c>
      <c r="O12" s="97">
        <v>427.84699999999998</v>
      </c>
      <c r="P12" s="98">
        <v>524.745</v>
      </c>
    </row>
    <row r="13" spans="1:24" ht="17.45" customHeight="1" x14ac:dyDescent="0.2">
      <c r="A13" s="90" t="s">
        <v>144</v>
      </c>
      <c r="B13" s="94">
        <f>+B14-B8</f>
        <v>1709.2000000000007</v>
      </c>
      <c r="C13" s="94">
        <f t="shared" ref="C13:L13" si="1">+C14-C8</f>
        <v>1866.0999999999985</v>
      </c>
      <c r="D13" s="94">
        <f t="shared" si="1"/>
        <v>2050.7999999999956</v>
      </c>
      <c r="E13" s="94">
        <f t="shared" si="1"/>
        <v>1977.5000000000073</v>
      </c>
      <c r="F13" s="94">
        <f t="shared" si="1"/>
        <v>2122.0999999999985</v>
      </c>
      <c r="G13" s="94">
        <f t="shared" si="1"/>
        <v>2273.5</v>
      </c>
      <c r="H13" s="94">
        <f t="shared" si="1"/>
        <v>3851.8399999999965</v>
      </c>
      <c r="I13" s="94">
        <f t="shared" si="1"/>
        <v>3613.2899999999936</v>
      </c>
      <c r="J13" s="94">
        <f t="shared" si="1"/>
        <v>3434.9800000000032</v>
      </c>
      <c r="K13" s="94">
        <f t="shared" si="1"/>
        <v>3255.4114204387879</v>
      </c>
      <c r="L13" s="94">
        <f t="shared" si="1"/>
        <v>3482.5749527607695</v>
      </c>
      <c r="M13" s="94">
        <f>+M14-M8</f>
        <v>3487.915119186051</v>
      </c>
      <c r="N13" s="94">
        <f>+N14-N8</f>
        <v>3303.254465707796</v>
      </c>
      <c r="O13" s="94">
        <f>+O14-O8</f>
        <v>3664.9902071262768</v>
      </c>
      <c r="P13" s="95">
        <f>+P14-P8</f>
        <v>3592.7292753417423</v>
      </c>
    </row>
    <row r="14" spans="1:24" ht="17.45" customHeight="1" x14ac:dyDescent="0.2">
      <c r="A14" s="90" t="s">
        <v>152</v>
      </c>
      <c r="B14" s="94">
        <f t="shared" ref="B14:L14" si="2">+B8+B9+B10-B11-B12</f>
        <v>34013.5</v>
      </c>
      <c r="C14" s="94">
        <f t="shared" si="2"/>
        <v>35879.599999999999</v>
      </c>
      <c r="D14" s="94">
        <f t="shared" si="2"/>
        <v>37930.399999999994</v>
      </c>
      <c r="E14" s="94">
        <f t="shared" si="2"/>
        <v>39907.9</v>
      </c>
      <c r="F14" s="94">
        <f t="shared" si="2"/>
        <v>42030</v>
      </c>
      <c r="G14" s="94">
        <f t="shared" si="2"/>
        <v>44303.5</v>
      </c>
      <c r="H14" s="94">
        <f t="shared" si="2"/>
        <v>48155.34</v>
      </c>
      <c r="I14" s="94">
        <f t="shared" si="2"/>
        <v>51768.62999999999</v>
      </c>
      <c r="J14" s="94">
        <f t="shared" si="2"/>
        <v>55203.609999999993</v>
      </c>
      <c r="K14" s="94">
        <f t="shared" si="2"/>
        <v>58459.021420438781</v>
      </c>
      <c r="L14" s="94">
        <f t="shared" si="2"/>
        <v>61941.596373199551</v>
      </c>
      <c r="M14" s="94">
        <f>+M8+M9+M10-M11-M12</f>
        <v>65429.511492385602</v>
      </c>
      <c r="N14" s="94">
        <f>+N8+N9+N10-N11-N12</f>
        <v>68732.765958093398</v>
      </c>
      <c r="O14" s="94">
        <f>+O8+O9+O10-O11-O12</f>
        <v>72397.756165219675</v>
      </c>
      <c r="P14" s="95">
        <f>+P8+P9+P10-P11-P12</f>
        <v>75990.485440561417</v>
      </c>
    </row>
    <row r="15" spans="1:24" ht="17.45" customHeight="1" x14ac:dyDescent="0.2">
      <c r="A15" s="90"/>
      <c r="B15" s="91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1"/>
      <c r="N15" s="91"/>
      <c r="O15" s="91"/>
      <c r="P15" s="93"/>
      <c r="U15" s="1">
        <v>2000</v>
      </c>
      <c r="V15" s="1">
        <v>2001</v>
      </c>
      <c r="W15" s="1">
        <v>2002</v>
      </c>
      <c r="X15" s="1">
        <v>2003</v>
      </c>
    </row>
    <row r="16" spans="1:24" ht="17.45" customHeight="1" x14ac:dyDescent="0.2">
      <c r="A16" s="90" t="s">
        <v>145</v>
      </c>
      <c r="B16" s="94">
        <v>116920</v>
      </c>
      <c r="C16" s="94">
        <v>94638</v>
      </c>
      <c r="D16" s="94">
        <v>81830</v>
      </c>
      <c r="E16" s="94">
        <v>154495</v>
      </c>
      <c r="F16" s="94">
        <v>221715</v>
      </c>
      <c r="G16" s="94">
        <v>232725</v>
      </c>
      <c r="H16" s="94">
        <v>223287.47</v>
      </c>
      <c r="I16" s="94">
        <v>356614.85</v>
      </c>
      <c r="J16" s="94">
        <v>357190.88</v>
      </c>
      <c r="K16" s="94">
        <v>473090.98034445487</v>
      </c>
      <c r="L16" s="99">
        <v>504505.31693504972</v>
      </c>
      <c r="M16" s="100">
        <v>516832.04052375513</v>
      </c>
      <c r="N16" s="101">
        <v>563542.87904904876</v>
      </c>
      <c r="O16" s="101">
        <v>616585.57673117227</v>
      </c>
      <c r="P16" s="102">
        <v>616585.57673117227</v>
      </c>
      <c r="R16" s="1" t="s">
        <v>157</v>
      </c>
      <c r="U16" s="10">
        <v>1044200.1364594295</v>
      </c>
      <c r="V16" s="10">
        <v>947724.78131875512</v>
      </c>
      <c r="W16" s="10">
        <v>1096732.099597771</v>
      </c>
      <c r="X16" s="10">
        <v>1118904.3962926094</v>
      </c>
    </row>
    <row r="17" spans="1:24" ht="17.45" customHeight="1" x14ac:dyDescent="0.2">
      <c r="A17" s="90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5"/>
      <c r="R17" s="1" t="s">
        <v>158</v>
      </c>
      <c r="U17" s="10">
        <f>(569757232000+2326708000+1201885000+3981892000)/1000</f>
        <v>577267717</v>
      </c>
      <c r="V17" s="10">
        <f>(613924367000+2489319000+3970145000+6039546000)/1000</f>
        <v>626423377</v>
      </c>
      <c r="W17" s="10">
        <f>(248619280000+592002000+8338531000+2025326000)/1000</f>
        <v>259575139</v>
      </c>
      <c r="X17" s="10">
        <f>(109741348000+812106000+3050420000+4448195000)/1000</f>
        <v>118052069</v>
      </c>
    </row>
    <row r="18" spans="1:24" ht="17.45" customHeight="1" x14ac:dyDescent="0.2">
      <c r="A18" s="90" t="s">
        <v>146</v>
      </c>
      <c r="B18" s="94"/>
      <c r="C18" s="94"/>
      <c r="D18" s="94"/>
      <c r="E18" s="94"/>
      <c r="F18" s="94"/>
      <c r="G18" s="94"/>
      <c r="H18" s="94"/>
      <c r="I18" s="94"/>
      <c r="J18" s="94"/>
      <c r="K18" s="103"/>
      <c r="L18" s="103"/>
      <c r="M18" s="103"/>
      <c r="N18" s="103"/>
      <c r="O18" s="103"/>
      <c r="P18" s="104"/>
      <c r="R18" s="1" t="s">
        <v>159</v>
      </c>
      <c r="U18" s="10">
        <f>(U17*1000)/U16</f>
        <v>552832.44738632406</v>
      </c>
      <c r="V18" s="10">
        <f>(V17*1000)/V16</f>
        <v>660976.04425657669</v>
      </c>
      <c r="W18" s="10">
        <f>(W17*1000)/W16</f>
        <v>236680.53401117719</v>
      </c>
      <c r="X18" s="10">
        <f>(X17*1000)/X16</f>
        <v>105506.84168473649</v>
      </c>
    </row>
    <row r="19" spans="1:24" ht="17.45" customHeight="1" x14ac:dyDescent="0.2">
      <c r="A19" s="90" t="s">
        <v>147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2"/>
      <c r="M19" s="92"/>
      <c r="N19" s="92"/>
      <c r="O19" s="92"/>
      <c r="P19" s="105"/>
    </row>
    <row r="20" spans="1:24" ht="17.45" customHeight="1" x14ac:dyDescent="0.2">
      <c r="A20" s="90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2"/>
      <c r="M20" s="92"/>
      <c r="N20" s="92"/>
      <c r="O20" s="92"/>
      <c r="P20" s="105"/>
    </row>
    <row r="21" spans="1:24" ht="17.45" customHeight="1" x14ac:dyDescent="0.2">
      <c r="A21" s="90" t="s">
        <v>150</v>
      </c>
      <c r="B21" s="94">
        <v>3202.2</v>
      </c>
      <c r="C21" s="94">
        <f>+B28</f>
        <v>3976.8396640000001</v>
      </c>
      <c r="D21" s="94">
        <f t="shared" ref="D21:L21" si="3">+C28</f>
        <v>3395.5548287999991</v>
      </c>
      <c r="E21" s="94">
        <f t="shared" si="3"/>
        <v>3103.8258759999994</v>
      </c>
      <c r="F21" s="94">
        <f t="shared" si="3"/>
        <v>6165.5522544999985</v>
      </c>
      <c r="G21" s="94">
        <f t="shared" si="3"/>
        <v>9318.6626939999987</v>
      </c>
      <c r="H21" s="94">
        <f t="shared" si="3"/>
        <v>10310.5132815</v>
      </c>
      <c r="I21" s="94">
        <f t="shared" si="3"/>
        <v>10752.4652795898</v>
      </c>
      <c r="J21" s="94">
        <f t="shared" si="3"/>
        <v>18461.443466155499</v>
      </c>
      <c r="K21" s="94">
        <f t="shared" si="3"/>
        <v>19718.2072790768</v>
      </c>
      <c r="L21" s="94">
        <f t="shared" si="3"/>
        <v>27656.416997772867</v>
      </c>
      <c r="M21" s="94">
        <f>+L28</f>
        <v>31249.845953723958</v>
      </c>
      <c r="N21" s="94">
        <f>+M28</f>
        <v>33816.049179082132</v>
      </c>
      <c r="O21" s="94">
        <f>+N28</f>
        <v>38733.842057028392</v>
      </c>
      <c r="P21" s="95">
        <f>+O28</f>
        <v>44639.393483174747</v>
      </c>
    </row>
    <row r="22" spans="1:24" ht="17.45" customHeight="1" x14ac:dyDescent="0.2">
      <c r="A22" s="90" t="s">
        <v>141</v>
      </c>
      <c r="B22" s="94">
        <f>+B9*B16/1000000</f>
        <v>301.70036800000003</v>
      </c>
      <c r="C22" s="94">
        <f>+C9*C16/1000000</f>
        <v>257.08412700000002</v>
      </c>
      <c r="D22" s="94">
        <f t="shared" ref="D22:L22" si="4">+D9*D16/1000000</f>
        <v>234.48386500000001</v>
      </c>
      <c r="E22" s="94">
        <f t="shared" si="4"/>
        <v>468.01170350000001</v>
      </c>
      <c r="F22" s="94">
        <f t="shared" si="4"/>
        <v>706.65004799999997</v>
      </c>
      <c r="G22" s="94">
        <f t="shared" si="4"/>
        <v>781.18800750000003</v>
      </c>
      <c r="H22" s="94">
        <f t="shared" si="4"/>
        <v>1090.2524283931</v>
      </c>
      <c r="I22" s="94">
        <f t="shared" si="4"/>
        <v>1658.3054124304999</v>
      </c>
      <c r="J22" s="94">
        <f t="shared" si="4"/>
        <v>1684.6014877999999</v>
      </c>
      <c r="K22" s="94">
        <f t="shared" si="4"/>
        <v>2151.5262383404292</v>
      </c>
      <c r="L22" s="94">
        <f t="shared" si="4"/>
        <v>2367.3411527902804</v>
      </c>
      <c r="M22" s="94">
        <f>+M9*M16/1000000</f>
        <v>2408.8900511240372</v>
      </c>
      <c r="N22" s="94">
        <f>+N9*N16/1000000</f>
        <v>2541.7213812625964</v>
      </c>
      <c r="O22" s="94">
        <f>+O9*O16/1000000</f>
        <v>2848.2313663144846</v>
      </c>
      <c r="P22" s="95">
        <f>+P9*P16/1000000</f>
        <v>2863.1800538621846</v>
      </c>
    </row>
    <row r="23" spans="1:24" ht="17.45" customHeight="1" x14ac:dyDescent="0.2">
      <c r="A23" s="90" t="s">
        <v>142</v>
      </c>
      <c r="B23" s="94">
        <f>+B10*B16/1000000</f>
        <v>2.198096</v>
      </c>
      <c r="C23" s="94">
        <f>+C10*C16/1000000</f>
        <v>2.0347170000000001</v>
      </c>
      <c r="D23" s="94">
        <f t="shared" ref="D23:L23" si="5">+D10*D16/1000000</f>
        <v>1.4402079999999999</v>
      </c>
      <c r="E23" s="94">
        <f t="shared" si="5"/>
        <v>2.5182685</v>
      </c>
      <c r="F23" s="94">
        <f t="shared" si="5"/>
        <v>3.6582975000000002</v>
      </c>
      <c r="G23" s="94">
        <f t="shared" si="5"/>
        <v>4.6312274999999996</v>
      </c>
      <c r="H23" s="94">
        <f t="shared" si="5"/>
        <v>2.3445184349999999</v>
      </c>
      <c r="I23" s="94">
        <f t="shared" si="5"/>
        <v>5.6666099665000003</v>
      </c>
      <c r="J23" s="94">
        <f t="shared" si="5"/>
        <v>5.1542643984000005</v>
      </c>
      <c r="K23" s="94">
        <f t="shared" si="5"/>
        <v>15.035304446327119</v>
      </c>
      <c r="L23" s="94">
        <f t="shared" si="5"/>
        <v>22.278954795851792</v>
      </c>
      <c r="M23" s="94">
        <f>+M10*M16/1000000</f>
        <v>24.077654271880185</v>
      </c>
      <c r="N23" s="94">
        <f>+N10*N16/1000000</f>
        <v>25.285605440051768</v>
      </c>
      <c r="O23" s="94">
        <f>+O10*O16/1000000</f>
        <v>24.777491400942157</v>
      </c>
      <c r="P23" s="95">
        <f>+P10*P16/1000000</f>
        <v>23.195332811049969</v>
      </c>
    </row>
    <row r="24" spans="1:24" ht="17.45" customHeight="1" x14ac:dyDescent="0.2">
      <c r="A24" s="90" t="s">
        <v>149</v>
      </c>
      <c r="B24" s="94">
        <f>+B11*B16/1000000</f>
        <v>13.176883999999999</v>
      </c>
      <c r="C24" s="94">
        <f>+C11*C16/1000000</f>
        <v>10.8171234</v>
      </c>
      <c r="D24" s="94">
        <f t="shared" ref="D24:L24" si="6">+D11*D16/1000000</f>
        <v>12.397245</v>
      </c>
      <c r="E24" s="94">
        <f t="shared" si="6"/>
        <v>36.151829999999997</v>
      </c>
      <c r="F24" s="94">
        <f t="shared" si="6"/>
        <v>46.028033999999998</v>
      </c>
      <c r="G24" s="94">
        <f t="shared" si="6"/>
        <v>48.034439999999996</v>
      </c>
      <c r="H24" s="94">
        <f t="shared" si="6"/>
        <v>46.638053858900001</v>
      </c>
      <c r="I24" s="94">
        <f t="shared" si="6"/>
        <v>66.904512008500006</v>
      </c>
      <c r="J24" s="94">
        <f t="shared" si="6"/>
        <v>191.07926125600002</v>
      </c>
      <c r="K24" s="94">
        <f t="shared" si="6"/>
        <v>264.19202135983579</v>
      </c>
      <c r="L24" s="94">
        <f t="shared" si="6"/>
        <v>282.39374705387382</v>
      </c>
      <c r="M24" s="94">
        <f>+M11*M16/1000000</f>
        <v>291.80795738474632</v>
      </c>
      <c r="N24" s="94">
        <f>+N11*N16/1000000</f>
        <v>328.8071403381573</v>
      </c>
      <c r="O24" s="94">
        <f>+O11*O16/1000000</f>
        <v>349.42446789267336</v>
      </c>
      <c r="P24" s="95">
        <f>+P11*P16/1000000</f>
        <v>347.60013593589179</v>
      </c>
    </row>
    <row r="25" spans="1:24" ht="17.45" customHeight="1" x14ac:dyDescent="0.2">
      <c r="A25" s="90" t="s">
        <v>143</v>
      </c>
      <c r="B25" s="94">
        <f>+B12*B16/1000000</f>
        <v>90.881916000000004</v>
      </c>
      <c r="C25" s="94">
        <f>+C12*C16/1000000</f>
        <v>71.697748799999999</v>
      </c>
      <c r="D25" s="94">
        <f t="shared" ref="D25:L25" si="7">+D12*D16/1000000</f>
        <v>55.709864000000003</v>
      </c>
      <c r="E25" s="94">
        <f t="shared" si="7"/>
        <v>128.86427950000001</v>
      </c>
      <c r="F25" s="94">
        <f t="shared" si="7"/>
        <v>193.77891</v>
      </c>
      <c r="G25" s="94">
        <f t="shared" si="7"/>
        <v>208.6845075</v>
      </c>
      <c r="H25" s="94">
        <f t="shared" si="7"/>
        <v>185.89128452439999</v>
      </c>
      <c r="I25" s="94">
        <f t="shared" si="7"/>
        <v>308.51463903199999</v>
      </c>
      <c r="J25" s="94">
        <f t="shared" si="7"/>
        <v>271.73296195999995</v>
      </c>
      <c r="K25" s="94">
        <f t="shared" si="7"/>
        <v>362.2637411070022</v>
      </c>
      <c r="L25" s="94">
        <f t="shared" si="7"/>
        <v>350.24878023962276</v>
      </c>
      <c r="M25" s="94">
        <f>+M12*M16/1000000</f>
        <v>338.49345978858764</v>
      </c>
      <c r="N25" s="94">
        <f>+N12*N16/1000000</f>
        <v>376.67431452790038</v>
      </c>
      <c r="O25" s="94">
        <f>+O12*O16/1000000</f>
        <v>263.80428924770183</v>
      </c>
      <c r="P25" s="95">
        <f>+P12*P16/1000000</f>
        <v>323.55019846179903</v>
      </c>
    </row>
    <row r="26" spans="1:24" ht="17.45" customHeight="1" x14ac:dyDescent="0.2">
      <c r="A26" s="90" t="s">
        <v>144</v>
      </c>
      <c r="B26" s="94">
        <f>+B13*B16/1000000</f>
        <v>199.83966400000008</v>
      </c>
      <c r="C26" s="94">
        <f t="shared" ref="C26:L26" si="8">+C13*C16/1000000</f>
        <v>176.60397179999987</v>
      </c>
      <c r="D26" s="94">
        <f t="shared" si="8"/>
        <v>167.81696399999964</v>
      </c>
      <c r="E26" s="94">
        <f t="shared" si="8"/>
        <v>305.51386250000115</v>
      </c>
      <c r="F26" s="94">
        <f t="shared" si="8"/>
        <v>470.5014014999997</v>
      </c>
      <c r="G26" s="94">
        <f t="shared" si="8"/>
        <v>529.10028750000004</v>
      </c>
      <c r="H26" s="94">
        <f t="shared" si="8"/>
        <v>860.06760844479913</v>
      </c>
      <c r="I26" s="94">
        <f t="shared" si="8"/>
        <v>1288.5528713564975</v>
      </c>
      <c r="J26" s="94">
        <f t="shared" si="8"/>
        <v>1226.9435289824012</v>
      </c>
      <c r="K26" s="94">
        <f t="shared" si="8"/>
        <v>1540.1057803199205</v>
      </c>
      <c r="L26" s="94">
        <f t="shared" si="8"/>
        <v>1756.9775802926379</v>
      </c>
      <c r="M26" s="94">
        <f>+M13*M16/1000000</f>
        <v>1802.6662882225833</v>
      </c>
      <c r="N26" s="94">
        <f>+N13*N16/1000000</f>
        <v>1861.5255318365987</v>
      </c>
      <c r="O26" s="94">
        <f>+O13*O16/1000000</f>
        <v>2259.7801005750539</v>
      </c>
      <c r="P26" s="95">
        <f>+P13*P16/1000000</f>
        <v>2215.2250522755548</v>
      </c>
    </row>
    <row r="27" spans="1:24" ht="17.45" customHeight="1" x14ac:dyDescent="0.2">
      <c r="A27" s="90" t="s">
        <v>148</v>
      </c>
      <c r="B27" s="94">
        <v>574.79999999999995</v>
      </c>
      <c r="C27" s="94">
        <f>+C8*(C16-B16)/1000000</f>
        <v>-757.88880700000004</v>
      </c>
      <c r="D27" s="94">
        <f t="shared" ref="D27:L27" si="9">+D8*(D16-C16)/1000000</f>
        <v>-459.54591679999993</v>
      </c>
      <c r="E27" s="94">
        <f t="shared" si="9"/>
        <v>2756.2125159999996</v>
      </c>
      <c r="F27" s="94">
        <f t="shared" si="9"/>
        <v>2682.6090380000001</v>
      </c>
      <c r="G27" s="94">
        <f t="shared" si="9"/>
        <v>462.75029999999998</v>
      </c>
      <c r="H27" s="94">
        <f t="shared" si="9"/>
        <v>-418.11561035499994</v>
      </c>
      <c r="I27" s="94">
        <f t="shared" si="9"/>
        <v>6420.4253152091978</v>
      </c>
      <c r="J27" s="94">
        <f t="shared" si="9"/>
        <v>29.82028393890144</v>
      </c>
      <c r="K27" s="94">
        <f t="shared" si="9"/>
        <v>6398.1039383761508</v>
      </c>
      <c r="L27" s="94">
        <f t="shared" si="9"/>
        <v>1836.4513756584577</v>
      </c>
      <c r="M27" s="94">
        <f>+M8*(M16-L16)/1000000</f>
        <v>763.53693713558857</v>
      </c>
      <c r="N27" s="94">
        <f>+N8*(N16-M16)/1000000</f>
        <v>3056.2673461096674</v>
      </c>
      <c r="O27" s="94">
        <f>+O8*(O16-N16)/1000000</f>
        <v>3645.7713255712988</v>
      </c>
      <c r="P27" s="95">
        <f>+P8*(P16-O16)/1000000</f>
        <v>0</v>
      </c>
    </row>
    <row r="28" spans="1:24" ht="17.45" customHeight="1" x14ac:dyDescent="0.2">
      <c r="A28" s="90" t="s">
        <v>151</v>
      </c>
      <c r="B28" s="94">
        <f>+B21+B22+B23-B24-B25+B27</f>
        <v>3976.8396640000001</v>
      </c>
      <c r="C28" s="94">
        <f t="shared" ref="C28:L28" si="10">+C21+C22+C23-C24-C25+C27</f>
        <v>3395.5548287999991</v>
      </c>
      <c r="D28" s="94">
        <f t="shared" si="10"/>
        <v>3103.8258759999994</v>
      </c>
      <c r="E28" s="94">
        <f t="shared" si="10"/>
        <v>6165.5522544999985</v>
      </c>
      <c r="F28" s="94">
        <f t="shared" si="10"/>
        <v>9318.6626939999987</v>
      </c>
      <c r="G28" s="94">
        <f t="shared" si="10"/>
        <v>10310.5132815</v>
      </c>
      <c r="H28" s="94">
        <f t="shared" si="10"/>
        <v>10752.4652795898</v>
      </c>
      <c r="I28" s="94">
        <f t="shared" si="10"/>
        <v>18461.443466155499</v>
      </c>
      <c r="J28" s="94">
        <f t="shared" si="10"/>
        <v>19718.2072790768</v>
      </c>
      <c r="K28" s="94">
        <f t="shared" si="10"/>
        <v>27656.416997772867</v>
      </c>
      <c r="L28" s="94">
        <f t="shared" si="10"/>
        <v>31249.845953723958</v>
      </c>
      <c r="M28" s="94">
        <f>+M21+M22+M23-M24-M25+M27</f>
        <v>33816.049179082132</v>
      </c>
      <c r="N28" s="94">
        <f>+N21+N22+N23-N24-N25+N27</f>
        <v>38733.842057028392</v>
      </c>
      <c r="O28" s="94">
        <f>+O21+O22+O23-O24-O25+O27</f>
        <v>44639.393483174747</v>
      </c>
      <c r="P28" s="95">
        <f>+P21+P22+P23-P24-P25+P27</f>
        <v>46854.618535450281</v>
      </c>
    </row>
    <row r="29" spans="1:24" ht="17.45" customHeight="1" thickBot="1" x14ac:dyDescent="0.25">
      <c r="A29" s="106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8"/>
    </row>
    <row r="30" spans="1:24" ht="17.45" customHeight="1" thickTop="1" x14ac:dyDescent="0.2"/>
    <row r="31" spans="1:24" ht="17.45" customHeight="1" x14ac:dyDescent="0.2">
      <c r="B31" s="78">
        <f>+B14*B16/1000000</f>
        <v>3976.85842</v>
      </c>
      <c r="C31" s="78">
        <f t="shared" ref="C31:N31" si="11">+C14*C16/1000000</f>
        <v>3395.5735847999999</v>
      </c>
      <c r="D31" s="78">
        <f t="shared" si="11"/>
        <v>3103.8446319999994</v>
      </c>
      <c r="E31" s="78">
        <f t="shared" si="11"/>
        <v>6165.5710104999998</v>
      </c>
      <c r="F31" s="78">
        <f t="shared" si="11"/>
        <v>9318.68145</v>
      </c>
      <c r="G31" s="78">
        <f t="shared" si="11"/>
        <v>10310.532037499999</v>
      </c>
      <c r="H31" s="78">
        <f t="shared" si="11"/>
        <v>10752.4840355898</v>
      </c>
      <c r="I31" s="78">
        <f t="shared" si="11"/>
        <v>18461.462222155496</v>
      </c>
      <c r="J31" s="78">
        <f t="shared" si="11"/>
        <v>19718.226035076797</v>
      </c>
      <c r="K31" s="78">
        <f t="shared" si="11"/>
        <v>27656.435753772868</v>
      </c>
      <c r="L31" s="78">
        <f t="shared" si="11"/>
        <v>31249.864709723966</v>
      </c>
      <c r="M31" s="78">
        <f t="shared" si="11"/>
        <v>33816.067935082137</v>
      </c>
      <c r="N31" s="78">
        <f t="shared" si="11"/>
        <v>38733.860813028405</v>
      </c>
      <c r="O31" s="78">
        <f>+O14*O16/1000000</f>
        <v>44639.412239174759</v>
      </c>
      <c r="P31" s="78">
        <f>+P14*P16/1000000</f>
        <v>46854.637291450308</v>
      </c>
    </row>
    <row r="32" spans="1:24" ht="17.45" customHeight="1" x14ac:dyDescent="0.2"/>
    <row r="33" spans="1:6" ht="17.45" customHeight="1" x14ac:dyDescent="0.2">
      <c r="A33" s="2" t="s">
        <v>65</v>
      </c>
      <c r="B33" s="2" t="s">
        <v>80</v>
      </c>
    </row>
    <row r="34" spans="1:6" ht="17.45" customHeight="1" x14ac:dyDescent="0.2">
      <c r="A34" s="2" t="s">
        <v>67</v>
      </c>
      <c r="B34" s="2" t="s">
        <v>81</v>
      </c>
    </row>
    <row r="35" spans="1:6" ht="17.45" customHeight="1" x14ac:dyDescent="0.2">
      <c r="B35" s="2" t="s">
        <v>82</v>
      </c>
    </row>
    <row r="36" spans="1:6" ht="17.45" customHeight="1" x14ac:dyDescent="0.2">
      <c r="A36" s="2" t="s">
        <v>70</v>
      </c>
      <c r="B36" s="2" t="s">
        <v>83</v>
      </c>
    </row>
    <row r="37" spans="1:6" ht="17.45" customHeight="1" x14ac:dyDescent="0.2">
      <c r="A37" s="2" t="s">
        <v>71</v>
      </c>
      <c r="B37" s="2" t="s">
        <v>84</v>
      </c>
    </row>
    <row r="38" spans="1:6" ht="17.45" customHeight="1" x14ac:dyDescent="0.2">
      <c r="A38" s="2" t="s">
        <v>73</v>
      </c>
      <c r="B38" s="2" t="s">
        <v>85</v>
      </c>
    </row>
    <row r="39" spans="1:6" ht="17.45" customHeight="1" x14ac:dyDescent="0.2"/>
    <row r="40" spans="1:6" ht="17.45" customHeight="1" thickBot="1" x14ac:dyDescent="0.25"/>
    <row r="41" spans="1:6" ht="17.45" customHeight="1" thickTop="1" x14ac:dyDescent="0.2">
      <c r="A41" s="70"/>
      <c r="B41" s="71"/>
      <c r="C41" s="71" t="s">
        <v>86</v>
      </c>
      <c r="D41" s="71"/>
      <c r="E41" s="72"/>
      <c r="F41" s="72" t="s">
        <v>88</v>
      </c>
    </row>
    <row r="42" spans="1:6" ht="17.45" customHeight="1" thickBot="1" x14ac:dyDescent="0.25">
      <c r="A42" s="73" t="s">
        <v>98</v>
      </c>
      <c r="B42" s="74">
        <v>1996</v>
      </c>
      <c r="C42" s="74">
        <v>1997</v>
      </c>
      <c r="D42" s="74">
        <v>1998</v>
      </c>
      <c r="E42" s="75">
        <v>1999</v>
      </c>
      <c r="F42" s="75"/>
    </row>
    <row r="43" spans="1:6" ht="17.45" customHeight="1" thickTop="1" x14ac:dyDescent="0.2">
      <c r="A43" s="76" t="s">
        <v>91</v>
      </c>
      <c r="B43" s="12">
        <v>4.3</v>
      </c>
      <c r="C43" s="12">
        <v>4.3</v>
      </c>
      <c r="D43" s="12">
        <v>4.3</v>
      </c>
      <c r="E43" s="77">
        <v>4.3</v>
      </c>
      <c r="F43" s="77" t="s">
        <v>89</v>
      </c>
    </row>
    <row r="44" spans="1:6" ht="17.45" customHeight="1" x14ac:dyDescent="0.2">
      <c r="A44" s="76" t="s">
        <v>87</v>
      </c>
      <c r="B44" s="12"/>
      <c r="C44" s="12"/>
      <c r="D44" s="12"/>
      <c r="E44" s="77"/>
      <c r="F44" s="77" t="s">
        <v>90</v>
      </c>
    </row>
    <row r="45" spans="1:6" ht="17.45" customHeight="1" x14ac:dyDescent="0.2">
      <c r="A45" s="76" t="s">
        <v>97</v>
      </c>
      <c r="B45" s="12"/>
      <c r="C45" s="12"/>
      <c r="D45" s="12"/>
      <c r="E45" s="77"/>
      <c r="F45" s="77" t="s">
        <v>89</v>
      </c>
    </row>
    <row r="46" spans="1:6" ht="17.45" customHeight="1" x14ac:dyDescent="0.2">
      <c r="A46" s="76" t="s">
        <v>93</v>
      </c>
      <c r="B46" s="12"/>
      <c r="C46" s="12"/>
      <c r="D46" s="12"/>
      <c r="E46" s="77"/>
      <c r="F46" s="77"/>
    </row>
    <row r="47" spans="1:6" ht="17.45" customHeight="1" x14ac:dyDescent="0.2">
      <c r="A47" s="76" t="s">
        <v>71</v>
      </c>
      <c r="B47" s="12"/>
      <c r="C47" s="12"/>
      <c r="D47" s="12"/>
      <c r="E47" s="77"/>
      <c r="F47" s="77"/>
    </row>
    <row r="48" spans="1:6" ht="17.45" customHeight="1" thickBot="1" x14ac:dyDescent="0.25">
      <c r="A48" s="73"/>
      <c r="B48" s="74"/>
      <c r="C48" s="74"/>
      <c r="D48" s="74"/>
      <c r="E48" s="75"/>
      <c r="F48" s="75"/>
    </row>
    <row r="49" spans="1:12" ht="17.45" customHeight="1" thickTop="1" x14ac:dyDescent="0.2"/>
    <row r="50" spans="1:12" ht="17.45" customHeight="1" x14ac:dyDescent="0.2"/>
    <row r="51" spans="1:12" ht="17.45" customHeight="1" x14ac:dyDescent="0.2"/>
    <row r="52" spans="1:12" ht="17.45" customHeight="1" x14ac:dyDescent="0.2">
      <c r="A52" s="964" t="s">
        <v>103</v>
      </c>
      <c r="B52" s="964"/>
      <c r="C52" s="964"/>
      <c r="D52" s="964"/>
      <c r="E52" s="964"/>
      <c r="F52" s="964"/>
      <c r="G52" s="964"/>
      <c r="H52" s="964"/>
      <c r="I52" s="964"/>
      <c r="J52" s="964"/>
      <c r="K52" s="3"/>
      <c r="L52" s="3"/>
    </row>
    <row r="53" spans="1:12" ht="17.45" customHeight="1" thickBot="1" x14ac:dyDescent="0.25"/>
    <row r="54" spans="1:12" ht="17.45" customHeight="1" thickTop="1" x14ac:dyDescent="0.2">
      <c r="A54" s="80" t="s">
        <v>0</v>
      </c>
      <c r="B54" s="81">
        <v>1990</v>
      </c>
      <c r="C54" s="81">
        <v>1991</v>
      </c>
      <c r="D54" s="81">
        <v>1992</v>
      </c>
      <c r="E54" s="81">
        <v>1993</v>
      </c>
      <c r="F54" s="81">
        <v>1994</v>
      </c>
      <c r="G54" s="81">
        <v>1995</v>
      </c>
      <c r="H54" s="81">
        <v>1996</v>
      </c>
      <c r="I54" s="81">
        <v>1997</v>
      </c>
      <c r="J54" s="81">
        <v>1998</v>
      </c>
      <c r="K54" s="81">
        <v>1999</v>
      </c>
      <c r="L54" s="82">
        <v>2000</v>
      </c>
    </row>
    <row r="55" spans="1:12" ht="17.45" customHeight="1" thickBot="1" x14ac:dyDescent="0.25">
      <c r="A55" s="83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5"/>
    </row>
    <row r="56" spans="1:12" ht="17.45" customHeight="1" thickTop="1" x14ac:dyDescent="0.2">
      <c r="A56" s="84" t="s">
        <v>1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77"/>
    </row>
    <row r="57" spans="1:12" ht="17.45" customHeight="1" x14ac:dyDescent="0.2">
      <c r="A57" s="84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6"/>
    </row>
    <row r="58" spans="1:12" ht="17.45" customHeight="1" x14ac:dyDescent="0.2">
      <c r="A58" s="84" t="s">
        <v>2</v>
      </c>
      <c r="B58" s="85">
        <v>32304.3</v>
      </c>
      <c r="C58" s="85">
        <f t="shared" ref="C58:L58" si="12">+B64</f>
        <v>34013.5</v>
      </c>
      <c r="D58" s="85">
        <f t="shared" si="12"/>
        <v>35879.599999999999</v>
      </c>
      <c r="E58" s="85">
        <f t="shared" si="12"/>
        <v>37930.399999999994</v>
      </c>
      <c r="F58" s="85">
        <f t="shared" si="12"/>
        <v>39907.9</v>
      </c>
      <c r="G58" s="85">
        <f t="shared" si="12"/>
        <v>42030</v>
      </c>
      <c r="H58" s="85">
        <f t="shared" si="12"/>
        <v>44303.5</v>
      </c>
      <c r="I58" s="85">
        <f t="shared" si="12"/>
        <v>48155.34</v>
      </c>
      <c r="J58" s="85">
        <f t="shared" si="12"/>
        <v>51768.62999999999</v>
      </c>
      <c r="K58" s="85">
        <f t="shared" si="12"/>
        <v>55203.609999999993</v>
      </c>
      <c r="L58" s="86">
        <f t="shared" si="12"/>
        <v>58459.021420438781</v>
      </c>
    </row>
    <row r="59" spans="1:12" ht="17.45" customHeight="1" x14ac:dyDescent="0.2">
      <c r="A59" s="84" t="s">
        <v>3</v>
      </c>
      <c r="B59" s="85">
        <v>2580.4</v>
      </c>
      <c r="C59" s="85">
        <v>2716.5</v>
      </c>
      <c r="D59" s="85">
        <v>2865.5</v>
      </c>
      <c r="E59" s="85">
        <v>3029.3</v>
      </c>
      <c r="F59" s="85">
        <v>3187.2</v>
      </c>
      <c r="G59" s="85">
        <v>3356.7</v>
      </c>
      <c r="H59" s="85">
        <v>4882.7299999999996</v>
      </c>
      <c r="I59" s="85">
        <v>4650.13</v>
      </c>
      <c r="J59" s="85">
        <v>4716.25</v>
      </c>
      <c r="K59" s="51">
        <v>4547.806505999999</v>
      </c>
      <c r="L59" s="109">
        <v>4327.570138</v>
      </c>
    </row>
    <row r="60" spans="1:12" ht="17.45" customHeight="1" x14ac:dyDescent="0.2">
      <c r="A60" s="84" t="s">
        <v>4</v>
      </c>
      <c r="B60" s="85">
        <v>18.8</v>
      </c>
      <c r="C60" s="85">
        <v>21.5</v>
      </c>
      <c r="D60" s="85">
        <v>17.600000000000001</v>
      </c>
      <c r="E60" s="85">
        <v>16.3</v>
      </c>
      <c r="F60" s="85">
        <v>16.5</v>
      </c>
      <c r="G60" s="85">
        <v>19.899999999999999</v>
      </c>
      <c r="H60" s="85">
        <v>10.5</v>
      </c>
      <c r="I60" s="85">
        <v>15.89</v>
      </c>
      <c r="J60" s="85">
        <v>14.43</v>
      </c>
      <c r="K60" s="51">
        <v>31.780999999999999</v>
      </c>
      <c r="L60" s="109">
        <v>39.491999999999997</v>
      </c>
    </row>
    <row r="61" spans="1:12" ht="17.45" customHeight="1" x14ac:dyDescent="0.2">
      <c r="A61" s="84" t="s">
        <v>13</v>
      </c>
      <c r="B61" s="85">
        <v>112.7</v>
      </c>
      <c r="C61" s="85">
        <v>114.3</v>
      </c>
      <c r="D61" s="85">
        <v>151.5</v>
      </c>
      <c r="E61" s="85">
        <v>234</v>
      </c>
      <c r="F61" s="85">
        <v>207.6</v>
      </c>
      <c r="G61" s="85">
        <v>206.4</v>
      </c>
      <c r="H61" s="85">
        <v>208.87</v>
      </c>
      <c r="I61" s="85">
        <v>187.61</v>
      </c>
      <c r="J61" s="85">
        <v>534.95000000000005</v>
      </c>
      <c r="K61" s="51">
        <v>558.43808556121508</v>
      </c>
      <c r="L61" s="109">
        <v>562.94564381703287</v>
      </c>
    </row>
    <row r="62" spans="1:12" ht="17.45" customHeight="1" x14ac:dyDescent="0.2">
      <c r="A62" s="84" t="s">
        <v>5</v>
      </c>
      <c r="B62" s="85">
        <v>777.3</v>
      </c>
      <c r="C62" s="85">
        <v>757.6</v>
      </c>
      <c r="D62" s="85">
        <v>680.8</v>
      </c>
      <c r="E62" s="85">
        <v>834.1</v>
      </c>
      <c r="F62" s="85">
        <v>874</v>
      </c>
      <c r="G62" s="85">
        <v>896.7</v>
      </c>
      <c r="H62" s="85">
        <v>832.52</v>
      </c>
      <c r="I62" s="85">
        <v>865.12</v>
      </c>
      <c r="J62" s="85">
        <v>760.75</v>
      </c>
      <c r="K62" s="51">
        <v>765.73800000000006</v>
      </c>
      <c r="L62" s="109">
        <v>691.423</v>
      </c>
    </row>
    <row r="63" spans="1:12" ht="17.45" customHeight="1" x14ac:dyDescent="0.2">
      <c r="A63" s="84" t="s">
        <v>99</v>
      </c>
      <c r="B63" s="85">
        <f>+B64-B58</f>
        <v>1709.2000000000007</v>
      </c>
      <c r="C63" s="85">
        <f t="shared" ref="C63:L63" si="13">+C64-C58</f>
        <v>1866.0999999999985</v>
      </c>
      <c r="D63" s="85">
        <f t="shared" si="13"/>
        <v>2050.7999999999956</v>
      </c>
      <c r="E63" s="85">
        <f t="shared" si="13"/>
        <v>1977.5000000000073</v>
      </c>
      <c r="F63" s="85">
        <f t="shared" si="13"/>
        <v>2122.0999999999985</v>
      </c>
      <c r="G63" s="85">
        <f t="shared" si="13"/>
        <v>2273.5</v>
      </c>
      <c r="H63" s="85">
        <f t="shared" si="13"/>
        <v>3851.8399999999965</v>
      </c>
      <c r="I63" s="85">
        <f t="shared" si="13"/>
        <v>3613.2899999999936</v>
      </c>
      <c r="J63" s="85">
        <f t="shared" si="13"/>
        <v>3434.9800000000032</v>
      </c>
      <c r="K63" s="85">
        <f t="shared" si="13"/>
        <v>3255.4114204387879</v>
      </c>
      <c r="L63" s="86">
        <f t="shared" si="13"/>
        <v>3112.6934941829677</v>
      </c>
    </row>
    <row r="64" spans="1:12" ht="17.45" customHeight="1" x14ac:dyDescent="0.2">
      <c r="A64" s="84" t="s">
        <v>10</v>
      </c>
      <c r="B64" s="85">
        <f t="shared" ref="B64:L64" si="14">+B58+B59+B60-B61-B62</f>
        <v>34013.5</v>
      </c>
      <c r="C64" s="85">
        <f t="shared" si="14"/>
        <v>35879.599999999999</v>
      </c>
      <c r="D64" s="85">
        <f t="shared" si="14"/>
        <v>37930.399999999994</v>
      </c>
      <c r="E64" s="85">
        <f t="shared" si="14"/>
        <v>39907.9</v>
      </c>
      <c r="F64" s="85">
        <f t="shared" si="14"/>
        <v>42030</v>
      </c>
      <c r="G64" s="85">
        <f t="shared" si="14"/>
        <v>44303.5</v>
      </c>
      <c r="H64" s="85">
        <f t="shared" si="14"/>
        <v>48155.34</v>
      </c>
      <c r="I64" s="85">
        <f t="shared" si="14"/>
        <v>51768.62999999999</v>
      </c>
      <c r="J64" s="85">
        <f t="shared" si="14"/>
        <v>55203.609999999993</v>
      </c>
      <c r="K64" s="85">
        <f t="shared" si="14"/>
        <v>58459.021420438781</v>
      </c>
      <c r="L64" s="86">
        <f t="shared" si="14"/>
        <v>61571.714914621749</v>
      </c>
    </row>
    <row r="65" spans="1:12" ht="17.45" customHeight="1" x14ac:dyDescent="0.2">
      <c r="A65" s="84"/>
      <c r="C65" s="85"/>
      <c r="D65" s="85"/>
      <c r="E65" s="85"/>
      <c r="F65" s="85"/>
      <c r="G65" s="85"/>
      <c r="H65" s="85"/>
      <c r="I65" s="85"/>
      <c r="J65" s="85"/>
      <c r="K65" s="85"/>
      <c r="L65" s="86"/>
    </row>
    <row r="66" spans="1:12" ht="17.45" customHeight="1" x14ac:dyDescent="0.2">
      <c r="A66" s="84" t="s">
        <v>6</v>
      </c>
      <c r="B66" s="85"/>
      <c r="C66" s="85"/>
      <c r="D66" s="85"/>
      <c r="E66" s="85">
        <v>154495</v>
      </c>
      <c r="F66" s="85"/>
      <c r="G66" s="85"/>
      <c r="H66" s="85"/>
      <c r="I66" s="85"/>
      <c r="J66" s="85"/>
      <c r="K66" s="85"/>
      <c r="L66" s="86"/>
    </row>
    <row r="67" spans="1:12" ht="17.45" customHeight="1" x14ac:dyDescent="0.2">
      <c r="A67" s="84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6"/>
    </row>
    <row r="68" spans="1:12" ht="17.45" customHeight="1" x14ac:dyDescent="0.2">
      <c r="A68" s="84" t="s">
        <v>7</v>
      </c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6"/>
    </row>
    <row r="69" spans="1:12" ht="17.45" customHeight="1" x14ac:dyDescent="0.2">
      <c r="A69" s="84" t="s">
        <v>8</v>
      </c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6"/>
    </row>
    <row r="70" spans="1:12" ht="17.45" customHeight="1" x14ac:dyDescent="0.2">
      <c r="A70" s="84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6"/>
    </row>
    <row r="71" spans="1:12" ht="17.45" customHeight="1" x14ac:dyDescent="0.2">
      <c r="A71" s="84" t="s">
        <v>2</v>
      </c>
      <c r="B71" s="85">
        <f>+B58*E66/1000000</f>
        <v>4990.8528285000002</v>
      </c>
      <c r="C71" s="85">
        <f>+B78</f>
        <v>5254.9156825</v>
      </c>
      <c r="D71" s="85">
        <f t="shared" ref="D71:L71" si="15">+C78</f>
        <v>5543.2188019999994</v>
      </c>
      <c r="E71" s="85">
        <f t="shared" si="15"/>
        <v>5860.057147999999</v>
      </c>
      <c r="F71" s="85">
        <f t="shared" si="15"/>
        <v>6165.5710104999998</v>
      </c>
      <c r="G71" s="85">
        <f t="shared" si="15"/>
        <v>6493.4248500000003</v>
      </c>
      <c r="H71" s="85">
        <f t="shared" si="15"/>
        <v>6844.6692325000013</v>
      </c>
      <c r="I71" s="85">
        <f t="shared" si="15"/>
        <v>7439.7592533000006</v>
      </c>
      <c r="J71" s="85">
        <f t="shared" si="15"/>
        <v>7997.9944918499996</v>
      </c>
      <c r="K71" s="85">
        <f t="shared" si="15"/>
        <v>8528.6817269499988</v>
      </c>
      <c r="L71" s="86">
        <f t="shared" si="15"/>
        <v>9031.626514350688</v>
      </c>
    </row>
    <row r="72" spans="1:12" ht="17.45" customHeight="1" x14ac:dyDescent="0.2">
      <c r="A72" s="84" t="s">
        <v>3</v>
      </c>
      <c r="B72" s="85">
        <f t="shared" ref="B72:C76" si="16">+B59*$E$66/1000000</f>
        <v>398.65889800000002</v>
      </c>
      <c r="C72" s="85">
        <f t="shared" si="16"/>
        <v>419.68566750000002</v>
      </c>
      <c r="D72" s="85">
        <f t="shared" ref="D72:L72" si="17">+D59*$E$66/1000000</f>
        <v>442.7054225</v>
      </c>
      <c r="E72" s="85">
        <f t="shared" si="17"/>
        <v>468.01170350000001</v>
      </c>
      <c r="F72" s="85">
        <f t="shared" si="17"/>
        <v>492.40646400000003</v>
      </c>
      <c r="G72" s="85">
        <f t="shared" si="17"/>
        <v>518.5933665</v>
      </c>
      <c r="H72" s="85">
        <f t="shared" si="17"/>
        <v>754.35737134999988</v>
      </c>
      <c r="I72" s="85">
        <f t="shared" si="17"/>
        <v>718.42183435000004</v>
      </c>
      <c r="J72" s="85">
        <f t="shared" si="17"/>
        <v>728.63704374999998</v>
      </c>
      <c r="K72" s="85">
        <f t="shared" si="17"/>
        <v>702.61336614446986</v>
      </c>
      <c r="L72" s="86">
        <f t="shared" si="17"/>
        <v>668.58794847030993</v>
      </c>
    </row>
    <row r="73" spans="1:12" ht="17.45" customHeight="1" x14ac:dyDescent="0.2">
      <c r="A73" s="84" t="s">
        <v>4</v>
      </c>
      <c r="B73" s="85">
        <f t="shared" si="16"/>
        <v>2.904506</v>
      </c>
      <c r="C73" s="85">
        <f t="shared" si="16"/>
        <v>3.3216424999999998</v>
      </c>
      <c r="D73" s="85">
        <f t="shared" ref="D73:L73" si="18">+D60*$E$66/1000000</f>
        <v>2.719112</v>
      </c>
      <c r="E73" s="85">
        <f t="shared" si="18"/>
        <v>2.5182685</v>
      </c>
      <c r="F73" s="85">
        <f t="shared" si="18"/>
        <v>2.5491674999999998</v>
      </c>
      <c r="G73" s="85">
        <f t="shared" si="18"/>
        <v>3.0744505000000002</v>
      </c>
      <c r="H73" s="85">
        <f t="shared" si="18"/>
        <v>1.6221975</v>
      </c>
      <c r="I73" s="85">
        <f t="shared" si="18"/>
        <v>2.4549255500000005</v>
      </c>
      <c r="J73" s="85">
        <f t="shared" si="18"/>
        <v>2.2293628500000002</v>
      </c>
      <c r="K73" s="85">
        <f t="shared" si="18"/>
        <v>4.9100055949999994</v>
      </c>
      <c r="L73" s="86">
        <f t="shared" si="18"/>
        <v>6.10131654</v>
      </c>
    </row>
    <row r="74" spans="1:12" ht="17.45" customHeight="1" x14ac:dyDescent="0.2">
      <c r="A74" s="84" t="s">
        <v>13</v>
      </c>
      <c r="B74" s="85">
        <f t="shared" si="16"/>
        <v>17.411586499999999</v>
      </c>
      <c r="C74" s="85">
        <f t="shared" si="16"/>
        <v>17.6587785</v>
      </c>
      <c r="D74" s="85">
        <f t="shared" ref="D74:L74" si="19">+D61*$E$66/1000000</f>
        <v>23.4059925</v>
      </c>
      <c r="E74" s="85">
        <f t="shared" si="19"/>
        <v>36.151829999999997</v>
      </c>
      <c r="F74" s="85">
        <f t="shared" si="19"/>
        <v>32.073162000000004</v>
      </c>
      <c r="G74" s="85">
        <f t="shared" si="19"/>
        <v>31.887768000000001</v>
      </c>
      <c r="H74" s="85">
        <f t="shared" si="19"/>
        <v>32.269370649999999</v>
      </c>
      <c r="I74" s="85">
        <f t="shared" si="19"/>
        <v>28.984806950000003</v>
      </c>
      <c r="J74" s="85">
        <f t="shared" si="19"/>
        <v>82.647100249999994</v>
      </c>
      <c r="K74" s="85">
        <f t="shared" si="19"/>
        <v>86.275892028779921</v>
      </c>
      <c r="L74" s="86">
        <f t="shared" si="19"/>
        <v>86.97228724151249</v>
      </c>
    </row>
    <row r="75" spans="1:12" ht="17.45" customHeight="1" x14ac:dyDescent="0.2">
      <c r="A75" s="84" t="s">
        <v>5</v>
      </c>
      <c r="B75" s="85">
        <f t="shared" si="16"/>
        <v>120.08896350000001</v>
      </c>
      <c r="C75" s="85">
        <f t="shared" si="16"/>
        <v>117.045412</v>
      </c>
      <c r="D75" s="85">
        <f t="shared" ref="D75:L75" si="20">+D62*$E$66/1000000</f>
        <v>105.180196</v>
      </c>
      <c r="E75" s="85">
        <f t="shared" si="20"/>
        <v>128.86427950000001</v>
      </c>
      <c r="F75" s="85">
        <f t="shared" si="20"/>
        <v>135.02862999999999</v>
      </c>
      <c r="G75" s="85">
        <f t="shared" si="20"/>
        <v>138.53566649999999</v>
      </c>
      <c r="H75" s="85">
        <f t="shared" si="20"/>
        <v>128.62017739999999</v>
      </c>
      <c r="I75" s="85">
        <f t="shared" si="20"/>
        <v>133.6567144</v>
      </c>
      <c r="J75" s="85">
        <f t="shared" si="20"/>
        <v>117.53207125</v>
      </c>
      <c r="K75" s="85">
        <f t="shared" si="20"/>
        <v>118.30269231</v>
      </c>
      <c r="L75" s="86">
        <f t="shared" si="20"/>
        <v>106.821396385</v>
      </c>
    </row>
    <row r="76" spans="1:12" ht="17.45" customHeight="1" x14ac:dyDescent="0.2">
      <c r="A76" s="84" t="s">
        <v>99</v>
      </c>
      <c r="B76" s="85">
        <f t="shared" si="16"/>
        <v>264.06285400000013</v>
      </c>
      <c r="C76" s="85">
        <f t="shared" si="16"/>
        <v>288.30311949999975</v>
      </c>
      <c r="D76" s="85">
        <f t="shared" ref="D76:L76" si="21">+D63*$E$66/1000000</f>
        <v>316.83834599999932</v>
      </c>
      <c r="E76" s="85">
        <f t="shared" si="21"/>
        <v>305.51386250000115</v>
      </c>
      <c r="F76" s="85">
        <f t="shared" si="21"/>
        <v>327.85383949999976</v>
      </c>
      <c r="G76" s="85">
        <f t="shared" si="21"/>
        <v>351.24438249999997</v>
      </c>
      <c r="H76" s="85">
        <f t="shared" si="21"/>
        <v>595.09002079999948</v>
      </c>
      <c r="I76" s="85">
        <f t="shared" si="21"/>
        <v>558.23523854999905</v>
      </c>
      <c r="J76" s="85">
        <f t="shared" si="21"/>
        <v>530.68723510000052</v>
      </c>
      <c r="K76" s="85">
        <f t="shared" si="21"/>
        <v>502.94478740069053</v>
      </c>
      <c r="L76" s="86">
        <f t="shared" si="21"/>
        <v>480.89558138379761</v>
      </c>
    </row>
    <row r="77" spans="1:12" ht="17.45" customHeight="1" x14ac:dyDescent="0.2">
      <c r="A77" s="84" t="s">
        <v>100</v>
      </c>
      <c r="B77" s="85">
        <v>0</v>
      </c>
      <c r="C77" s="85">
        <v>0</v>
      </c>
      <c r="D77" s="85">
        <v>0</v>
      </c>
      <c r="E77" s="85">
        <v>0</v>
      </c>
      <c r="F77" s="85">
        <v>0</v>
      </c>
      <c r="G77" s="85">
        <v>0</v>
      </c>
      <c r="H77" s="85">
        <v>0</v>
      </c>
      <c r="I77" s="85">
        <v>0</v>
      </c>
      <c r="J77" s="85">
        <v>0</v>
      </c>
      <c r="K77" s="85">
        <v>0</v>
      </c>
      <c r="L77" s="86">
        <v>0</v>
      </c>
    </row>
    <row r="78" spans="1:12" ht="17.45" customHeight="1" x14ac:dyDescent="0.2">
      <c r="A78" s="84" t="s">
        <v>101</v>
      </c>
      <c r="B78" s="85">
        <f>+B64*$E$66/1000000</f>
        <v>5254.9156825</v>
      </c>
      <c r="C78" s="85">
        <f t="shared" ref="C78:L78" si="22">+C71+C72+C73-C74-C75+C77</f>
        <v>5543.2188019999994</v>
      </c>
      <c r="D78" s="85">
        <f t="shared" si="22"/>
        <v>5860.057147999999</v>
      </c>
      <c r="E78" s="85">
        <f t="shared" si="22"/>
        <v>6165.5710104999998</v>
      </c>
      <c r="F78" s="85">
        <f t="shared" si="22"/>
        <v>6493.4248500000003</v>
      </c>
      <c r="G78" s="85">
        <f t="shared" si="22"/>
        <v>6844.6692325000013</v>
      </c>
      <c r="H78" s="85">
        <f t="shared" si="22"/>
        <v>7439.7592533000006</v>
      </c>
      <c r="I78" s="85">
        <f t="shared" si="22"/>
        <v>7997.9944918499996</v>
      </c>
      <c r="J78" s="85">
        <f t="shared" si="22"/>
        <v>8528.6817269499988</v>
      </c>
      <c r="K78" s="85">
        <f t="shared" si="22"/>
        <v>9031.626514350688</v>
      </c>
      <c r="L78" s="86">
        <f t="shared" si="22"/>
        <v>9512.5220957344845</v>
      </c>
    </row>
    <row r="79" spans="1:12" ht="17.45" customHeight="1" thickBot="1" x14ac:dyDescent="0.25">
      <c r="A79" s="83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5"/>
    </row>
    <row r="80" spans="1:12" ht="17.45" customHeight="1" thickTop="1" x14ac:dyDescent="0.2"/>
    <row r="81" spans="2:12" ht="17.45" customHeight="1" x14ac:dyDescent="0.2"/>
    <row r="82" spans="2:12" ht="17.45" customHeight="1" x14ac:dyDescent="0.2">
      <c r="B82" s="2">
        <f>+B64*$E$66/1000000</f>
        <v>5254.9156825</v>
      </c>
      <c r="C82" s="2">
        <f t="shared" ref="C82:L82" si="23">+C64*$E$66/1000000</f>
        <v>5543.2188020000003</v>
      </c>
      <c r="D82" s="2">
        <f t="shared" si="23"/>
        <v>5860.057147999999</v>
      </c>
      <c r="E82" s="2">
        <f t="shared" si="23"/>
        <v>6165.5710104999998</v>
      </c>
      <c r="F82" s="2">
        <f t="shared" si="23"/>
        <v>6493.4248500000003</v>
      </c>
      <c r="G82" s="2">
        <f t="shared" si="23"/>
        <v>6844.6692325000004</v>
      </c>
      <c r="H82" s="2">
        <f t="shared" si="23"/>
        <v>7439.7592532999988</v>
      </c>
      <c r="I82" s="2">
        <f t="shared" si="23"/>
        <v>7997.9944918499987</v>
      </c>
      <c r="J82" s="2">
        <f t="shared" si="23"/>
        <v>8528.6817269499988</v>
      </c>
      <c r="K82" s="2">
        <f t="shared" si="23"/>
        <v>9031.6265143506898</v>
      </c>
      <c r="L82" s="2">
        <f t="shared" si="23"/>
        <v>9512.5220957344882</v>
      </c>
    </row>
    <row r="83" spans="2:12" ht="17.45" customHeight="1" x14ac:dyDescent="0.2"/>
    <row r="84" spans="2:12" ht="17.45" customHeight="1" x14ac:dyDescent="0.2"/>
    <row r="85" spans="2:12" ht="17.45" customHeight="1" x14ac:dyDescent="0.2"/>
    <row r="86" spans="2:12" ht="17.45" customHeight="1" x14ac:dyDescent="0.2"/>
    <row r="87" spans="2:12" ht="17.45" customHeight="1" x14ac:dyDescent="0.2"/>
    <row r="88" spans="2:12" ht="17.45" customHeight="1" x14ac:dyDescent="0.2"/>
    <row r="89" spans="2:12" ht="17.45" customHeight="1" x14ac:dyDescent="0.2"/>
    <row r="90" spans="2:12" ht="17.45" customHeight="1" x14ac:dyDescent="0.2"/>
    <row r="91" spans="2:12" ht="17.45" customHeight="1" x14ac:dyDescent="0.2"/>
    <row r="92" spans="2:12" ht="17.45" customHeight="1" x14ac:dyDescent="0.2"/>
    <row r="93" spans="2:12" ht="17.45" customHeight="1" x14ac:dyDescent="0.2"/>
    <row r="94" spans="2:12" ht="17.45" customHeight="1" x14ac:dyDescent="0.2"/>
    <row r="95" spans="2:12" ht="17.45" customHeight="1" x14ac:dyDescent="0.2"/>
    <row r="96" spans="2:12" ht="17.45" customHeight="1" x14ac:dyDescent="0.2"/>
    <row r="97" ht="17.45" customHeight="1" x14ac:dyDescent="0.2"/>
    <row r="98" ht="17.45" customHeight="1" x14ac:dyDescent="0.2"/>
    <row r="99" ht="17.45" customHeight="1" x14ac:dyDescent="0.2"/>
    <row r="100" ht="17.45" customHeight="1" x14ac:dyDescent="0.2"/>
    <row r="101" ht="17.45" customHeight="1" x14ac:dyDescent="0.2"/>
    <row r="102" ht="17.45" customHeight="1" x14ac:dyDescent="0.2"/>
    <row r="103" ht="17.45" customHeight="1" x14ac:dyDescent="0.2"/>
    <row r="104" ht="17.45" customHeight="1" x14ac:dyDescent="0.2"/>
    <row r="105" ht="17.45" customHeight="1" x14ac:dyDescent="0.2"/>
    <row r="106" ht="17.45" customHeight="1" x14ac:dyDescent="0.2"/>
    <row r="107" ht="17.45" customHeight="1" x14ac:dyDescent="0.2"/>
    <row r="108" ht="17.45" customHeight="1" x14ac:dyDescent="0.2"/>
    <row r="109" ht="17.45" customHeight="1" x14ac:dyDescent="0.2"/>
    <row r="110" ht="17.45" customHeight="1" x14ac:dyDescent="0.2"/>
    <row r="111" ht="17.45" customHeight="1" x14ac:dyDescent="0.2"/>
    <row r="112" ht="17.45" customHeight="1" x14ac:dyDescent="0.2"/>
    <row r="113" ht="17.45" customHeight="1" x14ac:dyDescent="0.2"/>
    <row r="114" ht="17.45" customHeight="1" x14ac:dyDescent="0.2"/>
    <row r="115" ht="17.45" customHeight="1" x14ac:dyDescent="0.2"/>
    <row r="116" ht="17.45" customHeight="1" x14ac:dyDescent="0.2"/>
  </sheetData>
  <mergeCells count="19">
    <mergeCell ref="P4:P5"/>
    <mergeCell ref="A52:J52"/>
    <mergeCell ref="A4:A5"/>
    <mergeCell ref="B4:B5"/>
    <mergeCell ref="D4:D5"/>
    <mergeCell ref="C4:C5"/>
    <mergeCell ref="E4:E5"/>
    <mergeCell ref="F4:F5"/>
    <mergeCell ref="G4:G5"/>
    <mergeCell ref="H4:H5"/>
    <mergeCell ref="A1:O1"/>
    <mergeCell ref="A2:O2"/>
    <mergeCell ref="M4:M5"/>
    <mergeCell ref="N4:N5"/>
    <mergeCell ref="O4:O5"/>
    <mergeCell ref="I4:I5"/>
    <mergeCell ref="J4:J5"/>
    <mergeCell ref="K4:K5"/>
    <mergeCell ref="L4:L5"/>
  </mergeCells>
  <phoneticPr fontId="0" type="noConversion"/>
  <printOptions horizontalCentered="1"/>
  <pageMargins left="0.75" right="0.75" top="0.75" bottom="0.75" header="0.511811023622047" footer="0.511811023622047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6"/>
  <sheetViews>
    <sheetView workbookViewId="0">
      <pane xSplit="1" ySplit="7" topLeftCell="O8" activePane="bottomRight" state="frozen"/>
      <selection activeCell="C9" sqref="C9"/>
      <selection pane="topRight" activeCell="C9" sqref="C9"/>
      <selection pane="bottomLeft" activeCell="C9" sqref="C9"/>
      <selection pane="bottomRight" activeCell="C9" sqref="C9"/>
    </sheetView>
  </sheetViews>
  <sheetFormatPr defaultColWidth="9.33203125" defaultRowHeight="13.5" x14ac:dyDescent="0.2"/>
  <cols>
    <col min="1" max="1" width="29" style="2" customWidth="1"/>
    <col min="2" max="16" width="12.83203125" style="2" customWidth="1"/>
    <col min="17" max="19" width="9.33203125" style="2"/>
    <col min="20" max="20" width="12.5" style="2" customWidth="1"/>
    <col min="21" max="25" width="12.83203125" style="2" customWidth="1"/>
    <col min="26" max="16384" width="9.33203125" style="2"/>
  </cols>
  <sheetData>
    <row r="1" spans="1:25" ht="15" x14ac:dyDescent="0.2">
      <c r="A1" s="964" t="s">
        <v>11</v>
      </c>
      <c r="B1" s="964"/>
      <c r="C1" s="964"/>
      <c r="D1" s="964"/>
      <c r="E1" s="964"/>
      <c r="F1" s="964"/>
      <c r="G1" s="964"/>
      <c r="H1" s="964"/>
      <c r="I1" s="964"/>
      <c r="J1" s="964"/>
      <c r="K1" s="964"/>
      <c r="L1" s="964"/>
      <c r="M1" s="964"/>
      <c r="N1" s="964"/>
      <c r="O1" s="964"/>
      <c r="P1" s="3"/>
    </row>
    <row r="2" spans="1:25" ht="15" x14ac:dyDescent="0.2">
      <c r="A2" s="964" t="s">
        <v>121</v>
      </c>
      <c r="B2" s="964"/>
      <c r="C2" s="964"/>
      <c r="D2" s="964"/>
      <c r="E2" s="964"/>
      <c r="F2" s="964"/>
      <c r="G2" s="964"/>
      <c r="H2" s="964"/>
      <c r="I2" s="964"/>
      <c r="J2" s="964"/>
      <c r="K2" s="964"/>
      <c r="L2" s="964"/>
      <c r="M2" s="964"/>
      <c r="N2" s="964"/>
      <c r="O2" s="964"/>
      <c r="P2" s="3"/>
    </row>
    <row r="3" spans="1:25" ht="14.25" thickBot="1" x14ac:dyDescent="0.25"/>
    <row r="4" spans="1:25" ht="17.45" customHeight="1" thickTop="1" x14ac:dyDescent="0.2">
      <c r="A4" s="1016" t="s">
        <v>0</v>
      </c>
      <c r="B4" s="1012">
        <v>1990</v>
      </c>
      <c r="C4" s="1012">
        <v>1991</v>
      </c>
      <c r="D4" s="1012">
        <v>1992</v>
      </c>
      <c r="E4" s="1012">
        <v>1993</v>
      </c>
      <c r="F4" s="1012">
        <v>1994</v>
      </c>
      <c r="G4" s="1012">
        <v>1995</v>
      </c>
      <c r="H4" s="1012">
        <v>1996</v>
      </c>
      <c r="I4" s="1012">
        <v>1997</v>
      </c>
      <c r="J4" s="1012">
        <v>1998</v>
      </c>
      <c r="K4" s="1012">
        <v>1999</v>
      </c>
      <c r="L4" s="1012">
        <v>2000</v>
      </c>
      <c r="M4" s="1012">
        <v>2001</v>
      </c>
      <c r="N4" s="1012">
        <v>2002</v>
      </c>
      <c r="O4" s="967">
        <v>2003</v>
      </c>
      <c r="P4" s="1014">
        <v>2004</v>
      </c>
    </row>
    <row r="5" spans="1:25" ht="17.45" customHeight="1" thickBot="1" x14ac:dyDescent="0.25">
      <c r="A5" s="1017"/>
      <c r="B5" s="1013"/>
      <c r="C5" s="1013"/>
      <c r="D5" s="1013"/>
      <c r="E5" s="1013"/>
      <c r="F5" s="1013"/>
      <c r="G5" s="1013"/>
      <c r="H5" s="1013"/>
      <c r="I5" s="1013"/>
      <c r="J5" s="1013"/>
      <c r="K5" s="1013"/>
      <c r="L5" s="1013"/>
      <c r="M5" s="1013"/>
      <c r="N5" s="1013"/>
      <c r="O5" s="968"/>
      <c r="P5" s="1015"/>
    </row>
    <row r="6" spans="1:25" ht="17.45" customHeight="1" thickTop="1" x14ac:dyDescent="0.2">
      <c r="A6" s="87" t="s">
        <v>187</v>
      </c>
      <c r="B6" s="88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1"/>
      <c r="U6" s="10"/>
      <c r="V6" s="10"/>
      <c r="W6" s="10"/>
      <c r="X6" s="10"/>
    </row>
    <row r="7" spans="1:25" ht="17.45" customHeight="1" x14ac:dyDescent="0.2">
      <c r="A7" s="90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3"/>
      <c r="U7" s="10">
        <f>+'Data Penunjang'!P40</f>
        <v>7464.2214846134884</v>
      </c>
      <c r="V7" s="10">
        <f>+'Data Penunjang'!Q40</f>
        <v>9420.2200000002049</v>
      </c>
      <c r="W7" s="10">
        <f>+'Data Penunjang'!R40</f>
        <v>-11053.040000000037</v>
      </c>
      <c r="X7" s="10">
        <f>+'Data Penunjang'!T40</f>
        <v>158166.72000000009</v>
      </c>
    </row>
    <row r="8" spans="1:25" ht="17.45" customHeight="1" x14ac:dyDescent="0.2">
      <c r="A8" s="90" t="s">
        <v>2</v>
      </c>
      <c r="B8" s="94">
        <v>68020.3</v>
      </c>
      <c r="C8" s="94">
        <f>+B14</f>
        <v>76085.499999999985</v>
      </c>
      <c r="D8" s="94">
        <f t="shared" ref="D8:L8" si="0">+C14</f>
        <v>85124.54555360676</v>
      </c>
      <c r="E8" s="94">
        <f t="shared" si="0"/>
        <v>95162.36681813428</v>
      </c>
      <c r="F8" s="94">
        <f t="shared" si="0"/>
        <v>106191.91020681658</v>
      </c>
      <c r="G8" s="94">
        <f t="shared" si="0"/>
        <v>118559.04043843065</v>
      </c>
      <c r="H8" s="94">
        <v>132369.45499999999</v>
      </c>
      <c r="I8" s="94">
        <f t="shared" si="0"/>
        <v>147915.405</v>
      </c>
      <c r="J8" s="94">
        <f t="shared" si="0"/>
        <v>165431.495</v>
      </c>
      <c r="K8" s="94">
        <f t="shared" si="0"/>
        <v>184860.16500000001</v>
      </c>
      <c r="L8" s="94">
        <f t="shared" si="0"/>
        <v>206737.41004530218</v>
      </c>
      <c r="M8" s="94">
        <f>+L14</f>
        <v>226503.52575945703</v>
      </c>
      <c r="N8" s="94">
        <f>+M14</f>
        <v>246284.33720459579</v>
      </c>
      <c r="O8" s="94">
        <f>+N14</f>
        <v>265794.66720432893</v>
      </c>
      <c r="P8" s="95">
        <f>+O14</f>
        <v>282630.96342358843</v>
      </c>
      <c r="U8" s="10">
        <v>9900</v>
      </c>
      <c r="V8" s="10">
        <v>12122</v>
      </c>
      <c r="W8" s="10">
        <v>9328</v>
      </c>
      <c r="X8" s="10">
        <v>2117</v>
      </c>
    </row>
    <row r="9" spans="1:25" ht="17.45" customHeight="1" x14ac:dyDescent="0.2">
      <c r="A9" s="90" t="s">
        <v>3</v>
      </c>
      <c r="B9" s="94">
        <v>8502.5</v>
      </c>
      <c r="C9" s="94">
        <v>9510.6455536067879</v>
      </c>
      <c r="D9" s="94">
        <v>10640.521264527521</v>
      </c>
      <c r="E9" s="94">
        <v>11895.243388682298</v>
      </c>
      <c r="F9" s="94">
        <v>13273.930231614058</v>
      </c>
      <c r="G9" s="94">
        <v>14819.81</v>
      </c>
      <c r="H9" s="94">
        <v>16546.11</v>
      </c>
      <c r="I9" s="94">
        <v>18489.34</v>
      </c>
      <c r="J9" s="94">
        <v>20678.849999999999</v>
      </c>
      <c r="K9" s="96">
        <v>23107.418064020181</v>
      </c>
      <c r="L9" s="97">
        <f>(837736*25)/1000</f>
        <v>20943.400000000001</v>
      </c>
      <c r="M9" s="97">
        <f>(833039*25)/1000</f>
        <v>20825.974999999999</v>
      </c>
      <c r="N9" s="97">
        <f>(821986*25)/1000</f>
        <v>20549.650000000001</v>
      </c>
      <c r="O9" s="97">
        <f>(705375*25)/1000</f>
        <v>17634.375</v>
      </c>
      <c r="P9" s="98">
        <f>(863541.34*25)/1000</f>
        <v>21588.533500000001</v>
      </c>
      <c r="U9" s="10">
        <v>712</v>
      </c>
      <c r="V9" s="10">
        <v>1060</v>
      </c>
      <c r="W9" s="10">
        <v>952</v>
      </c>
      <c r="X9" s="10">
        <v>705</v>
      </c>
    </row>
    <row r="10" spans="1:25" ht="17.45" customHeight="1" x14ac:dyDescent="0.2">
      <c r="A10" s="90" t="s">
        <v>4</v>
      </c>
      <c r="B10" s="94">
        <v>151.4</v>
      </c>
      <c r="C10" s="94">
        <v>199</v>
      </c>
      <c r="D10" s="94">
        <v>163.80000000000001</v>
      </c>
      <c r="E10" s="94">
        <v>128.69999999999999</v>
      </c>
      <c r="F10" s="94">
        <v>111.3</v>
      </c>
      <c r="G10" s="94">
        <v>110.5</v>
      </c>
      <c r="H10" s="94">
        <v>90.58</v>
      </c>
      <c r="I10" s="94">
        <v>112.97</v>
      </c>
      <c r="J10" s="94">
        <v>90.18</v>
      </c>
      <c r="K10" s="96">
        <v>127.88494241090275</v>
      </c>
      <c r="L10" s="97">
        <f>(31204*3.25)/1000</f>
        <v>101.413</v>
      </c>
      <c r="M10" s="97">
        <f>(35928*3.25)/1000</f>
        <v>116.76600000000001</v>
      </c>
      <c r="N10" s="97">
        <f>(44109*3.25)/1000</f>
        <v>143.35425000000001</v>
      </c>
      <c r="O10" s="97">
        <f>(30811*3.25)/1000</f>
        <v>100.13575</v>
      </c>
      <c r="P10" s="98">
        <f>(32969*3.25)/1000</f>
        <v>107.14924999999999</v>
      </c>
      <c r="U10" s="10">
        <f>+U8+U9</f>
        <v>10612</v>
      </c>
      <c r="V10" s="10">
        <f>+V8+V9</f>
        <v>13182</v>
      </c>
      <c r="W10" s="10">
        <f>+W8+W9</f>
        <v>10280</v>
      </c>
      <c r="X10" s="10">
        <f>+X8+X9</f>
        <v>2822</v>
      </c>
    </row>
    <row r="11" spans="1:25" ht="17.45" customHeight="1" x14ac:dyDescent="0.2">
      <c r="A11" s="90" t="s">
        <v>13</v>
      </c>
      <c r="B11" s="94">
        <v>98.1</v>
      </c>
      <c r="C11" s="94">
        <v>99.5</v>
      </c>
      <c r="D11" s="94">
        <v>131.9</v>
      </c>
      <c r="E11" s="94">
        <v>203.7</v>
      </c>
      <c r="F11" s="94">
        <v>180.7</v>
      </c>
      <c r="G11" s="94">
        <v>179.7</v>
      </c>
      <c r="H11" s="94">
        <v>104.13</v>
      </c>
      <c r="I11" s="94">
        <v>89.47</v>
      </c>
      <c r="J11" s="94">
        <v>383.59</v>
      </c>
      <c r="K11" s="96">
        <v>362.1789611289235</v>
      </c>
      <c r="L11" s="97">
        <f>('Data Penunjang'!O38/'Data Penunjang'!P38)*'Kayu Rimba Jawa slh '!K11</f>
        <v>365.46128584515054</v>
      </c>
      <c r="M11" s="97">
        <f>('Data Penunjang'!P38/'Data Penunjang'!Q38)*'Kayu Rimba Jawa slh '!L11</f>
        <v>361.32855486125897</v>
      </c>
      <c r="N11" s="97">
        <f>('Data Penunjang'!Q38/'Data Penunjang'!R38)*'Kayu Rimba Jawa slh '!M11</f>
        <v>366.18725026684263</v>
      </c>
      <c r="O11" s="97">
        <f>('Data Penunjang'!R38/'Data Penunjang'!T38)*'Kayu Rimba Jawa slh '!N11</f>
        <v>348.56553074054153</v>
      </c>
      <c r="P11" s="98">
        <f>('Data Penunjang'!S38/'Data Penunjang'!T38)*'Kayu Rimba Jawa slh '!O11</f>
        <v>284.72207108371646</v>
      </c>
      <c r="U11" s="10">
        <f>(U10*L7)/1000</f>
        <v>0</v>
      </c>
      <c r="V11" s="10">
        <f>(V10*M7)/1000</f>
        <v>0</v>
      </c>
      <c r="W11" s="10">
        <f>(W10*N7)/1000</f>
        <v>0</v>
      </c>
      <c r="X11" s="10">
        <f>(X10*O7)/1000</f>
        <v>0</v>
      </c>
    </row>
    <row r="12" spans="1:25" ht="17.45" customHeight="1" x14ac:dyDescent="0.2">
      <c r="A12" s="90" t="s">
        <v>5</v>
      </c>
      <c r="B12" s="94">
        <v>490.6</v>
      </c>
      <c r="C12" s="94">
        <v>571.1</v>
      </c>
      <c r="D12" s="94">
        <v>634.6</v>
      </c>
      <c r="E12" s="94">
        <v>790.7</v>
      </c>
      <c r="F12" s="94">
        <v>837.4</v>
      </c>
      <c r="G12" s="94">
        <v>940.2</v>
      </c>
      <c r="H12" s="94">
        <v>986.61</v>
      </c>
      <c r="I12" s="94">
        <v>996.75</v>
      </c>
      <c r="J12" s="94">
        <v>956.77</v>
      </c>
      <c r="K12" s="96">
        <v>995.87900000000002</v>
      </c>
      <c r="L12" s="97">
        <v>913.23599999999999</v>
      </c>
      <c r="M12" s="97">
        <v>800.601</v>
      </c>
      <c r="N12" s="97">
        <v>816.48699999999997</v>
      </c>
      <c r="O12" s="97">
        <v>549.649</v>
      </c>
      <c r="P12" s="98">
        <v>398.88600000000002</v>
      </c>
      <c r="U12" s="1">
        <v>2000</v>
      </c>
      <c r="V12" s="1">
        <v>2001</v>
      </c>
      <c r="W12" s="1">
        <v>2002</v>
      </c>
      <c r="X12" s="1">
        <v>2003</v>
      </c>
      <c r="Y12" s="1"/>
    </row>
    <row r="13" spans="1:25" ht="17.45" customHeight="1" x14ac:dyDescent="0.2">
      <c r="A13" s="90" t="s">
        <v>99</v>
      </c>
      <c r="B13" s="94">
        <f>+B14-B8</f>
        <v>8065.1999999999825</v>
      </c>
      <c r="C13" s="94">
        <f t="shared" ref="C13:J13" si="1">+C14-C8</f>
        <v>9039.0455536067748</v>
      </c>
      <c r="D13" s="94">
        <f t="shared" si="1"/>
        <v>10037.82126452752</v>
      </c>
      <c r="E13" s="94">
        <f t="shared" si="1"/>
        <v>11029.543388682301</v>
      </c>
      <c r="F13" s="94">
        <f t="shared" si="1"/>
        <v>12367.130231614065</v>
      </c>
      <c r="G13" s="94">
        <f t="shared" si="1"/>
        <v>13810.409999999974</v>
      </c>
      <c r="H13" s="94">
        <f t="shared" si="1"/>
        <v>15545.950000000012</v>
      </c>
      <c r="I13" s="94">
        <f t="shared" si="1"/>
        <v>17516.089999999997</v>
      </c>
      <c r="J13" s="94">
        <f t="shared" si="1"/>
        <v>19428.670000000013</v>
      </c>
      <c r="K13" s="94">
        <f t="shared" ref="K13:P13" si="2">+K14-K8</f>
        <v>21877.245045302174</v>
      </c>
      <c r="L13" s="94">
        <f t="shared" si="2"/>
        <v>19766.115714154847</v>
      </c>
      <c r="M13" s="94">
        <f t="shared" si="2"/>
        <v>19780.811445138766</v>
      </c>
      <c r="N13" s="94">
        <f t="shared" si="2"/>
        <v>19510.329999733134</v>
      </c>
      <c r="O13" s="94">
        <f t="shared" si="2"/>
        <v>16836.296219259501</v>
      </c>
      <c r="P13" s="95">
        <f t="shared" si="2"/>
        <v>21012.074678916309</v>
      </c>
      <c r="R13" s="2" t="s">
        <v>163</v>
      </c>
      <c r="U13" s="10">
        <v>1201885</v>
      </c>
      <c r="V13" s="10">
        <v>3970145</v>
      </c>
      <c r="W13" s="10">
        <v>8338531</v>
      </c>
      <c r="X13" s="10">
        <v>3050420</v>
      </c>
    </row>
    <row r="14" spans="1:25" ht="17.45" customHeight="1" x14ac:dyDescent="0.2">
      <c r="A14" s="90" t="s">
        <v>10</v>
      </c>
      <c r="B14" s="94">
        <f t="shared" ref="B14:L14" si="3">+B8+B9+B10-B11-B12</f>
        <v>76085.499999999985</v>
      </c>
      <c r="C14" s="94">
        <f t="shared" si="3"/>
        <v>85124.54555360676</v>
      </c>
      <c r="D14" s="94">
        <f t="shared" si="3"/>
        <v>95162.36681813428</v>
      </c>
      <c r="E14" s="94">
        <f t="shared" si="3"/>
        <v>106191.91020681658</v>
      </c>
      <c r="F14" s="94">
        <f t="shared" si="3"/>
        <v>118559.04043843065</v>
      </c>
      <c r="G14" s="94">
        <f t="shared" si="3"/>
        <v>132369.45043843062</v>
      </c>
      <c r="H14" s="94">
        <f t="shared" si="3"/>
        <v>147915.405</v>
      </c>
      <c r="I14" s="94">
        <f t="shared" si="3"/>
        <v>165431.495</v>
      </c>
      <c r="J14" s="94">
        <f t="shared" si="3"/>
        <v>184860.16500000001</v>
      </c>
      <c r="K14" s="94">
        <f t="shared" si="3"/>
        <v>206737.41004530218</v>
      </c>
      <c r="L14" s="94">
        <f t="shared" si="3"/>
        <v>226503.52575945703</v>
      </c>
      <c r="M14" s="94">
        <f>+M8+M9+M10-M11-M12</f>
        <v>246284.33720459579</v>
      </c>
      <c r="N14" s="94">
        <f>+N8+N9+N10-N11-N12</f>
        <v>265794.66720432893</v>
      </c>
      <c r="O14" s="94">
        <f>+O8+O9+O10-O11-O12</f>
        <v>282630.96342358843</v>
      </c>
      <c r="P14" s="95">
        <f>+P8+P9+P10-P11-P12</f>
        <v>303643.03810250474</v>
      </c>
      <c r="R14" s="2" t="s">
        <v>129</v>
      </c>
      <c r="U14" s="10">
        <v>45210</v>
      </c>
      <c r="V14" s="10">
        <v>154224</v>
      </c>
      <c r="W14" s="10">
        <v>471191</v>
      </c>
      <c r="X14" s="10">
        <v>139732</v>
      </c>
    </row>
    <row r="15" spans="1:25" ht="17.45" customHeight="1" x14ac:dyDescent="0.2">
      <c r="A15" s="90"/>
      <c r="B15" s="91"/>
      <c r="C15" s="94"/>
      <c r="D15" s="94"/>
      <c r="E15" s="94"/>
      <c r="F15" s="94"/>
      <c r="G15" s="94"/>
      <c r="H15" s="94"/>
      <c r="I15" s="94"/>
      <c r="J15" s="94"/>
      <c r="K15" s="103"/>
      <c r="L15" s="103"/>
      <c r="M15" s="103"/>
      <c r="N15" s="103"/>
      <c r="O15" s="103"/>
      <c r="P15" s="104"/>
      <c r="R15" s="2" t="s">
        <v>162</v>
      </c>
      <c r="U15" s="10">
        <f>(U13*1000)/U14</f>
        <v>26584.494580844945</v>
      </c>
      <c r="V15" s="10">
        <f>(V13*1000)/V14</f>
        <v>25742.718383649757</v>
      </c>
      <c r="W15" s="10">
        <f>(W13*1000)/W14</f>
        <v>17696.71110016957</v>
      </c>
      <c r="X15" s="10">
        <f>(X13*1000)/X14</f>
        <v>21830.504107863624</v>
      </c>
    </row>
    <row r="16" spans="1:25" ht="17.45" customHeight="1" x14ac:dyDescent="0.2">
      <c r="A16" s="90" t="s">
        <v>6</v>
      </c>
      <c r="B16" s="94">
        <v>12008</v>
      </c>
      <c r="C16" s="94">
        <v>9770</v>
      </c>
      <c r="D16" s="94">
        <v>9185</v>
      </c>
      <c r="E16" s="94">
        <v>18258</v>
      </c>
      <c r="F16" s="94">
        <v>25412</v>
      </c>
      <c r="G16" s="94">
        <v>26376</v>
      </c>
      <c r="H16" s="94">
        <v>22716.92</v>
      </c>
      <c r="I16" s="94">
        <v>34715.29</v>
      </c>
      <c r="J16" s="94">
        <v>34771.360000000001</v>
      </c>
      <c r="K16" s="94">
        <v>45203.574229748629</v>
      </c>
      <c r="L16" s="99">
        <v>43766.821806638982</v>
      </c>
      <c r="M16" s="100">
        <v>55171.949133940347</v>
      </c>
      <c r="N16" s="101">
        <v>58596.729392134919</v>
      </c>
      <c r="O16" s="101">
        <v>64064.608523985196</v>
      </c>
      <c r="P16" s="102">
        <v>67100.2</v>
      </c>
      <c r="Q16" s="2">
        <f>1.0436*P16</f>
        <v>70025.768720000007</v>
      </c>
    </row>
    <row r="17" spans="1:24" ht="17.45" customHeight="1" x14ac:dyDescent="0.2">
      <c r="A17" s="90"/>
      <c r="B17" s="94"/>
      <c r="C17" s="94"/>
      <c r="D17" s="94"/>
      <c r="E17" s="94"/>
      <c r="F17" s="94"/>
      <c r="G17" s="94"/>
      <c r="H17" s="94"/>
      <c r="I17" s="94"/>
      <c r="J17" s="94"/>
      <c r="K17" s="103"/>
      <c r="L17" s="103"/>
      <c r="M17" s="103"/>
      <c r="N17" s="103"/>
      <c r="O17" s="103"/>
      <c r="P17" s="104"/>
      <c r="R17" s="2" t="s">
        <v>164</v>
      </c>
      <c r="U17" s="10">
        <f>(U15*'Data Penunjang'!P40)/1000</f>
        <v>198432.5556079337</v>
      </c>
      <c r="V17" s="10">
        <f>(V15*'Data Penunjang'!Q40)/1000</f>
        <v>242502.07057203038</v>
      </c>
      <c r="W17" s="10">
        <f>(W15*'Data Penunjang'!R40)/1000</f>
        <v>-195602.45565861891</v>
      </c>
      <c r="X17" s="10">
        <f>(X15*'Data Penunjang'!T40)/1000</f>
        <v>3452859.2306873174</v>
      </c>
    </row>
    <row r="18" spans="1:24" ht="17.45" customHeight="1" x14ac:dyDescent="0.2">
      <c r="A18" s="90" t="s">
        <v>7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5"/>
      <c r="R18" s="2" t="s">
        <v>188</v>
      </c>
      <c r="U18" s="10">
        <f>(U17*1000)/'Rent Perhutani'!L31</f>
        <v>1348.4889036208185</v>
      </c>
      <c r="V18" s="10">
        <f>(V17*1000)/'Rent Perhutani'!M31</f>
        <v>1623.9368255650238</v>
      </c>
      <c r="W18" s="10">
        <f>(W17*1000)/'Rent Perhutani'!N31</f>
        <v>-1278.8359545514184</v>
      </c>
      <c r="X18" s="10">
        <f>(X17*1000)/'Rent Perhutani'!O31</f>
        <v>21425.199052900651</v>
      </c>
    </row>
    <row r="19" spans="1:24" ht="17.45" customHeight="1" x14ac:dyDescent="0.2">
      <c r="A19" s="90" t="s">
        <v>8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2"/>
      <c r="M19" s="92"/>
      <c r="N19" s="92"/>
      <c r="O19" s="92"/>
      <c r="P19" s="105"/>
    </row>
    <row r="20" spans="1:24" ht="17.45" customHeight="1" x14ac:dyDescent="0.2">
      <c r="A20" s="90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2"/>
      <c r="M20" s="92"/>
      <c r="N20" s="92"/>
      <c r="O20" s="92"/>
      <c r="P20" s="105"/>
      <c r="R20" s="2" t="s">
        <v>165</v>
      </c>
      <c r="U20" s="10">
        <f>'Rent Perhutani'!L31</f>
        <v>147151.789736737</v>
      </c>
      <c r="V20" s="10">
        <f>'Rent Perhutani'!M31</f>
        <v>149329.74408512199</v>
      </c>
      <c r="W20" s="10">
        <f>'Rent Perhutani'!N31</f>
        <v>152953.51601779999</v>
      </c>
      <c r="X20" s="10">
        <f>'Rent Perhutani'!O31</f>
        <v>161158.79353848301</v>
      </c>
    </row>
    <row r="21" spans="1:24" ht="17.45" customHeight="1" x14ac:dyDescent="0.2">
      <c r="A21" s="90" t="s">
        <v>2</v>
      </c>
      <c r="B21" s="94">
        <v>674.2</v>
      </c>
      <c r="C21" s="94">
        <f>+B28</f>
        <v>913.64692160000016</v>
      </c>
      <c r="D21" s="94">
        <f t="shared" ref="D21:L21" si="4">+C28</f>
        <v>831.67904765873845</v>
      </c>
      <c r="E21" s="94">
        <f t="shared" si="4"/>
        <v>874.0785768245637</v>
      </c>
      <c r="F21" s="94">
        <f t="shared" si="4"/>
        <v>1938.8641341560574</v>
      </c>
      <c r="G21" s="94">
        <f t="shared" si="4"/>
        <v>3012.8345732213998</v>
      </c>
      <c r="H21" s="94">
        <f t="shared" si="4"/>
        <v>3491.3888623640469</v>
      </c>
      <c r="I21" s="94">
        <f t="shared" si="4"/>
        <v>3360.1945394366467</v>
      </c>
      <c r="J21" s="94">
        <f t="shared" si="4"/>
        <v>5743.0144413425969</v>
      </c>
      <c r="K21" s="94">
        <f t="shared" si="4"/>
        <v>6427.851464158447</v>
      </c>
      <c r="L21" s="94">
        <f t="shared" si="4"/>
        <v>9345.2819783328432</v>
      </c>
      <c r="M21" s="94">
        <f>+L28</f>
        <v>9913.3515677736668</v>
      </c>
      <c r="N21" s="94">
        <f>+M28</f>
        <v>13587.999042022217</v>
      </c>
      <c r="O21" s="94">
        <f>+N28</f>
        <v>15574.710305328668</v>
      </c>
      <c r="P21" s="95">
        <f>+O28</f>
        <v>18106.65414577302</v>
      </c>
    </row>
    <row r="22" spans="1:24" ht="17.45" customHeight="1" x14ac:dyDescent="0.2">
      <c r="A22" s="90" t="s">
        <v>3</v>
      </c>
      <c r="B22" s="94">
        <f t="shared" ref="B22:L22" si="5">+B9*B16/1000000</f>
        <v>102.09802000000001</v>
      </c>
      <c r="C22" s="94">
        <f t="shared" si="5"/>
        <v>92.919007058738316</v>
      </c>
      <c r="D22" s="94">
        <f t="shared" si="5"/>
        <v>97.733187814685266</v>
      </c>
      <c r="E22" s="94">
        <f t="shared" si="5"/>
        <v>217.1833537905614</v>
      </c>
      <c r="F22" s="94">
        <f t="shared" si="5"/>
        <v>337.3171150457764</v>
      </c>
      <c r="G22" s="94">
        <f t="shared" si="5"/>
        <v>390.88730856000001</v>
      </c>
      <c r="H22" s="94">
        <f t="shared" si="5"/>
        <v>375.87665718119996</v>
      </c>
      <c r="I22" s="94">
        <f t="shared" si="5"/>
        <v>641.86280000859995</v>
      </c>
      <c r="J22" s="94">
        <f t="shared" si="5"/>
        <v>719.03173773599997</v>
      </c>
      <c r="K22" s="94">
        <f t="shared" si="5"/>
        <v>1044.5378877147705</v>
      </c>
      <c r="L22" s="94">
        <f t="shared" si="5"/>
        <v>916.62605582516289</v>
      </c>
      <c r="M22" s="94">
        <f>+M9*M16/1000000</f>
        <v>1149.0096333647132</v>
      </c>
      <c r="N22" s="94">
        <f>+N9*N16/1000000</f>
        <v>1204.1422801530855</v>
      </c>
      <c r="O22" s="94">
        <f>+O9*O16/1000000</f>
        <v>1129.7393309401514</v>
      </c>
      <c r="P22" s="95">
        <f>+P9*P16/1000000</f>
        <v>1448.5949155567</v>
      </c>
      <c r="R22" s="2" t="s">
        <v>188</v>
      </c>
      <c r="U22" s="10">
        <f>((12191+90343+4635179+7289804+112909)*1000)/U20</f>
        <v>82502.741024896255</v>
      </c>
      <c r="V22" s="10">
        <f>((5107+2146342+2896134+8616427+156193)*1000)/V20</f>
        <v>92548.226642122361</v>
      </c>
      <c r="W22" s="10">
        <f>((1818+16843+4034883+1404892+159722)*1000)/W20</f>
        <v>36731.146470318381</v>
      </c>
      <c r="X22" s="10">
        <f>((0+4054+784765+9303832+100961)*1000)/X20</f>
        <v>63251.975124558587</v>
      </c>
    </row>
    <row r="23" spans="1:24" ht="17.45" customHeight="1" x14ac:dyDescent="0.2">
      <c r="A23" s="90" t="s">
        <v>4</v>
      </c>
      <c r="B23" s="94">
        <f t="shared" ref="B23:L23" si="6">+B10*B16/1000000</f>
        <v>1.8180111999999999</v>
      </c>
      <c r="C23" s="94">
        <f t="shared" si="6"/>
        <v>1.9442299999999999</v>
      </c>
      <c r="D23" s="94">
        <f t="shared" si="6"/>
        <v>1.5045029999999999</v>
      </c>
      <c r="E23" s="94">
        <f t="shared" si="6"/>
        <v>2.3498045999999997</v>
      </c>
      <c r="F23" s="94">
        <f t="shared" si="6"/>
        <v>2.8283556000000001</v>
      </c>
      <c r="G23" s="94">
        <f t="shared" si="6"/>
        <v>2.9145479999999999</v>
      </c>
      <c r="H23" s="94">
        <f t="shared" si="6"/>
        <v>2.0576986135999999</v>
      </c>
      <c r="I23" s="94">
        <f t="shared" si="6"/>
        <v>3.9217863113</v>
      </c>
      <c r="J23" s="94">
        <f t="shared" si="6"/>
        <v>3.1356812448000007</v>
      </c>
      <c r="K23" s="94">
        <f t="shared" si="6"/>
        <v>5.7808564871383714</v>
      </c>
      <c r="L23" s="94">
        <f t="shared" si="6"/>
        <v>4.4385246998766794</v>
      </c>
      <c r="M23" s="94">
        <f>+M10*M16/1000000</f>
        <v>6.4422078125736784</v>
      </c>
      <c r="N23" s="94">
        <f>+N10*N16/1000000</f>
        <v>8.4000901944624573</v>
      </c>
      <c r="O23" s="94">
        <f>+O10*O16/1000000</f>
        <v>6.4151576230056513</v>
      </c>
      <c r="P23" s="95">
        <f>+P10*P16/1000000</f>
        <v>7.1897361048499997</v>
      </c>
    </row>
    <row r="24" spans="1:24" ht="17.45" customHeight="1" x14ac:dyDescent="0.2">
      <c r="A24" s="90" t="s">
        <v>13</v>
      </c>
      <c r="B24" s="94">
        <f t="shared" ref="B24:L24" si="7">+B11*B16/1000000</f>
        <v>1.1779847999999999</v>
      </c>
      <c r="C24" s="94">
        <f t="shared" si="7"/>
        <v>0.97211499999999995</v>
      </c>
      <c r="D24" s="94">
        <f t="shared" si="7"/>
        <v>1.2115015</v>
      </c>
      <c r="E24" s="94">
        <f t="shared" si="7"/>
        <v>3.7191545999999995</v>
      </c>
      <c r="F24" s="94">
        <f t="shared" si="7"/>
        <v>4.5919483999999997</v>
      </c>
      <c r="G24" s="94">
        <f t="shared" si="7"/>
        <v>4.7397671999999993</v>
      </c>
      <c r="H24" s="94">
        <f t="shared" si="7"/>
        <v>2.3655128795999998</v>
      </c>
      <c r="I24" s="94">
        <f t="shared" si="7"/>
        <v>3.1059769963000003</v>
      </c>
      <c r="J24" s="94">
        <f t="shared" si="7"/>
        <v>13.337945982400001</v>
      </c>
      <c r="K24" s="94">
        <f t="shared" si="7"/>
        <v>16.371783553844537</v>
      </c>
      <c r="L24" s="94">
        <f t="shared" si="7"/>
        <v>15.995078974809857</v>
      </c>
      <c r="M24" s="94">
        <f>+M11*M16/1000000</f>
        <v>19.935200649445552</v>
      </c>
      <c r="N24" s="94">
        <f>+N11*N16/1000000</f>
        <v>21.457375210736163</v>
      </c>
      <c r="O24" s="94">
        <f>+O11*O16/1000000</f>
        <v>22.330714271847924</v>
      </c>
      <c r="P24" s="95">
        <f>+P11*P16/1000000</f>
        <v>19.104907914131591</v>
      </c>
    </row>
    <row r="25" spans="1:24" ht="17.45" customHeight="1" x14ac:dyDescent="0.2">
      <c r="A25" s="90" t="s">
        <v>5</v>
      </c>
      <c r="B25" s="94">
        <f>+B12*B16/1000000</f>
        <v>5.8911248000000001</v>
      </c>
      <c r="C25" s="94">
        <f>+C12*C16/1000000</f>
        <v>5.5796469999999996</v>
      </c>
      <c r="D25" s="94">
        <f t="shared" ref="D25:L25" si="8">+D12*D16/1000000</f>
        <v>5.8288010000000003</v>
      </c>
      <c r="E25" s="94">
        <f t="shared" si="8"/>
        <v>14.436600600000002</v>
      </c>
      <c r="F25" s="94">
        <f t="shared" si="8"/>
        <v>21.280008800000001</v>
      </c>
      <c r="G25" s="94">
        <f t="shared" si="8"/>
        <v>24.798715200000004</v>
      </c>
      <c r="H25" s="94">
        <f t="shared" si="8"/>
        <v>22.4127404412</v>
      </c>
      <c r="I25" s="94">
        <f t="shared" si="8"/>
        <v>34.602465307499997</v>
      </c>
      <c r="J25" s="94">
        <f t="shared" si="8"/>
        <v>33.268194107200003</v>
      </c>
      <c r="K25" s="94">
        <f t="shared" si="8"/>
        <v>45.017290300347838</v>
      </c>
      <c r="L25" s="94">
        <f t="shared" si="8"/>
        <v>39.969437279407757</v>
      </c>
      <c r="M25" s="94">
        <f>+M12*M16/1000000</f>
        <v>44.170717648581771</v>
      </c>
      <c r="N25" s="94">
        <f>+N12*N16/1000000</f>
        <v>47.843467791196062</v>
      </c>
      <c r="O25" s="94">
        <f>+O12*O16/1000000</f>
        <v>35.213048010599941</v>
      </c>
      <c r="P25" s="95">
        <f>+P12*P16/1000000</f>
        <v>26.765330377200002</v>
      </c>
    </row>
    <row r="26" spans="1:24" ht="17.45" customHeight="1" x14ac:dyDescent="0.2">
      <c r="A26" s="90" t="s">
        <v>99</v>
      </c>
      <c r="B26" s="94">
        <f>+B13*B16/1000000</f>
        <v>96.846921599999789</v>
      </c>
      <c r="C26" s="94">
        <f t="shared" ref="C26:L26" si="9">+C13*C16/1000000</f>
        <v>88.311475058738182</v>
      </c>
      <c r="D26" s="94">
        <f t="shared" si="9"/>
        <v>92.19738831468527</v>
      </c>
      <c r="E26" s="94">
        <f t="shared" si="9"/>
        <v>201.37740319056144</v>
      </c>
      <c r="F26" s="94">
        <f t="shared" si="9"/>
        <v>314.27351344577659</v>
      </c>
      <c r="G26" s="94">
        <f t="shared" si="9"/>
        <v>364.26337415999933</v>
      </c>
      <c r="H26" s="94">
        <f t="shared" si="9"/>
        <v>353.15610247400019</v>
      </c>
      <c r="I26" s="94">
        <f t="shared" si="9"/>
        <v>608.07614401609987</v>
      </c>
      <c r="J26" s="94">
        <f t="shared" si="9"/>
        <v>675.56127889120046</v>
      </c>
      <c r="K26" s="94">
        <f t="shared" si="9"/>
        <v>988.92967034771721</v>
      </c>
      <c r="L26" s="94">
        <f t="shared" si="9"/>
        <v>865.1000642708218</v>
      </c>
      <c r="M26" s="94">
        <f>+M13*M16/1000000</f>
        <v>1091.345922879261</v>
      </c>
      <c r="N26" s="94">
        <f>+N13*N16/1000000</f>
        <v>1143.2415273456143</v>
      </c>
      <c r="O26" s="94">
        <f>+O13*O16/1000000</f>
        <v>1078.6107262807118</v>
      </c>
      <c r="P26" s="95">
        <f>+P13*P16/1000000</f>
        <v>1409.9144133702202</v>
      </c>
    </row>
    <row r="27" spans="1:24" ht="17.45" customHeight="1" x14ac:dyDescent="0.2">
      <c r="A27" s="90" t="s">
        <v>100</v>
      </c>
      <c r="B27" s="94">
        <v>142.6</v>
      </c>
      <c r="C27" s="94">
        <f t="shared" ref="C27:L27" si="10">+C8*(C16-B16)/1000000</f>
        <v>-170.27934899999997</v>
      </c>
      <c r="D27" s="94">
        <f t="shared" si="10"/>
        <v>-49.797859148859956</v>
      </c>
      <c r="E27" s="94">
        <f t="shared" si="10"/>
        <v>863.40815414093231</v>
      </c>
      <c r="F27" s="94">
        <f t="shared" si="10"/>
        <v>759.69692561956583</v>
      </c>
      <c r="G27" s="94">
        <f t="shared" si="10"/>
        <v>114.29091498264714</v>
      </c>
      <c r="H27" s="94">
        <f t="shared" si="10"/>
        <v>-484.35042540140023</v>
      </c>
      <c r="I27" s="94">
        <f t="shared" si="10"/>
        <v>1774.7437578898505</v>
      </c>
      <c r="J27" s="94">
        <f t="shared" si="10"/>
        <v>9.2757439246499516</v>
      </c>
      <c r="K27" s="94">
        <f t="shared" si="10"/>
        <v>1928.5008438266796</v>
      </c>
      <c r="L27" s="94">
        <f t="shared" si="10"/>
        <v>-297.03047483000051</v>
      </c>
      <c r="M27" s="94">
        <f>+M8*(M16-L16)/1000000</f>
        <v>2583.3015513692917</v>
      </c>
      <c r="N27" s="94">
        <f>+N8*(N16-M16)/1000000</f>
        <v>843.46973596083478</v>
      </c>
      <c r="O27" s="94">
        <f>+O8*(O16-N16)/1000000</f>
        <v>1453.3331141636393</v>
      </c>
      <c r="P27" s="95">
        <f>+P8*(P16-O16)/1000000</f>
        <v>857.95214342649592</v>
      </c>
    </row>
    <row r="28" spans="1:24" ht="17.45" customHeight="1" x14ac:dyDescent="0.2">
      <c r="A28" s="90" t="s">
        <v>101</v>
      </c>
      <c r="B28" s="94">
        <f>+B21+B22+B23-B24-B25+B27</f>
        <v>913.64692160000016</v>
      </c>
      <c r="C28" s="94">
        <f t="shared" ref="C28:L28" si="11">+C21+C22+C23-C24-C25+C27</f>
        <v>831.67904765873845</v>
      </c>
      <c r="D28" s="94">
        <f t="shared" si="11"/>
        <v>874.0785768245637</v>
      </c>
      <c r="E28" s="94">
        <f t="shared" si="11"/>
        <v>1938.8641341560574</v>
      </c>
      <c r="F28" s="94">
        <f t="shared" si="11"/>
        <v>3012.8345732213998</v>
      </c>
      <c r="G28" s="94">
        <f t="shared" si="11"/>
        <v>3491.3888623640469</v>
      </c>
      <c r="H28" s="94">
        <f t="shared" si="11"/>
        <v>3360.1945394366467</v>
      </c>
      <c r="I28" s="94">
        <f t="shared" si="11"/>
        <v>5743.0144413425969</v>
      </c>
      <c r="J28" s="94">
        <f t="shared" si="11"/>
        <v>6427.851464158447</v>
      </c>
      <c r="K28" s="94">
        <f t="shared" si="11"/>
        <v>9345.2819783328432</v>
      </c>
      <c r="L28" s="94">
        <f t="shared" si="11"/>
        <v>9913.3515677736668</v>
      </c>
      <c r="M28" s="94">
        <f>+M21+M22+M23-M24-M25+M27</f>
        <v>13587.999042022217</v>
      </c>
      <c r="N28" s="94">
        <f>+N21+N22+N23-N24-N25+N27</f>
        <v>15574.710305328668</v>
      </c>
      <c r="O28" s="94">
        <f>+O21+O22+O23-O24-O25+O27</f>
        <v>18106.65414577302</v>
      </c>
      <c r="P28" s="95">
        <f>+P21+P22+P23-P24-P25+P27</f>
        <v>20374.520702569738</v>
      </c>
    </row>
    <row r="29" spans="1:24" ht="17.45" customHeight="1" thickBot="1" x14ac:dyDescent="0.25">
      <c r="A29" s="106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8"/>
    </row>
    <row r="30" spans="1:24" ht="17.45" customHeight="1" thickTop="1" x14ac:dyDescent="0.2"/>
    <row r="31" spans="1:24" ht="17.45" customHeight="1" x14ac:dyDescent="0.2"/>
    <row r="32" spans="1:24" ht="17.45" customHeight="1" x14ac:dyDescent="0.2"/>
    <row r="33" spans="1:6" ht="17.45" customHeight="1" x14ac:dyDescent="0.2">
      <c r="A33" s="2" t="s">
        <v>65</v>
      </c>
      <c r="B33" s="2" t="s">
        <v>79</v>
      </c>
    </row>
    <row r="34" spans="1:6" ht="17.45" customHeight="1" x14ac:dyDescent="0.2">
      <c r="A34" s="2" t="s">
        <v>67</v>
      </c>
      <c r="B34" s="2" t="s">
        <v>68</v>
      </c>
    </row>
    <row r="35" spans="1:6" ht="17.45" customHeight="1" x14ac:dyDescent="0.2">
      <c r="B35" s="2" t="s">
        <v>69</v>
      </c>
    </row>
    <row r="36" spans="1:6" ht="17.45" customHeight="1" x14ac:dyDescent="0.2">
      <c r="A36" s="2" t="s">
        <v>70</v>
      </c>
      <c r="B36" s="2" t="s">
        <v>76</v>
      </c>
    </row>
    <row r="37" spans="1:6" ht="17.45" customHeight="1" x14ac:dyDescent="0.2">
      <c r="A37" s="2" t="s">
        <v>71</v>
      </c>
      <c r="B37" s="2" t="s">
        <v>77</v>
      </c>
    </row>
    <row r="38" spans="1:6" ht="17.45" customHeight="1" x14ac:dyDescent="0.2">
      <c r="A38" s="2" t="s">
        <v>73</v>
      </c>
      <c r="B38" s="2" t="s">
        <v>78</v>
      </c>
    </row>
    <row r="39" spans="1:6" ht="17.45" customHeight="1" x14ac:dyDescent="0.2"/>
    <row r="40" spans="1:6" ht="17.45" customHeight="1" thickBot="1" x14ac:dyDescent="0.25"/>
    <row r="41" spans="1:6" ht="17.45" customHeight="1" thickTop="1" x14ac:dyDescent="0.2">
      <c r="A41" s="70"/>
      <c r="B41" s="71"/>
      <c r="C41" s="71" t="s">
        <v>86</v>
      </c>
      <c r="D41" s="71"/>
      <c r="E41" s="71"/>
      <c r="F41" s="70" t="s">
        <v>88</v>
      </c>
    </row>
    <row r="42" spans="1:6" ht="17.45" customHeight="1" thickBot="1" x14ac:dyDescent="0.25">
      <c r="A42" s="73"/>
      <c r="B42" s="74">
        <v>1996</v>
      </c>
      <c r="C42" s="74">
        <v>1997</v>
      </c>
      <c r="D42" s="74">
        <v>1998</v>
      </c>
      <c r="E42" s="74">
        <v>1999</v>
      </c>
      <c r="F42" s="73"/>
    </row>
    <row r="43" spans="1:6" ht="17.45" customHeight="1" thickTop="1" x14ac:dyDescent="0.2">
      <c r="A43" s="76" t="s">
        <v>94</v>
      </c>
      <c r="B43" s="12"/>
      <c r="C43" s="12"/>
      <c r="D43" s="12"/>
      <c r="E43" s="12"/>
      <c r="F43" s="76"/>
    </row>
    <row r="44" spans="1:6" ht="17.45" customHeight="1" x14ac:dyDescent="0.2">
      <c r="A44" s="76" t="s">
        <v>95</v>
      </c>
      <c r="B44" s="12"/>
      <c r="C44" s="12"/>
      <c r="D44" s="12"/>
      <c r="E44" s="12"/>
      <c r="F44" s="76"/>
    </row>
    <row r="45" spans="1:6" ht="17.45" customHeight="1" x14ac:dyDescent="0.2">
      <c r="A45" s="76" t="s">
        <v>91</v>
      </c>
      <c r="B45" s="12"/>
      <c r="C45" s="12"/>
      <c r="D45" s="12"/>
      <c r="E45" s="12"/>
      <c r="F45" s="76" t="s">
        <v>89</v>
      </c>
    </row>
    <row r="46" spans="1:6" ht="17.45" customHeight="1" x14ac:dyDescent="0.2">
      <c r="A46" s="76" t="s">
        <v>87</v>
      </c>
      <c r="B46" s="12"/>
      <c r="C46" s="12"/>
      <c r="D46" s="12"/>
      <c r="E46" s="12"/>
      <c r="F46" s="76" t="s">
        <v>90</v>
      </c>
    </row>
    <row r="47" spans="1:6" ht="17.45" customHeight="1" x14ac:dyDescent="0.2">
      <c r="A47" s="76" t="s">
        <v>96</v>
      </c>
      <c r="B47" s="12"/>
      <c r="C47" s="12"/>
      <c r="D47" s="12"/>
      <c r="E47" s="12"/>
      <c r="F47" s="76" t="s">
        <v>89</v>
      </c>
    </row>
    <row r="48" spans="1:6" ht="17.45" customHeight="1" x14ac:dyDescent="0.2">
      <c r="A48" s="76" t="s">
        <v>93</v>
      </c>
      <c r="B48" s="12"/>
      <c r="C48" s="12"/>
      <c r="D48" s="12"/>
      <c r="E48" s="12"/>
      <c r="F48" s="76"/>
    </row>
    <row r="49" spans="1:12" ht="17.45" customHeight="1" x14ac:dyDescent="0.2">
      <c r="A49" s="76" t="s">
        <v>71</v>
      </c>
      <c r="B49" s="12"/>
      <c r="C49" s="12"/>
      <c r="D49" s="12"/>
      <c r="E49" s="12"/>
      <c r="F49" s="76"/>
    </row>
    <row r="50" spans="1:12" ht="17.45" customHeight="1" thickBot="1" x14ac:dyDescent="0.25">
      <c r="A50" s="73"/>
      <c r="B50" s="74"/>
      <c r="C50" s="74"/>
      <c r="D50" s="74"/>
      <c r="E50" s="74"/>
      <c r="F50" s="73"/>
    </row>
    <row r="51" spans="1:12" ht="17.45" customHeight="1" thickTop="1" x14ac:dyDescent="0.2"/>
    <row r="52" spans="1:12" ht="17.45" customHeight="1" x14ac:dyDescent="0.2"/>
    <row r="53" spans="1:12" ht="17.45" customHeight="1" x14ac:dyDescent="0.2">
      <c r="A53" s="964" t="s">
        <v>105</v>
      </c>
      <c r="B53" s="964"/>
      <c r="C53" s="964"/>
      <c r="D53" s="964"/>
      <c r="E53" s="964"/>
      <c r="F53" s="964"/>
      <c r="G53" s="964"/>
      <c r="H53" s="964"/>
      <c r="I53" s="964"/>
      <c r="J53" s="964"/>
      <c r="K53" s="3"/>
      <c r="L53" s="3"/>
    </row>
    <row r="54" spans="1:12" ht="17.45" customHeight="1" thickBot="1" x14ac:dyDescent="0.25"/>
    <row r="55" spans="1:12" ht="17.45" customHeight="1" thickTop="1" x14ac:dyDescent="0.2">
      <c r="A55" s="80" t="s">
        <v>0</v>
      </c>
      <c r="B55" s="81">
        <v>1990</v>
      </c>
      <c r="C55" s="81">
        <v>1991</v>
      </c>
      <c r="D55" s="81">
        <v>1992</v>
      </c>
      <c r="E55" s="81">
        <v>1993</v>
      </c>
      <c r="F55" s="81">
        <v>1994</v>
      </c>
      <c r="G55" s="81">
        <v>1995</v>
      </c>
      <c r="H55" s="81">
        <v>1996</v>
      </c>
      <c r="I55" s="81">
        <v>1997</v>
      </c>
      <c r="J55" s="81">
        <v>1998</v>
      </c>
      <c r="K55" s="81">
        <v>1999</v>
      </c>
      <c r="L55" s="82">
        <v>2000</v>
      </c>
    </row>
    <row r="56" spans="1:12" ht="17.45" customHeight="1" thickBot="1" x14ac:dyDescent="0.25">
      <c r="A56" s="83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5"/>
    </row>
    <row r="57" spans="1:12" ht="17.45" customHeight="1" thickTop="1" x14ac:dyDescent="0.2">
      <c r="A57" s="84" t="s">
        <v>1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77"/>
    </row>
    <row r="58" spans="1:12" ht="17.45" customHeight="1" x14ac:dyDescent="0.2">
      <c r="A58" s="84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77"/>
    </row>
    <row r="59" spans="1:12" ht="17.45" customHeight="1" x14ac:dyDescent="0.2">
      <c r="A59" s="84" t="s">
        <v>2</v>
      </c>
      <c r="B59" s="85">
        <v>68020.3</v>
      </c>
      <c r="C59" s="85">
        <f>+B65</f>
        <v>76085.499999999985</v>
      </c>
      <c r="D59" s="85">
        <f>+C65</f>
        <v>85124.54555360676</v>
      </c>
      <c r="E59" s="85">
        <f>+D65</f>
        <v>95162.36681813428</v>
      </c>
      <c r="F59" s="85">
        <f>+E65</f>
        <v>106191.91020681658</v>
      </c>
      <c r="G59" s="85">
        <f>+F65</f>
        <v>118559.04043843065</v>
      </c>
      <c r="H59" s="85">
        <v>132369.45499999999</v>
      </c>
      <c r="I59" s="85">
        <f>+H65</f>
        <v>147915.405</v>
      </c>
      <c r="J59" s="85">
        <f>+I65</f>
        <v>165431.495</v>
      </c>
      <c r="K59" s="85">
        <f>+J65</f>
        <v>184860.16500000001</v>
      </c>
      <c r="L59" s="86">
        <f>+K65</f>
        <v>206737.41004530218</v>
      </c>
    </row>
    <row r="60" spans="1:12" ht="17.45" customHeight="1" x14ac:dyDescent="0.2">
      <c r="A60" s="84" t="s">
        <v>3</v>
      </c>
      <c r="B60" s="85">
        <v>8502.5</v>
      </c>
      <c r="C60" s="85">
        <v>9510.6455536067879</v>
      </c>
      <c r="D60" s="85">
        <v>10640.521264527521</v>
      </c>
      <c r="E60" s="85">
        <v>11895.243388682298</v>
      </c>
      <c r="F60" s="85">
        <v>13273.930231614058</v>
      </c>
      <c r="G60" s="85">
        <v>14819.81</v>
      </c>
      <c r="H60" s="85">
        <v>16546.11</v>
      </c>
      <c r="I60" s="85">
        <v>18489.34</v>
      </c>
      <c r="J60" s="85">
        <v>20678.849999999999</v>
      </c>
      <c r="K60" s="85">
        <v>23107.418064020181</v>
      </c>
      <c r="L60" s="86">
        <v>25842.061633626337</v>
      </c>
    </row>
    <row r="61" spans="1:12" ht="17.45" customHeight="1" x14ac:dyDescent="0.2">
      <c r="A61" s="84" t="s">
        <v>4</v>
      </c>
      <c r="B61" s="85">
        <v>151.4</v>
      </c>
      <c r="C61" s="85">
        <v>199</v>
      </c>
      <c r="D61" s="85">
        <v>163.80000000000001</v>
      </c>
      <c r="E61" s="85">
        <v>128.69999999999999</v>
      </c>
      <c r="F61" s="85">
        <v>111.3</v>
      </c>
      <c r="G61" s="85">
        <v>110.5</v>
      </c>
      <c r="H61" s="85">
        <v>90.58</v>
      </c>
      <c r="I61" s="85">
        <v>112.97</v>
      </c>
      <c r="J61" s="85">
        <v>90.18</v>
      </c>
      <c r="K61" s="85">
        <v>127.88494241090275</v>
      </c>
      <c r="L61" s="86">
        <v>149.75105529759395</v>
      </c>
    </row>
    <row r="62" spans="1:12" ht="17.45" customHeight="1" x14ac:dyDescent="0.2">
      <c r="A62" s="84" t="s">
        <v>13</v>
      </c>
      <c r="B62" s="85">
        <v>98.1</v>
      </c>
      <c r="C62" s="85">
        <v>99.5</v>
      </c>
      <c r="D62" s="85">
        <v>131.9</v>
      </c>
      <c r="E62" s="85">
        <v>203.7</v>
      </c>
      <c r="F62" s="85">
        <v>180.7</v>
      </c>
      <c r="G62" s="85">
        <v>179.7</v>
      </c>
      <c r="H62" s="85">
        <v>104.13</v>
      </c>
      <c r="I62" s="85">
        <v>89.47</v>
      </c>
      <c r="J62" s="85">
        <v>383.59</v>
      </c>
      <c r="K62" s="85">
        <v>362.1789611289235</v>
      </c>
      <c r="L62" s="86">
        <v>358.07149667633809</v>
      </c>
    </row>
    <row r="63" spans="1:12" ht="17.45" customHeight="1" x14ac:dyDescent="0.2">
      <c r="A63" s="84" t="s">
        <v>5</v>
      </c>
      <c r="B63" s="85">
        <v>490.6</v>
      </c>
      <c r="C63" s="85">
        <v>571.1</v>
      </c>
      <c r="D63" s="85">
        <v>634.6</v>
      </c>
      <c r="E63" s="85">
        <v>790.7</v>
      </c>
      <c r="F63" s="85">
        <v>837.4</v>
      </c>
      <c r="G63" s="85">
        <v>940.2</v>
      </c>
      <c r="H63" s="85">
        <v>986.61</v>
      </c>
      <c r="I63" s="85">
        <v>996.75</v>
      </c>
      <c r="J63" s="85">
        <v>956.77</v>
      </c>
      <c r="K63" s="85">
        <v>995.87900000000002</v>
      </c>
      <c r="L63" s="86">
        <v>913.40300000000002</v>
      </c>
    </row>
    <row r="64" spans="1:12" ht="17.45" customHeight="1" x14ac:dyDescent="0.2">
      <c r="A64" s="84" t="s">
        <v>99</v>
      </c>
      <c r="B64" s="85">
        <f>+B65-B59</f>
        <v>8065.1999999999825</v>
      </c>
      <c r="C64" s="85">
        <f t="shared" ref="C64:J64" si="12">+C65-C59</f>
        <v>9039.0455536067748</v>
      </c>
      <c r="D64" s="85">
        <f t="shared" si="12"/>
        <v>10037.82126452752</v>
      </c>
      <c r="E64" s="85">
        <f t="shared" si="12"/>
        <v>11029.543388682301</v>
      </c>
      <c r="F64" s="85">
        <f t="shared" si="12"/>
        <v>12367.130231614065</v>
      </c>
      <c r="G64" s="85">
        <f t="shared" si="12"/>
        <v>13810.409999999974</v>
      </c>
      <c r="H64" s="85">
        <f t="shared" si="12"/>
        <v>15545.950000000012</v>
      </c>
      <c r="I64" s="85">
        <f t="shared" si="12"/>
        <v>17516.089999999997</v>
      </c>
      <c r="J64" s="85">
        <f t="shared" si="12"/>
        <v>19428.670000000013</v>
      </c>
      <c r="K64" s="85">
        <f>+K65-K59</f>
        <v>21877.245045302174</v>
      </c>
      <c r="L64" s="86">
        <f>+L65-L59</f>
        <v>24720.338192247611</v>
      </c>
    </row>
    <row r="65" spans="1:12" ht="17.45" customHeight="1" x14ac:dyDescent="0.2">
      <c r="A65" s="84" t="s">
        <v>10</v>
      </c>
      <c r="B65" s="85">
        <f t="shared" ref="B65:L65" si="13">+B59+B60+B61-B62-B63</f>
        <v>76085.499999999985</v>
      </c>
      <c r="C65" s="85">
        <f t="shared" si="13"/>
        <v>85124.54555360676</v>
      </c>
      <c r="D65" s="85">
        <f t="shared" si="13"/>
        <v>95162.36681813428</v>
      </c>
      <c r="E65" s="85">
        <f t="shared" si="13"/>
        <v>106191.91020681658</v>
      </c>
      <c r="F65" s="85">
        <f t="shared" si="13"/>
        <v>118559.04043843065</v>
      </c>
      <c r="G65" s="85">
        <f t="shared" si="13"/>
        <v>132369.45043843062</v>
      </c>
      <c r="H65" s="85">
        <f t="shared" si="13"/>
        <v>147915.405</v>
      </c>
      <c r="I65" s="85">
        <f t="shared" si="13"/>
        <v>165431.495</v>
      </c>
      <c r="J65" s="85">
        <f t="shared" si="13"/>
        <v>184860.16500000001</v>
      </c>
      <c r="K65" s="85">
        <f t="shared" si="13"/>
        <v>206737.41004530218</v>
      </c>
      <c r="L65" s="86">
        <f t="shared" si="13"/>
        <v>231457.74823754979</v>
      </c>
    </row>
    <row r="66" spans="1:12" ht="17.45" customHeight="1" x14ac:dyDescent="0.2">
      <c r="A66" s="84"/>
      <c r="C66" s="85"/>
      <c r="D66" s="85"/>
      <c r="E66" s="85"/>
      <c r="F66" s="85"/>
      <c r="G66" s="85"/>
      <c r="H66" s="85"/>
      <c r="I66" s="85"/>
      <c r="J66" s="85"/>
      <c r="K66" s="85"/>
      <c r="L66" s="86"/>
    </row>
    <row r="67" spans="1:12" ht="17.45" customHeight="1" x14ac:dyDescent="0.2">
      <c r="A67" s="84" t="s">
        <v>6</v>
      </c>
      <c r="B67" s="85"/>
      <c r="C67" s="85"/>
      <c r="D67" s="85"/>
      <c r="E67" s="85">
        <v>18258</v>
      </c>
      <c r="F67" s="85"/>
      <c r="G67" s="85"/>
      <c r="H67" s="85"/>
      <c r="I67" s="85"/>
      <c r="J67" s="85"/>
      <c r="K67" s="85"/>
      <c r="L67" s="86"/>
    </row>
    <row r="68" spans="1:12" ht="17.45" customHeight="1" x14ac:dyDescent="0.2">
      <c r="A68" s="84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6"/>
    </row>
    <row r="69" spans="1:12" ht="17.45" customHeight="1" x14ac:dyDescent="0.2">
      <c r="A69" s="84" t="s">
        <v>7</v>
      </c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6"/>
    </row>
    <row r="70" spans="1:12" ht="17.45" customHeight="1" x14ac:dyDescent="0.2">
      <c r="A70" s="84" t="s">
        <v>8</v>
      </c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6"/>
    </row>
    <row r="71" spans="1:12" ht="17.45" customHeight="1" x14ac:dyDescent="0.2">
      <c r="A71" s="84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6"/>
    </row>
    <row r="72" spans="1:12" ht="17.45" customHeight="1" x14ac:dyDescent="0.2">
      <c r="A72" s="84" t="s">
        <v>2</v>
      </c>
      <c r="B72" s="85">
        <f>+B59*E67/1000000</f>
        <v>1241.9146374000002</v>
      </c>
      <c r="C72" s="85">
        <f t="shared" ref="C72:L72" si="14">+B79</f>
        <v>1389.1690590000001</v>
      </c>
      <c r="D72" s="85">
        <f t="shared" si="14"/>
        <v>1554.2039527177528</v>
      </c>
      <c r="E72" s="85">
        <f t="shared" si="14"/>
        <v>1737.4744933654963</v>
      </c>
      <c r="F72" s="85">
        <f t="shared" si="14"/>
        <v>1938.8518965560577</v>
      </c>
      <c r="G72" s="85">
        <f t="shared" si="14"/>
        <v>2164.6509603248669</v>
      </c>
      <c r="H72" s="85">
        <f t="shared" si="14"/>
        <v>2416.801426104867</v>
      </c>
      <c r="I72" s="85">
        <f t="shared" si="14"/>
        <v>2700.6393812048673</v>
      </c>
      <c r="J72" s="85">
        <f t="shared" si="14"/>
        <v>3020.4481524248672</v>
      </c>
      <c r="K72" s="85">
        <f t="shared" si="14"/>
        <v>3375.176809284867</v>
      </c>
      <c r="L72" s="86">
        <f t="shared" si="14"/>
        <v>3774.6115493219941</v>
      </c>
    </row>
    <row r="73" spans="1:12" ht="17.45" customHeight="1" x14ac:dyDescent="0.2">
      <c r="A73" s="84" t="s">
        <v>3</v>
      </c>
      <c r="B73" s="85">
        <f>+B60*$E$67/1000000</f>
        <v>155.23864499999999</v>
      </c>
      <c r="C73" s="85">
        <f t="shared" ref="C73:L73" si="15">+C60*$E$67/1000000</f>
        <v>173.64536651775273</v>
      </c>
      <c r="D73" s="85">
        <f t="shared" si="15"/>
        <v>194.27463724774347</v>
      </c>
      <c r="E73" s="85">
        <f t="shared" si="15"/>
        <v>217.1833537905614</v>
      </c>
      <c r="F73" s="85">
        <f t="shared" si="15"/>
        <v>242.35541816880948</v>
      </c>
      <c r="G73" s="85">
        <f t="shared" si="15"/>
        <v>270.58009098000002</v>
      </c>
      <c r="H73" s="85">
        <f t="shared" si="15"/>
        <v>302.09887637999998</v>
      </c>
      <c r="I73" s="85">
        <f t="shared" si="15"/>
        <v>337.57836972000001</v>
      </c>
      <c r="J73" s="85">
        <f t="shared" si="15"/>
        <v>377.55444329999995</v>
      </c>
      <c r="K73" s="85">
        <f t="shared" si="15"/>
        <v>421.89523901288044</v>
      </c>
      <c r="L73" s="86">
        <f t="shared" si="15"/>
        <v>471.82436130674967</v>
      </c>
    </row>
    <row r="74" spans="1:12" ht="17.45" customHeight="1" x14ac:dyDescent="0.2">
      <c r="A74" s="84" t="s">
        <v>4</v>
      </c>
      <c r="B74" s="85">
        <f t="shared" ref="B74:L77" si="16">+B61*$E$67/1000000</f>
        <v>2.7642612</v>
      </c>
      <c r="C74" s="85">
        <f t="shared" si="16"/>
        <v>3.6333419999999998</v>
      </c>
      <c r="D74" s="85">
        <f t="shared" si="16"/>
        <v>2.9906604000000003</v>
      </c>
      <c r="E74" s="85">
        <f>+E61*$E$67/1000000</f>
        <v>2.3498045999999997</v>
      </c>
      <c r="F74" s="85">
        <f t="shared" si="16"/>
        <v>2.0321153999999999</v>
      </c>
      <c r="G74" s="85">
        <f t="shared" si="16"/>
        <v>2.017509</v>
      </c>
      <c r="H74" s="85">
        <f t="shared" si="16"/>
        <v>1.65380964</v>
      </c>
      <c r="I74" s="85">
        <f t="shared" si="16"/>
        <v>2.0626062599999999</v>
      </c>
      <c r="J74" s="85">
        <f t="shared" si="16"/>
        <v>1.6465064400000002</v>
      </c>
      <c r="K74" s="85">
        <f t="shared" si="16"/>
        <v>2.3349232785382625</v>
      </c>
      <c r="L74" s="86">
        <f t="shared" si="16"/>
        <v>2.7341547676234703</v>
      </c>
    </row>
    <row r="75" spans="1:12" ht="17.45" customHeight="1" x14ac:dyDescent="0.2">
      <c r="A75" s="84" t="s">
        <v>13</v>
      </c>
      <c r="B75" s="85">
        <f t="shared" si="16"/>
        <v>1.7911097999999999</v>
      </c>
      <c r="C75" s="85">
        <f t="shared" si="16"/>
        <v>1.8166709999999999</v>
      </c>
      <c r="D75" s="85">
        <f t="shared" si="16"/>
        <v>2.4082302000000002</v>
      </c>
      <c r="E75" s="85">
        <f t="shared" si="16"/>
        <v>3.7191545999999995</v>
      </c>
      <c r="F75" s="85">
        <f t="shared" si="16"/>
        <v>3.2992205999999995</v>
      </c>
      <c r="G75" s="85">
        <f t="shared" si="16"/>
        <v>3.2809625999999996</v>
      </c>
      <c r="H75" s="85">
        <f t="shared" si="16"/>
        <v>1.9012055399999999</v>
      </c>
      <c r="I75" s="85">
        <f t="shared" si="16"/>
        <v>1.6335432599999999</v>
      </c>
      <c r="J75" s="85">
        <f t="shared" si="16"/>
        <v>7.0035862199999999</v>
      </c>
      <c r="K75" s="85">
        <f t="shared" si="16"/>
        <v>6.6126634722918851</v>
      </c>
      <c r="L75" s="86">
        <f t="shared" si="16"/>
        <v>6.5376693863165807</v>
      </c>
    </row>
    <row r="76" spans="1:12" ht="17.45" customHeight="1" x14ac:dyDescent="0.2">
      <c r="A76" s="84" t="s">
        <v>5</v>
      </c>
      <c r="B76" s="85">
        <f t="shared" si="16"/>
        <v>8.9573748000000002</v>
      </c>
      <c r="C76" s="85">
        <f t="shared" si="16"/>
        <v>10.427143800000001</v>
      </c>
      <c r="D76" s="85">
        <f t="shared" si="16"/>
        <v>11.586526800000001</v>
      </c>
      <c r="E76" s="85">
        <f t="shared" si="16"/>
        <v>14.436600600000002</v>
      </c>
      <c r="F76" s="85">
        <f t="shared" si="16"/>
        <v>15.289249199999999</v>
      </c>
      <c r="G76" s="85">
        <f t="shared" si="16"/>
        <v>17.166171600000002</v>
      </c>
      <c r="H76" s="85">
        <f t="shared" si="16"/>
        <v>18.013525379999997</v>
      </c>
      <c r="I76" s="85">
        <f t="shared" si="16"/>
        <v>18.1986615</v>
      </c>
      <c r="J76" s="85">
        <f t="shared" si="16"/>
        <v>17.468706659999999</v>
      </c>
      <c r="K76" s="85">
        <f t="shared" si="16"/>
        <v>18.182758782000001</v>
      </c>
      <c r="L76" s="86">
        <f t="shared" si="16"/>
        <v>16.676911973999999</v>
      </c>
    </row>
    <row r="77" spans="1:12" ht="17.45" customHeight="1" x14ac:dyDescent="0.2">
      <c r="A77" s="84" t="s">
        <v>99</v>
      </c>
      <c r="B77" s="85">
        <f t="shared" si="16"/>
        <v>147.25442159999969</v>
      </c>
      <c r="C77" s="85">
        <f t="shared" si="16"/>
        <v>165.03489371775248</v>
      </c>
      <c r="D77" s="85">
        <f t="shared" si="16"/>
        <v>183.27054064774347</v>
      </c>
      <c r="E77" s="85">
        <f t="shared" si="16"/>
        <v>201.37740319056144</v>
      </c>
      <c r="F77" s="85">
        <f t="shared" si="16"/>
        <v>225.79906376880959</v>
      </c>
      <c r="G77" s="85">
        <f t="shared" si="16"/>
        <v>252.15046577999954</v>
      </c>
      <c r="H77" s="85">
        <f t="shared" si="16"/>
        <v>283.83795510000022</v>
      </c>
      <c r="I77" s="85">
        <f t="shared" si="16"/>
        <v>319.80877121999993</v>
      </c>
      <c r="J77" s="85">
        <f t="shared" si="16"/>
        <v>354.72865686000023</v>
      </c>
      <c r="K77" s="85">
        <f t="shared" si="16"/>
        <v>399.43474003712709</v>
      </c>
      <c r="L77" s="86">
        <f t="shared" si="16"/>
        <v>451.3439347140569</v>
      </c>
    </row>
    <row r="78" spans="1:12" ht="17.45" customHeight="1" x14ac:dyDescent="0.2">
      <c r="A78" s="84" t="s">
        <v>100</v>
      </c>
      <c r="B78" s="85">
        <v>0</v>
      </c>
      <c r="C78" s="85">
        <f>+C59*(C67-B67)/1000000</f>
        <v>0</v>
      </c>
      <c r="D78" s="85">
        <f>+D59*(D67-C67)/1000000</f>
        <v>0</v>
      </c>
      <c r="E78" s="85">
        <v>0</v>
      </c>
      <c r="F78" s="85">
        <v>0</v>
      </c>
      <c r="G78" s="85">
        <f t="shared" ref="G78:L78" si="17">+G59*(G67-F67)/1000000</f>
        <v>0</v>
      </c>
      <c r="H78" s="85">
        <f t="shared" si="17"/>
        <v>0</v>
      </c>
      <c r="I78" s="85">
        <f t="shared" si="17"/>
        <v>0</v>
      </c>
      <c r="J78" s="85">
        <f t="shared" si="17"/>
        <v>0</v>
      </c>
      <c r="K78" s="85">
        <f t="shared" si="17"/>
        <v>0</v>
      </c>
      <c r="L78" s="86">
        <f t="shared" si="17"/>
        <v>0</v>
      </c>
    </row>
    <row r="79" spans="1:12" ht="17.45" customHeight="1" x14ac:dyDescent="0.2">
      <c r="A79" s="84" t="s">
        <v>101</v>
      </c>
      <c r="B79" s="85">
        <f t="shared" ref="B79:L79" si="18">+B72+B73+B74-B75-B76+B78</f>
        <v>1389.1690590000001</v>
      </c>
      <c r="C79" s="85">
        <f t="shared" si="18"/>
        <v>1554.2039527177528</v>
      </c>
      <c r="D79" s="85">
        <f t="shared" si="18"/>
        <v>1737.4744933654963</v>
      </c>
      <c r="E79" s="85">
        <f t="shared" si="18"/>
        <v>1938.8518965560577</v>
      </c>
      <c r="F79" s="85">
        <f t="shared" si="18"/>
        <v>2164.6509603248669</v>
      </c>
      <c r="G79" s="85">
        <f t="shared" si="18"/>
        <v>2416.801426104867</v>
      </c>
      <c r="H79" s="85">
        <f t="shared" si="18"/>
        <v>2700.6393812048673</v>
      </c>
      <c r="I79" s="85">
        <f t="shared" si="18"/>
        <v>3020.4481524248672</v>
      </c>
      <c r="J79" s="85">
        <f t="shared" si="18"/>
        <v>3375.176809284867</v>
      </c>
      <c r="K79" s="85">
        <f t="shared" si="18"/>
        <v>3774.6115493219941</v>
      </c>
      <c r="L79" s="86">
        <f t="shared" si="18"/>
        <v>4225.9554840360506</v>
      </c>
    </row>
    <row r="80" spans="1:12" ht="17.45" customHeight="1" thickBot="1" x14ac:dyDescent="0.25">
      <c r="A80" s="83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5"/>
    </row>
    <row r="81" spans="2:12" ht="17.45" customHeight="1" thickTop="1" x14ac:dyDescent="0.2"/>
    <row r="82" spans="2:12" ht="17.45" customHeight="1" x14ac:dyDescent="0.2">
      <c r="B82" s="2">
        <f>+B65*$E$67/1000000</f>
        <v>1389.1690589999998</v>
      </c>
      <c r="C82" s="2">
        <f t="shared" ref="C82:L82" si="19">+C65*$E$67/1000000</f>
        <v>1554.2039527177521</v>
      </c>
      <c r="D82" s="2">
        <f t="shared" si="19"/>
        <v>1737.4744933654956</v>
      </c>
      <c r="E82" s="2">
        <f t="shared" si="19"/>
        <v>1938.8518965560572</v>
      </c>
      <c r="F82" s="2">
        <f t="shared" si="19"/>
        <v>2164.6509603248669</v>
      </c>
      <c r="G82" s="2">
        <f t="shared" si="19"/>
        <v>2416.8014261048661</v>
      </c>
      <c r="H82" s="2">
        <f t="shared" si="19"/>
        <v>2700.6394644899997</v>
      </c>
      <c r="I82" s="2">
        <f t="shared" si="19"/>
        <v>3020.4482357100001</v>
      </c>
      <c r="J82" s="2">
        <f t="shared" si="19"/>
        <v>3375.1768925700003</v>
      </c>
      <c r="K82" s="2">
        <f t="shared" si="19"/>
        <v>3774.6116326071274</v>
      </c>
      <c r="L82" s="2">
        <f t="shared" si="19"/>
        <v>4225.9555673211844</v>
      </c>
    </row>
    <row r="83" spans="2:12" ht="17.45" customHeight="1" x14ac:dyDescent="0.2"/>
    <row r="84" spans="2:12" ht="17.45" customHeight="1" x14ac:dyDescent="0.2"/>
    <row r="85" spans="2:12" ht="17.45" customHeight="1" x14ac:dyDescent="0.2"/>
    <row r="86" spans="2:12" ht="17.45" customHeight="1" x14ac:dyDescent="0.2"/>
    <row r="87" spans="2:12" ht="17.45" customHeight="1" x14ac:dyDescent="0.2"/>
    <row r="88" spans="2:12" ht="17.45" customHeight="1" x14ac:dyDescent="0.2"/>
    <row r="89" spans="2:12" ht="17.45" customHeight="1" x14ac:dyDescent="0.2"/>
    <row r="90" spans="2:12" ht="17.45" customHeight="1" x14ac:dyDescent="0.2"/>
    <row r="91" spans="2:12" ht="17.45" customHeight="1" x14ac:dyDescent="0.2"/>
    <row r="92" spans="2:12" ht="17.45" customHeight="1" x14ac:dyDescent="0.2"/>
    <row r="93" spans="2:12" ht="17.45" customHeight="1" x14ac:dyDescent="0.2"/>
    <row r="94" spans="2:12" ht="17.45" customHeight="1" x14ac:dyDescent="0.2"/>
    <row r="95" spans="2:12" ht="17.45" customHeight="1" x14ac:dyDescent="0.2"/>
    <row r="96" spans="2:12" ht="17.45" customHeight="1" x14ac:dyDescent="0.2"/>
    <row r="97" ht="17.45" customHeight="1" x14ac:dyDescent="0.2"/>
    <row r="98" ht="17.45" customHeight="1" x14ac:dyDescent="0.2"/>
    <row r="99" ht="17.45" customHeight="1" x14ac:dyDescent="0.2"/>
    <row r="100" ht="17.45" customHeight="1" x14ac:dyDescent="0.2"/>
    <row r="101" ht="17.45" customHeight="1" x14ac:dyDescent="0.2"/>
    <row r="102" ht="17.45" customHeight="1" x14ac:dyDescent="0.2"/>
    <row r="103" ht="17.45" customHeight="1" x14ac:dyDescent="0.2"/>
    <row r="104" ht="17.45" customHeight="1" x14ac:dyDescent="0.2"/>
    <row r="105" ht="17.45" customHeight="1" x14ac:dyDescent="0.2"/>
    <row r="106" ht="17.45" customHeight="1" x14ac:dyDescent="0.2"/>
    <row r="107" ht="17.45" customHeight="1" x14ac:dyDescent="0.2"/>
    <row r="108" ht="17.45" customHeight="1" x14ac:dyDescent="0.2"/>
    <row r="109" ht="17.45" customHeight="1" x14ac:dyDescent="0.2"/>
    <row r="110" ht="17.45" customHeight="1" x14ac:dyDescent="0.2"/>
    <row r="111" ht="17.45" customHeight="1" x14ac:dyDescent="0.2"/>
    <row r="112" ht="17.45" customHeight="1" x14ac:dyDescent="0.2"/>
    <row r="113" ht="17.45" customHeight="1" x14ac:dyDescent="0.2"/>
    <row r="114" ht="17.45" customHeight="1" x14ac:dyDescent="0.2"/>
    <row r="115" ht="17.45" customHeight="1" x14ac:dyDescent="0.2"/>
    <row r="116" ht="17.45" customHeight="1" x14ac:dyDescent="0.2"/>
  </sheetData>
  <mergeCells count="19">
    <mergeCell ref="P4:P5"/>
    <mergeCell ref="H4:H5"/>
    <mergeCell ref="M4:M5"/>
    <mergeCell ref="N4:N5"/>
    <mergeCell ref="O4:O5"/>
    <mergeCell ref="I4:I5"/>
    <mergeCell ref="J4:J5"/>
    <mergeCell ref="K4:K5"/>
    <mergeCell ref="L4:L5"/>
    <mergeCell ref="A1:O1"/>
    <mergeCell ref="A2:O2"/>
    <mergeCell ref="A53:J53"/>
    <mergeCell ref="A4:A5"/>
    <mergeCell ref="B4:B5"/>
    <mergeCell ref="C4:C5"/>
    <mergeCell ref="D4:D5"/>
    <mergeCell ref="E4:E5"/>
    <mergeCell ref="F4:F5"/>
    <mergeCell ref="G4:G5"/>
  </mergeCells>
  <phoneticPr fontId="0" type="noConversion"/>
  <printOptions horizontalCentered="1"/>
  <pageMargins left="0.75" right="0.75" top="0.75" bottom="0.75" header="0.511811023622047" footer="0.511811023622047"/>
  <pageSetup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9"/>
  <sheetViews>
    <sheetView topLeftCell="A2" zoomScaleSheetLayoutView="100" workbookViewId="0">
      <pane xSplit="1" ySplit="5" topLeftCell="Q7" activePane="bottomRight" state="frozen"/>
      <selection activeCell="C9" sqref="C9"/>
      <selection pane="topRight" activeCell="C9" sqref="C9"/>
      <selection pane="bottomLeft" activeCell="C9" sqref="C9"/>
      <selection pane="bottomRight" activeCell="C9" sqref="C9"/>
    </sheetView>
  </sheetViews>
  <sheetFormatPr defaultColWidth="9.33203125" defaultRowHeight="13.5" x14ac:dyDescent="0.2"/>
  <cols>
    <col min="1" max="1" width="28.83203125" style="2" customWidth="1"/>
    <col min="2" max="10" width="15.83203125" style="2" hidden="1" customWidth="1"/>
    <col min="11" max="15" width="15.83203125" style="2" customWidth="1"/>
    <col min="16" max="16" width="9.33203125" style="2"/>
    <col min="17" max="29" width="9.83203125" style="2" customWidth="1"/>
    <col min="30" max="16384" width="9.33203125" style="2"/>
  </cols>
  <sheetData>
    <row r="1" spans="1:29" x14ac:dyDescent="0.2">
      <c r="A1" s="2" t="s">
        <v>9</v>
      </c>
    </row>
    <row r="2" spans="1:29" ht="15" x14ac:dyDescent="0.2">
      <c r="A2" s="964" t="s">
        <v>179</v>
      </c>
      <c r="B2" s="964"/>
      <c r="C2" s="964"/>
      <c r="D2" s="964"/>
      <c r="E2" s="964"/>
      <c r="F2" s="964"/>
      <c r="G2" s="964"/>
      <c r="H2" s="964"/>
      <c r="I2" s="964"/>
      <c r="J2" s="964"/>
      <c r="K2" s="964"/>
      <c r="L2" s="964"/>
      <c r="M2" s="964"/>
      <c r="N2" s="964"/>
      <c r="O2" s="964"/>
    </row>
    <row r="3" spans="1:29" ht="15" x14ac:dyDescent="0.2">
      <c r="A3" s="964" t="s">
        <v>119</v>
      </c>
      <c r="B3" s="964"/>
      <c r="C3" s="964"/>
      <c r="D3" s="964"/>
      <c r="E3" s="964"/>
      <c r="F3" s="964"/>
      <c r="G3" s="964"/>
      <c r="H3" s="964"/>
      <c r="I3" s="964"/>
      <c r="J3" s="964"/>
      <c r="K3" s="964"/>
      <c r="L3" s="964"/>
      <c r="M3" s="964"/>
      <c r="N3" s="964"/>
      <c r="O3" s="964"/>
    </row>
    <row r="4" spans="1:29" ht="15.75" thickBot="1" x14ac:dyDescent="0.25">
      <c r="A4" s="1"/>
    </row>
    <row r="5" spans="1:29" ht="17.45" customHeight="1" thickTop="1" x14ac:dyDescent="0.2">
      <c r="A5" s="1022" t="s">
        <v>0</v>
      </c>
      <c r="B5" s="991">
        <v>1990</v>
      </c>
      <c r="C5" s="991">
        <v>1991</v>
      </c>
      <c r="D5" s="991">
        <v>1992</v>
      </c>
      <c r="E5" s="991">
        <v>1993</v>
      </c>
      <c r="F5" s="991">
        <v>1994</v>
      </c>
      <c r="G5" s="991">
        <v>1995</v>
      </c>
      <c r="H5" s="991">
        <v>1996</v>
      </c>
      <c r="I5" s="991">
        <v>1997</v>
      </c>
      <c r="J5" s="991">
        <v>1998</v>
      </c>
      <c r="K5" s="991">
        <v>1999</v>
      </c>
      <c r="L5" s="991">
        <v>2000</v>
      </c>
      <c r="M5" s="993">
        <v>2001</v>
      </c>
      <c r="N5" s="993">
        <v>2002</v>
      </c>
      <c r="O5" s="1020">
        <v>2003</v>
      </c>
    </row>
    <row r="6" spans="1:29" ht="17.45" customHeight="1" thickBot="1" x14ac:dyDescent="0.25">
      <c r="A6" s="1023"/>
      <c r="B6" s="1019"/>
      <c r="C6" s="1019"/>
      <c r="D6" s="1019"/>
      <c r="E6" s="1019"/>
      <c r="F6" s="1019"/>
      <c r="G6" s="1019"/>
      <c r="H6" s="1019"/>
      <c r="I6" s="1019"/>
      <c r="J6" s="1019"/>
      <c r="K6" s="1019"/>
      <c r="L6" s="1019"/>
      <c r="M6" s="1018"/>
      <c r="N6" s="1018"/>
      <c r="O6" s="1021"/>
    </row>
    <row r="7" spans="1:29" ht="17.45" customHeight="1" thickTop="1" x14ac:dyDescent="0.2">
      <c r="A7" s="57" t="s">
        <v>187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19"/>
      <c r="O7" s="59"/>
    </row>
    <row r="8" spans="1:29" ht="17.45" customHeight="1" x14ac:dyDescent="0.2">
      <c r="A8" s="26"/>
      <c r="B8" s="60"/>
      <c r="C8" s="60"/>
      <c r="D8" s="60"/>
      <c r="E8" s="60"/>
      <c r="F8" s="60"/>
      <c r="G8" s="60"/>
      <c r="H8" s="60"/>
      <c r="I8" s="60"/>
      <c r="J8" s="60"/>
      <c r="K8" s="60"/>
      <c r="L8" s="5"/>
      <c r="M8" s="6"/>
      <c r="N8" s="5"/>
      <c r="O8" s="25"/>
      <c r="Q8" s="61">
        <v>1991</v>
      </c>
      <c r="R8" s="61">
        <f>+Q8+1</f>
        <v>1992</v>
      </c>
      <c r="S8" s="61">
        <f t="shared" ref="S8:AC8" si="0">+R8+1</f>
        <v>1993</v>
      </c>
      <c r="T8" s="61">
        <f t="shared" si="0"/>
        <v>1994</v>
      </c>
      <c r="U8" s="61">
        <f t="shared" si="0"/>
        <v>1995</v>
      </c>
      <c r="V8" s="61">
        <f t="shared" si="0"/>
        <v>1996</v>
      </c>
      <c r="W8" s="61">
        <f t="shared" si="0"/>
        <v>1997</v>
      </c>
      <c r="X8" s="61">
        <f t="shared" si="0"/>
        <v>1998</v>
      </c>
      <c r="Y8" s="61">
        <f t="shared" si="0"/>
        <v>1999</v>
      </c>
      <c r="Z8" s="61">
        <f t="shared" si="0"/>
        <v>2000</v>
      </c>
      <c r="AA8" s="61">
        <f t="shared" si="0"/>
        <v>2001</v>
      </c>
      <c r="AB8" s="61">
        <f t="shared" si="0"/>
        <v>2002</v>
      </c>
      <c r="AC8" s="61">
        <f t="shared" si="0"/>
        <v>2003</v>
      </c>
    </row>
    <row r="9" spans="1:29" ht="17.45" customHeight="1" x14ac:dyDescent="0.2">
      <c r="A9" s="26" t="s">
        <v>2</v>
      </c>
      <c r="B9" s="8">
        <v>8544100</v>
      </c>
      <c r="C9" s="8">
        <f>+B15</f>
        <v>8532878.8000000007</v>
      </c>
      <c r="D9" s="8">
        <f t="shared" ref="D9:L9" si="1">+C15</f>
        <v>8519248.6000000015</v>
      </c>
      <c r="E9" s="8">
        <f t="shared" si="1"/>
        <v>8485914.4000000022</v>
      </c>
      <c r="F9" s="8">
        <f t="shared" si="1"/>
        <v>8442976.200000003</v>
      </c>
      <c r="G9" s="8">
        <f t="shared" si="1"/>
        <v>8408592.8600000031</v>
      </c>
      <c r="H9" s="8">
        <f t="shared" si="1"/>
        <v>8372034.6600000039</v>
      </c>
      <c r="I9" s="8">
        <f t="shared" si="1"/>
        <v>8339545.5600000024</v>
      </c>
      <c r="J9" s="8">
        <f t="shared" si="1"/>
        <v>8261234.1100000022</v>
      </c>
      <c r="K9" s="8">
        <f t="shared" si="1"/>
        <v>8178041.3000000026</v>
      </c>
      <c r="L9" s="8">
        <f t="shared" si="1"/>
        <v>8080178.9151982032</v>
      </c>
      <c r="M9" s="8">
        <f>+L15</f>
        <v>7993806.6623234684</v>
      </c>
      <c r="N9" s="8">
        <f>M15</f>
        <v>7879785.0438754121</v>
      </c>
      <c r="O9" s="36">
        <f>N15</f>
        <v>7734416.7001964608</v>
      </c>
      <c r="Q9" s="62">
        <f t="shared" ref="Q9:X15" si="2">C9/B9*100-100</f>
        <v>-0.13133273252886113</v>
      </c>
      <c r="R9" s="62">
        <f t="shared" si="2"/>
        <v>-0.159737414763228</v>
      </c>
      <c r="S9" s="62">
        <f t="shared" si="2"/>
        <v>-0.39128098691708146</v>
      </c>
      <c r="T9" s="62">
        <f t="shared" si="2"/>
        <v>-0.50599379131138278</v>
      </c>
      <c r="U9" s="62">
        <f t="shared" si="2"/>
        <v>-0.40724193916358331</v>
      </c>
      <c r="V9" s="62">
        <f t="shared" si="2"/>
        <v>-0.43477191259798076</v>
      </c>
      <c r="W9" s="62">
        <f t="shared" si="2"/>
        <v>-0.38806695527944157</v>
      </c>
      <c r="X9" s="62">
        <f t="shared" si="2"/>
        <v>-0.93903737843480428</v>
      </c>
      <c r="Y9" s="62">
        <f t="shared" ref="Y9:Y15" si="3">K9/J9*100-100</f>
        <v>-1.0070264187198887</v>
      </c>
      <c r="Z9" s="62">
        <f t="shared" ref="Z9:Z15" si="4">L9/K9*100-100</f>
        <v>-1.1966482096611486</v>
      </c>
      <c r="AA9" s="62">
        <f t="shared" ref="AA9:AA15" si="5">M9/L9*100-100</f>
        <v>-1.0689398561741683</v>
      </c>
      <c r="AB9" s="62">
        <f t="shared" ref="AB9:AC15" si="6">N9/M9*100-100</f>
        <v>-1.4263744829539746</v>
      </c>
      <c r="AC9" s="62">
        <f t="shared" si="6"/>
        <v>-1.8448262594667995</v>
      </c>
    </row>
    <row r="10" spans="1:29" ht="17.45" customHeight="1" x14ac:dyDescent="0.2">
      <c r="A10" s="26" t="s">
        <v>3</v>
      </c>
      <c r="B10" s="8">
        <v>30900</v>
      </c>
      <c r="C10" s="8">
        <v>30861</v>
      </c>
      <c r="D10" s="8">
        <v>30814</v>
      </c>
      <c r="E10" s="8">
        <v>30694</v>
      </c>
      <c r="F10" s="8">
        <v>30542</v>
      </c>
      <c r="G10" s="8">
        <v>30419</v>
      </c>
      <c r="H10" s="8">
        <v>32997.620000000003</v>
      </c>
      <c r="I10" s="8">
        <v>31893.09</v>
      </c>
      <c r="J10" s="8">
        <v>31366.37</v>
      </c>
      <c r="K10" s="8">
        <v>33107.012000000002</v>
      </c>
      <c r="L10" s="34">
        <f>((100-2.51)/100)*K10</f>
        <v>32276.025998800003</v>
      </c>
      <c r="M10" s="34">
        <f>((100+0.012)/100)*L10</f>
        <v>32279.899121919858</v>
      </c>
      <c r="N10" s="34">
        <f>((100+0.042)/100)*M10</f>
        <v>32293.456679551065</v>
      </c>
      <c r="O10" s="35">
        <f>((100-0.1519)/100)*N10</f>
        <v>32244.40291885483</v>
      </c>
      <c r="Q10" s="62">
        <f t="shared" si="2"/>
        <v>-0.12621359223300033</v>
      </c>
      <c r="R10" s="62">
        <f t="shared" si="2"/>
        <v>-0.15229577784258197</v>
      </c>
      <c r="S10" s="62">
        <f t="shared" si="2"/>
        <v>-0.38943337444018766</v>
      </c>
      <c r="T10" s="62">
        <f t="shared" si="2"/>
        <v>-0.49521079038248672</v>
      </c>
      <c r="U10" s="62">
        <f t="shared" si="2"/>
        <v>-0.40272411760854254</v>
      </c>
      <c r="V10" s="62">
        <f t="shared" si="2"/>
        <v>8.4770045037640926</v>
      </c>
      <c r="W10" s="62">
        <f t="shared" si="2"/>
        <v>-3.3473020175394481</v>
      </c>
      <c r="X10" s="62">
        <f t="shared" si="2"/>
        <v>-1.6515176171390067</v>
      </c>
      <c r="Y10" s="62">
        <f t="shared" si="3"/>
        <v>5.5493893619185286</v>
      </c>
      <c r="Z10" s="62">
        <f t="shared" si="4"/>
        <v>-2.5100000000000051</v>
      </c>
      <c r="AA10" s="62">
        <f t="shared" si="5"/>
        <v>1.1999999999986244E-2</v>
      </c>
      <c r="AB10" s="62">
        <f t="shared" si="6"/>
        <v>4.2000000000001592E-2</v>
      </c>
      <c r="AC10" s="62">
        <f t="shared" si="6"/>
        <v>-0.1518999999999977</v>
      </c>
    </row>
    <row r="11" spans="1:29" ht="17.45" customHeight="1" x14ac:dyDescent="0.2">
      <c r="A11" s="26" t="s">
        <v>4</v>
      </c>
      <c r="B11" s="8">
        <v>619.79999999999995</v>
      </c>
      <c r="C11" s="8">
        <v>931.8</v>
      </c>
      <c r="D11" s="8">
        <v>949.8</v>
      </c>
      <c r="E11" s="8">
        <v>1456.8</v>
      </c>
      <c r="F11" s="8">
        <v>1239.6600000000001</v>
      </c>
      <c r="G11" s="8">
        <v>1543.8</v>
      </c>
      <c r="H11" s="8">
        <v>2552.9499999999998</v>
      </c>
      <c r="I11" s="8">
        <v>2137.73</v>
      </c>
      <c r="J11" s="8">
        <v>1576.88</v>
      </c>
      <c r="K11" s="8">
        <v>1279.5337500000001</v>
      </c>
      <c r="L11" s="34">
        <f>'Data Penunjang'!P10/'Data Penunjang'!O10*'Kayu Rimba Luar Jawa slh '!K11</f>
        <v>3339.4118458216622</v>
      </c>
      <c r="M11" s="34">
        <f>'Data Penunjang'!Q10/'Data Penunjang'!P10*'Kayu Rimba Luar Jawa slh '!L11</f>
        <v>1242.9955546802055</v>
      </c>
      <c r="N11" s="34">
        <f>'Data Penunjang'!R10/'Data Penunjang'!Q10*'Kayu Rimba Luar Jawa slh '!M11</f>
        <v>4865.3544062208221</v>
      </c>
      <c r="O11" s="35">
        <f>'Data Penunjang'!T10/'Data Penunjang'!R10*'Kayu Rimba Luar Jawa slh '!N11</f>
        <v>33767.06690417834</v>
      </c>
      <c r="Q11" s="62">
        <f t="shared" si="2"/>
        <v>50.338818973862544</v>
      </c>
      <c r="R11" s="62">
        <f t="shared" si="2"/>
        <v>1.9317450096587123</v>
      </c>
      <c r="S11" s="62">
        <f t="shared" si="2"/>
        <v>53.379658875552764</v>
      </c>
      <c r="T11" s="62">
        <f t="shared" si="2"/>
        <v>-14.905271828665562</v>
      </c>
      <c r="U11" s="62">
        <f t="shared" si="2"/>
        <v>24.534146459513082</v>
      </c>
      <c r="V11" s="62">
        <f t="shared" si="2"/>
        <v>65.367923306127722</v>
      </c>
      <c r="W11" s="62">
        <f t="shared" si="2"/>
        <v>-16.264321667091011</v>
      </c>
      <c r="X11" s="62">
        <f t="shared" si="2"/>
        <v>-26.235773460633467</v>
      </c>
      <c r="Y11" s="62">
        <f t="shared" si="3"/>
        <v>-18.856618766171181</v>
      </c>
      <c r="Z11" s="62">
        <f t="shared" si="4"/>
        <v>160.9866168689698</v>
      </c>
      <c r="AA11" s="62">
        <f t="shared" si="5"/>
        <v>-62.778009659531328</v>
      </c>
      <c r="AB11" s="62">
        <f t="shared" si="6"/>
        <v>291.42170604725675</v>
      </c>
      <c r="AC11" s="62">
        <f t="shared" si="6"/>
        <v>594.03098078536493</v>
      </c>
    </row>
    <row r="12" spans="1:29" ht="17.45" customHeight="1" x14ac:dyDescent="0.2">
      <c r="A12" s="26" t="s">
        <v>13</v>
      </c>
      <c r="B12" s="8">
        <v>15455</v>
      </c>
      <c r="C12" s="8">
        <v>18612</v>
      </c>
      <c r="D12" s="8">
        <v>37724</v>
      </c>
      <c r="E12" s="8">
        <v>47160</v>
      </c>
      <c r="F12" s="8">
        <v>38175</v>
      </c>
      <c r="G12" s="8">
        <v>40691</v>
      </c>
      <c r="H12" s="8">
        <v>39765.83</v>
      </c>
      <c r="I12" s="8">
        <v>79973.899999999994</v>
      </c>
      <c r="J12" s="8">
        <v>92320.84</v>
      </c>
      <c r="K12" s="8">
        <v>108270.5358</v>
      </c>
      <c r="L12" s="34">
        <f>97333105.235556/1000</f>
        <v>97333.10523555601</v>
      </c>
      <c r="M12" s="34">
        <f>((100+26.29)/100)*L12</f>
        <v>122921.97860198368</v>
      </c>
      <c r="N12" s="34">
        <f>((100+28.96)/100)*M12</f>
        <v>158520.18360511816</v>
      </c>
      <c r="O12" s="35">
        <f>((100+13.04)/100)*N12</f>
        <v>179191.21554722555</v>
      </c>
      <c r="Q12" s="62">
        <f t="shared" si="2"/>
        <v>20.42704626334519</v>
      </c>
      <c r="R12" s="62">
        <f t="shared" si="2"/>
        <v>102.68643885665162</v>
      </c>
      <c r="S12" s="62">
        <f t="shared" si="2"/>
        <v>25.013254161806799</v>
      </c>
      <c r="T12" s="62">
        <f t="shared" si="2"/>
        <v>-19.052162849872772</v>
      </c>
      <c r="U12" s="62">
        <f t="shared" si="2"/>
        <v>6.5907007203667405</v>
      </c>
      <c r="V12" s="62">
        <f t="shared" si="2"/>
        <v>-2.2736477353714548</v>
      </c>
      <c r="W12" s="62">
        <f t="shared" si="2"/>
        <v>101.11211057332389</v>
      </c>
      <c r="X12" s="62">
        <f t="shared" si="2"/>
        <v>15.43871187975077</v>
      </c>
      <c r="Y12" s="62">
        <f t="shared" si="3"/>
        <v>17.276376384790268</v>
      </c>
      <c r="Z12" s="62">
        <f t="shared" si="4"/>
        <v>-10.101945541904286</v>
      </c>
      <c r="AA12" s="62">
        <f t="shared" si="5"/>
        <v>26.289999999999992</v>
      </c>
      <c r="AB12" s="62">
        <f t="shared" si="6"/>
        <v>28.960000000000008</v>
      </c>
      <c r="AC12" s="62">
        <f t="shared" si="6"/>
        <v>13.039999999999992</v>
      </c>
    </row>
    <row r="13" spans="1:29" ht="17.45" customHeight="1" x14ac:dyDescent="0.2">
      <c r="A13" s="26" t="s">
        <v>5</v>
      </c>
      <c r="B13" s="8">
        <v>27286</v>
      </c>
      <c r="C13" s="8">
        <v>26811</v>
      </c>
      <c r="D13" s="8">
        <v>27374</v>
      </c>
      <c r="E13" s="8">
        <v>27929</v>
      </c>
      <c r="F13" s="8">
        <v>27990</v>
      </c>
      <c r="G13" s="8">
        <v>27830</v>
      </c>
      <c r="H13" s="8">
        <v>28273.84</v>
      </c>
      <c r="I13" s="8">
        <v>32368.37</v>
      </c>
      <c r="J13" s="8">
        <v>23815.22</v>
      </c>
      <c r="K13" s="8">
        <v>23978.394751799999</v>
      </c>
      <c r="L13" s="34">
        <f>((100+2.82)/100)*K13</f>
        <v>24654.585483800758</v>
      </c>
      <c r="M13" s="34">
        <f>((100-0.13)/100)*L13</f>
        <v>24622.534522671816</v>
      </c>
      <c r="N13" s="34">
        <f>((100-2.5)/100)*M13</f>
        <v>24006.971159605022</v>
      </c>
      <c r="O13" s="35">
        <f>((100-3.5)/100)*N13</f>
        <v>23166.727169018846</v>
      </c>
      <c r="Q13" s="62">
        <f t="shared" si="2"/>
        <v>-1.7408194678589837</v>
      </c>
      <c r="R13" s="62">
        <f t="shared" si="2"/>
        <v>2.0998843758158898</v>
      </c>
      <c r="S13" s="62">
        <f t="shared" si="2"/>
        <v>2.0274713231533497</v>
      </c>
      <c r="T13" s="62">
        <f t="shared" si="2"/>
        <v>0.21841097067563453</v>
      </c>
      <c r="U13" s="62">
        <f t="shared" si="2"/>
        <v>-0.57163272597355785</v>
      </c>
      <c r="V13" s="62">
        <f t="shared" si="2"/>
        <v>1.5948257276320561</v>
      </c>
      <c r="W13" s="62">
        <f t="shared" si="2"/>
        <v>14.481690495525186</v>
      </c>
      <c r="X13" s="62">
        <f t="shared" si="2"/>
        <v>-26.424407531179355</v>
      </c>
      <c r="Y13" s="62">
        <f t="shared" si="3"/>
        <v>0.68517003748023342</v>
      </c>
      <c r="Z13" s="62">
        <f t="shared" si="4"/>
        <v>2.8199999999999932</v>
      </c>
      <c r="AA13" s="62">
        <f t="shared" si="5"/>
        <v>-0.13000000000000966</v>
      </c>
      <c r="AB13" s="62">
        <f t="shared" si="6"/>
        <v>-2.4999999999999858</v>
      </c>
      <c r="AC13" s="62">
        <f t="shared" si="6"/>
        <v>-3.5</v>
      </c>
    </row>
    <row r="14" spans="1:29" ht="17.45" customHeight="1" x14ac:dyDescent="0.2">
      <c r="A14" s="26" t="s">
        <v>99</v>
      </c>
      <c r="B14" s="8">
        <f>+B15-B9</f>
        <v>-11221.199999999255</v>
      </c>
      <c r="C14" s="8">
        <f t="shared" ref="C14:L14" si="7">+C15-C9</f>
        <v>-13630.199999999255</v>
      </c>
      <c r="D14" s="8">
        <f t="shared" si="7"/>
        <v>-33334.199999999255</v>
      </c>
      <c r="E14" s="8">
        <f t="shared" si="7"/>
        <v>-42938.199999999255</v>
      </c>
      <c r="F14" s="8">
        <f t="shared" si="7"/>
        <v>-34383.339999999851</v>
      </c>
      <c r="G14" s="8">
        <f t="shared" si="7"/>
        <v>-36558.199999999255</v>
      </c>
      <c r="H14" s="8">
        <f t="shared" si="7"/>
        <v>-32489.10000000149</v>
      </c>
      <c r="I14" s="8">
        <f t="shared" si="7"/>
        <v>-78311.450000000186</v>
      </c>
      <c r="J14" s="8">
        <f t="shared" si="7"/>
        <v>-83192.80999999959</v>
      </c>
      <c r="K14" s="8">
        <f t="shared" si="7"/>
        <v>-97862.384801799431</v>
      </c>
      <c r="L14" s="8">
        <f t="shared" si="7"/>
        <v>-86372.252874734811</v>
      </c>
      <c r="M14" s="8">
        <f>+M15-M9</f>
        <v>-114021.61844805628</v>
      </c>
      <c r="N14" s="8">
        <f>+N15-N9</f>
        <v>-145368.34367895126</v>
      </c>
      <c r="O14" s="36">
        <f>+O15-O9</f>
        <v>-136346.47289321199</v>
      </c>
      <c r="Q14" s="62">
        <f t="shared" si="2"/>
        <v>21.468292161267598</v>
      </c>
      <c r="R14" s="62">
        <f t="shared" si="2"/>
        <v>144.56134172646827</v>
      </c>
      <c r="S14" s="62">
        <f t="shared" si="2"/>
        <v>28.811250907477046</v>
      </c>
      <c r="T14" s="62">
        <f t="shared" si="2"/>
        <v>-19.923657722027372</v>
      </c>
      <c r="U14" s="62">
        <f t="shared" si="2"/>
        <v>6.3253308142821965</v>
      </c>
      <c r="V14" s="62">
        <f t="shared" si="2"/>
        <v>-11.13047141270043</v>
      </c>
      <c r="W14" s="62">
        <f t="shared" si="2"/>
        <v>141.03914851441436</v>
      </c>
      <c r="X14" s="62">
        <f t="shared" si="2"/>
        <v>6.2332647397020509</v>
      </c>
      <c r="Y14" s="62">
        <f t="shared" si="3"/>
        <v>17.633224315658907</v>
      </c>
      <c r="Z14" s="62">
        <f t="shared" si="4"/>
        <v>-11.741111715533563</v>
      </c>
      <c r="AA14" s="62">
        <f t="shared" si="5"/>
        <v>32.011861046881791</v>
      </c>
      <c r="AB14" s="62">
        <f t="shared" si="6"/>
        <v>27.491913952418855</v>
      </c>
      <c r="AC14" s="62">
        <f t="shared" si="6"/>
        <v>-6.2062141986457817</v>
      </c>
    </row>
    <row r="15" spans="1:29" ht="17.45" customHeight="1" x14ac:dyDescent="0.2">
      <c r="A15" s="26" t="s">
        <v>10</v>
      </c>
      <c r="B15" s="8">
        <f t="shared" ref="B15:L15" si="8">+B9+B10+B11-B12-B13</f>
        <v>8532878.8000000007</v>
      </c>
      <c r="C15" s="8">
        <f t="shared" si="8"/>
        <v>8519248.6000000015</v>
      </c>
      <c r="D15" s="8">
        <f t="shared" si="8"/>
        <v>8485914.4000000022</v>
      </c>
      <c r="E15" s="8">
        <f t="shared" si="8"/>
        <v>8442976.200000003</v>
      </c>
      <c r="F15" s="8">
        <f t="shared" si="8"/>
        <v>8408592.8600000031</v>
      </c>
      <c r="G15" s="8">
        <f t="shared" si="8"/>
        <v>8372034.6600000039</v>
      </c>
      <c r="H15" s="8">
        <f t="shared" si="8"/>
        <v>8339545.5600000024</v>
      </c>
      <c r="I15" s="8">
        <f t="shared" si="8"/>
        <v>8261234.1100000022</v>
      </c>
      <c r="J15" s="8">
        <f t="shared" si="8"/>
        <v>8178041.3000000026</v>
      </c>
      <c r="K15" s="8">
        <f t="shared" si="8"/>
        <v>8080178.9151982032</v>
      </c>
      <c r="L15" s="8">
        <f t="shared" si="8"/>
        <v>7993806.6623234684</v>
      </c>
      <c r="M15" s="8">
        <f>+M9+M10+M11-M12-M13</f>
        <v>7879785.0438754121</v>
      </c>
      <c r="N15" s="8">
        <f>+N9+N10+N11-N12-N13</f>
        <v>7734416.7001964608</v>
      </c>
      <c r="O15" s="36">
        <f>+O9+O10+O11-O12-O13</f>
        <v>7598070.2273032488</v>
      </c>
      <c r="Q15" s="62">
        <f t="shared" si="2"/>
        <v>-0.159737414763228</v>
      </c>
      <c r="R15" s="62">
        <f t="shared" si="2"/>
        <v>-0.39128098691708146</v>
      </c>
      <c r="S15" s="62">
        <f t="shared" si="2"/>
        <v>-0.50599379131138278</v>
      </c>
      <c r="T15" s="62">
        <f t="shared" si="2"/>
        <v>-0.40724193916358331</v>
      </c>
      <c r="U15" s="62">
        <f t="shared" si="2"/>
        <v>-0.43477191259798076</v>
      </c>
      <c r="V15" s="62">
        <f t="shared" si="2"/>
        <v>-0.38806695527944157</v>
      </c>
      <c r="W15" s="62">
        <f t="shared" si="2"/>
        <v>-0.93903737843480428</v>
      </c>
      <c r="X15" s="62">
        <f t="shared" si="2"/>
        <v>-1.0070264187198887</v>
      </c>
      <c r="Y15" s="62">
        <f t="shared" si="3"/>
        <v>-1.1966482096611486</v>
      </c>
      <c r="Z15" s="62">
        <f t="shared" si="4"/>
        <v>-1.0689398561741683</v>
      </c>
      <c r="AA15" s="62">
        <f t="shared" si="5"/>
        <v>-1.4263744829539746</v>
      </c>
      <c r="AB15" s="62">
        <f t="shared" si="6"/>
        <v>-1.8448262594667995</v>
      </c>
      <c r="AC15" s="62">
        <f t="shared" si="6"/>
        <v>-1.7628539834134926</v>
      </c>
    </row>
    <row r="16" spans="1:29" ht="17.45" customHeight="1" x14ac:dyDescent="0.2">
      <c r="A16" s="26"/>
      <c r="B16" s="8"/>
      <c r="C16" s="8"/>
      <c r="D16" s="8"/>
      <c r="E16" s="8"/>
      <c r="F16" s="8"/>
      <c r="G16" s="8"/>
      <c r="H16" s="8"/>
      <c r="I16" s="8"/>
      <c r="J16" s="8"/>
      <c r="K16" s="8"/>
      <c r="L16" s="6"/>
      <c r="M16" s="6"/>
      <c r="N16" s="6"/>
      <c r="O16" s="63"/>
    </row>
    <row r="17" spans="1:15" ht="17.45" customHeight="1" x14ac:dyDescent="0.2">
      <c r="A17" s="26" t="s">
        <v>6</v>
      </c>
      <c r="B17" s="8">
        <v>9248</v>
      </c>
      <c r="C17" s="8">
        <v>10892</v>
      </c>
      <c r="D17" s="8">
        <v>12125</v>
      </c>
      <c r="E17" s="8">
        <v>13563</v>
      </c>
      <c r="F17" s="8">
        <v>14865</v>
      </c>
      <c r="G17" s="8">
        <v>16445</v>
      </c>
      <c r="H17" s="8">
        <v>18946.509999999998</v>
      </c>
      <c r="I17" s="8">
        <v>20420.55</v>
      </c>
      <c r="J17" s="8">
        <v>26908.25</v>
      </c>
      <c r="K17" s="8">
        <v>33232.364406779656</v>
      </c>
      <c r="L17" s="34">
        <v>34689.857636766421</v>
      </c>
      <c r="M17" s="64">
        <v>35162.229402928962</v>
      </c>
      <c r="N17" s="65">
        <v>35923.844578188327</v>
      </c>
      <c r="O17" s="66">
        <v>38089.906121585802</v>
      </c>
    </row>
    <row r="18" spans="1:15" ht="17.45" customHeight="1" x14ac:dyDescent="0.2">
      <c r="A18" s="26"/>
      <c r="B18" s="8"/>
      <c r="C18" s="8"/>
      <c r="D18" s="8"/>
      <c r="E18" s="8"/>
      <c r="F18" s="8"/>
      <c r="G18" s="8"/>
      <c r="H18" s="8"/>
      <c r="I18" s="8"/>
      <c r="J18" s="8"/>
      <c r="K18" s="8"/>
      <c r="L18" s="6"/>
      <c r="M18" s="6"/>
      <c r="N18" s="6"/>
      <c r="O18" s="63"/>
    </row>
    <row r="19" spans="1:15" ht="17.45" customHeight="1" x14ac:dyDescent="0.2">
      <c r="A19" s="26" t="s">
        <v>7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4"/>
      <c r="N19" s="4"/>
      <c r="O19" s="32"/>
    </row>
    <row r="20" spans="1:15" ht="17.45" customHeight="1" x14ac:dyDescent="0.2">
      <c r="A20" s="26" t="s">
        <v>8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4"/>
      <c r="N20" s="4"/>
      <c r="O20" s="32"/>
    </row>
    <row r="21" spans="1:15" ht="17.45" customHeight="1" x14ac:dyDescent="0.2">
      <c r="A21" s="26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4"/>
      <c r="N21" s="4"/>
      <c r="O21" s="32"/>
    </row>
    <row r="22" spans="1:15" ht="17.45" customHeight="1" x14ac:dyDescent="0.2">
      <c r="A22" s="26" t="s">
        <v>2</v>
      </c>
      <c r="B22" s="8">
        <v>70232.501999999993</v>
      </c>
      <c r="C22" s="8">
        <v>78912.063142400002</v>
      </c>
      <c r="D22" s="8">
        <v>92791.655751199985</v>
      </c>
      <c r="E22" s="8">
        <v>102891.71209999999</v>
      </c>
      <c r="F22" s="8">
        <v>114512.0862006</v>
      </c>
      <c r="G22" s="8">
        <v>124993.73197200001</v>
      </c>
      <c r="H22" s="8">
        <f t="shared" ref="H22:M22" si="9">+G29</f>
        <v>137653.67219400001</v>
      </c>
      <c r="I22" s="8">
        <f t="shared" si="9"/>
        <v>157980.84555829564</v>
      </c>
      <c r="J22" s="8">
        <f t="shared" si="9"/>
        <v>168674.50641526055</v>
      </c>
      <c r="K22" s="8">
        <f t="shared" si="9"/>
        <v>220032.34202102508</v>
      </c>
      <c r="L22" s="8">
        <f t="shared" si="9"/>
        <v>268499.01239214418</v>
      </c>
      <c r="M22" s="8">
        <f t="shared" si="9"/>
        <v>277279.57730213599</v>
      </c>
      <c r="N22" s="8">
        <f>M29</f>
        <v>277046.37156881596</v>
      </c>
      <c r="O22" s="36">
        <f>+N29</f>
        <v>281547.73362925858</v>
      </c>
    </row>
    <row r="23" spans="1:15" ht="17.45" customHeight="1" x14ac:dyDescent="0.2">
      <c r="A23" s="26" t="s">
        <v>3</v>
      </c>
      <c r="B23" s="8">
        <v>285.76319999999998</v>
      </c>
      <c r="C23" s="8">
        <v>336.138012</v>
      </c>
      <c r="D23" s="8">
        <v>373.61975000000001</v>
      </c>
      <c r="E23" s="8">
        <v>416.30272200000002</v>
      </c>
      <c r="F23" s="8">
        <v>454.00683000000004</v>
      </c>
      <c r="G23" s="8">
        <v>500.08835999999997</v>
      </c>
      <c r="H23" s="8">
        <f t="shared" ref="H23:M23" si="10">+H10*H17/1000000</f>
        <v>625.18973730620007</v>
      </c>
      <c r="I23" s="8">
        <f t="shared" si="10"/>
        <v>651.27443899950003</v>
      </c>
      <c r="J23" s="8">
        <f t="shared" si="10"/>
        <v>844.01412555249999</v>
      </c>
      <c r="K23" s="8">
        <f t="shared" si="10"/>
        <v>1100.224287203627</v>
      </c>
      <c r="L23" s="8">
        <f t="shared" si="10"/>
        <v>1119.6507469789437</v>
      </c>
      <c r="M23" s="8">
        <f t="shared" si="10"/>
        <v>1135.0332180283513</v>
      </c>
      <c r="N23" s="8">
        <f>+N10*N17/1000000</f>
        <v>1160.1051186486502</v>
      </c>
      <c r="O23" s="36">
        <f>+O10*O17/1000000</f>
        <v>1228.1862801257678</v>
      </c>
    </row>
    <row r="24" spans="1:15" ht="17.45" customHeight="1" x14ac:dyDescent="0.2">
      <c r="A24" s="26" t="s">
        <v>4</v>
      </c>
      <c r="B24" s="8">
        <v>5.7319103999999994</v>
      </c>
      <c r="C24" s="8">
        <v>10.1491656</v>
      </c>
      <c r="D24" s="8">
        <v>11.516324999999998</v>
      </c>
      <c r="E24" s="8">
        <v>19.758578400000001</v>
      </c>
      <c r="F24" s="8">
        <v>18.426654000000003</v>
      </c>
      <c r="G24" s="8">
        <v>25.380071999999998</v>
      </c>
      <c r="H24" s="8">
        <f t="shared" ref="H24:M24" si="11">+H11*H17/1000000</f>
        <v>48.36949270449999</v>
      </c>
      <c r="I24" s="8">
        <f t="shared" si="11"/>
        <v>43.653622351499997</v>
      </c>
      <c r="J24" s="8">
        <f t="shared" si="11"/>
        <v>42.431081260000006</v>
      </c>
      <c r="K24" s="8">
        <f t="shared" si="11"/>
        <v>42.521931850773299</v>
      </c>
      <c r="L24" s="8">
        <f t="shared" si="11"/>
        <v>115.84372152208483</v>
      </c>
      <c r="M24" s="8">
        <f t="shared" si="11"/>
        <v>43.706494840486315</v>
      </c>
      <c r="N24" s="8">
        <f>+N11*N17/1000000</f>
        <v>174.78223550688057</v>
      </c>
      <c r="O24" s="36">
        <f>+O11*O17/1000000</f>
        <v>1286.1844083814599</v>
      </c>
    </row>
    <row r="25" spans="1:15" ht="17.45" customHeight="1" x14ac:dyDescent="0.2">
      <c r="A25" s="26" t="s">
        <v>13</v>
      </c>
      <c r="B25" s="8">
        <v>142.92784</v>
      </c>
      <c r="C25" s="8">
        <v>202.72190399999997</v>
      </c>
      <c r="D25" s="8">
        <v>457.40350000000001</v>
      </c>
      <c r="E25" s="8">
        <v>639.63108</v>
      </c>
      <c r="F25" s="8">
        <v>567.47137499999997</v>
      </c>
      <c r="G25" s="8">
        <v>668.96004000000005</v>
      </c>
      <c r="H25" s="8">
        <f t="shared" ref="H25:M25" si="12">+H12*H17/1000000</f>
        <v>753.42369575329997</v>
      </c>
      <c r="I25" s="8">
        <f t="shared" si="12"/>
        <v>1633.1110236449997</v>
      </c>
      <c r="J25" s="8">
        <f t="shared" si="12"/>
        <v>2484.1922429299998</v>
      </c>
      <c r="K25" s="8">
        <f t="shared" si="12"/>
        <v>3598.0859002228822</v>
      </c>
      <c r="L25" s="8">
        <f t="shared" si="12"/>
        <v>3376.4715639658421</v>
      </c>
      <c r="M25" s="8">
        <f t="shared" si="12"/>
        <v>4322.2108102648754</v>
      </c>
      <c r="N25" s="8">
        <f>+N12*N17/1000000</f>
        <v>5694.6544383361424</v>
      </c>
      <c r="O25" s="36">
        <f>+O12*O17/1000000</f>
        <v>6825.3765780066669</v>
      </c>
    </row>
    <row r="26" spans="1:15" ht="17.45" customHeight="1" x14ac:dyDescent="0.2">
      <c r="A26" s="26" t="s">
        <v>5</v>
      </c>
      <c r="B26" s="8">
        <v>252.34092800000002</v>
      </c>
      <c r="C26" s="8">
        <v>292.02541200000002</v>
      </c>
      <c r="D26" s="8">
        <v>331.90974999999997</v>
      </c>
      <c r="E26" s="8">
        <v>378.80102699999998</v>
      </c>
      <c r="F26" s="8">
        <v>416.07135</v>
      </c>
      <c r="G26" s="8">
        <v>457.67316</v>
      </c>
      <c r="H26" s="8">
        <f t="shared" ref="H26:M26" si="13">+H13*H17/1000000</f>
        <v>535.69059229840002</v>
      </c>
      <c r="I26" s="8">
        <f t="shared" si="13"/>
        <v>660.97991800349996</v>
      </c>
      <c r="J26" s="8">
        <f t="shared" si="13"/>
        <v>640.825893565</v>
      </c>
      <c r="K26" s="8">
        <f t="shared" si="13"/>
        <v>796.85875228143038</v>
      </c>
      <c r="L26" s="8">
        <f t="shared" si="13"/>
        <v>855.26406052653624</v>
      </c>
      <c r="M26" s="8">
        <f t="shared" si="13"/>
        <v>865.78320736772446</v>
      </c>
      <c r="N26" s="8">
        <f>+N13*N17/1000000</f>
        <v>862.4227007307004</v>
      </c>
      <c r="O26" s="36">
        <f>+O13*O17/1000000</f>
        <v>882.41846301231908</v>
      </c>
    </row>
    <row r="27" spans="1:15" ht="17.45" customHeight="1" x14ac:dyDescent="0.2">
      <c r="A27" s="26" t="s">
        <v>99</v>
      </c>
      <c r="B27" s="8">
        <f>+B14*B17/1000000</f>
        <v>-103.77365759999311</v>
      </c>
      <c r="C27" s="8">
        <f t="shared" ref="C27:L27" si="14">+C14*C17/1000000</f>
        <v>-148.46013839999188</v>
      </c>
      <c r="D27" s="8">
        <f t="shared" si="14"/>
        <v>-404.17717499999094</v>
      </c>
      <c r="E27" s="8">
        <f t="shared" si="14"/>
        <v>-582.37080659998992</v>
      </c>
      <c r="F27" s="8">
        <f t="shared" si="14"/>
        <v>-511.10834909999778</v>
      </c>
      <c r="G27" s="8">
        <f t="shared" si="14"/>
        <v>-601.19959899998776</v>
      </c>
      <c r="H27" s="8">
        <f t="shared" si="14"/>
        <v>-615.55505804102813</v>
      </c>
      <c r="I27" s="8">
        <f t="shared" si="14"/>
        <v>-1599.1628802975038</v>
      </c>
      <c r="J27" s="8">
        <f t="shared" si="14"/>
        <v>-2238.5729296824888</v>
      </c>
      <c r="K27" s="8">
        <f t="shared" si="14"/>
        <v>-3252.1984334498939</v>
      </c>
      <c r="L27" s="8">
        <f t="shared" si="14"/>
        <v>-2996.2411559913398</v>
      </c>
      <c r="M27" s="8">
        <f>+M14*M17/1000000</f>
        <v>-4009.2543047637919</v>
      </c>
      <c r="N27" s="8">
        <f>+N14*N17/1000000</f>
        <v>-5222.1897849113111</v>
      </c>
      <c r="O27" s="36">
        <f>+O14*O17/1000000</f>
        <v>-5193.4243525117881</v>
      </c>
    </row>
    <row r="28" spans="1:15" ht="17.45" customHeight="1" x14ac:dyDescent="0.2">
      <c r="A28" s="26" t="s">
        <v>100</v>
      </c>
      <c r="B28" s="8">
        <v>8783.3348000000005</v>
      </c>
      <c r="C28" s="8">
        <v>14028.052747200001</v>
      </c>
      <c r="D28" s="8">
        <v>10504.233523800001</v>
      </c>
      <c r="E28" s="8">
        <v>12202.7449072</v>
      </c>
      <c r="F28" s="8">
        <v>10992.755012399999</v>
      </c>
      <c r="G28" s="8">
        <v>13261.10499</v>
      </c>
      <c r="H28" s="8">
        <f t="shared" ref="H28:M28" si="15">+H9*(H17-G17)/1000000</f>
        <v>20942.728422336597</v>
      </c>
      <c r="I28" s="8">
        <f t="shared" si="15"/>
        <v>12292.823737262412</v>
      </c>
      <c r="J28" s="8">
        <f t="shared" si="15"/>
        <v>53596.408535447023</v>
      </c>
      <c r="K28" s="8">
        <f t="shared" si="15"/>
        <v>51718.868804569036</v>
      </c>
      <c r="L28" s="8">
        <f t="shared" si="15"/>
        <v>11776.806065983184</v>
      </c>
      <c r="M28" s="8">
        <f t="shared" si="15"/>
        <v>3776.0485714436272</v>
      </c>
      <c r="N28" s="8">
        <f>+N9*(N17-L17)/1000000</f>
        <v>9723.5518453539025</v>
      </c>
      <c r="O28" s="36">
        <f>+O9*(O17-N17)/1000000</f>
        <v>16753.222574906747</v>
      </c>
    </row>
    <row r="29" spans="1:15" ht="17.45" customHeight="1" x14ac:dyDescent="0.2">
      <c r="A29" s="26" t="s">
        <v>101</v>
      </c>
      <c r="B29" s="8">
        <v>78912.063142400002</v>
      </c>
      <c r="C29" s="8">
        <v>92791.655751199985</v>
      </c>
      <c r="D29" s="8">
        <v>102891.71209999999</v>
      </c>
      <c r="E29" s="8">
        <v>114512.0862006</v>
      </c>
      <c r="F29" s="8">
        <v>124993.73197200001</v>
      </c>
      <c r="G29" s="8">
        <v>137653.67219400001</v>
      </c>
      <c r="H29" s="8">
        <f t="shared" ref="H29:O29" si="16">+H22+H23+H24-H25-H26+H28</f>
        <v>157980.84555829564</v>
      </c>
      <c r="I29" s="8">
        <f t="shared" si="16"/>
        <v>168674.50641526055</v>
      </c>
      <c r="J29" s="8">
        <f t="shared" si="16"/>
        <v>220032.34202102508</v>
      </c>
      <c r="K29" s="8">
        <f t="shared" si="16"/>
        <v>268499.01239214418</v>
      </c>
      <c r="L29" s="8">
        <f t="shared" si="16"/>
        <v>277279.57730213599</v>
      </c>
      <c r="M29" s="8">
        <f t="shared" si="16"/>
        <v>277046.37156881596</v>
      </c>
      <c r="N29" s="8">
        <f t="shared" si="16"/>
        <v>281547.73362925858</v>
      </c>
      <c r="O29" s="36">
        <f t="shared" si="16"/>
        <v>293107.53185165359</v>
      </c>
    </row>
    <row r="30" spans="1:15" ht="17.45" customHeight="1" thickBot="1" x14ac:dyDescent="0.25">
      <c r="A30" s="67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9"/>
    </row>
    <row r="31" spans="1:15" ht="17.45" customHeight="1" thickTop="1" x14ac:dyDescent="0.2"/>
    <row r="32" spans="1:15" ht="17.45" customHeight="1" x14ac:dyDescent="0.2">
      <c r="A32" s="2" t="s">
        <v>64</v>
      </c>
    </row>
    <row r="33" spans="1:6" ht="17.45" customHeight="1" x14ac:dyDescent="0.2"/>
    <row r="34" spans="1:6" ht="17.45" customHeight="1" x14ac:dyDescent="0.2">
      <c r="A34" s="2" t="s">
        <v>65</v>
      </c>
      <c r="B34" s="2" t="s">
        <v>66</v>
      </c>
    </row>
    <row r="35" spans="1:6" ht="17.45" customHeight="1" x14ac:dyDescent="0.2">
      <c r="A35" s="2" t="s">
        <v>67</v>
      </c>
      <c r="B35" s="2" t="s">
        <v>176</v>
      </c>
    </row>
    <row r="36" spans="1:6" ht="17.45" customHeight="1" x14ac:dyDescent="0.2">
      <c r="B36" s="2" t="s">
        <v>69</v>
      </c>
    </row>
    <row r="37" spans="1:6" ht="17.45" customHeight="1" x14ac:dyDescent="0.2">
      <c r="A37" s="2" t="s">
        <v>70</v>
      </c>
      <c r="B37" s="2" t="s">
        <v>175</v>
      </c>
    </row>
    <row r="38" spans="1:6" ht="17.45" customHeight="1" x14ac:dyDescent="0.2">
      <c r="A38" s="2" t="s">
        <v>71</v>
      </c>
      <c r="B38" s="2" t="s">
        <v>72</v>
      </c>
    </row>
    <row r="39" spans="1:6" ht="17.45" customHeight="1" x14ac:dyDescent="0.2">
      <c r="A39" s="2" t="s">
        <v>73</v>
      </c>
      <c r="B39" s="2" t="s">
        <v>74</v>
      </c>
    </row>
    <row r="40" spans="1:6" ht="17.45" customHeight="1" x14ac:dyDescent="0.2">
      <c r="B40" s="2" t="s">
        <v>75</v>
      </c>
    </row>
    <row r="41" spans="1:6" ht="17.45" customHeight="1" x14ac:dyDescent="0.2"/>
    <row r="42" spans="1:6" ht="17.45" customHeight="1" thickBot="1" x14ac:dyDescent="0.25"/>
    <row r="43" spans="1:6" ht="17.45" customHeight="1" thickTop="1" x14ac:dyDescent="0.2">
      <c r="A43" s="70"/>
      <c r="B43" s="71"/>
      <c r="C43" s="71" t="s">
        <v>86</v>
      </c>
      <c r="D43" s="71"/>
      <c r="E43" s="72"/>
      <c r="F43" s="72" t="s">
        <v>88</v>
      </c>
    </row>
    <row r="44" spans="1:6" ht="17.45" customHeight="1" thickBot="1" x14ac:dyDescent="0.25">
      <c r="A44" s="73"/>
      <c r="B44" s="74">
        <v>1996</v>
      </c>
      <c r="C44" s="74">
        <v>1997</v>
      </c>
      <c r="D44" s="74">
        <v>1998</v>
      </c>
      <c r="E44" s="75">
        <v>1999</v>
      </c>
      <c r="F44" s="75"/>
    </row>
    <row r="45" spans="1:6" ht="17.45" customHeight="1" thickTop="1" x14ac:dyDescent="0.2">
      <c r="A45" s="76" t="s">
        <v>91</v>
      </c>
      <c r="B45" s="12"/>
      <c r="C45" s="12"/>
      <c r="D45" s="12"/>
      <c r="E45" s="77"/>
      <c r="F45" s="77" t="s">
        <v>89</v>
      </c>
    </row>
    <row r="46" spans="1:6" ht="17.45" customHeight="1" x14ac:dyDescent="0.2">
      <c r="A46" s="76" t="s">
        <v>87</v>
      </c>
      <c r="B46" s="12"/>
      <c r="C46" s="12"/>
      <c r="D46" s="12"/>
      <c r="E46" s="77"/>
      <c r="F46" s="77" t="s">
        <v>90</v>
      </c>
    </row>
    <row r="47" spans="1:6" ht="17.45" customHeight="1" x14ac:dyDescent="0.2">
      <c r="A47" s="76" t="s">
        <v>92</v>
      </c>
      <c r="B47" s="12">
        <v>5</v>
      </c>
      <c r="C47" s="12">
        <v>5</v>
      </c>
      <c r="D47" s="12">
        <v>5</v>
      </c>
      <c r="E47" s="77">
        <v>5</v>
      </c>
      <c r="F47" s="77" t="s">
        <v>89</v>
      </c>
    </row>
    <row r="48" spans="1:6" ht="17.45" customHeight="1" x14ac:dyDescent="0.2">
      <c r="A48" s="76" t="s">
        <v>93</v>
      </c>
      <c r="B48" s="12"/>
      <c r="C48" s="12"/>
      <c r="D48" s="12"/>
      <c r="E48" s="77"/>
      <c r="F48" s="77"/>
    </row>
    <row r="49" spans="1:7" ht="17.45" customHeight="1" x14ac:dyDescent="0.2">
      <c r="A49" s="76" t="s">
        <v>71</v>
      </c>
      <c r="B49" s="12"/>
      <c r="C49" s="12"/>
      <c r="D49" s="12"/>
      <c r="E49" s="77"/>
      <c r="F49" s="77"/>
    </row>
    <row r="50" spans="1:7" ht="17.45" customHeight="1" thickBot="1" x14ac:dyDescent="0.25">
      <c r="A50" s="73"/>
      <c r="B50" s="74"/>
      <c r="C50" s="74"/>
      <c r="D50" s="74"/>
      <c r="E50" s="75"/>
      <c r="F50" s="75"/>
    </row>
    <row r="51" spans="1:7" ht="17.45" customHeight="1" thickTop="1" x14ac:dyDescent="0.2">
      <c r="E51" s="2">
        <v>1000</v>
      </c>
    </row>
    <row r="52" spans="1:7" ht="17.45" customHeight="1" x14ac:dyDescent="0.2"/>
    <row r="53" spans="1:7" ht="17.45" customHeight="1" x14ac:dyDescent="0.2">
      <c r="E53" s="2">
        <v>102891712.09999999</v>
      </c>
      <c r="F53" s="2">
        <v>114512086.2006</v>
      </c>
      <c r="G53" s="2">
        <v>124993731.972</v>
      </c>
    </row>
    <row r="54" spans="1:7" ht="17.45" customHeight="1" x14ac:dyDescent="0.2">
      <c r="E54" s="2">
        <v>416302.72200000001</v>
      </c>
      <c r="F54" s="2">
        <v>454006.83</v>
      </c>
      <c r="G54" s="2">
        <v>500088.36</v>
      </c>
    </row>
    <row r="55" spans="1:7" ht="17.45" customHeight="1" x14ac:dyDescent="0.2">
      <c r="E55" s="2">
        <v>19758.578400000002</v>
      </c>
      <c r="F55" s="2">
        <v>18426.654000000002</v>
      </c>
      <c r="G55" s="2">
        <v>25380.072</v>
      </c>
    </row>
    <row r="56" spans="1:7" ht="17.45" customHeight="1" x14ac:dyDescent="0.2">
      <c r="E56" s="2">
        <v>639631.07999999996</v>
      </c>
      <c r="F56" s="2">
        <v>567471.375</v>
      </c>
      <c r="G56" s="2">
        <v>668960.04</v>
      </c>
    </row>
    <row r="57" spans="1:7" ht="17.45" customHeight="1" x14ac:dyDescent="0.2">
      <c r="E57" s="2">
        <v>378801.027</v>
      </c>
      <c r="F57" s="2">
        <v>416071.35</v>
      </c>
      <c r="G57" s="2">
        <v>457673.16</v>
      </c>
    </row>
    <row r="58" spans="1:7" ht="17.45" customHeight="1" x14ac:dyDescent="0.2">
      <c r="E58" s="2">
        <v>12202744.907199999</v>
      </c>
      <c r="F58" s="2">
        <v>10992755.012399999</v>
      </c>
      <c r="G58" s="2">
        <v>13261104.99</v>
      </c>
    </row>
    <row r="59" spans="1:7" ht="17.45" customHeight="1" x14ac:dyDescent="0.2">
      <c r="E59" s="2">
        <v>114512086.2006</v>
      </c>
      <c r="F59" s="2">
        <v>124993731.972</v>
      </c>
      <c r="G59" s="2">
        <v>137653672.19400001</v>
      </c>
    </row>
    <row r="60" spans="1:7" ht="17.45" customHeight="1" x14ac:dyDescent="0.2"/>
    <row r="61" spans="1:7" ht="17.45" customHeight="1" x14ac:dyDescent="0.2">
      <c r="E61" s="78">
        <f>+E53/1000</f>
        <v>102891.71209999999</v>
      </c>
      <c r="F61" s="78">
        <f>+F53/1000</f>
        <v>114512.0862006</v>
      </c>
      <c r="G61" s="78">
        <f>+G53/1000</f>
        <v>124993.73197200001</v>
      </c>
    </row>
    <row r="62" spans="1:7" ht="17.45" customHeight="1" x14ac:dyDescent="0.2">
      <c r="E62" s="78">
        <f t="shared" ref="E62:G67" si="17">+E54/1000</f>
        <v>416.30272200000002</v>
      </c>
      <c r="F62" s="78">
        <f t="shared" si="17"/>
        <v>454.00683000000004</v>
      </c>
      <c r="G62" s="78">
        <f t="shared" si="17"/>
        <v>500.08835999999997</v>
      </c>
    </row>
    <row r="63" spans="1:7" ht="17.45" customHeight="1" x14ac:dyDescent="0.2">
      <c r="E63" s="78">
        <f t="shared" si="17"/>
        <v>19.758578400000001</v>
      </c>
      <c r="F63" s="78">
        <f t="shared" si="17"/>
        <v>18.426654000000003</v>
      </c>
      <c r="G63" s="78">
        <f t="shared" si="17"/>
        <v>25.380071999999998</v>
      </c>
    </row>
    <row r="64" spans="1:7" ht="17.45" customHeight="1" x14ac:dyDescent="0.2">
      <c r="E64" s="78">
        <f t="shared" si="17"/>
        <v>639.63108</v>
      </c>
      <c r="F64" s="78">
        <f t="shared" si="17"/>
        <v>567.47137499999997</v>
      </c>
      <c r="G64" s="78">
        <f t="shared" si="17"/>
        <v>668.96004000000005</v>
      </c>
    </row>
    <row r="65" spans="2:7" ht="17.45" customHeight="1" x14ac:dyDescent="0.2">
      <c r="E65" s="78">
        <f t="shared" si="17"/>
        <v>378.80102699999998</v>
      </c>
      <c r="F65" s="78">
        <f t="shared" si="17"/>
        <v>416.07135</v>
      </c>
      <c r="G65" s="78">
        <f t="shared" si="17"/>
        <v>457.67316</v>
      </c>
    </row>
    <row r="66" spans="2:7" ht="17.45" customHeight="1" x14ac:dyDescent="0.2">
      <c r="E66" s="78">
        <f t="shared" si="17"/>
        <v>12202.7449072</v>
      </c>
      <c r="F66" s="78">
        <f t="shared" si="17"/>
        <v>10992.755012399999</v>
      </c>
      <c r="G66" s="78">
        <f t="shared" si="17"/>
        <v>13261.10499</v>
      </c>
    </row>
    <row r="67" spans="2:7" ht="17.45" customHeight="1" x14ac:dyDescent="0.2">
      <c r="E67" s="78">
        <f t="shared" si="17"/>
        <v>114512.0862006</v>
      </c>
      <c r="F67" s="78">
        <f t="shared" si="17"/>
        <v>124993.73197200001</v>
      </c>
      <c r="G67" s="78">
        <f t="shared" si="17"/>
        <v>137653.67219400001</v>
      </c>
    </row>
    <row r="68" spans="2:7" ht="17.45" customHeight="1" x14ac:dyDescent="0.2"/>
    <row r="69" spans="2:7" ht="17.45" customHeight="1" x14ac:dyDescent="0.2">
      <c r="B69" s="2">
        <v>70232502</v>
      </c>
      <c r="C69" s="2">
        <v>78912063.142399997</v>
      </c>
      <c r="D69" s="2">
        <v>92791655.751199991</v>
      </c>
      <c r="E69" s="78">
        <v>102891712.09999999</v>
      </c>
      <c r="F69" s="2">
        <v>114512086.2006</v>
      </c>
      <c r="G69" s="2">
        <v>124993731.972</v>
      </c>
    </row>
    <row r="70" spans="2:7" ht="17.45" customHeight="1" x14ac:dyDescent="0.2">
      <c r="B70" s="2">
        <v>285763.20000000001</v>
      </c>
      <c r="C70" s="2">
        <v>336138.01199999999</v>
      </c>
      <c r="D70" s="2">
        <v>373619.75</v>
      </c>
      <c r="E70" s="2">
        <v>416302.72200000001</v>
      </c>
      <c r="F70" s="2">
        <v>454006.83</v>
      </c>
      <c r="G70" s="2">
        <v>500088.36</v>
      </c>
    </row>
    <row r="71" spans="2:7" ht="17.45" customHeight="1" x14ac:dyDescent="0.2">
      <c r="B71" s="2">
        <v>5731.9103999999998</v>
      </c>
      <c r="C71" s="2">
        <v>10149.1656</v>
      </c>
      <c r="D71" s="2">
        <v>11516.324999999999</v>
      </c>
      <c r="E71" s="2">
        <v>19758.578400000002</v>
      </c>
      <c r="F71" s="2">
        <v>18426.654000000002</v>
      </c>
      <c r="G71" s="2">
        <v>25380.072</v>
      </c>
    </row>
    <row r="72" spans="2:7" ht="17.45" customHeight="1" x14ac:dyDescent="0.2">
      <c r="B72" s="2">
        <v>142927.84</v>
      </c>
      <c r="C72" s="2">
        <v>202721.90399999998</v>
      </c>
      <c r="D72" s="2">
        <v>457403.5</v>
      </c>
      <c r="E72" s="2">
        <v>639631.07999999996</v>
      </c>
      <c r="F72" s="2">
        <v>567471.375</v>
      </c>
      <c r="G72" s="2">
        <v>668960.04</v>
      </c>
    </row>
    <row r="73" spans="2:7" ht="17.45" customHeight="1" x14ac:dyDescent="0.2">
      <c r="B73" s="2">
        <v>252340.92800000001</v>
      </c>
      <c r="C73" s="2">
        <v>292025.41200000001</v>
      </c>
      <c r="D73" s="2">
        <v>331909.75</v>
      </c>
      <c r="E73" s="2">
        <v>378801.027</v>
      </c>
      <c r="F73" s="2">
        <v>416071.35</v>
      </c>
      <c r="G73" s="2">
        <v>457673.16</v>
      </c>
    </row>
    <row r="74" spans="2:7" ht="17.45" customHeight="1" x14ac:dyDescent="0.2">
      <c r="B74" s="2">
        <v>8783334.8000000007</v>
      </c>
      <c r="C74" s="2">
        <v>14028052.747200001</v>
      </c>
      <c r="D74" s="2">
        <v>10504233.523800001</v>
      </c>
      <c r="E74" s="2">
        <v>12202744.907199999</v>
      </c>
      <c r="F74" s="2">
        <v>10992755.012399999</v>
      </c>
      <c r="G74" s="2">
        <v>13261104.99</v>
      </c>
    </row>
    <row r="75" spans="2:7" ht="17.45" customHeight="1" x14ac:dyDescent="0.2">
      <c r="B75" s="2">
        <v>78912063.142399997</v>
      </c>
      <c r="C75" s="2">
        <v>92791655.751199991</v>
      </c>
      <c r="D75" s="2">
        <v>102891712.09999999</v>
      </c>
      <c r="E75" s="2">
        <v>114512086.2006</v>
      </c>
      <c r="F75" s="2">
        <v>124993731.972</v>
      </c>
      <c r="G75" s="2">
        <v>137653672.19400001</v>
      </c>
    </row>
    <row r="76" spans="2:7" ht="17.45" customHeight="1" x14ac:dyDescent="0.2"/>
    <row r="77" spans="2:7" ht="17.45" customHeight="1" x14ac:dyDescent="0.2">
      <c r="B77" s="78">
        <f t="shared" ref="B77:G77" si="18">+B69/1000</f>
        <v>70232.501999999993</v>
      </c>
      <c r="C77" s="78">
        <f t="shared" si="18"/>
        <v>78912.063142400002</v>
      </c>
      <c r="D77" s="78">
        <f t="shared" si="18"/>
        <v>92791.655751199985</v>
      </c>
      <c r="E77" s="78">
        <f t="shared" si="18"/>
        <v>102891.71209999999</v>
      </c>
      <c r="F77" s="78">
        <f t="shared" si="18"/>
        <v>114512.0862006</v>
      </c>
      <c r="G77" s="78">
        <f t="shared" si="18"/>
        <v>124993.73197200001</v>
      </c>
    </row>
    <row r="78" spans="2:7" ht="17.45" customHeight="1" x14ac:dyDescent="0.2">
      <c r="B78" s="78">
        <f t="shared" ref="B78:G84" si="19">+B70/1000</f>
        <v>285.76319999999998</v>
      </c>
      <c r="C78" s="78">
        <f t="shared" si="19"/>
        <v>336.138012</v>
      </c>
      <c r="D78" s="78">
        <f t="shared" si="19"/>
        <v>373.61975000000001</v>
      </c>
      <c r="E78" s="78">
        <f t="shared" si="19"/>
        <v>416.30272200000002</v>
      </c>
      <c r="F78" s="78">
        <f t="shared" si="19"/>
        <v>454.00683000000004</v>
      </c>
      <c r="G78" s="78">
        <f t="shared" si="19"/>
        <v>500.08835999999997</v>
      </c>
    </row>
    <row r="79" spans="2:7" ht="17.45" customHeight="1" x14ac:dyDescent="0.2">
      <c r="B79" s="78">
        <f t="shared" si="19"/>
        <v>5.7319103999999994</v>
      </c>
      <c r="C79" s="78">
        <f t="shared" si="19"/>
        <v>10.1491656</v>
      </c>
      <c r="D79" s="78">
        <f t="shared" si="19"/>
        <v>11.516324999999998</v>
      </c>
      <c r="E79" s="78">
        <f t="shared" si="19"/>
        <v>19.758578400000001</v>
      </c>
      <c r="F79" s="78">
        <f t="shared" si="19"/>
        <v>18.426654000000003</v>
      </c>
      <c r="G79" s="78">
        <f t="shared" si="19"/>
        <v>25.380071999999998</v>
      </c>
    </row>
    <row r="80" spans="2:7" ht="17.45" customHeight="1" x14ac:dyDescent="0.2">
      <c r="B80" s="78">
        <f t="shared" si="19"/>
        <v>142.92784</v>
      </c>
      <c r="C80" s="78">
        <f t="shared" si="19"/>
        <v>202.72190399999997</v>
      </c>
      <c r="D80" s="78">
        <f t="shared" si="19"/>
        <v>457.40350000000001</v>
      </c>
      <c r="E80" s="78">
        <f t="shared" si="19"/>
        <v>639.63108</v>
      </c>
      <c r="F80" s="78">
        <f t="shared" si="19"/>
        <v>567.47137499999997</v>
      </c>
      <c r="G80" s="78">
        <f t="shared" si="19"/>
        <v>668.96004000000005</v>
      </c>
    </row>
    <row r="81" spans="1:12" ht="17.45" customHeight="1" x14ac:dyDescent="0.2">
      <c r="B81" s="78">
        <f t="shared" si="19"/>
        <v>252.34092800000002</v>
      </c>
      <c r="C81" s="78">
        <f t="shared" si="19"/>
        <v>292.02541200000002</v>
      </c>
      <c r="D81" s="78">
        <f t="shared" si="19"/>
        <v>331.90974999999997</v>
      </c>
      <c r="E81" s="78">
        <f t="shared" si="19"/>
        <v>378.80102699999998</v>
      </c>
      <c r="F81" s="78">
        <f t="shared" si="19"/>
        <v>416.07135</v>
      </c>
      <c r="G81" s="78">
        <f t="shared" si="19"/>
        <v>457.67316</v>
      </c>
    </row>
    <row r="82" spans="1:12" ht="17.45" customHeight="1" x14ac:dyDescent="0.2">
      <c r="B82" s="78">
        <f t="shared" si="19"/>
        <v>8783.3348000000005</v>
      </c>
      <c r="C82" s="78">
        <f t="shared" si="19"/>
        <v>14028.052747200001</v>
      </c>
      <c r="D82" s="78">
        <f t="shared" si="19"/>
        <v>10504.233523800001</v>
      </c>
      <c r="E82" s="78">
        <f t="shared" si="19"/>
        <v>12202.7449072</v>
      </c>
      <c r="F82" s="78">
        <f t="shared" si="19"/>
        <v>10992.755012399999</v>
      </c>
      <c r="G82" s="78">
        <f t="shared" si="19"/>
        <v>13261.10499</v>
      </c>
    </row>
    <row r="83" spans="1:12" ht="17.45" customHeight="1" x14ac:dyDescent="0.2">
      <c r="B83" s="78">
        <f t="shared" si="19"/>
        <v>78912.063142400002</v>
      </c>
      <c r="C83" s="78">
        <f t="shared" si="19"/>
        <v>92791.655751199985</v>
      </c>
      <c r="D83" s="78">
        <f t="shared" si="19"/>
        <v>102891.71209999999</v>
      </c>
      <c r="E83" s="78">
        <f t="shared" si="19"/>
        <v>114512.0862006</v>
      </c>
      <c r="F83" s="78">
        <f t="shared" si="19"/>
        <v>124993.73197200001</v>
      </c>
      <c r="G83" s="78">
        <f t="shared" si="19"/>
        <v>137653.67219400001</v>
      </c>
    </row>
    <row r="84" spans="1:12" ht="17.45" customHeight="1" x14ac:dyDescent="0.2">
      <c r="B84" s="2">
        <f t="shared" si="19"/>
        <v>0</v>
      </c>
    </row>
    <row r="85" spans="1:12" ht="17.45" customHeight="1" x14ac:dyDescent="0.2"/>
    <row r="86" spans="1:12" ht="17.45" customHeight="1" x14ac:dyDescent="0.2"/>
    <row r="87" spans="1:12" ht="17.45" customHeight="1" x14ac:dyDescent="0.2">
      <c r="A87" s="2" t="s">
        <v>9</v>
      </c>
    </row>
    <row r="88" spans="1:12" ht="17.45" customHeight="1" x14ac:dyDescent="0.2">
      <c r="A88" s="79" t="s">
        <v>104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7.45" customHeight="1" thickBot="1" x14ac:dyDescent="0.25"/>
    <row r="90" spans="1:12" ht="17.45" customHeight="1" thickTop="1" x14ac:dyDescent="0.2">
      <c r="A90" s="80" t="s">
        <v>0</v>
      </c>
      <c r="B90" s="81">
        <v>1990</v>
      </c>
      <c r="C90" s="81">
        <v>1991</v>
      </c>
      <c r="D90" s="81">
        <v>1992</v>
      </c>
      <c r="E90" s="81">
        <v>1993</v>
      </c>
      <c r="F90" s="81">
        <v>1994</v>
      </c>
      <c r="G90" s="81">
        <v>1995</v>
      </c>
      <c r="H90" s="81">
        <v>1996</v>
      </c>
      <c r="I90" s="81">
        <v>1997</v>
      </c>
      <c r="J90" s="81">
        <v>1998</v>
      </c>
      <c r="K90" s="81">
        <v>1999</v>
      </c>
      <c r="L90" s="82">
        <v>2000</v>
      </c>
    </row>
    <row r="91" spans="1:12" ht="17.45" customHeight="1" thickBot="1" x14ac:dyDescent="0.25">
      <c r="A91" s="83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5"/>
    </row>
    <row r="92" spans="1:12" ht="17.45" customHeight="1" thickTop="1" x14ac:dyDescent="0.2">
      <c r="A92" s="84" t="s">
        <v>1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77"/>
    </row>
    <row r="93" spans="1:12" ht="17.45" customHeight="1" x14ac:dyDescent="0.2">
      <c r="A93" s="84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77"/>
    </row>
    <row r="94" spans="1:12" ht="17.45" customHeight="1" x14ac:dyDescent="0.2">
      <c r="A94" s="84" t="s">
        <v>2</v>
      </c>
      <c r="B94" s="85">
        <v>8544100</v>
      </c>
      <c r="C94" s="85">
        <f t="shared" ref="C94:L94" si="20">+B100</f>
        <v>8532878.8000000007</v>
      </c>
      <c r="D94" s="85">
        <f t="shared" si="20"/>
        <v>8519248.6000000015</v>
      </c>
      <c r="E94" s="85">
        <f t="shared" si="20"/>
        <v>8485914.4000000022</v>
      </c>
      <c r="F94" s="85">
        <f t="shared" si="20"/>
        <v>8442976.200000003</v>
      </c>
      <c r="G94" s="85">
        <f t="shared" si="20"/>
        <v>8408592.8600000031</v>
      </c>
      <c r="H94" s="85">
        <f t="shared" si="20"/>
        <v>8372034.6600000039</v>
      </c>
      <c r="I94" s="85">
        <f t="shared" si="20"/>
        <v>8339545.5600000024</v>
      </c>
      <c r="J94" s="85">
        <f t="shared" si="20"/>
        <v>8261234.1100000022</v>
      </c>
      <c r="K94" s="85">
        <f t="shared" si="20"/>
        <v>8178041.3000000026</v>
      </c>
      <c r="L94" s="86">
        <f t="shared" si="20"/>
        <v>8080178.9151982032</v>
      </c>
    </row>
    <row r="95" spans="1:12" ht="17.45" customHeight="1" x14ac:dyDescent="0.2">
      <c r="A95" s="84" t="s">
        <v>3</v>
      </c>
      <c r="B95" s="85">
        <v>30900</v>
      </c>
      <c r="C95" s="85">
        <v>30861</v>
      </c>
      <c r="D95" s="85">
        <v>30814</v>
      </c>
      <c r="E95" s="85">
        <v>30694</v>
      </c>
      <c r="F95" s="85">
        <v>30542</v>
      </c>
      <c r="G95" s="85">
        <v>30419</v>
      </c>
      <c r="H95" s="85">
        <v>32997.620000000003</v>
      </c>
      <c r="I95" s="85">
        <v>31893.09</v>
      </c>
      <c r="J95" s="85">
        <v>31366.37</v>
      </c>
      <c r="K95" s="85">
        <v>33107.012000000002</v>
      </c>
      <c r="L95" s="86">
        <v>32292.79</v>
      </c>
    </row>
    <row r="96" spans="1:12" ht="17.45" customHeight="1" x14ac:dyDescent="0.2">
      <c r="A96" s="84" t="s">
        <v>4</v>
      </c>
      <c r="B96" s="85">
        <v>619.79999999999995</v>
      </c>
      <c r="C96" s="85">
        <v>931.8</v>
      </c>
      <c r="D96" s="85">
        <v>949.8</v>
      </c>
      <c r="E96" s="85">
        <v>1456.8</v>
      </c>
      <c r="F96" s="85">
        <v>1239.6600000000001</v>
      </c>
      <c r="G96" s="85">
        <v>1543.8</v>
      </c>
      <c r="H96" s="85">
        <v>2552.9499999999998</v>
      </c>
      <c r="I96" s="85">
        <v>2137.73</v>
      </c>
      <c r="J96" s="85">
        <v>1576.88</v>
      </c>
      <c r="K96" s="85">
        <v>1279.5337500000001</v>
      </c>
      <c r="L96" s="86">
        <v>1297.4456250000001</v>
      </c>
    </row>
    <row r="97" spans="1:12" ht="17.45" customHeight="1" x14ac:dyDescent="0.2">
      <c r="A97" s="84" t="s">
        <v>13</v>
      </c>
      <c r="B97" s="85">
        <v>15455</v>
      </c>
      <c r="C97" s="85">
        <v>18612</v>
      </c>
      <c r="D97" s="85">
        <v>37724</v>
      </c>
      <c r="E97" s="85">
        <v>47160</v>
      </c>
      <c r="F97" s="85">
        <v>38175</v>
      </c>
      <c r="G97" s="85">
        <v>40691</v>
      </c>
      <c r="H97" s="85">
        <v>39765.83</v>
      </c>
      <c r="I97" s="85">
        <v>79973.899999999994</v>
      </c>
      <c r="J97" s="85">
        <v>92320.84</v>
      </c>
      <c r="K97" s="85">
        <v>108270.5358</v>
      </c>
      <c r="L97" s="86">
        <v>99420.403200000001</v>
      </c>
    </row>
    <row r="98" spans="1:12" ht="17.45" customHeight="1" x14ac:dyDescent="0.2">
      <c r="A98" s="84" t="s">
        <v>5</v>
      </c>
      <c r="B98" s="85">
        <v>27286</v>
      </c>
      <c r="C98" s="85">
        <v>26811</v>
      </c>
      <c r="D98" s="85">
        <v>27374</v>
      </c>
      <c r="E98" s="85">
        <v>27929</v>
      </c>
      <c r="F98" s="85">
        <v>27990</v>
      </c>
      <c r="G98" s="85">
        <v>27830</v>
      </c>
      <c r="H98" s="85">
        <v>28273.84</v>
      </c>
      <c r="I98" s="85">
        <v>32368.37</v>
      </c>
      <c r="J98" s="85">
        <v>23815.22</v>
      </c>
      <c r="K98" s="85">
        <v>23978.394751799999</v>
      </c>
      <c r="L98" s="86">
        <v>24659.381162751117</v>
      </c>
    </row>
    <row r="99" spans="1:12" ht="17.45" customHeight="1" x14ac:dyDescent="0.2">
      <c r="A99" s="84" t="s">
        <v>99</v>
      </c>
      <c r="B99" s="85">
        <f>+B100-B94</f>
        <v>-11221.199999999255</v>
      </c>
      <c r="C99" s="85">
        <f t="shared" ref="C99:L99" si="21">+C100-C94</f>
        <v>-13630.199999999255</v>
      </c>
      <c r="D99" s="85">
        <f t="shared" si="21"/>
        <v>-33334.199999999255</v>
      </c>
      <c r="E99" s="85">
        <f t="shared" si="21"/>
        <v>-42938.199999999255</v>
      </c>
      <c r="F99" s="85">
        <f t="shared" si="21"/>
        <v>-34383.339999999851</v>
      </c>
      <c r="G99" s="85">
        <f t="shared" si="21"/>
        <v>-36558.199999999255</v>
      </c>
      <c r="H99" s="85">
        <f t="shared" si="21"/>
        <v>-32489.10000000149</v>
      </c>
      <c r="I99" s="85">
        <f t="shared" si="21"/>
        <v>-78311.450000000186</v>
      </c>
      <c r="J99" s="85">
        <f t="shared" si="21"/>
        <v>-83192.80999999959</v>
      </c>
      <c r="K99" s="85">
        <f t="shared" si="21"/>
        <v>-97862.384801799431</v>
      </c>
      <c r="L99" s="86">
        <f t="shared" si="21"/>
        <v>-90489.54873775132</v>
      </c>
    </row>
    <row r="100" spans="1:12" ht="17.45" customHeight="1" x14ac:dyDescent="0.2">
      <c r="A100" s="84" t="s">
        <v>10</v>
      </c>
      <c r="B100" s="85">
        <f t="shared" ref="B100:L100" si="22">+B94+B95+B96-B97-B98</f>
        <v>8532878.8000000007</v>
      </c>
      <c r="C100" s="85">
        <f t="shared" si="22"/>
        <v>8519248.6000000015</v>
      </c>
      <c r="D100" s="85">
        <f t="shared" si="22"/>
        <v>8485914.4000000022</v>
      </c>
      <c r="E100" s="85">
        <f t="shared" si="22"/>
        <v>8442976.200000003</v>
      </c>
      <c r="F100" s="85">
        <f t="shared" si="22"/>
        <v>8408592.8600000031</v>
      </c>
      <c r="G100" s="85">
        <f t="shared" si="22"/>
        <v>8372034.6600000039</v>
      </c>
      <c r="H100" s="85">
        <f t="shared" si="22"/>
        <v>8339545.5600000024</v>
      </c>
      <c r="I100" s="85">
        <f t="shared" si="22"/>
        <v>8261234.1100000022</v>
      </c>
      <c r="J100" s="85">
        <f t="shared" si="22"/>
        <v>8178041.3000000026</v>
      </c>
      <c r="K100" s="85">
        <f t="shared" si="22"/>
        <v>8080178.9151982032</v>
      </c>
      <c r="L100" s="86">
        <f t="shared" si="22"/>
        <v>7989689.3664604519</v>
      </c>
    </row>
    <row r="101" spans="1:12" ht="17.45" customHeight="1" x14ac:dyDescent="0.2">
      <c r="A101" s="84"/>
      <c r="B101" s="78"/>
      <c r="C101" s="85"/>
      <c r="D101" s="85"/>
      <c r="E101" s="85"/>
      <c r="F101" s="85"/>
      <c r="G101" s="85"/>
      <c r="H101" s="85"/>
      <c r="I101" s="85"/>
      <c r="J101" s="85"/>
      <c r="K101" s="85"/>
      <c r="L101" s="86"/>
    </row>
    <row r="102" spans="1:12" ht="17.45" customHeight="1" x14ac:dyDescent="0.2">
      <c r="A102" s="84" t="s">
        <v>6</v>
      </c>
      <c r="B102" s="85"/>
      <c r="C102" s="85"/>
      <c r="D102" s="85"/>
      <c r="E102" s="85">
        <v>13563</v>
      </c>
      <c r="F102" s="85"/>
      <c r="G102" s="85"/>
      <c r="H102" s="85"/>
      <c r="I102" s="85"/>
      <c r="J102" s="85"/>
      <c r="K102" s="85"/>
      <c r="L102" s="86"/>
    </row>
    <row r="103" spans="1:12" ht="17.45" customHeight="1" x14ac:dyDescent="0.2">
      <c r="A103" s="84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6"/>
    </row>
    <row r="104" spans="1:12" ht="17.45" customHeight="1" x14ac:dyDescent="0.2">
      <c r="A104" s="84" t="s">
        <v>7</v>
      </c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6"/>
    </row>
    <row r="105" spans="1:12" ht="17.45" customHeight="1" x14ac:dyDescent="0.2">
      <c r="A105" s="84" t="s">
        <v>8</v>
      </c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6"/>
    </row>
    <row r="106" spans="1:12" ht="17.45" customHeight="1" x14ac:dyDescent="0.2">
      <c r="A106" s="84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6"/>
    </row>
    <row r="107" spans="1:12" ht="17.45" customHeight="1" x14ac:dyDescent="0.2">
      <c r="A107" s="84" t="s">
        <v>2</v>
      </c>
      <c r="B107" s="85">
        <f>+B94*$E$102/1000000</f>
        <v>115883.6283</v>
      </c>
      <c r="C107" s="85">
        <f>+B114</f>
        <v>115731.43516440001</v>
      </c>
      <c r="D107" s="85">
        <f t="shared" ref="D107:L107" si="23">+C114</f>
        <v>115546.56876180002</v>
      </c>
      <c r="E107" s="85">
        <f t="shared" si="23"/>
        <v>115094.45700720002</v>
      </c>
      <c r="F107" s="85">
        <f t="shared" si="23"/>
        <v>114512.08620060004</v>
      </c>
      <c r="G107" s="85">
        <f t="shared" si="23"/>
        <v>114045.74496018003</v>
      </c>
      <c r="H107" s="85">
        <f t="shared" si="23"/>
        <v>113549.90609358005</v>
      </c>
      <c r="I107" s="85">
        <f t="shared" si="23"/>
        <v>113109.25643028003</v>
      </c>
      <c r="J107" s="85">
        <f t="shared" si="23"/>
        <v>112047.11823393003</v>
      </c>
      <c r="K107" s="85">
        <f t="shared" si="23"/>
        <v>110918.77415190004</v>
      </c>
      <c r="L107" s="86">
        <f t="shared" si="23"/>
        <v>109591.46662683324</v>
      </c>
    </row>
    <row r="108" spans="1:12" ht="17.45" customHeight="1" x14ac:dyDescent="0.2">
      <c r="A108" s="84" t="s">
        <v>3</v>
      </c>
      <c r="B108" s="85">
        <f t="shared" ref="B108:C112" si="24">+B95*$E$102/1000000</f>
        <v>419.0967</v>
      </c>
      <c r="C108" s="85">
        <f t="shared" si="24"/>
        <v>418.56774300000001</v>
      </c>
      <c r="D108" s="85">
        <f t="shared" ref="D108:L108" si="25">+D95*$E$102/1000000</f>
        <v>417.93028199999998</v>
      </c>
      <c r="E108" s="85">
        <f t="shared" si="25"/>
        <v>416.30272200000002</v>
      </c>
      <c r="F108" s="85">
        <f t="shared" si="25"/>
        <v>414.24114600000001</v>
      </c>
      <c r="G108" s="85">
        <f t="shared" si="25"/>
        <v>412.57289700000001</v>
      </c>
      <c r="H108" s="85">
        <f t="shared" si="25"/>
        <v>447.54672006000004</v>
      </c>
      <c r="I108" s="85">
        <f t="shared" si="25"/>
        <v>432.56597966999999</v>
      </c>
      <c r="J108" s="85">
        <f t="shared" si="25"/>
        <v>425.42207631000002</v>
      </c>
      <c r="K108" s="85">
        <f t="shared" si="25"/>
        <v>449.03040375600006</v>
      </c>
      <c r="L108" s="86">
        <f t="shared" si="25"/>
        <v>437.98711077000002</v>
      </c>
    </row>
    <row r="109" spans="1:12" ht="17.45" customHeight="1" x14ac:dyDescent="0.2">
      <c r="A109" s="84" t="s">
        <v>4</v>
      </c>
      <c r="B109" s="85">
        <f t="shared" si="24"/>
        <v>8.4063473999999978</v>
      </c>
      <c r="C109" s="85">
        <f t="shared" si="24"/>
        <v>12.638003399999999</v>
      </c>
      <c r="D109" s="85">
        <f t="shared" ref="D109:L109" si="26">+D96*$E$102/1000000</f>
        <v>12.882137399999998</v>
      </c>
      <c r="E109" s="85">
        <f t="shared" si="26"/>
        <v>19.758578399999998</v>
      </c>
      <c r="F109" s="85">
        <f t="shared" si="26"/>
        <v>16.813508580000001</v>
      </c>
      <c r="G109" s="85">
        <f t="shared" si="26"/>
        <v>20.938559399999999</v>
      </c>
      <c r="H109" s="85">
        <f t="shared" si="26"/>
        <v>34.625660849999996</v>
      </c>
      <c r="I109" s="85">
        <f t="shared" si="26"/>
        <v>28.994031990000003</v>
      </c>
      <c r="J109" s="85">
        <f t="shared" si="26"/>
        <v>21.38722344</v>
      </c>
      <c r="K109" s="85">
        <f t="shared" si="26"/>
        <v>17.354316251250001</v>
      </c>
      <c r="L109" s="86">
        <f t="shared" si="26"/>
        <v>17.597255011874999</v>
      </c>
    </row>
    <row r="110" spans="1:12" ht="17.45" customHeight="1" x14ac:dyDescent="0.2">
      <c r="A110" s="84" t="s">
        <v>13</v>
      </c>
      <c r="B110" s="85">
        <f t="shared" si="24"/>
        <v>209.616165</v>
      </c>
      <c r="C110" s="85">
        <f t="shared" si="24"/>
        <v>252.43455599999999</v>
      </c>
      <c r="D110" s="85">
        <f t="shared" ref="D110:L110" si="27">+D97*$E$102/1000000</f>
        <v>511.65061200000002</v>
      </c>
      <c r="E110" s="85">
        <f t="shared" si="27"/>
        <v>639.63108</v>
      </c>
      <c r="F110" s="85">
        <f t="shared" si="27"/>
        <v>517.76752499999998</v>
      </c>
      <c r="G110" s="85">
        <f t="shared" si="27"/>
        <v>551.89203299999997</v>
      </c>
      <c r="H110" s="85">
        <f t="shared" si="27"/>
        <v>539.34395229000006</v>
      </c>
      <c r="I110" s="85">
        <f t="shared" si="27"/>
        <v>1084.6860056999999</v>
      </c>
      <c r="J110" s="85">
        <f t="shared" si="27"/>
        <v>1252.1475529199997</v>
      </c>
      <c r="K110" s="85">
        <f t="shared" si="27"/>
        <v>1468.4732770553999</v>
      </c>
      <c r="L110" s="86">
        <f t="shared" si="27"/>
        <v>1348.4389286015999</v>
      </c>
    </row>
    <row r="111" spans="1:12" ht="17.45" customHeight="1" x14ac:dyDescent="0.2">
      <c r="A111" s="84" t="s">
        <v>5</v>
      </c>
      <c r="B111" s="85">
        <f t="shared" si="24"/>
        <v>370.080018</v>
      </c>
      <c r="C111" s="85">
        <f t="shared" si="24"/>
        <v>363.63759299999998</v>
      </c>
      <c r="D111" s="85">
        <f t="shared" ref="D111:L111" si="28">+D98*$E$102/1000000</f>
        <v>371.27356200000003</v>
      </c>
      <c r="E111" s="85">
        <f t="shared" si="28"/>
        <v>378.80102699999998</v>
      </c>
      <c r="F111" s="85">
        <f t="shared" si="28"/>
        <v>379.62837000000002</v>
      </c>
      <c r="G111" s="85">
        <f t="shared" si="28"/>
        <v>377.45828999999998</v>
      </c>
      <c r="H111" s="85">
        <f t="shared" si="28"/>
        <v>383.47809192</v>
      </c>
      <c r="I111" s="85">
        <f t="shared" si="28"/>
        <v>439.01220231000002</v>
      </c>
      <c r="J111" s="85">
        <f t="shared" si="28"/>
        <v>323.00582886000001</v>
      </c>
      <c r="K111" s="85">
        <f t="shared" si="28"/>
        <v>325.21896801866342</v>
      </c>
      <c r="L111" s="86">
        <f t="shared" si="28"/>
        <v>334.45518671039338</v>
      </c>
    </row>
    <row r="112" spans="1:12" ht="17.45" customHeight="1" x14ac:dyDescent="0.2">
      <c r="A112" s="84" t="s">
        <v>99</v>
      </c>
      <c r="B112" s="85">
        <f t="shared" si="24"/>
        <v>-152.19313559998989</v>
      </c>
      <c r="C112" s="85">
        <f t="shared" si="24"/>
        <v>-184.8664025999899</v>
      </c>
      <c r="D112" s="85">
        <f t="shared" ref="D112:L112" si="29">+D99*$E$102/1000000</f>
        <v>-452.11175459998987</v>
      </c>
      <c r="E112" s="85">
        <f t="shared" si="29"/>
        <v>-582.37080659998992</v>
      </c>
      <c r="F112" s="85">
        <f t="shared" si="29"/>
        <v>-466.34124041999797</v>
      </c>
      <c r="G112" s="85">
        <f t="shared" si="29"/>
        <v>-495.8388665999899</v>
      </c>
      <c r="H112" s="85">
        <f t="shared" si="29"/>
        <v>-440.64966330002022</v>
      </c>
      <c r="I112" s="85">
        <f t="shared" si="29"/>
        <v>-1062.1381963500025</v>
      </c>
      <c r="J112" s="85">
        <f t="shared" si="29"/>
        <v>-1128.3440820299945</v>
      </c>
      <c r="K112" s="85">
        <f t="shared" si="29"/>
        <v>-1327.3075250668055</v>
      </c>
      <c r="L112" s="86">
        <f t="shared" si="29"/>
        <v>-1227.3097495301211</v>
      </c>
    </row>
    <row r="113" spans="1:12" ht="17.45" customHeight="1" x14ac:dyDescent="0.2">
      <c r="A113" s="84" t="s">
        <v>100</v>
      </c>
      <c r="B113" s="85">
        <v>0</v>
      </c>
      <c r="C113" s="85">
        <v>0</v>
      </c>
      <c r="D113" s="85">
        <v>0</v>
      </c>
      <c r="E113" s="85">
        <v>0</v>
      </c>
      <c r="F113" s="85">
        <v>0</v>
      </c>
      <c r="G113" s="85">
        <v>0</v>
      </c>
      <c r="H113" s="85">
        <v>0</v>
      </c>
      <c r="I113" s="85">
        <v>0</v>
      </c>
      <c r="J113" s="85">
        <v>0</v>
      </c>
      <c r="K113" s="85">
        <v>0</v>
      </c>
      <c r="L113" s="86">
        <v>0</v>
      </c>
    </row>
    <row r="114" spans="1:12" ht="17.45" customHeight="1" x14ac:dyDescent="0.2">
      <c r="A114" s="84" t="s">
        <v>101</v>
      </c>
      <c r="B114" s="85">
        <f>+B100*$E$102/1000000</f>
        <v>115731.43516440001</v>
      </c>
      <c r="C114" s="85">
        <f>+C100*$E$102/1000000</f>
        <v>115546.56876180002</v>
      </c>
      <c r="D114" s="85">
        <f t="shared" ref="D114:L114" si="30">+D100*$E$102/1000000</f>
        <v>115094.45700720002</v>
      </c>
      <c r="E114" s="85">
        <f t="shared" si="30"/>
        <v>114512.08620060004</v>
      </c>
      <c r="F114" s="85">
        <f t="shared" si="30"/>
        <v>114045.74496018003</v>
      </c>
      <c r="G114" s="85">
        <f t="shared" si="30"/>
        <v>113549.90609358005</v>
      </c>
      <c r="H114" s="85">
        <f t="shared" si="30"/>
        <v>113109.25643028003</v>
      </c>
      <c r="I114" s="85">
        <f t="shared" si="30"/>
        <v>112047.11823393003</v>
      </c>
      <c r="J114" s="85">
        <f t="shared" si="30"/>
        <v>110918.77415190004</v>
      </c>
      <c r="K114" s="85">
        <f t="shared" si="30"/>
        <v>109591.46662683324</v>
      </c>
      <c r="L114" s="86">
        <f t="shared" si="30"/>
        <v>108364.15687730312</v>
      </c>
    </row>
    <row r="115" spans="1:12" ht="17.45" customHeight="1" thickBot="1" x14ac:dyDescent="0.25">
      <c r="A115" s="83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5"/>
    </row>
    <row r="116" spans="1:12" ht="17.45" customHeight="1" thickTop="1" x14ac:dyDescent="0.2"/>
    <row r="117" spans="1:12" ht="17.45" customHeight="1" x14ac:dyDescent="0.2">
      <c r="B117" s="2">
        <f>+B100*$E$102/1000000</f>
        <v>115731.43516440001</v>
      </c>
      <c r="C117" s="2">
        <f>+C100*$E$102/1000000</f>
        <v>115546.56876180002</v>
      </c>
      <c r="D117" s="2">
        <f>+D100*$E$102/1000000</f>
        <v>115094.45700720002</v>
      </c>
      <c r="E117" s="2">
        <f t="shared" ref="E117:L117" si="31">+E100*$E$102/1000000</f>
        <v>114512.08620060004</v>
      </c>
      <c r="F117" s="2">
        <f t="shared" si="31"/>
        <v>114045.74496018003</v>
      </c>
      <c r="G117" s="2">
        <f t="shared" si="31"/>
        <v>113549.90609358005</v>
      </c>
      <c r="H117" s="2">
        <f t="shared" si="31"/>
        <v>113109.25643028003</v>
      </c>
      <c r="I117" s="2">
        <f t="shared" si="31"/>
        <v>112047.11823393003</v>
      </c>
      <c r="J117" s="2">
        <f t="shared" si="31"/>
        <v>110918.77415190004</v>
      </c>
      <c r="K117" s="2">
        <f t="shared" si="31"/>
        <v>109591.46662683324</v>
      </c>
      <c r="L117" s="2">
        <f t="shared" si="31"/>
        <v>108364.15687730312</v>
      </c>
    </row>
    <row r="119" spans="1:12" x14ac:dyDescent="0.2">
      <c r="C119" s="78">
        <f>+SUM(C107:C109)-SUM(C110:C111)</f>
        <v>115546.56876180002</v>
      </c>
    </row>
  </sheetData>
  <mergeCells count="17">
    <mergeCell ref="F5:F6"/>
    <mergeCell ref="A2:O2"/>
    <mergeCell ref="A3:O3"/>
    <mergeCell ref="N5:N6"/>
    <mergeCell ref="I5:I6"/>
    <mergeCell ref="J5:J6"/>
    <mergeCell ref="K5:K6"/>
    <mergeCell ref="L5:L6"/>
    <mergeCell ref="O5:O6"/>
    <mergeCell ref="A5:A6"/>
    <mergeCell ref="B5:B6"/>
    <mergeCell ref="G5:G6"/>
    <mergeCell ref="H5:H6"/>
    <mergeCell ref="M5:M6"/>
    <mergeCell ref="C5:C6"/>
    <mergeCell ref="D5:D6"/>
    <mergeCell ref="E5:E6"/>
  </mergeCells>
  <phoneticPr fontId="0" type="noConversion"/>
  <printOptions horizontalCentered="1"/>
  <pageMargins left="0.75" right="0.75" top="0.75" bottom="0.75" header="0.511811023622047" footer="0.511811023622047"/>
  <pageSetup scale="92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17"/>
  <sheetViews>
    <sheetView workbookViewId="0">
      <pane xSplit="13" ySplit="4" topLeftCell="N5" activePane="bottomRight" state="frozen"/>
      <selection activeCell="C9" sqref="C9"/>
      <selection pane="topRight" activeCell="C9" sqref="C9"/>
      <selection pane="bottomLeft" activeCell="C9" sqref="C9"/>
      <selection pane="bottomRight" activeCell="C9" sqref="C9"/>
    </sheetView>
  </sheetViews>
  <sheetFormatPr defaultColWidth="9.33203125" defaultRowHeight="13.5" x14ac:dyDescent="0.2"/>
  <cols>
    <col min="1" max="1" width="26" style="2" customWidth="1"/>
    <col min="2" max="5" width="0" style="2" hidden="1" customWidth="1"/>
    <col min="6" max="13" width="12.83203125" style="2" hidden="1" customWidth="1"/>
    <col min="14" max="18" width="12.83203125" style="2" customWidth="1"/>
    <col min="19" max="20" width="14.5" style="2" customWidth="1"/>
    <col min="21" max="22" width="12.83203125" style="2" customWidth="1"/>
    <col min="23" max="23" width="9.6640625" style="2" bestFit="1" customWidth="1"/>
    <col min="24" max="24" width="9.5" style="2" bestFit="1" customWidth="1"/>
    <col min="25" max="16384" width="9.33203125" style="2"/>
  </cols>
  <sheetData>
    <row r="2" spans="1:23" ht="15" x14ac:dyDescent="0.2">
      <c r="A2" s="11" t="s">
        <v>181</v>
      </c>
      <c r="B2" s="12"/>
      <c r="C2" s="12"/>
      <c r="D2" s="12"/>
      <c r="E2" s="12"/>
      <c r="F2" s="12"/>
      <c r="G2" s="13"/>
      <c r="H2" s="12"/>
      <c r="I2" s="12"/>
      <c r="J2" s="12"/>
      <c r="K2" s="12"/>
    </row>
    <row r="3" spans="1:23" ht="14.25" thickBot="1" x14ac:dyDescent="0.25">
      <c r="A3" s="11"/>
      <c r="B3" s="12"/>
      <c r="C3" s="12"/>
      <c r="D3" s="12"/>
      <c r="E3" s="12"/>
      <c r="F3" s="12"/>
      <c r="G3" s="13"/>
      <c r="H3" s="12"/>
      <c r="I3" s="12"/>
      <c r="J3" s="12"/>
      <c r="K3" s="12"/>
    </row>
    <row r="4" spans="1:23" ht="16.5" thickTop="1" thickBot="1" x14ac:dyDescent="0.25">
      <c r="A4" s="14" t="s">
        <v>14</v>
      </c>
      <c r="B4" s="15" t="s">
        <v>15</v>
      </c>
      <c r="C4" s="15" t="s">
        <v>16</v>
      </c>
      <c r="D4" s="15" t="s">
        <v>17</v>
      </c>
      <c r="E4" s="15" t="s">
        <v>18</v>
      </c>
      <c r="F4" s="15" t="s">
        <v>19</v>
      </c>
      <c r="G4" s="15" t="s">
        <v>20</v>
      </c>
      <c r="H4" s="15">
        <v>1996</v>
      </c>
      <c r="I4" s="15">
        <v>1997</v>
      </c>
      <c r="J4" s="16">
        <v>1998</v>
      </c>
      <c r="K4" s="16">
        <v>1999</v>
      </c>
      <c r="L4" s="17">
        <v>2000</v>
      </c>
      <c r="M4" s="16">
        <v>2001</v>
      </c>
      <c r="N4" s="16">
        <v>2002</v>
      </c>
      <c r="O4" s="17">
        <v>2003</v>
      </c>
      <c r="P4" s="16">
        <v>2004</v>
      </c>
      <c r="Q4" s="16">
        <v>2005</v>
      </c>
      <c r="R4" s="16">
        <v>2006</v>
      </c>
      <c r="S4" s="17">
        <v>2007</v>
      </c>
      <c r="T4" s="143">
        <v>2008</v>
      </c>
      <c r="U4" s="112"/>
      <c r="V4" s="112"/>
    </row>
    <row r="5" spans="1:23" ht="17.45" customHeight="1" thickTop="1" x14ac:dyDescent="0.2">
      <c r="A5" s="18" t="s">
        <v>21</v>
      </c>
      <c r="B5" s="19">
        <v>233700</v>
      </c>
      <c r="C5" s="19">
        <v>239491</v>
      </c>
      <c r="D5" s="19">
        <v>249003</v>
      </c>
      <c r="E5" s="19">
        <v>338556</v>
      </c>
      <c r="F5" s="19">
        <v>414264</v>
      </c>
      <c r="G5" s="19">
        <v>442089</v>
      </c>
      <c r="H5" s="19">
        <f>+H6+H7</f>
        <v>504434</v>
      </c>
      <c r="I5" s="19">
        <f>+I6+I7</f>
        <v>638678</v>
      </c>
      <c r="J5" s="19">
        <f>+J6+J7</f>
        <v>843840</v>
      </c>
      <c r="K5" s="19">
        <f>+K6+K7</f>
        <v>1028020</v>
      </c>
      <c r="L5" s="20">
        <f>+L6+L7</f>
        <v>1152029</v>
      </c>
      <c r="M5" s="144">
        <f>+M6</f>
        <v>1175822</v>
      </c>
      <c r="N5" s="144">
        <v>1206716</v>
      </c>
      <c r="O5" s="145">
        <f>+O6</f>
        <v>1162926</v>
      </c>
      <c r="P5" s="144">
        <f>+P6</f>
        <v>1297822</v>
      </c>
      <c r="Q5" s="144">
        <f>+Q6</f>
        <v>1200677</v>
      </c>
      <c r="R5" s="144">
        <f>+R6</f>
        <v>1187721</v>
      </c>
      <c r="S5" s="145">
        <f>+S6</f>
        <v>1623750.5747219999</v>
      </c>
      <c r="T5" s="142"/>
      <c r="U5" s="113"/>
      <c r="V5" s="113"/>
    </row>
    <row r="6" spans="1:23" ht="17.45" customHeight="1" x14ac:dyDescent="0.2">
      <c r="A6" s="21" t="s">
        <v>22</v>
      </c>
      <c r="B6" s="5">
        <v>231266</v>
      </c>
      <c r="C6" s="5">
        <v>228000</v>
      </c>
      <c r="D6" s="5">
        <v>256469</v>
      </c>
      <c r="E6" s="5">
        <v>333227</v>
      </c>
      <c r="F6" s="5">
        <v>404911</v>
      </c>
      <c r="G6" s="5">
        <v>442089</v>
      </c>
      <c r="H6" s="5">
        <v>504434</v>
      </c>
      <c r="I6" s="5">
        <v>638678</v>
      </c>
      <c r="J6" s="5">
        <v>843840</v>
      </c>
      <c r="K6" s="5">
        <v>1028020</v>
      </c>
      <c r="L6" s="22">
        <v>1152029</v>
      </c>
      <c r="M6" s="7">
        <v>1175822</v>
      </c>
      <c r="N6" s="7">
        <v>1206716</v>
      </c>
      <c r="O6" s="38">
        <v>1162926</v>
      </c>
      <c r="P6" s="7">
        <v>1297822</v>
      </c>
      <c r="Q6" s="7">
        <v>1200677</v>
      </c>
      <c r="R6" s="7">
        <v>1187721</v>
      </c>
      <c r="S6" s="38">
        <v>1623750.5747219999</v>
      </c>
      <c r="T6" s="128"/>
      <c r="U6" s="113"/>
      <c r="V6" s="113"/>
    </row>
    <row r="7" spans="1:23" ht="17.45" customHeight="1" x14ac:dyDescent="0.2">
      <c r="A7" s="23" t="s">
        <v>23</v>
      </c>
      <c r="B7" s="5">
        <v>2434</v>
      </c>
      <c r="C7" s="5">
        <v>11491</v>
      </c>
      <c r="D7" s="5">
        <v>-7466</v>
      </c>
      <c r="E7" s="5">
        <v>5329</v>
      </c>
      <c r="F7" s="5">
        <v>9353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22">
        <v>0</v>
      </c>
      <c r="M7" s="7">
        <v>0</v>
      </c>
      <c r="N7" s="7">
        <v>0</v>
      </c>
      <c r="O7" s="38">
        <v>0</v>
      </c>
      <c r="P7" s="7">
        <v>0</v>
      </c>
      <c r="Q7" s="7">
        <v>0</v>
      </c>
      <c r="R7" s="7">
        <v>0</v>
      </c>
      <c r="S7" s="38">
        <v>0</v>
      </c>
      <c r="T7" s="128"/>
      <c r="U7" s="113"/>
      <c r="V7" s="113"/>
    </row>
    <row r="8" spans="1:23" ht="17.45" customHeight="1" x14ac:dyDescent="0.2">
      <c r="A8" s="24" t="s">
        <v>118</v>
      </c>
      <c r="B8" s="5"/>
      <c r="C8" s="5"/>
      <c r="D8" s="5"/>
      <c r="E8" s="5"/>
      <c r="F8" s="5">
        <f>+F6/F25</f>
        <v>236.59635386233492</v>
      </c>
      <c r="G8" s="5">
        <f t="shared" ref="G8:L8" si="0">+G6/G25</f>
        <v>240.67123958843703</v>
      </c>
      <c r="H8" s="5">
        <f t="shared" si="0"/>
        <v>277.29409113147494</v>
      </c>
      <c r="I8" s="5">
        <f t="shared" si="0"/>
        <v>343.03168385643841</v>
      </c>
      <c r="J8" s="5">
        <f t="shared" si="0"/>
        <v>491.31105362535783</v>
      </c>
      <c r="K8" s="5">
        <f t="shared" si="0"/>
        <v>583.5661213532793</v>
      </c>
      <c r="L8" s="22">
        <f t="shared" si="0"/>
        <v>717.85290118679529</v>
      </c>
      <c r="M8" s="5">
        <f t="shared" ref="M8:S8" si="1">+M6/M25</f>
        <v>807.82527446858217</v>
      </c>
      <c r="N8" s="5">
        <f t="shared" si="1"/>
        <v>812.6630170160638</v>
      </c>
      <c r="O8" s="22">
        <f t="shared" si="1"/>
        <v>1189.6989859805053</v>
      </c>
      <c r="P8" s="5">
        <f t="shared" si="1"/>
        <v>1405.1304038084472</v>
      </c>
      <c r="Q8" s="5">
        <f t="shared" si="1"/>
        <v>1590.6419655608224</v>
      </c>
      <c r="R8" s="5">
        <f t="shared" si="1"/>
        <v>1356.460633414915</v>
      </c>
      <c r="S8" s="22">
        <f t="shared" si="1"/>
        <v>1193.3673966057299</v>
      </c>
      <c r="T8" s="117"/>
      <c r="U8" s="52"/>
      <c r="V8" s="52"/>
    </row>
    <row r="9" spans="1:23" ht="17.45" customHeight="1" x14ac:dyDescent="0.2">
      <c r="A9" s="23" t="s">
        <v>24</v>
      </c>
      <c r="B9" s="5">
        <v>147858</v>
      </c>
      <c r="C9" s="5">
        <v>180433</v>
      </c>
      <c r="D9" s="5">
        <v>198546</v>
      </c>
      <c r="E9" s="5">
        <v>229646</v>
      </c>
      <c r="F9" s="5">
        <v>253511</v>
      </c>
      <c r="G9" s="5">
        <v>277128</v>
      </c>
      <c r="H9" s="5">
        <f t="shared" ref="H9:O9" si="2">SUM(H10:H14)</f>
        <v>340023.85217563563</v>
      </c>
      <c r="I9" s="5">
        <f t="shared" si="2"/>
        <v>368750.15194629843</v>
      </c>
      <c r="J9" s="5">
        <f t="shared" si="2"/>
        <v>531367.28972310107</v>
      </c>
      <c r="K9" s="5">
        <f t="shared" si="2"/>
        <v>674106.48144157801</v>
      </c>
      <c r="L9" s="22">
        <f t="shared" si="2"/>
        <v>832456.52644840092</v>
      </c>
      <c r="M9" s="5">
        <f t="shared" si="2"/>
        <v>789223.03649390815</v>
      </c>
      <c r="N9" s="5">
        <f t="shared" si="2"/>
        <v>875895.53420730843</v>
      </c>
      <c r="O9" s="22">
        <f t="shared" si="2"/>
        <v>885320.06706386909</v>
      </c>
      <c r="P9" s="5">
        <f>SUM(P10:P14)</f>
        <v>932068.21115017368</v>
      </c>
      <c r="Q9" s="5">
        <f>SUM(Q10:Q14)</f>
        <v>911822.95845045242</v>
      </c>
      <c r="R9" s="5">
        <f>SUM(R10:R14)</f>
        <v>759522.28518291609</v>
      </c>
      <c r="S9" s="22">
        <f>SUM(S10:S14)</f>
        <v>1054526.4963696238</v>
      </c>
      <c r="T9" s="117"/>
      <c r="U9" s="52"/>
      <c r="V9" s="52"/>
    </row>
    <row r="10" spans="1:23" ht="17.45" customHeight="1" x14ac:dyDescent="0.2">
      <c r="A10" s="21" t="s">
        <v>25</v>
      </c>
      <c r="B10" s="5">
        <v>68579</v>
      </c>
      <c r="C10" s="5">
        <v>64813</v>
      </c>
      <c r="D10" s="5">
        <v>75399</v>
      </c>
      <c r="E10" s="5">
        <v>77697</v>
      </c>
      <c r="F10" s="5">
        <v>86595</v>
      </c>
      <c r="G10" s="5">
        <v>89796</v>
      </c>
      <c r="H10" s="5">
        <f>+H6/H36*159263.846483</f>
        <v>113640.90821066589</v>
      </c>
      <c r="I10" s="5">
        <f>+I6/I36*191888.356792</f>
        <v>146577.62557178666</v>
      </c>
      <c r="J10" s="5">
        <f>+J6/J36*268812.535273</f>
        <v>165385.34767870314</v>
      </c>
      <c r="K10" s="5">
        <f>+K6/K36*334766.258237</f>
        <v>228149.78015114416</v>
      </c>
      <c r="L10" s="22">
        <f>+L6/L36*429697.720558</f>
        <v>263647.90863302071</v>
      </c>
      <c r="M10" s="7">
        <f>+M6/M36*521522</f>
        <v>327972.8350003396</v>
      </c>
      <c r="N10" s="7">
        <f>+N6/N36*572161</f>
        <v>408491.63728724513</v>
      </c>
      <c r="O10" s="38">
        <f>+O6/O36*520413</f>
        <v>386824.614319371</v>
      </c>
      <c r="P10" s="7">
        <f>+P6/P36*542645</f>
        <v>433029.74038750649</v>
      </c>
      <c r="Q10" s="7">
        <f>+Q6/Q36*506648</f>
        <v>411453.34271421499</v>
      </c>
      <c r="R10" s="7">
        <f>+R6/R36*362257</f>
        <v>255730.9995631428</v>
      </c>
      <c r="S10" s="38">
        <f>+S6/S36*302532</f>
        <v>293992.34244677535</v>
      </c>
      <c r="T10" s="128"/>
      <c r="U10" s="113"/>
      <c r="V10" s="113"/>
    </row>
    <row r="11" spans="1:23" ht="17.45" customHeight="1" x14ac:dyDescent="0.2">
      <c r="A11" s="23" t="s">
        <v>26</v>
      </c>
      <c r="B11" s="5">
        <v>14916</v>
      </c>
      <c r="C11" s="5">
        <v>17647</v>
      </c>
      <c r="D11" s="5">
        <v>17837</v>
      </c>
      <c r="E11" s="5">
        <v>22907</v>
      </c>
      <c r="F11" s="5">
        <v>22298</v>
      </c>
      <c r="G11" s="5">
        <v>27242</v>
      </c>
      <c r="H11" s="5">
        <v>33374</v>
      </c>
      <c r="I11" s="5">
        <v>32863.074074999997</v>
      </c>
      <c r="J11" s="5">
        <v>40286.439324702653</v>
      </c>
      <c r="K11" s="5">
        <f>12296.400719+58584.069702</f>
        <v>70880.470421000005</v>
      </c>
      <c r="L11" s="22">
        <f>14259.87636+63643.232721</f>
        <v>77903.109081000002</v>
      </c>
      <c r="M11" s="7">
        <f>15399.827537+70559.568333</f>
        <v>85959.395870000008</v>
      </c>
      <c r="N11" s="7">
        <f>15888.869395+64243.142088</f>
        <v>80132.011482999995</v>
      </c>
      <c r="O11" s="38">
        <f>12817.265499+59635.04651</f>
        <v>72452.312009000001</v>
      </c>
      <c r="P11" s="7">
        <f>1.0254*O11</f>
        <v>74292.600734028601</v>
      </c>
      <c r="Q11" s="7">
        <f>1.0254*P11</f>
        <v>76179.632792672928</v>
      </c>
      <c r="R11" s="7">
        <f>20707.246976+57400.787475</f>
        <v>78108.034451</v>
      </c>
      <c r="S11" s="38">
        <f>27776+63673</f>
        <v>91449</v>
      </c>
      <c r="T11" s="140"/>
      <c r="U11" s="113"/>
      <c r="V11" s="113"/>
    </row>
    <row r="12" spans="1:23" ht="17.45" customHeight="1" x14ac:dyDescent="0.2">
      <c r="A12" s="23" t="s">
        <v>27</v>
      </c>
      <c r="B12" s="5">
        <v>47673</v>
      </c>
      <c r="C12" s="5">
        <v>79376</v>
      </c>
      <c r="D12" s="5">
        <v>82104</v>
      </c>
      <c r="E12" s="5">
        <v>105905</v>
      </c>
      <c r="F12" s="5">
        <v>118831</v>
      </c>
      <c r="G12" s="5">
        <v>133142</v>
      </c>
      <c r="H12" s="5">
        <v>161479</v>
      </c>
      <c r="I12" s="5">
        <v>160769.89989100001</v>
      </c>
      <c r="J12" s="5">
        <v>297911.52736599999</v>
      </c>
      <c r="K12" s="5">
        <v>336771.9057</v>
      </c>
      <c r="L12" s="22">
        <f>215946.515402+(221361.330446-33929.166824)+(189851.165777-147242.878885)</f>
        <v>445986.96591599996</v>
      </c>
      <c r="M12" s="7">
        <f>119816.634503+(241644.111606-77282.22971)+(184421.306663-141332.875055)</f>
        <v>327266.94800700003</v>
      </c>
      <c r="N12" s="7">
        <f>(175080.715831+(245403.303549-9040.793709)+(226778.206634-174848.444409))*0.7</f>
        <v>324361.09152720001</v>
      </c>
      <c r="O12" s="38">
        <f>138711.76755+(195336.341401-87564.752393)+(229536.836292-175950.547373)+70000</f>
        <v>370069.64547699998</v>
      </c>
      <c r="P12" s="7">
        <f>138711.76755+(195336.341401-87564.752393)+(229536.836292-175950.547373)+70000</f>
        <v>370069.64547699998</v>
      </c>
      <c r="Q12" s="7">
        <f>138711.76755+(195336.341401-87564.752393)+(229536.836292-175950.547373)+70000</f>
        <v>370069.64547699998</v>
      </c>
      <c r="R12" s="7">
        <f>138711.76755+(195336.341401-87564.752393)+(229536.836292-175950.547373)+70000</f>
        <v>370069.64547699998</v>
      </c>
      <c r="S12" s="38">
        <f>280055+254884</f>
        <v>534939</v>
      </c>
      <c r="T12" s="128"/>
      <c r="U12" s="113"/>
      <c r="V12" s="113"/>
    </row>
    <row r="13" spans="1:23" ht="17.45" customHeight="1" x14ac:dyDescent="0.2">
      <c r="A13" s="21" t="s">
        <v>28</v>
      </c>
      <c r="B13" s="5">
        <v>10155</v>
      </c>
      <c r="C13" s="5">
        <v>8283</v>
      </c>
      <c r="D13" s="5">
        <v>7544</v>
      </c>
      <c r="E13" s="5">
        <v>10127</v>
      </c>
      <c r="F13" s="5">
        <v>11675</v>
      </c>
      <c r="G13" s="5">
        <v>10292</v>
      </c>
      <c r="H13" s="5">
        <f>+H6/H36*17641.138183</f>
        <v>12587.633723890789</v>
      </c>
      <c r="I13" s="5">
        <f>+I6/I36*21908.476674</f>
        <v>16735.212831337747</v>
      </c>
      <c r="J13" s="5">
        <f>+J6/J36*28949.771498</f>
        <v>17811.178409344968</v>
      </c>
      <c r="K13" s="5">
        <f>+K6/K36*40750.936687</f>
        <v>27772.563743596133</v>
      </c>
      <c r="L13" s="22">
        <f>+L6/L36*53651.866504</f>
        <v>32918.960751452993</v>
      </c>
      <c r="M13" s="7">
        <f>+M6/M36*62814</f>
        <v>39502.237024921924</v>
      </c>
      <c r="N13" s="7">
        <f>+N6/N36*64955</f>
        <v>46374.314747060715</v>
      </c>
      <c r="O13" s="38">
        <f>+O6/O36*54390</f>
        <v>40428.257504771376</v>
      </c>
      <c r="P13" s="7">
        <f>+P6/P36*47603</f>
        <v>37987.108941695711</v>
      </c>
      <c r="Q13" s="7">
        <f>+Q6/Q36*45728</f>
        <v>37136.115124574899</v>
      </c>
      <c r="R13" s="7">
        <f>+R6/R36*57866</f>
        <v>40849.811102948515</v>
      </c>
      <c r="S13" s="38">
        <f>+S6/S36*117129</f>
        <v>113822.76611547986</v>
      </c>
      <c r="T13" s="128"/>
      <c r="U13" s="113"/>
      <c r="V13" s="113"/>
      <c r="W13" s="2" t="s">
        <v>109</v>
      </c>
    </row>
    <row r="14" spans="1:23" ht="17.45" customHeight="1" x14ac:dyDescent="0.2">
      <c r="A14" s="23" t="s">
        <v>29</v>
      </c>
      <c r="B14" s="5">
        <v>6535</v>
      </c>
      <c r="C14" s="5">
        <v>10314</v>
      </c>
      <c r="D14" s="5">
        <v>15662</v>
      </c>
      <c r="E14" s="5">
        <v>13010</v>
      </c>
      <c r="F14" s="5">
        <v>14112</v>
      </c>
      <c r="G14" s="5">
        <v>16656</v>
      </c>
      <c r="H14" s="5">
        <v>18942.310241078892</v>
      </c>
      <c r="I14" s="5">
        <v>11804.339577173967</v>
      </c>
      <c r="J14" s="5">
        <v>9972.7969443502643</v>
      </c>
      <c r="K14" s="5">
        <f>+K6/K36*(13493.560676+1959.789149)</f>
        <v>10531.76142583774</v>
      </c>
      <c r="L14" s="22">
        <f>+L6/L36*((13493.560676+1959.789149)/(28746.157352+1315.716008+2801.200715)*41590.140659)</f>
        <v>11999.582066927325</v>
      </c>
      <c r="M14" s="7">
        <f>+M6/M36*((13493.560676+1959.789149)/(28746.157352+1315.716008+2801.200715)*28816.58443)</f>
        <v>8521.6205916465151</v>
      </c>
      <c r="N14" s="7">
        <f>+N6/N36*((13493.560676+1959.789149)/(28746.157352+1315.716008+2801.200715)*49256.514786)</f>
        <v>16536.479162802621</v>
      </c>
      <c r="O14" s="38">
        <f>+O6/O36*((13493.560676+1959.789149)/(28746.157352+1315.716008+2801.200715)*44475.102118)</f>
        <v>15545.237753726771</v>
      </c>
      <c r="P14" s="7">
        <f>+P6/P36*((13493.560676+1959.789149)/(28746.157352+1315.716008+2801.200715)*44475.102118)</f>
        <v>16689.115609942772</v>
      </c>
      <c r="Q14" s="7">
        <f>+Q6/Q36*((13493.560676+1959.789149)/(28746.157352+1315.716008+2801.200715)*44475.102118)</f>
        <v>16984.222341989574</v>
      </c>
      <c r="R14" s="7">
        <f>+R6/R36*((13493.560676+1959.789149)/(28746.157352+1315.716008+2801.200715)*44475.102118)</f>
        <v>14763.794588824809</v>
      </c>
      <c r="S14" s="38">
        <f>+S6/S36*((13493.560676+1959.789149)/(28746.157352+1315.716008+2801.200715)*44475.102118)</f>
        <v>20323.387807368556</v>
      </c>
      <c r="T14" s="128"/>
      <c r="U14" s="113"/>
      <c r="V14" s="113"/>
    </row>
    <row r="15" spans="1:23" ht="17.45" customHeight="1" x14ac:dyDescent="0.2">
      <c r="A15" s="26"/>
      <c r="B15" s="5"/>
      <c r="C15" s="5"/>
      <c r="D15" s="5"/>
      <c r="E15" s="5"/>
      <c r="F15" s="5"/>
      <c r="G15" s="5"/>
      <c r="H15" s="5"/>
      <c r="I15" s="27"/>
      <c r="J15" s="5"/>
      <c r="K15" s="5"/>
      <c r="L15" s="22"/>
      <c r="M15" s="5"/>
      <c r="N15" s="5"/>
      <c r="O15" s="22"/>
      <c r="P15" s="5"/>
      <c r="Q15" s="5"/>
      <c r="R15" s="5"/>
      <c r="S15" s="22"/>
      <c r="T15" s="117"/>
      <c r="U15" s="52"/>
      <c r="V15" s="52"/>
    </row>
    <row r="16" spans="1:23" ht="17.45" customHeight="1" x14ac:dyDescent="0.2">
      <c r="A16" s="23" t="s">
        <v>30</v>
      </c>
      <c r="B16" s="5">
        <f t="shared" ref="B16:G16" si="3">+B5-B9</f>
        <v>85842</v>
      </c>
      <c r="C16" s="5">
        <f t="shared" si="3"/>
        <v>59058</v>
      </c>
      <c r="D16" s="5">
        <f t="shared" si="3"/>
        <v>50457</v>
      </c>
      <c r="E16" s="5">
        <f t="shared" si="3"/>
        <v>108910</v>
      </c>
      <c r="F16" s="5">
        <f t="shared" si="3"/>
        <v>160753</v>
      </c>
      <c r="G16" s="5">
        <f t="shared" si="3"/>
        <v>164961</v>
      </c>
      <c r="H16" s="5">
        <f t="shared" ref="H16:N16" si="4">+H5-H9</f>
        <v>164410.14782436437</v>
      </c>
      <c r="I16" s="5">
        <f t="shared" si="4"/>
        <v>269927.84805370157</v>
      </c>
      <c r="J16" s="5">
        <f t="shared" si="4"/>
        <v>312472.71027689893</v>
      </c>
      <c r="K16" s="5">
        <f t="shared" si="4"/>
        <v>353913.51855842199</v>
      </c>
      <c r="L16" s="22">
        <f t="shared" si="4"/>
        <v>319572.47355159908</v>
      </c>
      <c r="M16" s="5">
        <f t="shared" si="4"/>
        <v>386598.96350609185</v>
      </c>
      <c r="N16" s="5">
        <f t="shared" si="4"/>
        <v>330820.46579269157</v>
      </c>
      <c r="O16" s="22">
        <f>+O5-O9</f>
        <v>277605.93293613091</v>
      </c>
      <c r="P16" s="5">
        <f>+P5-P9</f>
        <v>365753.78884982632</v>
      </c>
      <c r="Q16" s="5">
        <f>+Q5-Q9</f>
        <v>288854.04154954758</v>
      </c>
      <c r="R16" s="5">
        <f>+R5-R9</f>
        <v>428198.71481708391</v>
      </c>
      <c r="S16" s="22">
        <f>+S5-S9</f>
        <v>569224.07835237612</v>
      </c>
      <c r="T16" s="117"/>
      <c r="U16" s="52"/>
      <c r="V16" s="52"/>
      <c r="W16" s="2" t="s">
        <v>110</v>
      </c>
    </row>
    <row r="17" spans="1:23" ht="17.45" customHeight="1" x14ac:dyDescent="0.2">
      <c r="A17" s="26"/>
      <c r="B17" s="5"/>
      <c r="C17" s="5"/>
      <c r="D17" s="5"/>
      <c r="E17" s="5"/>
      <c r="F17" s="5"/>
      <c r="G17" s="5"/>
      <c r="H17" s="5"/>
      <c r="I17" s="5"/>
      <c r="J17" s="5"/>
      <c r="K17" s="5"/>
      <c r="L17" s="22"/>
      <c r="M17" s="5"/>
      <c r="N17" s="5"/>
      <c r="O17" s="22"/>
      <c r="P17" s="5"/>
      <c r="Q17" s="5"/>
      <c r="R17" s="5"/>
      <c r="S17" s="22"/>
      <c r="T17" s="117"/>
      <c r="U17" s="52"/>
      <c r="V17" s="52"/>
    </row>
    <row r="18" spans="1:23" ht="17.45" customHeight="1" x14ac:dyDescent="0.2">
      <c r="A18" s="21" t="s">
        <v>31</v>
      </c>
      <c r="B18" s="5">
        <v>63585</v>
      </c>
      <c r="C18" s="5">
        <v>78301</v>
      </c>
      <c r="D18" s="5">
        <v>90679</v>
      </c>
      <c r="E18" s="5">
        <v>90761</v>
      </c>
      <c r="F18" s="5">
        <v>92257</v>
      </c>
      <c r="G18" s="5">
        <v>98378</v>
      </c>
      <c r="H18" s="5">
        <v>133289</v>
      </c>
      <c r="I18" s="5">
        <v>152103</v>
      </c>
      <c r="J18" s="5">
        <v>175955</v>
      </c>
      <c r="K18" s="5">
        <f>472701.609447-246022.476537+762.700205+1350</f>
        <v>228791.83311500002</v>
      </c>
      <c r="L18" s="22">
        <f>245881.734793+2234.60168+1350</f>
        <v>249466.336473</v>
      </c>
      <c r="M18" s="7">
        <v>283487</v>
      </c>
      <c r="N18" s="7">
        <v>296732</v>
      </c>
      <c r="O18" s="38">
        <v>278413</v>
      </c>
      <c r="P18" s="7">
        <v>257270</v>
      </c>
      <c r="Q18" s="7">
        <v>242251</v>
      </c>
      <c r="R18" s="7">
        <v>249135</v>
      </c>
      <c r="S18" s="38">
        <f>(227825544061/236701674654)*R18</f>
        <v>239792.62927736141</v>
      </c>
      <c r="T18" s="128"/>
      <c r="U18" s="113"/>
      <c r="V18" s="113"/>
    </row>
    <row r="19" spans="1:23" ht="17.45" customHeight="1" x14ac:dyDescent="0.2">
      <c r="A19" s="21" t="s">
        <v>32</v>
      </c>
      <c r="B19" s="5">
        <v>53875</v>
      </c>
      <c r="C19" s="5">
        <v>35769</v>
      </c>
      <c r="D19" s="5">
        <v>24108</v>
      </c>
      <c r="E19" s="5">
        <v>63713</v>
      </c>
      <c r="F19" s="5">
        <v>105572</v>
      </c>
      <c r="G19" s="5">
        <v>145144</v>
      </c>
      <c r="H19" s="5">
        <v>147300</v>
      </c>
      <c r="I19" s="5">
        <v>166965</v>
      </c>
      <c r="J19" s="5">
        <v>437954</v>
      </c>
      <c r="K19" s="5">
        <v>441898.55238000001</v>
      </c>
      <c r="L19" s="22">
        <v>190870.20970199999</v>
      </c>
      <c r="M19" s="7">
        <v>252171</v>
      </c>
      <c r="N19" s="7">
        <v>83644</v>
      </c>
      <c r="O19" s="38">
        <v>4954</v>
      </c>
      <c r="P19" s="7">
        <v>140704</v>
      </c>
      <c r="Q19" s="7">
        <v>92944</v>
      </c>
      <c r="R19" s="7">
        <v>100391</v>
      </c>
      <c r="S19" s="38">
        <f>+(67969/81089)*R19</f>
        <v>84147.984054557339</v>
      </c>
      <c r="T19" s="128"/>
      <c r="U19" s="113"/>
      <c r="V19" s="113"/>
    </row>
    <row r="20" spans="1:23" ht="17.45" customHeight="1" x14ac:dyDescent="0.2">
      <c r="A20" s="21" t="s">
        <v>33</v>
      </c>
      <c r="B20" s="5">
        <v>268341</v>
      </c>
      <c r="C20" s="5">
        <v>292935</v>
      </c>
      <c r="D20" s="5">
        <v>286988</v>
      </c>
      <c r="E20" s="5">
        <v>377858</v>
      </c>
      <c r="F20" s="5">
        <v>430144</v>
      </c>
      <c r="G20" s="5">
        <v>514411</v>
      </c>
      <c r="H20" s="5">
        <v>585675</v>
      </c>
      <c r="I20" s="5">
        <v>657059</v>
      </c>
      <c r="J20" s="5">
        <v>1038831</v>
      </c>
      <c r="K20" s="5">
        <v>1247033.8754410001</v>
      </c>
      <c r="L20" s="22">
        <v>1145307.5281169999</v>
      </c>
      <c r="M20" s="7">
        <v>1093493</v>
      </c>
      <c r="N20" s="7">
        <v>1063592</v>
      </c>
      <c r="O20" s="38">
        <v>991742</v>
      </c>
      <c r="P20" s="7">
        <v>1211533</v>
      </c>
      <c r="Q20" s="7">
        <v>1276046</v>
      </c>
      <c r="R20" s="7">
        <v>1451656</v>
      </c>
      <c r="S20" s="38">
        <f>(1492926495917/1427635142695)*R20</f>
        <v>1518045.9212188872</v>
      </c>
      <c r="T20" s="128"/>
      <c r="U20" s="113"/>
      <c r="V20" s="113"/>
    </row>
    <row r="21" spans="1:23" ht="17.45" customHeight="1" x14ac:dyDescent="0.2">
      <c r="A21" s="21" t="s">
        <v>34</v>
      </c>
      <c r="B21" s="28">
        <f t="shared" ref="B21:G21" si="5">+B19/B20</f>
        <v>0.20077066121092194</v>
      </c>
      <c r="C21" s="28">
        <f t="shared" si="5"/>
        <v>0.12210558656357212</v>
      </c>
      <c r="D21" s="28">
        <f t="shared" si="5"/>
        <v>8.4003512341979461E-2</v>
      </c>
      <c r="E21" s="28">
        <f t="shared" si="5"/>
        <v>0.16861625266634556</v>
      </c>
      <c r="F21" s="28">
        <f t="shared" si="5"/>
        <v>0.24543408718940635</v>
      </c>
      <c r="G21" s="28">
        <f t="shared" si="5"/>
        <v>0.28215570817886865</v>
      </c>
      <c r="H21" s="28">
        <f t="shared" ref="H21:P21" si="6">+H19/H20</f>
        <v>0.25150467409399413</v>
      </c>
      <c r="I21" s="28">
        <f t="shared" si="6"/>
        <v>0.25410960050771697</v>
      </c>
      <c r="J21" s="28">
        <f t="shared" si="6"/>
        <v>0.42158349144374785</v>
      </c>
      <c r="K21" s="28">
        <f t="shared" si="6"/>
        <v>0.35435970191565752</v>
      </c>
      <c r="L21" s="29">
        <f t="shared" si="6"/>
        <v>0.16665411255596102</v>
      </c>
      <c r="M21" s="30">
        <f t="shared" si="6"/>
        <v>0.23061052974276014</v>
      </c>
      <c r="N21" s="30">
        <f t="shared" si="6"/>
        <v>7.8642938269562007E-2</v>
      </c>
      <c r="O21" s="126">
        <f t="shared" si="6"/>
        <v>4.9952507809490777E-3</v>
      </c>
      <c r="P21" s="30">
        <f t="shared" si="6"/>
        <v>0.11613715845957147</v>
      </c>
      <c r="Q21" s="30">
        <f>+Q19/Q20</f>
        <v>7.2837499588572829E-2</v>
      </c>
      <c r="R21" s="30">
        <f>+R19/R20</f>
        <v>6.9156191273965731E-2</v>
      </c>
      <c r="S21" s="126">
        <f>+S19/S20</f>
        <v>5.5431777707351734E-2</v>
      </c>
      <c r="T21" s="129"/>
      <c r="U21" s="114"/>
      <c r="V21" s="114"/>
      <c r="W21" s="2" t="s">
        <v>107</v>
      </c>
    </row>
    <row r="22" spans="1:23" ht="17.45" customHeight="1" x14ac:dyDescent="0.2">
      <c r="A22" s="21" t="s">
        <v>35</v>
      </c>
      <c r="B22" s="5">
        <v>12768</v>
      </c>
      <c r="C22" s="5">
        <v>9561</v>
      </c>
      <c r="D22" s="5">
        <v>7617</v>
      </c>
      <c r="E22" s="5">
        <v>15302</v>
      </c>
      <c r="F22" s="5">
        <v>22640</v>
      </c>
      <c r="G22" s="5">
        <v>27762</v>
      </c>
      <c r="H22" s="5">
        <f t="shared" ref="H22:P22" si="7">+H21*H18</f>
        <v>33522.80650531438</v>
      </c>
      <c r="I22" s="5">
        <f t="shared" si="7"/>
        <v>38650.832566025274</v>
      </c>
      <c r="J22" s="5">
        <f t="shared" si="7"/>
        <v>74179.723236984646</v>
      </c>
      <c r="K22" s="5">
        <f t="shared" si="7"/>
        <v>81074.605783368272</v>
      </c>
      <c r="L22" s="22">
        <f t="shared" si="7"/>
        <v>41574.590917494585</v>
      </c>
      <c r="M22" s="7">
        <f t="shared" si="7"/>
        <v>65375.087245185845</v>
      </c>
      <c r="N22" s="7">
        <f t="shared" si="7"/>
        <v>23335.876358603673</v>
      </c>
      <c r="O22" s="38">
        <f t="shared" si="7"/>
        <v>1390.7427556763755</v>
      </c>
      <c r="P22" s="7">
        <f t="shared" si="7"/>
        <v>29878.606756893951</v>
      </c>
      <c r="Q22" s="7">
        <f>+Q21*Q18</f>
        <v>17644.957112831358</v>
      </c>
      <c r="R22" s="7">
        <f>+R21*R18</f>
        <v>17229.227713039454</v>
      </c>
      <c r="S22" s="38">
        <f>+S21*S18</f>
        <v>13292.131721964101</v>
      </c>
      <c r="T22" s="128"/>
      <c r="U22" s="113"/>
      <c r="V22" s="113"/>
      <c r="W22" s="2" t="s">
        <v>108</v>
      </c>
    </row>
    <row r="23" spans="1:23" ht="17.45" customHeight="1" x14ac:dyDescent="0.2">
      <c r="A23" s="26"/>
      <c r="B23" s="5"/>
      <c r="C23" s="5"/>
      <c r="D23" s="5"/>
      <c r="E23" s="5"/>
      <c r="F23" s="5"/>
      <c r="G23" s="5"/>
      <c r="H23" s="4"/>
      <c r="I23" s="4"/>
      <c r="J23" s="4"/>
      <c r="K23" s="4"/>
      <c r="L23" s="31"/>
      <c r="M23" s="4"/>
      <c r="N23" s="4"/>
      <c r="O23" s="31"/>
      <c r="P23" s="4"/>
      <c r="Q23" s="4"/>
      <c r="R23" s="4"/>
      <c r="S23" s="31"/>
      <c r="T23" s="120"/>
      <c r="U23" s="12"/>
      <c r="V23" s="12"/>
    </row>
    <row r="24" spans="1:23" ht="17.45" customHeight="1" x14ac:dyDescent="0.2">
      <c r="A24" s="23" t="s">
        <v>182</v>
      </c>
      <c r="B24" s="5">
        <f t="shared" ref="B24:G24" si="8">+B16-B22</f>
        <v>73074</v>
      </c>
      <c r="C24" s="5">
        <f t="shared" si="8"/>
        <v>49497</v>
      </c>
      <c r="D24" s="5">
        <f t="shared" si="8"/>
        <v>42840</v>
      </c>
      <c r="E24" s="5">
        <f t="shared" si="8"/>
        <v>93608</v>
      </c>
      <c r="F24" s="5">
        <f t="shared" si="8"/>
        <v>138113</v>
      </c>
      <c r="G24" s="5">
        <f t="shared" si="8"/>
        <v>137199</v>
      </c>
      <c r="H24" s="5">
        <f t="shared" ref="H24:N24" si="9">+H16-H22</f>
        <v>130887.34131904999</v>
      </c>
      <c r="I24" s="5">
        <f t="shared" si="9"/>
        <v>231277.01548767631</v>
      </c>
      <c r="J24" s="5">
        <f t="shared" si="9"/>
        <v>238292.9870399143</v>
      </c>
      <c r="K24" s="5">
        <f t="shared" si="9"/>
        <v>272838.9127750537</v>
      </c>
      <c r="L24" s="22">
        <f t="shared" si="9"/>
        <v>277997.88263410446</v>
      </c>
      <c r="M24" s="5">
        <f t="shared" si="9"/>
        <v>321223.87626090599</v>
      </c>
      <c r="N24" s="5">
        <f t="shared" si="9"/>
        <v>307484.58943408792</v>
      </c>
      <c r="O24" s="22">
        <f>+O16-O22</f>
        <v>276215.19018045452</v>
      </c>
      <c r="P24" s="5">
        <f>+P16-P22</f>
        <v>335875.18209293234</v>
      </c>
      <c r="Q24" s="5">
        <f>+Q16-Q22</f>
        <v>271209.08443671622</v>
      </c>
      <c r="R24" s="5">
        <f>+R16-R22</f>
        <v>410969.48710404447</v>
      </c>
      <c r="S24" s="22">
        <f>+S16-S22</f>
        <v>555931.94663041201</v>
      </c>
      <c r="T24" s="117"/>
      <c r="U24" s="52"/>
      <c r="V24" s="52"/>
      <c r="W24" s="2" t="s">
        <v>111</v>
      </c>
    </row>
    <row r="25" spans="1:23" ht="17.45" customHeight="1" x14ac:dyDescent="0.2">
      <c r="A25" s="21" t="s">
        <v>36</v>
      </c>
      <c r="B25" s="8">
        <v>1267.9000000000001</v>
      </c>
      <c r="C25" s="8">
        <v>1328.7</v>
      </c>
      <c r="D25" s="8">
        <v>1315.4</v>
      </c>
      <c r="E25" s="8">
        <v>1624.8</v>
      </c>
      <c r="F25" s="8">
        <v>1711.4</v>
      </c>
      <c r="G25" s="8">
        <v>1836.9</v>
      </c>
      <c r="H25" s="8">
        <f>832.517+986.613</f>
        <v>1819.13</v>
      </c>
      <c r="I25" s="8">
        <f>865.115+996.748</f>
        <v>1861.8630000000001</v>
      </c>
      <c r="J25" s="8">
        <f>760.753+956.774</f>
        <v>1717.527</v>
      </c>
      <c r="K25" s="8">
        <f>765.738+995.879</f>
        <v>1761.6170000000002</v>
      </c>
      <c r="L25" s="33">
        <f>691.423+913.403</f>
        <v>1604.826</v>
      </c>
      <c r="M25" s="34">
        <f>654.939+800.601</f>
        <v>1455.54</v>
      </c>
      <c r="N25" s="34">
        <v>1484.8910000000001</v>
      </c>
      <c r="O25" s="127">
        <v>977.49599999999998</v>
      </c>
      <c r="P25" s="34">
        <v>923.63100000000009</v>
      </c>
      <c r="Q25" s="34">
        <v>754.83799999999997</v>
      </c>
      <c r="R25" s="34">
        <v>875.60300000000007</v>
      </c>
      <c r="S25" s="127">
        <v>1360.646</v>
      </c>
      <c r="T25" s="119"/>
      <c r="U25" s="115"/>
      <c r="V25" s="115"/>
      <c r="W25" s="2" t="s">
        <v>112</v>
      </c>
    </row>
    <row r="26" spans="1:23" ht="17.45" customHeight="1" x14ac:dyDescent="0.2">
      <c r="A26" s="23" t="s">
        <v>183</v>
      </c>
      <c r="B26" s="8">
        <f t="shared" ref="B26:G26" si="10">+B24/B25*1000</f>
        <v>57633.882798327941</v>
      </c>
      <c r="C26" s="8">
        <f t="shared" si="10"/>
        <v>37252.201399864527</v>
      </c>
      <c r="D26" s="8">
        <f t="shared" si="10"/>
        <v>32568.040139881403</v>
      </c>
      <c r="E26" s="8">
        <f t="shared" si="10"/>
        <v>57612.013786312164</v>
      </c>
      <c r="F26" s="8">
        <f t="shared" si="10"/>
        <v>80701.764637139175</v>
      </c>
      <c r="G26" s="8">
        <f t="shared" si="10"/>
        <v>74690.511187326469</v>
      </c>
      <c r="H26" s="8">
        <f t="shared" ref="H26:P26" si="11">+H24/H25*1000</f>
        <v>71950.515531627738</v>
      </c>
      <c r="I26" s="8">
        <f t="shared" si="11"/>
        <v>124218.06303024245</v>
      </c>
      <c r="J26" s="8">
        <f t="shared" si="11"/>
        <v>138741.91616196677</v>
      </c>
      <c r="K26" s="8">
        <f t="shared" si="11"/>
        <v>154879.81370244137</v>
      </c>
      <c r="L26" s="33">
        <f t="shared" si="11"/>
        <v>173226.18317132478</v>
      </c>
      <c r="M26" s="8">
        <f t="shared" si="11"/>
        <v>220690.51778783544</v>
      </c>
      <c r="N26" s="8">
        <f t="shared" si="11"/>
        <v>207075.5290685228</v>
      </c>
      <c r="O26" s="33">
        <f t="shared" si="11"/>
        <v>282574.24089761445</v>
      </c>
      <c r="P26" s="8">
        <f t="shared" si="11"/>
        <v>363646.5017879784</v>
      </c>
      <c r="Q26" s="8">
        <f>+Q24/Q25*1000</f>
        <v>359294.42401775776</v>
      </c>
      <c r="R26" s="8">
        <f>+R24/R25*1000</f>
        <v>469355.96052554005</v>
      </c>
      <c r="S26" s="33">
        <f>+S24/S25*1000</f>
        <v>408579.41494732065</v>
      </c>
      <c r="T26" s="118"/>
      <c r="U26" s="85"/>
      <c r="V26" s="85"/>
      <c r="W26" s="2" t="s">
        <v>113</v>
      </c>
    </row>
    <row r="27" spans="1:23" ht="17.45" customHeight="1" x14ac:dyDescent="0.2">
      <c r="A27" s="23"/>
      <c r="B27" s="8"/>
      <c r="C27" s="8"/>
      <c r="D27" s="8"/>
      <c r="E27" s="8"/>
      <c r="F27" s="8"/>
      <c r="G27" s="8"/>
      <c r="H27" s="37" t="s">
        <v>9</v>
      </c>
      <c r="I27" s="37"/>
      <c r="J27" s="4"/>
      <c r="K27" s="4"/>
      <c r="L27" s="31"/>
      <c r="M27" s="4"/>
      <c r="N27" s="4"/>
      <c r="O27" s="31"/>
      <c r="P27" s="4"/>
      <c r="Q27" s="4"/>
      <c r="R27" s="4"/>
      <c r="S27" s="31"/>
      <c r="T27" s="120"/>
      <c r="U27" s="12"/>
      <c r="V27" s="12"/>
    </row>
    <row r="28" spans="1:23" ht="17.45" customHeight="1" x14ac:dyDescent="0.2">
      <c r="A28" s="24" t="s">
        <v>37</v>
      </c>
      <c r="B28" s="8">
        <v>182400.8</v>
      </c>
      <c r="C28" s="8">
        <v>171596.3</v>
      </c>
      <c r="D28" s="8">
        <v>194974.2</v>
      </c>
      <c r="E28" s="8">
        <v>205088</v>
      </c>
      <c r="F28" s="8">
        <v>236596.4</v>
      </c>
      <c r="G28" s="8">
        <v>240671.2</v>
      </c>
      <c r="H28" s="8">
        <f t="shared" ref="H28:N28" si="12">+H6/H25*1000</f>
        <v>277294.09113147494</v>
      </c>
      <c r="I28" s="8">
        <f t="shared" si="12"/>
        <v>343031.68385643838</v>
      </c>
      <c r="J28" s="8">
        <f t="shared" si="12"/>
        <v>491311.0536253578</v>
      </c>
      <c r="K28" s="8">
        <f t="shared" si="12"/>
        <v>583566.12135327933</v>
      </c>
      <c r="L28" s="33">
        <f t="shared" si="12"/>
        <v>717852.90118679532</v>
      </c>
      <c r="M28" s="34">
        <f t="shared" si="12"/>
        <v>807825.27446858212</v>
      </c>
      <c r="N28" s="34">
        <f t="shared" si="12"/>
        <v>812663.01701606379</v>
      </c>
      <c r="O28" s="33">
        <f>+O6/O25*1000</f>
        <v>1189698.9859805054</v>
      </c>
      <c r="P28" s="8">
        <f>+P6/P25*1000</f>
        <v>1405130.4038084473</v>
      </c>
      <c r="Q28" s="8">
        <f>+Q6/Q25*1000</f>
        <v>1590641.9655608225</v>
      </c>
      <c r="R28" s="8">
        <f>+R6/R25*1000</f>
        <v>1356460.6334149151</v>
      </c>
      <c r="S28" s="33">
        <f>+S6/S25*1000</f>
        <v>1193367.3966057298</v>
      </c>
      <c r="T28" s="118"/>
      <c r="U28" s="85"/>
      <c r="V28" s="85"/>
      <c r="W28" s="2" t="s">
        <v>114</v>
      </c>
    </row>
    <row r="29" spans="1:23" ht="17.45" customHeight="1" x14ac:dyDescent="0.2">
      <c r="A29" s="23" t="s">
        <v>38</v>
      </c>
      <c r="B29" s="28">
        <f t="shared" ref="B29:G29" si="13">+B26/B28</f>
        <v>0.31597384878974183</v>
      </c>
      <c r="C29" s="28">
        <f t="shared" si="13"/>
        <v>0.21709210163543463</v>
      </c>
      <c r="D29" s="28">
        <f t="shared" si="13"/>
        <v>0.16703769083233269</v>
      </c>
      <c r="E29" s="28">
        <f t="shared" si="13"/>
        <v>0.2809136262790225</v>
      </c>
      <c r="F29" s="28">
        <f t="shared" si="13"/>
        <v>0.34109464318619886</v>
      </c>
      <c r="G29" s="28">
        <f t="shared" si="13"/>
        <v>0.31034253864744293</v>
      </c>
      <c r="H29" s="28">
        <f t="shared" ref="H29:P29" si="14">+H26/H28</f>
        <v>0.2594736701313749</v>
      </c>
      <c r="I29" s="28">
        <f t="shared" si="14"/>
        <v>0.36211833739016586</v>
      </c>
      <c r="J29" s="28">
        <f t="shared" si="14"/>
        <v>0.28239119624563225</v>
      </c>
      <c r="K29" s="28">
        <f t="shared" si="14"/>
        <v>0.26540233922983375</v>
      </c>
      <c r="L29" s="29">
        <f t="shared" si="14"/>
        <v>0.24131153177055825</v>
      </c>
      <c r="M29" s="28">
        <f t="shared" si="14"/>
        <v>0.27319090496767878</v>
      </c>
      <c r="N29" s="28">
        <f t="shared" si="14"/>
        <v>0.25481106526646524</v>
      </c>
      <c r="O29" s="29">
        <f t="shared" si="14"/>
        <v>0.23751742602749834</v>
      </c>
      <c r="P29" s="28">
        <f t="shared" si="14"/>
        <v>0.25879911273882883</v>
      </c>
      <c r="Q29" s="28">
        <f>+Q26/Q28</f>
        <v>0.22588013632035611</v>
      </c>
      <c r="R29" s="28">
        <f>+R26/R28</f>
        <v>0.34601517284281785</v>
      </c>
      <c r="S29" s="29">
        <f>+S26/S28</f>
        <v>0.34237521161499351</v>
      </c>
      <c r="T29" s="130"/>
      <c r="U29" s="116"/>
      <c r="V29" s="116"/>
      <c r="W29" s="2" t="s">
        <v>115</v>
      </c>
    </row>
    <row r="30" spans="1:23" ht="17.45" customHeight="1" x14ac:dyDescent="0.2">
      <c r="A30" s="23"/>
      <c r="B30" s="28"/>
      <c r="C30" s="28"/>
      <c r="D30" s="28"/>
      <c r="E30" s="28"/>
      <c r="F30" s="28"/>
      <c r="G30" s="28"/>
      <c r="H30" s="28"/>
      <c r="I30" s="28"/>
      <c r="J30" s="4"/>
      <c r="K30" s="4"/>
      <c r="L30" s="22"/>
      <c r="M30" s="5"/>
      <c r="N30" s="5"/>
      <c r="O30" s="22"/>
      <c r="P30" s="5"/>
      <c r="Q30" s="5"/>
      <c r="R30" s="5"/>
      <c r="S30" s="31"/>
      <c r="T30" s="120"/>
      <c r="U30" s="12"/>
      <c r="V30" s="12"/>
    </row>
    <row r="31" spans="1:23" ht="17.45" customHeight="1" x14ac:dyDescent="0.2">
      <c r="A31" s="24" t="s">
        <v>39</v>
      </c>
      <c r="B31" s="5">
        <v>370000</v>
      </c>
      <c r="C31" s="5">
        <v>435000</v>
      </c>
      <c r="D31" s="5">
        <v>490000</v>
      </c>
      <c r="E31" s="5">
        <v>550000</v>
      </c>
      <c r="F31" s="5">
        <v>650000</v>
      </c>
      <c r="G31" s="5">
        <v>750000</v>
      </c>
      <c r="H31" s="5">
        <v>860540</v>
      </c>
      <c r="I31" s="5">
        <v>984801.97600000002</v>
      </c>
      <c r="J31" s="5">
        <v>1264879.6579744001</v>
      </c>
      <c r="K31" s="5">
        <v>1782542.6170594767</v>
      </c>
      <c r="L31" s="22">
        <v>2090680.5125862742</v>
      </c>
      <c r="M31" s="7">
        <f>((100-9.51107)/100)*L31</f>
        <v>1891834.4255578348</v>
      </c>
      <c r="N31" s="7">
        <f>((100+16.90298)/100)*M31</f>
        <v>2211610.8201429904</v>
      </c>
      <c r="O31" s="38">
        <f>((100+17.37868)/100)*N31</f>
        <v>2595959.5874210163</v>
      </c>
      <c r="P31" s="7">
        <f>((100-6.80548)/100)*O31</f>
        <v>2419292.0768909962</v>
      </c>
      <c r="Q31" s="7">
        <f>((100+22.29745)/100)*P31</f>
        <v>2958732.518089728</v>
      </c>
      <c r="R31" s="7">
        <f>((100-30.9596)/100)*Q31</f>
        <v>2042720.7654192206</v>
      </c>
      <c r="S31" s="38">
        <f>((100-1.7452)/100)*R31</f>
        <v>2007071.2026211242</v>
      </c>
      <c r="T31" s="128"/>
      <c r="U31" s="113"/>
      <c r="V31" s="113"/>
      <c r="W31" s="2" t="s">
        <v>116</v>
      </c>
    </row>
    <row r="32" spans="1:23" ht="17.45" customHeight="1" x14ac:dyDescent="0.2">
      <c r="A32" s="23"/>
      <c r="B32" s="5"/>
      <c r="C32" s="5"/>
      <c r="D32" s="5"/>
      <c r="E32" s="5"/>
      <c r="F32" s="5"/>
      <c r="G32" s="5"/>
      <c r="H32" s="5"/>
      <c r="I32" s="5"/>
      <c r="J32" s="5"/>
      <c r="K32" s="5"/>
      <c r="L32" s="22"/>
      <c r="M32" s="8"/>
      <c r="N32" s="8"/>
      <c r="O32" s="33"/>
      <c r="P32" s="33"/>
      <c r="Q32" s="33"/>
      <c r="R32" s="33"/>
      <c r="S32" s="33"/>
      <c r="T32" s="117"/>
      <c r="U32" s="52"/>
      <c r="V32" s="52"/>
    </row>
    <row r="33" spans="1:25" ht="17.45" customHeight="1" x14ac:dyDescent="0.2">
      <c r="A33" s="23" t="s">
        <v>184</v>
      </c>
      <c r="B33" s="5">
        <v>116920</v>
      </c>
      <c r="C33" s="5">
        <v>94438</v>
      </c>
      <c r="D33" s="5">
        <v>81830</v>
      </c>
      <c r="E33" s="5">
        <v>154495</v>
      </c>
      <c r="F33" s="50">
        <v>221715</v>
      </c>
      <c r="G33" s="50">
        <v>232725</v>
      </c>
      <c r="H33" s="50">
        <f t="shared" ref="H33:N33" si="15">+H29*H31</f>
        <v>223287.47209485335</v>
      </c>
      <c r="I33" s="50">
        <f t="shared" si="15"/>
        <v>356614.85420767003</v>
      </c>
      <c r="J33" s="50">
        <f t="shared" si="15"/>
        <v>357190.87972215703</v>
      </c>
      <c r="K33" s="50">
        <f t="shared" si="15"/>
        <v>473090.98034445487</v>
      </c>
      <c r="L33" s="135">
        <f t="shared" si="15"/>
        <v>504505.31693504972</v>
      </c>
      <c r="M33" s="136">
        <f t="shared" si="15"/>
        <v>516831.95876715361</v>
      </c>
      <c r="N33" s="136">
        <f t="shared" si="15"/>
        <v>563542.90903547627</v>
      </c>
      <c r="O33" s="135">
        <f>+O29*O31</f>
        <v>616585.6392756463</v>
      </c>
      <c r="P33" s="136">
        <f>+P29*P31</f>
        <v>626110.64295546827</v>
      </c>
      <c r="Q33" s="136">
        <f>+Q29*Q31</f>
        <v>668318.90452157822</v>
      </c>
      <c r="R33" s="136">
        <f>+R29*R31</f>
        <v>706812.37871614483</v>
      </c>
      <c r="S33" s="135">
        <f>+S29*S31</f>
        <v>687171.42772376689</v>
      </c>
      <c r="T33" s="128"/>
      <c r="U33" s="113"/>
      <c r="V33" s="113">
        <f>1.0586590143*P33</f>
        <v>662837.67611397535</v>
      </c>
      <c r="W33" s="2" t="s">
        <v>117</v>
      </c>
    </row>
    <row r="34" spans="1:25" ht="17.45" customHeight="1" thickBot="1" x14ac:dyDescent="0.25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1"/>
      <c r="M34" s="40"/>
      <c r="N34" s="40"/>
      <c r="O34" s="41"/>
      <c r="P34" s="40"/>
      <c r="Q34" s="40"/>
      <c r="R34" s="40"/>
      <c r="S34" s="41"/>
      <c r="T34" s="141"/>
      <c r="U34" s="52"/>
      <c r="V34" s="52"/>
    </row>
    <row r="35" spans="1:25" ht="17.45" customHeight="1" thickTop="1" thickBot="1" x14ac:dyDescent="0.25">
      <c r="K35" s="42"/>
      <c r="L35" s="42"/>
      <c r="M35" s="42"/>
      <c r="N35" s="42"/>
      <c r="O35" s="42"/>
      <c r="P35" s="131"/>
      <c r="Q35" s="131"/>
      <c r="R35" s="131"/>
      <c r="S35" s="138"/>
      <c r="T35" s="132"/>
      <c r="U35" s="12"/>
      <c r="V35" s="12" t="e">
        <f>AVERAGE(M35:P35)</f>
        <v>#DIV/0!</v>
      </c>
    </row>
    <row r="36" spans="1:25" ht="17.45" customHeight="1" thickTop="1" thickBot="1" x14ac:dyDescent="0.25">
      <c r="A36" s="43" t="s">
        <v>102</v>
      </c>
      <c r="B36" s="44">
        <v>284046</v>
      </c>
      <c r="C36" s="44">
        <v>282459</v>
      </c>
      <c r="D36" s="44">
        <v>320465</v>
      </c>
      <c r="E36" s="44">
        <v>421433</v>
      </c>
      <c r="F36" s="44">
        <v>520808</v>
      </c>
      <c r="G36" s="44">
        <v>637485</v>
      </c>
      <c r="H36" s="44">
        <f>504434+202513</f>
        <v>706947</v>
      </c>
      <c r="I36" s="44">
        <f>638678+197431</f>
        <v>836109</v>
      </c>
      <c r="J36" s="44">
        <f>843840+527713</f>
        <v>1371553</v>
      </c>
      <c r="K36" s="44">
        <v>1508423.1445009999</v>
      </c>
      <c r="L36" s="45">
        <v>1877595.9114689999</v>
      </c>
      <c r="M36" s="46">
        <v>1869719</v>
      </c>
      <c r="N36" s="46">
        <f>1206543+483665</f>
        <v>1690208</v>
      </c>
      <c r="O36" s="46">
        <f>1162926+401612</f>
        <v>1564538</v>
      </c>
      <c r="P36" s="133">
        <f>1297822+328525</f>
        <v>1626347</v>
      </c>
      <c r="Q36" s="133">
        <f>1200677+277791</f>
        <v>1478468</v>
      </c>
      <c r="R36" s="133">
        <f>1187721+494751</f>
        <v>1682472</v>
      </c>
      <c r="S36" s="139">
        <f>1258524+412392</f>
        <v>1670916</v>
      </c>
      <c r="T36" s="134"/>
      <c r="U36" s="52"/>
      <c r="V36" s="52"/>
    </row>
    <row r="37" spans="1:25" ht="17.45" customHeight="1" thickTop="1" x14ac:dyDescent="0.2"/>
    <row r="38" spans="1:25" ht="17.45" customHeight="1" x14ac:dyDescent="0.2"/>
    <row r="39" spans="1:25" ht="17.45" customHeight="1" x14ac:dyDescent="0.2"/>
    <row r="40" spans="1:25" ht="17.45" customHeight="1" x14ac:dyDescent="0.2">
      <c r="J40" s="2" t="s">
        <v>124</v>
      </c>
      <c r="L40" s="47">
        <f>775922149000/743078</f>
        <v>1044200.1364594295</v>
      </c>
      <c r="M40" s="47">
        <v>1251588.0541130914</v>
      </c>
      <c r="N40" s="47">
        <v>1349267.6424863054</v>
      </c>
      <c r="O40" s="47">
        <v>1383926.8905531103</v>
      </c>
      <c r="P40" s="47">
        <v>1902983.9370955285</v>
      </c>
      <c r="Q40" s="47">
        <v>2031303.5711413606</v>
      </c>
      <c r="R40" s="47">
        <v>2148323.4338115896</v>
      </c>
      <c r="S40" s="47">
        <v>1949329.850977605</v>
      </c>
      <c r="T40" s="47"/>
      <c r="U40" s="47"/>
      <c r="V40" s="47"/>
      <c r="W40" s="10"/>
      <c r="X40" s="10"/>
      <c r="Y40" s="10"/>
    </row>
    <row r="41" spans="1:25" ht="17.45" customHeight="1" x14ac:dyDescent="0.2">
      <c r="M41" s="48">
        <f t="shared" ref="M41:S41" si="16">+M40/L40*100-100</f>
        <v>19.860935697332167</v>
      </c>
      <c r="N41" s="48">
        <f t="shared" si="16"/>
        <v>7.8044519562334926</v>
      </c>
      <c r="O41" s="48">
        <f t="shared" si="16"/>
        <v>2.5687452196613947</v>
      </c>
      <c r="P41" s="48">
        <f t="shared" si="16"/>
        <v>37.506103110328922</v>
      </c>
      <c r="Q41" s="48">
        <f t="shared" si="16"/>
        <v>6.7430749962967553</v>
      </c>
      <c r="R41" s="48">
        <f t="shared" si="16"/>
        <v>5.7608259214784567</v>
      </c>
      <c r="S41" s="48">
        <f t="shared" si="16"/>
        <v>-9.2627385477486968</v>
      </c>
      <c r="T41" s="48"/>
      <c r="U41" s="48"/>
      <c r="V41" s="48"/>
      <c r="W41" s="48"/>
      <c r="X41" s="48"/>
    </row>
    <row r="42" spans="1:25" ht="17.45" customHeight="1" x14ac:dyDescent="0.2"/>
    <row r="43" spans="1:25" ht="17.45" customHeight="1" x14ac:dyDescent="0.2"/>
    <row r="44" spans="1:25" ht="17.45" customHeight="1" x14ac:dyDescent="0.2"/>
    <row r="45" spans="1:25" ht="17.45" customHeight="1" x14ac:dyDescent="0.2"/>
    <row r="46" spans="1:25" ht="17.45" customHeight="1" x14ac:dyDescent="0.2"/>
    <row r="47" spans="1:25" ht="17.45" customHeight="1" x14ac:dyDescent="0.2"/>
    <row r="48" spans="1:25" ht="17.45" customHeight="1" x14ac:dyDescent="0.2"/>
    <row r="49" ht="17.45" customHeight="1" x14ac:dyDescent="0.2"/>
    <row r="50" ht="17.45" customHeight="1" x14ac:dyDescent="0.2"/>
    <row r="51" ht="17.45" customHeight="1" x14ac:dyDescent="0.2"/>
    <row r="52" ht="17.45" customHeight="1" x14ac:dyDescent="0.2"/>
    <row r="53" ht="17.45" customHeight="1" x14ac:dyDescent="0.2"/>
    <row r="54" ht="17.45" customHeight="1" x14ac:dyDescent="0.2"/>
    <row r="55" ht="17.45" customHeight="1" x14ac:dyDescent="0.2"/>
    <row r="56" ht="17.45" customHeight="1" x14ac:dyDescent="0.2"/>
    <row r="57" ht="17.45" customHeight="1" x14ac:dyDescent="0.2"/>
    <row r="58" ht="17.45" customHeight="1" x14ac:dyDescent="0.2"/>
    <row r="59" ht="17.45" customHeight="1" x14ac:dyDescent="0.2"/>
    <row r="60" ht="17.45" customHeight="1" x14ac:dyDescent="0.2"/>
    <row r="61" ht="17.45" customHeight="1" x14ac:dyDescent="0.2"/>
    <row r="62" ht="17.45" customHeight="1" x14ac:dyDescent="0.2"/>
    <row r="63" ht="17.45" customHeight="1" x14ac:dyDescent="0.2"/>
    <row r="64" ht="17.45" customHeight="1" x14ac:dyDescent="0.2"/>
    <row r="65" ht="17.45" customHeight="1" x14ac:dyDescent="0.2"/>
    <row r="66" ht="17.45" customHeight="1" x14ac:dyDescent="0.2"/>
    <row r="67" ht="17.45" customHeight="1" x14ac:dyDescent="0.2"/>
    <row r="68" ht="17.45" customHeight="1" x14ac:dyDescent="0.2"/>
    <row r="69" ht="17.45" customHeight="1" x14ac:dyDescent="0.2"/>
    <row r="70" ht="17.45" customHeight="1" x14ac:dyDescent="0.2"/>
    <row r="71" ht="17.45" customHeight="1" x14ac:dyDescent="0.2"/>
    <row r="72" ht="17.45" customHeight="1" x14ac:dyDescent="0.2"/>
    <row r="73" ht="17.45" customHeight="1" x14ac:dyDescent="0.2"/>
    <row r="74" ht="17.45" customHeight="1" x14ac:dyDescent="0.2"/>
    <row r="75" ht="17.45" customHeight="1" x14ac:dyDescent="0.2"/>
    <row r="76" ht="17.45" customHeight="1" x14ac:dyDescent="0.2"/>
    <row r="77" ht="17.45" customHeight="1" x14ac:dyDescent="0.2"/>
    <row r="78" ht="17.45" customHeight="1" x14ac:dyDescent="0.2"/>
    <row r="79" ht="17.45" customHeight="1" x14ac:dyDescent="0.2"/>
    <row r="80" ht="17.45" customHeight="1" x14ac:dyDescent="0.2"/>
    <row r="81" ht="17.45" customHeight="1" x14ac:dyDescent="0.2"/>
    <row r="82" ht="17.45" customHeight="1" x14ac:dyDescent="0.2"/>
    <row r="83" ht="17.45" customHeight="1" x14ac:dyDescent="0.2"/>
    <row r="84" ht="17.45" customHeight="1" x14ac:dyDescent="0.2"/>
    <row r="85" ht="17.45" customHeight="1" x14ac:dyDescent="0.2"/>
    <row r="86" ht="17.45" customHeight="1" x14ac:dyDescent="0.2"/>
    <row r="87" ht="17.45" customHeight="1" x14ac:dyDescent="0.2"/>
    <row r="88" ht="17.45" customHeight="1" x14ac:dyDescent="0.2"/>
    <row r="89" ht="17.45" customHeight="1" x14ac:dyDescent="0.2"/>
    <row r="90" ht="17.45" customHeight="1" x14ac:dyDescent="0.2"/>
    <row r="91" ht="17.45" customHeight="1" x14ac:dyDescent="0.2"/>
    <row r="92" ht="17.45" customHeight="1" x14ac:dyDescent="0.2"/>
    <row r="93" ht="17.45" customHeight="1" x14ac:dyDescent="0.2"/>
    <row r="94" ht="17.45" customHeight="1" x14ac:dyDescent="0.2"/>
    <row r="95" ht="17.45" customHeight="1" x14ac:dyDescent="0.2"/>
    <row r="96" ht="17.45" customHeight="1" x14ac:dyDescent="0.2"/>
    <row r="97" ht="17.45" customHeight="1" x14ac:dyDescent="0.2"/>
    <row r="98" ht="17.45" customHeight="1" x14ac:dyDescent="0.2"/>
    <row r="99" ht="17.45" customHeight="1" x14ac:dyDescent="0.2"/>
    <row r="100" ht="17.45" customHeight="1" x14ac:dyDescent="0.2"/>
    <row r="101" ht="17.45" customHeight="1" x14ac:dyDescent="0.2"/>
    <row r="102" ht="17.45" customHeight="1" x14ac:dyDescent="0.2"/>
    <row r="103" ht="17.45" customHeight="1" x14ac:dyDescent="0.2"/>
    <row r="104" ht="17.45" customHeight="1" x14ac:dyDescent="0.2"/>
    <row r="105" ht="17.45" customHeight="1" x14ac:dyDescent="0.2"/>
    <row r="106" ht="17.45" customHeight="1" x14ac:dyDescent="0.2"/>
    <row r="107" ht="17.45" customHeight="1" x14ac:dyDescent="0.2"/>
    <row r="108" ht="17.45" customHeight="1" x14ac:dyDescent="0.2"/>
    <row r="109" ht="17.45" customHeight="1" x14ac:dyDescent="0.2"/>
    <row r="110" ht="17.45" customHeight="1" x14ac:dyDescent="0.2"/>
    <row r="111" ht="17.45" customHeight="1" x14ac:dyDescent="0.2"/>
    <row r="112" ht="17.45" customHeight="1" x14ac:dyDescent="0.2"/>
    <row r="113" ht="17.45" customHeight="1" x14ac:dyDescent="0.2"/>
    <row r="114" ht="17.45" customHeight="1" x14ac:dyDescent="0.2"/>
    <row r="115" ht="17.45" customHeight="1" x14ac:dyDescent="0.2"/>
    <row r="116" ht="17.45" customHeight="1" x14ac:dyDescent="0.2"/>
    <row r="117" ht="17.45" customHeight="1" x14ac:dyDescent="0.2"/>
  </sheetData>
  <phoneticPr fontId="0" type="noConversion"/>
  <pageMargins left="0.54" right="0.4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7"/>
  <sheetViews>
    <sheetView workbookViewId="0">
      <selection activeCell="W8" sqref="W8"/>
    </sheetView>
  </sheetViews>
  <sheetFormatPr defaultColWidth="9.33203125" defaultRowHeight="13.5" x14ac:dyDescent="0.2"/>
  <cols>
    <col min="1" max="1" width="30.83203125" style="2" customWidth="1"/>
    <col min="2" max="19" width="13.83203125" style="2" customWidth="1"/>
    <col min="20" max="23" width="14.83203125" style="2" customWidth="1"/>
    <col min="24" max="24" width="9.33203125" style="2"/>
    <col min="25" max="29" width="12" style="2" bestFit="1" customWidth="1"/>
    <col min="30" max="16384" width="9.33203125" style="2"/>
  </cols>
  <sheetData>
    <row r="1" spans="1:31" ht="15" x14ac:dyDescent="0.2">
      <c r="A1" s="964" t="s">
        <v>123</v>
      </c>
      <c r="B1" s="964"/>
      <c r="C1" s="964"/>
      <c r="D1" s="964"/>
      <c r="E1" s="964"/>
      <c r="F1" s="964"/>
      <c r="G1" s="964"/>
      <c r="H1" s="964"/>
      <c r="I1" s="964"/>
      <c r="J1" s="964"/>
      <c r="K1" s="964"/>
      <c r="L1" s="964"/>
      <c r="M1" s="964"/>
      <c r="N1" s="964"/>
      <c r="O1" s="964"/>
      <c r="P1" s="964"/>
      <c r="Q1" s="964"/>
      <c r="R1" s="964"/>
      <c r="S1" s="964"/>
      <c r="T1" s="964"/>
      <c r="U1" s="3"/>
      <c r="V1" s="170"/>
      <c r="W1" s="180"/>
    </row>
    <row r="2" spans="1:31" ht="15" x14ac:dyDescent="0.2">
      <c r="A2" s="964" t="s">
        <v>122</v>
      </c>
      <c r="B2" s="964"/>
      <c r="C2" s="964"/>
      <c r="D2" s="964"/>
      <c r="E2" s="964"/>
      <c r="F2" s="964"/>
      <c r="G2" s="964"/>
      <c r="H2" s="964"/>
      <c r="I2" s="964"/>
      <c r="J2" s="964"/>
      <c r="K2" s="964"/>
      <c r="L2" s="964"/>
      <c r="M2" s="964"/>
      <c r="N2" s="964"/>
      <c r="O2" s="964"/>
      <c r="P2" s="964"/>
      <c r="Q2" s="964"/>
      <c r="R2" s="964"/>
      <c r="S2" s="964"/>
      <c r="T2" s="964"/>
      <c r="U2" s="3"/>
      <c r="V2" s="170"/>
      <c r="W2" s="180"/>
    </row>
    <row r="3" spans="1:31" ht="15.75" thickBot="1" x14ac:dyDescent="0.25">
      <c r="A3" s="79"/>
      <c r="P3" s="157"/>
      <c r="Q3" s="157"/>
      <c r="R3" s="157"/>
      <c r="S3" s="157"/>
      <c r="T3" s="157"/>
      <c r="U3" s="157"/>
      <c r="V3" s="157"/>
      <c r="W3" s="157"/>
    </row>
    <row r="4" spans="1:31" ht="17.45" customHeight="1" thickTop="1" x14ac:dyDescent="0.2">
      <c r="A4" s="1016" t="s">
        <v>0</v>
      </c>
      <c r="B4" s="1012">
        <v>1990</v>
      </c>
      <c r="C4" s="1012">
        <v>1991</v>
      </c>
      <c r="D4" s="1012">
        <v>1992</v>
      </c>
      <c r="E4" s="1012">
        <v>1993</v>
      </c>
      <c r="F4" s="1012">
        <v>1994</v>
      </c>
      <c r="G4" s="1012">
        <v>1995</v>
      </c>
      <c r="H4" s="1012">
        <v>1996</v>
      </c>
      <c r="I4" s="1012">
        <v>1997</v>
      </c>
      <c r="J4" s="1012">
        <v>1998</v>
      </c>
      <c r="K4" s="1012">
        <v>1999</v>
      </c>
      <c r="L4" s="1012">
        <v>2000</v>
      </c>
      <c r="M4" s="1012">
        <v>2001</v>
      </c>
      <c r="N4" s="1012">
        <v>2002</v>
      </c>
      <c r="O4" s="967">
        <v>2003</v>
      </c>
      <c r="P4" s="967">
        <v>2004</v>
      </c>
      <c r="Q4" s="967">
        <v>2005</v>
      </c>
      <c r="R4" s="967">
        <v>2006</v>
      </c>
      <c r="S4" s="969">
        <v>2007</v>
      </c>
      <c r="T4" s="1024">
        <v>2008</v>
      </c>
      <c r="U4" s="967">
        <v>2009</v>
      </c>
      <c r="V4" s="971">
        <v>2010</v>
      </c>
      <c r="W4" s="971">
        <v>2011</v>
      </c>
      <c r="Y4" s="967">
        <v>2004</v>
      </c>
      <c r="Z4" s="967">
        <v>2005</v>
      </c>
      <c r="AA4" s="967">
        <v>2006</v>
      </c>
      <c r="AB4" s="969">
        <v>2007</v>
      </c>
      <c r="AC4" s="971">
        <v>2008</v>
      </c>
      <c r="AD4" s="969">
        <v>2009</v>
      </c>
      <c r="AE4" s="971">
        <v>2010</v>
      </c>
    </row>
    <row r="5" spans="1:31" ht="17.45" customHeight="1" thickBot="1" x14ac:dyDescent="0.25">
      <c r="A5" s="1017"/>
      <c r="B5" s="1013"/>
      <c r="C5" s="1013"/>
      <c r="D5" s="1013"/>
      <c r="E5" s="1013"/>
      <c r="F5" s="1013"/>
      <c r="G5" s="1013"/>
      <c r="H5" s="1013"/>
      <c r="I5" s="1013"/>
      <c r="J5" s="1013"/>
      <c r="K5" s="1013"/>
      <c r="L5" s="1013"/>
      <c r="M5" s="1013"/>
      <c r="N5" s="1013"/>
      <c r="O5" s="968"/>
      <c r="P5" s="968"/>
      <c r="Q5" s="968"/>
      <c r="R5" s="968"/>
      <c r="S5" s="970"/>
      <c r="T5" s="1025"/>
      <c r="U5" s="968"/>
      <c r="V5" s="972"/>
      <c r="W5" s="972"/>
      <c r="Y5" s="968"/>
      <c r="Z5" s="968"/>
      <c r="AA5" s="968"/>
      <c r="AB5" s="970"/>
      <c r="AC5" s="972"/>
      <c r="AD5" s="970"/>
      <c r="AE5" s="972"/>
    </row>
    <row r="6" spans="1:31" ht="17.45" customHeight="1" thickTop="1" x14ac:dyDescent="0.2">
      <c r="A6" s="87" t="s">
        <v>187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121"/>
      <c r="R6" s="121"/>
      <c r="S6" s="121"/>
      <c r="T6" s="121"/>
      <c r="U6" s="88"/>
      <c r="V6" s="89"/>
      <c r="W6" s="12"/>
      <c r="Y6" s="2" t="s">
        <v>212</v>
      </c>
    </row>
    <row r="7" spans="1:31" ht="17.45" customHeight="1" x14ac:dyDescent="0.2">
      <c r="A7" s="90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123"/>
      <c r="R7" s="123"/>
      <c r="S7" s="123"/>
      <c r="T7" s="123"/>
      <c r="U7" s="91"/>
      <c r="V7" s="93"/>
      <c r="W7" s="12"/>
    </row>
    <row r="8" spans="1:31" ht="17.45" customHeight="1" x14ac:dyDescent="0.2">
      <c r="A8" s="90" t="s">
        <v>2</v>
      </c>
      <c r="B8" s="94">
        <f>+'Kayu Rimba Luar Jawa slh '!B9+'Kayu Rimba Jawa slh '!B8+'Kayu Jati Jawa slh'!B8</f>
        <v>8644424.6000000015</v>
      </c>
      <c r="C8" s="94">
        <f>+'Kayu Rimba Luar Jawa slh '!C9+'Kayu Rimba Jawa slh '!C8+'Kayu Jati Jawa slh'!C8</f>
        <v>8642977.8000000007</v>
      </c>
      <c r="D8" s="94">
        <f>+'Kayu Rimba Luar Jawa slh '!D9+'Kayu Rimba Jawa slh '!D8+'Kayu Jati Jawa slh'!D8</f>
        <v>8640252.7455536071</v>
      </c>
      <c r="E8" s="94">
        <f>+'Kayu Rimba Luar Jawa slh '!E9+'Kayu Rimba Jawa slh '!E8+'Kayu Jati Jawa slh'!E8</f>
        <v>8619007.1668181363</v>
      </c>
      <c r="F8" s="94">
        <f>+'Kayu Rimba Luar Jawa slh '!F9+'Kayu Rimba Jawa slh '!F8+'Kayu Jati Jawa slh'!F8</f>
        <v>8589076.0102068204</v>
      </c>
      <c r="G8" s="94">
        <f>+'Kayu Rimba Luar Jawa slh '!G9+'Kayu Rimba Jawa slh '!G8+'Kayu Jati Jawa slh'!G8</f>
        <v>8569181.9004384335</v>
      </c>
      <c r="H8" s="94">
        <f>+'Kayu Rimba Luar Jawa slh '!H9+'Kayu Rimba Jawa slh '!H8+'Kayu Jati Jawa slh'!H8</f>
        <v>8548707.6150000039</v>
      </c>
      <c r="I8" s="94">
        <f>+'Kayu Rimba Luar Jawa slh '!I9+'Kayu Rimba Jawa slh '!I8+'Kayu Jati Jawa slh'!I8</f>
        <v>8535616.3050000016</v>
      </c>
      <c r="J8" s="94">
        <f>+'Kayu Rimba Luar Jawa slh '!J9+'Kayu Rimba Jawa slh '!J8+'Kayu Jati Jawa slh'!J8</f>
        <v>8478434.2350000031</v>
      </c>
      <c r="K8" s="94">
        <f>'Jati Jawa'!K8+'Rimba Jawa'!K8+'Rimba Luar Jawa'!K8</f>
        <v>8418105.0770000033</v>
      </c>
      <c r="L8" s="94">
        <f>'Jati Jawa'!L8+'Rimba Jawa'!L8+'Rimba Luar Jawa'!L8</f>
        <v>8345375.3486639438</v>
      </c>
      <c r="M8" s="94">
        <f>'Jati Jawa'!M8+'Rimba Jawa'!M8+'Rimba Luar Jawa'!M8</f>
        <v>8282251.7864561249</v>
      </c>
      <c r="N8" s="94">
        <f>'Jati Jawa'!N8+'Rimba Jawa'!N8+'Rimba Luar Jawa'!N8</f>
        <v>8191498.894572394</v>
      </c>
      <c r="O8" s="94">
        <f>'Jati Jawa'!O8+'Rimba Jawa'!O8+'Rimba Luar Jawa'!O8</f>
        <v>8068944.1353588831</v>
      </c>
      <c r="P8" s="94">
        <f>'Jati Jawa'!P8+'Rimba Jawa'!P8+'Rimba Luar Jawa'!P8</f>
        <v>7925081.7233114932</v>
      </c>
      <c r="Q8" s="122">
        <f>+'Jati Jawa'!Q8+'Rimba Jawa'!Q8+'Rimba Luar Jawa'!Q8</f>
        <v>7753143.3643644927</v>
      </c>
      <c r="R8" s="122">
        <f>+'Jati Jawa'!R8+'Rimba Jawa'!R8+'Rimba Luar Jawa'!R8</f>
        <v>7515887.7574744355</v>
      </c>
      <c r="S8" s="122">
        <f>+'Jati Jawa'!S8+'Rimba Jawa'!S8+'Rimba Luar Jawa'!S8</f>
        <v>7232311.7491272604</v>
      </c>
      <c r="T8" s="122">
        <f>+'Jati Jawa'!T8+'Rimba Jawa'!T8+'Rimba Luar Jawa'!T8</f>
        <v>6941231.3149276897</v>
      </c>
      <c r="U8" s="94">
        <f>+'Jati Jawa'!U8+'Rimba Jawa'!U8+'Rimba Luar Jawa'!U8</f>
        <v>6742572.6057451833</v>
      </c>
      <c r="V8" s="95">
        <f>+'Jati Jawa'!V8+'Rimba Jawa'!V8+'Rimba Luar Jawa'!V8</f>
        <v>6520095.2103007417</v>
      </c>
      <c r="W8" s="95">
        <f>+'Jati Jawa'!W8+'Rimba Jawa'!W8+'Rimba Luar Jawa'!W8</f>
        <v>6271702.0579473842</v>
      </c>
      <c r="Y8" s="137">
        <f>P8/O8*100-100</f>
        <v>-1.782914959306396</v>
      </c>
      <c r="Z8" s="137">
        <f t="shared" ref="Z8:AC14" si="0">Q8/P8*100-100</f>
        <v>-2.1695468255077657</v>
      </c>
      <c r="AA8" s="137">
        <f t="shared" si="0"/>
        <v>-3.0601214983402372</v>
      </c>
      <c r="AB8" s="137">
        <f t="shared" si="0"/>
        <v>-3.7730207993748053</v>
      </c>
      <c r="AC8" s="137">
        <f t="shared" si="0"/>
        <v>-4.0247218910978972</v>
      </c>
      <c r="AD8" s="137">
        <f t="shared" ref="AD8:AD14" si="1">U8/T8*100-100</f>
        <v>-2.8620096373286827</v>
      </c>
      <c r="AE8" s="137">
        <f t="shared" ref="AE8:AE14" si="2">V8/U8*100-100</f>
        <v>-3.2995921357209284</v>
      </c>
    </row>
    <row r="9" spans="1:31" ht="17.45" customHeight="1" x14ac:dyDescent="0.2">
      <c r="A9" s="90" t="s">
        <v>3</v>
      </c>
      <c r="B9" s="94">
        <f>+'Kayu Rimba Luar Jawa slh '!B10+'Kayu Rimba Jawa slh '!B9+'Kayu Jati Jawa slh'!B9</f>
        <v>41982.9</v>
      </c>
      <c r="C9" s="94">
        <f>+'Kayu Rimba Luar Jawa slh '!C10+'Kayu Rimba Jawa slh '!C9+'Kayu Jati Jawa slh'!C9</f>
        <v>43088.145553606788</v>
      </c>
      <c r="D9" s="94">
        <f>+'Kayu Rimba Luar Jawa slh '!D10+'Kayu Rimba Jawa slh '!D9+'Kayu Jati Jawa slh'!D9</f>
        <v>44320.021264527517</v>
      </c>
      <c r="E9" s="94">
        <f>+'Kayu Rimba Luar Jawa slh '!E10+'Kayu Rimba Jawa slh '!E9+'Kayu Jati Jawa slh'!E9</f>
        <v>45618.543388682301</v>
      </c>
      <c r="F9" s="94">
        <f>+'Kayu Rimba Luar Jawa slh '!F10+'Kayu Rimba Jawa slh '!F9+'Kayu Jati Jawa slh'!F9</f>
        <v>47003.130231614057</v>
      </c>
      <c r="G9" s="94">
        <f>+'Kayu Rimba Luar Jawa slh '!G10+'Kayu Rimba Jawa slh '!G9+'Kayu Jati Jawa slh'!G9</f>
        <v>48595.509999999995</v>
      </c>
      <c r="H9" s="94">
        <f>+'Kayu Rimba Luar Jawa slh '!H10+'Kayu Rimba Jawa slh '!H9+'Kayu Jati Jawa slh'!H9</f>
        <v>54426.460000000006</v>
      </c>
      <c r="I9" s="94">
        <f>+'Kayu Rimba Luar Jawa slh '!I10+'Kayu Rimba Jawa slh '!I9+'Kayu Jati Jawa slh'!I9</f>
        <v>55032.56</v>
      </c>
      <c r="J9" s="94">
        <f>+'Kayu Rimba Luar Jawa slh '!J10+'Kayu Rimba Jawa slh '!J9+'Kayu Jati Jawa slh'!J9</f>
        <v>56761.47</v>
      </c>
      <c r="K9" s="94">
        <f>'Jati Jawa'!K9+'Rimba Jawa'!K9+'Rimba Luar Jawa'!K9</f>
        <v>60762.236570020184</v>
      </c>
      <c r="L9" s="94">
        <f>'Jati Jawa'!L9+'Rimba Jawa'!L9+'Rimba Luar Jawa'!L9</f>
        <v>57911.826798800001</v>
      </c>
      <c r="M9" s="94">
        <f>'Jati Jawa'!M9+'Rimba Jawa'!M9+'Rimba Luar Jawa'!M9</f>
        <v>57766.750116919851</v>
      </c>
      <c r="N9" s="94">
        <f>'Jati Jawa'!N9+'Rimba Jawa'!N9+'Rimba Luar Jawa'!N9</f>
        <v>57353.360425551065</v>
      </c>
      <c r="O9" s="94">
        <f>'Jati Jawa'!O9+'Rimba Jawa'!O9+'Rimba Luar Jawa'!O9</f>
        <v>54498.138918854835</v>
      </c>
      <c r="P9" s="94">
        <f>'Jati Jawa'!P9+'Rimba Jawa'!P9+'Rimba Luar Jawa'!P9</f>
        <v>58396.027803000004</v>
      </c>
      <c r="Q9" s="122">
        <f>+'Jati Jawa'!Q9+'Rimba Jawa'!Q9+'Rimba Luar Jawa'!Q9</f>
        <v>53842.346461000001</v>
      </c>
      <c r="R9" s="122">
        <f>+'Jati Jawa'!R9+'Rimba Jawa'!R9+'Rimba Luar Jawa'!R9</f>
        <v>52132.490531000003</v>
      </c>
      <c r="S9" s="122">
        <f>+'Jati Jawa'!S9+'Rimba Jawa'!S9+'Rimba Luar Jawa'!S9</f>
        <v>51780.126382999995</v>
      </c>
      <c r="T9" s="122">
        <f>+'Jati Jawa'!T9+'Rimba Jawa'!T9+'Rimba Luar Jawa'!T9</f>
        <v>50170.416650760002</v>
      </c>
      <c r="U9" s="94">
        <f>+'Jati Jawa'!U9+'Rimba Jawa'!U9+'Rimba Luar Jawa'!U9</f>
        <v>51261.333912494134</v>
      </c>
      <c r="V9" s="95">
        <f>+'Jati Jawa'!V9+'Rimba Jawa'!V9+'Rimba Luar Jawa'!V9</f>
        <v>50866.65119418659</v>
      </c>
      <c r="W9" s="95">
        <f>+'Jati Jawa'!W9+'Rimba Jawa'!W9+'Rimba Luar Jawa'!W9</f>
        <v>51448.149614356968</v>
      </c>
      <c r="Y9" s="137">
        <f t="shared" ref="Y9:Y14" si="3">P9/O9*100-100</f>
        <v>7.1523339355660198</v>
      </c>
      <c r="Z9" s="137">
        <f t="shared" si="0"/>
        <v>-7.7979299505814339</v>
      </c>
      <c r="AA9" s="137">
        <f t="shared" si="0"/>
        <v>-3.1756712743537463</v>
      </c>
      <c r="AB9" s="137">
        <f t="shared" si="0"/>
        <v>-0.6759012362750525</v>
      </c>
      <c r="AC9" s="137">
        <f t="shared" si="0"/>
        <v>-3.1087404467372579</v>
      </c>
      <c r="AD9" s="137">
        <f t="shared" si="1"/>
        <v>2.1744233645259357</v>
      </c>
      <c r="AE9" s="137">
        <f t="shared" si="2"/>
        <v>-0.76994234871314404</v>
      </c>
    </row>
    <row r="10" spans="1:31" ht="17.45" customHeight="1" x14ac:dyDescent="0.2">
      <c r="A10" s="90" t="s">
        <v>4</v>
      </c>
      <c r="B10" s="94">
        <f>+'Kayu Rimba Luar Jawa slh '!B11+'Kayu Rimba Jawa slh '!B10+'Kayu Jati Jawa slh'!B10</f>
        <v>789.99999999999989</v>
      </c>
      <c r="C10" s="94">
        <f>+'Kayu Rimba Luar Jawa slh '!C11+'Kayu Rimba Jawa slh '!C10+'Kayu Jati Jawa slh'!C10</f>
        <v>1152.3</v>
      </c>
      <c r="D10" s="94">
        <f>+'Kayu Rimba Luar Jawa slh '!D11+'Kayu Rimba Jawa slh '!D10+'Kayu Jati Jawa slh'!D10</f>
        <v>1131.1999999999998</v>
      </c>
      <c r="E10" s="94">
        <f>+'Kayu Rimba Luar Jawa slh '!E11+'Kayu Rimba Jawa slh '!E10+'Kayu Jati Jawa slh'!E10</f>
        <v>1601.8</v>
      </c>
      <c r="F10" s="94">
        <f>+'Kayu Rimba Luar Jawa slh '!F11+'Kayu Rimba Jawa slh '!F10+'Kayu Jati Jawa slh'!F10</f>
        <v>1367.46</v>
      </c>
      <c r="G10" s="94">
        <f>+'Kayu Rimba Luar Jawa slh '!G11+'Kayu Rimba Jawa slh '!G10+'Kayu Jati Jawa slh'!G10</f>
        <v>1674.2</v>
      </c>
      <c r="H10" s="94">
        <f>+'Kayu Rimba Luar Jawa slh '!H11+'Kayu Rimba Jawa slh '!H10+'Kayu Jati Jawa slh'!H10</f>
        <v>2654.0299999999997</v>
      </c>
      <c r="I10" s="94">
        <f>+'Kayu Rimba Luar Jawa slh '!I11+'Kayu Rimba Jawa slh '!I10+'Kayu Jati Jawa slh'!I10</f>
        <v>2266.5899999999997</v>
      </c>
      <c r="J10" s="94">
        <f>+'Kayu Rimba Luar Jawa slh '!J11+'Kayu Rimba Jawa slh '!J10+'Kayu Jati Jawa slh'!J10</f>
        <v>1681.4900000000002</v>
      </c>
      <c r="K10" s="94">
        <f>'Jati Jawa'!K10+'Rimba Jawa'!K10+'Rimba Luar Jawa'!K10</f>
        <v>1439.1996924109028</v>
      </c>
      <c r="L10" s="94">
        <f>'Jati Jawa'!L10+'Rimba Jawa'!L10+'Rimba Luar Jawa'!L10</f>
        <v>3484.984845821662</v>
      </c>
      <c r="M10" s="94">
        <f>'Jati Jawa'!M10+'Rimba Jawa'!M10+'Rimba Luar Jawa'!M10</f>
        <v>1406.3485546802056</v>
      </c>
      <c r="N10" s="94">
        <f>'Jati Jawa'!N10+'Rimba Jawa'!N10+'Rimba Luar Jawa'!N10</f>
        <v>5053.5776562208221</v>
      </c>
      <c r="O10" s="94">
        <f>'Jati Jawa'!O10+'Rimba Jawa'!O10+'Rimba Luar Jawa'!O10</f>
        <v>5971.3367500000004</v>
      </c>
      <c r="P10" s="94">
        <f>'Jati Jawa'!P10+'Rimba Jawa'!P10+'Rimba Luar Jawa'!P10</f>
        <v>5670.3172500000001</v>
      </c>
      <c r="Q10" s="122">
        <f>+'Jati Jawa'!Q10+'Rimba Jawa'!Q10+'Rimba Luar Jawa'!Q10</f>
        <v>5580.4384</v>
      </c>
      <c r="R10" s="122">
        <f>+'Jati Jawa'!R10+'Rimba Jawa'!R10+'Rimba Luar Jawa'!R10</f>
        <v>7265.3378275000005</v>
      </c>
      <c r="S10" s="122">
        <f>+'Jati Jawa'!S10+'Rimba Jawa'!S10+'Rimba Luar Jawa'!S10</f>
        <v>6472.968113915751</v>
      </c>
      <c r="T10" s="122">
        <f>+'Jati Jawa'!T10+'Rimba Jawa'!T10+'Rimba Luar Jawa'!T10</f>
        <v>8137.2246285166129</v>
      </c>
      <c r="U10" s="94">
        <f>+'Jati Jawa'!U10+'Rimba Jawa'!U10+'Rimba Luar Jawa'!U10</f>
        <v>6148.9568817272393</v>
      </c>
      <c r="V10" s="95">
        <f>+'Jati Jawa'!V10+'Rimba Jawa'!V10+'Rimba Luar Jawa'!V10</f>
        <v>4580.2792971742019</v>
      </c>
      <c r="W10" s="95">
        <f>+'Jati Jawa'!W10+'Rimba Jawa'!W10+'Rimba Luar Jawa'!W10</f>
        <v>4895.5931058001479</v>
      </c>
      <c r="Y10" s="137">
        <f t="shared" si="3"/>
        <v>-5.041073927039875</v>
      </c>
      <c r="Z10" s="137">
        <f t="shared" si="0"/>
        <v>-1.5850762142100621</v>
      </c>
      <c r="AA10" s="137">
        <f t="shared" si="0"/>
        <v>30.192958092683199</v>
      </c>
      <c r="AB10" s="137">
        <f t="shared" si="0"/>
        <v>-10.906164756510762</v>
      </c>
      <c r="AC10" s="137">
        <f t="shared" si="0"/>
        <v>25.710871509207678</v>
      </c>
      <c r="AD10" s="137">
        <f t="shared" si="1"/>
        <v>-24.434224659616248</v>
      </c>
      <c r="AE10" s="137">
        <f t="shared" si="2"/>
        <v>-25.511279632073084</v>
      </c>
    </row>
    <row r="11" spans="1:31" ht="17.45" customHeight="1" x14ac:dyDescent="0.2">
      <c r="A11" s="90" t="s">
        <v>13</v>
      </c>
      <c r="B11" s="94">
        <f>+'Kayu Rimba Luar Jawa slh '!B12+'Kayu Rimba Jawa slh '!B11+'Kayu Jati Jawa slh'!B11</f>
        <v>15665.800000000001</v>
      </c>
      <c r="C11" s="94">
        <f>+'Kayu Rimba Luar Jawa slh '!C12+'Kayu Rimba Jawa slh '!C11+'Kayu Jati Jawa slh'!C11</f>
        <v>18825.8</v>
      </c>
      <c r="D11" s="94">
        <f>+'Kayu Rimba Luar Jawa slh '!D12+'Kayu Rimba Jawa slh '!D11+'Kayu Jati Jawa slh'!D11</f>
        <v>38007.4</v>
      </c>
      <c r="E11" s="94">
        <f>+'Kayu Rimba Luar Jawa slh '!E12+'Kayu Rimba Jawa slh '!E11+'Kayu Jati Jawa slh'!E11</f>
        <v>47597.7</v>
      </c>
      <c r="F11" s="94">
        <f>+'Kayu Rimba Luar Jawa slh '!F12+'Kayu Rimba Jawa slh '!F11+'Kayu Jati Jawa slh'!F11</f>
        <v>38563.299999999996</v>
      </c>
      <c r="G11" s="94">
        <f>+'Kayu Rimba Luar Jawa slh '!G12+'Kayu Rimba Jawa slh '!G11+'Kayu Jati Jawa slh'!G11</f>
        <v>41077.1</v>
      </c>
      <c r="H11" s="94">
        <f>+'Kayu Rimba Luar Jawa slh '!H12+'Kayu Rimba Jawa slh '!H11+'Kayu Jati Jawa slh'!H11</f>
        <v>40078.83</v>
      </c>
      <c r="I11" s="94">
        <f>+'Kayu Rimba Luar Jawa slh '!I12+'Kayu Rimba Jawa slh '!I11+'Kayu Jati Jawa slh'!I11</f>
        <v>80250.98</v>
      </c>
      <c r="J11" s="94">
        <f>+'Kayu Rimba Luar Jawa slh '!J12+'Kayu Rimba Jawa slh '!J11+'Kayu Jati Jawa slh'!J11</f>
        <v>93239.37999999999</v>
      </c>
      <c r="K11" s="94">
        <f>'Jati Jawa'!K11+'Rimba Jawa'!K11+'Rimba Luar Jawa'!K11</f>
        <v>109191.15284669014</v>
      </c>
      <c r="L11" s="94">
        <f>'Jati Jawa'!L11+'Rimba Jawa'!L11+'Rimba Luar Jawa'!L11</f>
        <v>98258.310368640392</v>
      </c>
      <c r="M11" s="94">
        <f>'Jati Jawa'!M11+'Rimba Jawa'!M11+'Rimba Luar Jawa'!M11</f>
        <v>123847.91603265889</v>
      </c>
      <c r="N11" s="94">
        <f>'Jati Jawa'!N11+'Rimba Jawa'!N11+'Rimba Luar Jawa'!N11</f>
        <v>159469.83513567722</v>
      </c>
      <c r="O11" s="94">
        <f>'Jati Jawa'!O11+'Rimba Jawa'!O11+'Rimba Luar Jawa'!O11</f>
        <v>180187.66454722555</v>
      </c>
      <c r="P11" s="94">
        <f>'Jati Jawa'!P11+'Rimba Jawa'!P11+'Rimba Luar Jawa'!P11</f>
        <v>211464.91699999999</v>
      </c>
      <c r="Q11" s="122">
        <f>+'Jati Jawa'!Q11+'Rimba Jawa'!Q11+'Rimba Luar Jawa'!Q11</f>
        <v>253701.29476995885</v>
      </c>
      <c r="R11" s="122">
        <f>+'Jati Jawa'!R11+'Rimba Jawa'!R11+'Rimba Luar Jawa'!R11</f>
        <v>304112.88914633024</v>
      </c>
      <c r="S11" s="122">
        <f>+'Jati Jawa'!S11+'Rimba Jawa'!S11+'Rimba Luar Jawa'!S11</f>
        <v>293287.97084457043</v>
      </c>
      <c r="T11" s="122">
        <f>+'Jati Jawa'!T11+'Rimba Jawa'!T11+'Rimba Luar Jawa'!T11</f>
        <v>207360.79603614245</v>
      </c>
      <c r="U11" s="94">
        <f>+'Jati Jawa'!U11+'Rimba Jawa'!U11+'Rimba Luar Jawa'!U11</f>
        <v>227997.26481064648</v>
      </c>
      <c r="V11" s="95">
        <f>+'Jati Jawa'!V11+'Rimba Jawa'!V11+'Rimba Luar Jawa'!V11</f>
        <v>249399.68605971162</v>
      </c>
      <c r="W11" s="95">
        <f>+'Jati Jawa'!W11+'Rimba Jawa'!W11+'Rimba Luar Jawa'!W11</f>
        <v>278383.26372461655</v>
      </c>
      <c r="Y11" s="137">
        <f t="shared" si="3"/>
        <v>17.358154084169811</v>
      </c>
      <c r="Z11" s="137">
        <f t="shared" si="0"/>
        <v>19.97323166847525</v>
      </c>
      <c r="AA11" s="137">
        <f t="shared" si="0"/>
        <v>19.870452148098664</v>
      </c>
      <c r="AB11" s="137">
        <f t="shared" si="0"/>
        <v>-3.5595065806471524</v>
      </c>
      <c r="AC11" s="137">
        <f t="shared" si="0"/>
        <v>-29.297885815427989</v>
      </c>
      <c r="AD11" s="137">
        <f t="shared" si="1"/>
        <v>9.9519625546321322</v>
      </c>
      <c r="AE11" s="137">
        <f t="shared" si="2"/>
        <v>9.3871394759231066</v>
      </c>
    </row>
    <row r="12" spans="1:31" ht="17.45" customHeight="1" x14ac:dyDescent="0.2">
      <c r="A12" s="90" t="s">
        <v>5</v>
      </c>
      <c r="B12" s="94">
        <f>+'Kayu Rimba Luar Jawa slh '!B13+'Kayu Rimba Jawa slh '!B12+'Kayu Jati Jawa slh'!B12</f>
        <v>28553.899999999998</v>
      </c>
      <c r="C12" s="94">
        <f>+'Kayu Rimba Luar Jawa slh '!C13+'Kayu Rimba Jawa slh '!C12+'Kayu Jati Jawa slh'!C12</f>
        <v>28139.699999999997</v>
      </c>
      <c r="D12" s="94">
        <f>+'Kayu Rimba Luar Jawa slh '!D13+'Kayu Rimba Jawa slh '!D12+'Kayu Jati Jawa slh'!D12</f>
        <v>28689.399999999998</v>
      </c>
      <c r="E12" s="94">
        <f>+'Kayu Rimba Luar Jawa slh '!E13+'Kayu Rimba Jawa slh '!E12+'Kayu Jati Jawa slh'!E12</f>
        <v>29553.8</v>
      </c>
      <c r="F12" s="94">
        <f>+'Kayu Rimba Luar Jawa slh '!F13+'Kayu Rimba Jawa slh '!F12+'Kayu Jati Jawa slh'!F12</f>
        <v>29701.4</v>
      </c>
      <c r="G12" s="94">
        <f>+'Kayu Rimba Luar Jawa slh '!G13+'Kayu Rimba Jawa slh '!G12+'Kayu Jati Jawa slh'!G12</f>
        <v>29666.9</v>
      </c>
      <c r="H12" s="94">
        <f>+'Kayu Rimba Luar Jawa slh '!H13+'Kayu Rimba Jawa slh '!H12+'Kayu Jati Jawa slh'!H12</f>
        <v>30092.97</v>
      </c>
      <c r="I12" s="94">
        <f>+'Kayu Rimba Luar Jawa slh '!I13+'Kayu Rimba Jawa slh '!I12+'Kayu Jati Jawa slh'!I12</f>
        <v>34230.239999999998</v>
      </c>
      <c r="J12" s="94">
        <f>+'Kayu Rimba Luar Jawa slh '!J13+'Kayu Rimba Jawa slh '!J12+'Kayu Jati Jawa slh'!J12</f>
        <v>25532.74</v>
      </c>
      <c r="K12" s="94">
        <f>'Jati Jawa'!K12+'Rimba Jawa'!K12+'Rimba Luar Jawa'!K12</f>
        <v>25740.011751799997</v>
      </c>
      <c r="L12" s="94">
        <f>'Jati Jawa'!L12+'Rimba Jawa'!L12+'Rimba Luar Jawa'!L12</f>
        <v>26262.063483800757</v>
      </c>
      <c r="M12" s="94">
        <f>'Jati Jawa'!M12+'Rimba Jawa'!M12+'Rimba Luar Jawa'!M12</f>
        <v>26078.074522671817</v>
      </c>
      <c r="N12" s="94">
        <f>'Jati Jawa'!N12+'Rimba Jawa'!N12+'Rimba Luar Jawa'!N12</f>
        <v>25491.862159605022</v>
      </c>
      <c r="O12" s="94">
        <f>'Jati Jawa'!O12+'Rimba Jawa'!O12+'Rimba Luar Jawa'!O12</f>
        <v>24144.223169018846</v>
      </c>
      <c r="P12" s="94">
        <f>'Jati Jawa'!P12+'Rimba Jawa'!P12+'Rimba Luar Jawa'!P12</f>
        <v>24539.787</v>
      </c>
      <c r="Q12" s="122">
        <f>+'Jati Jawa'!Q12+'Rimba Jawa'!Q12+'Rimba Luar Jawa'!Q12</f>
        <v>42977.096981098759</v>
      </c>
      <c r="R12" s="122">
        <f>+'Jati Jawa'!R12+'Rimba Jawa'!R12+'Rimba Luar Jawa'!R12</f>
        <v>38860.94755934499</v>
      </c>
      <c r="S12" s="122">
        <f>+'Jati Jawa'!S12+'Rimba Jawa'!S12+'Rimba Luar Jawa'!S12</f>
        <v>56045.557851917423</v>
      </c>
      <c r="T12" s="122">
        <f>+'Jati Jawa'!T12+'Rimba Jawa'!T12+'Rimba Luar Jawa'!T12</f>
        <v>49605.554425640374</v>
      </c>
      <c r="U12" s="94">
        <f>+'Jati Jawa'!U12+'Rimba Jawa'!U12+'Rimba Luar Jawa'!U12</f>
        <v>51890.421428016263</v>
      </c>
      <c r="V12" s="95">
        <f>+'Jati Jawa'!V12+'Rimba Jawa'!V12+'Rimba Luar Jawa'!V12</f>
        <v>54440.396785007055</v>
      </c>
      <c r="W12" s="95">
        <f>+'Jati Jawa'!W12+'Rimba Jawa'!W12+'Rimba Luar Jawa'!W12</f>
        <v>50929.868955743776</v>
      </c>
      <c r="Y12" s="137">
        <f t="shared" si="3"/>
        <v>1.6383373704428266</v>
      </c>
      <c r="Z12" s="137">
        <f t="shared" si="0"/>
        <v>75.132314641112259</v>
      </c>
      <c r="AA12" s="137">
        <f t="shared" si="0"/>
        <v>-9.5775417859518086</v>
      </c>
      <c r="AB12" s="137">
        <f t="shared" si="0"/>
        <v>44.22077013518421</v>
      </c>
      <c r="AC12" s="137">
        <f t="shared" si="0"/>
        <v>-11.490658088001751</v>
      </c>
      <c r="AD12" s="137">
        <f t="shared" si="1"/>
        <v>4.6060708903091552</v>
      </c>
      <c r="AE12" s="137">
        <f t="shared" si="2"/>
        <v>4.9141542635728683</v>
      </c>
    </row>
    <row r="13" spans="1:31" ht="17.45" customHeight="1" x14ac:dyDescent="0.2">
      <c r="A13" s="90" t="s">
        <v>99</v>
      </c>
      <c r="B13" s="94">
        <f>+'Kayu Rimba Luar Jawa slh '!B14+'Kayu Rimba Jawa slh '!B13+'Kayu Jati Jawa slh'!B13</f>
        <v>-1446.7999999992717</v>
      </c>
      <c r="C13" s="94">
        <f>+'Kayu Rimba Luar Jawa slh '!C14+'Kayu Rimba Jawa slh '!C13+'Kayu Jati Jawa slh'!C13</f>
        <v>-2725.0544463924816</v>
      </c>
      <c r="D13" s="94">
        <f>+'Kayu Rimba Luar Jawa slh '!D14+'Kayu Rimba Jawa slh '!D13+'Kayu Jati Jawa slh'!D13</f>
        <v>-21245.578735471739</v>
      </c>
      <c r="E13" s="94">
        <f>+'Kayu Rimba Luar Jawa slh '!E14+'Kayu Rimba Jawa slh '!E13+'Kayu Jati Jawa slh'!E13</f>
        <v>-29931.156611316947</v>
      </c>
      <c r="F13" s="94">
        <f>+'Kayu Rimba Luar Jawa slh '!F14+'Kayu Rimba Jawa slh '!F13+'Kayu Jati Jawa slh'!F13</f>
        <v>-19894.109768385788</v>
      </c>
      <c r="G13" s="94">
        <f>+'Kayu Rimba Luar Jawa slh '!G14+'Kayu Rimba Jawa slh '!G13+'Kayu Jati Jawa slh'!G13</f>
        <v>-20474.289999999281</v>
      </c>
      <c r="H13" s="94">
        <f>+'Kayu Rimba Luar Jawa slh '!H14+'Kayu Rimba Jawa slh '!H13+'Kayu Jati Jawa slh'!H13</f>
        <v>-13091.310000001482</v>
      </c>
      <c r="I13" s="94">
        <f>+'Kayu Rimba Luar Jawa slh '!I14+'Kayu Rimba Jawa slh '!I13+'Kayu Jati Jawa slh'!I13</f>
        <v>-57182.070000000196</v>
      </c>
      <c r="J13" s="94">
        <f>+'Kayu Rimba Luar Jawa slh '!J14+'Kayu Rimba Jawa slh '!J13+'Kayu Jati Jawa slh'!J13</f>
        <v>-60329.159999999574</v>
      </c>
      <c r="K13" s="94">
        <f>'Jati Jawa'!K13+'Rimba Jawa'!K13+'Rimba Luar Jawa'!K13</f>
        <v>-72729.72833605847</v>
      </c>
      <c r="L13" s="94">
        <f>'Jati Jawa'!L13+'Rimba Jawa'!L13+'Rimba Luar Jawa'!L13</f>
        <v>-63123.562207819195</v>
      </c>
      <c r="M13" s="94">
        <f>'Jati Jawa'!M13+'Rimba Jawa'!M13+'Rimba Luar Jawa'!M13</f>
        <v>-90752.89188373147</v>
      </c>
      <c r="N13" s="94">
        <f>'Jati Jawa'!N13+'Rimba Jawa'!N13+'Rimba Luar Jawa'!N13</f>
        <v>-122554.75921351033</v>
      </c>
      <c r="O13" s="94">
        <f>'Jati Jawa'!O13+'Rimba Jawa'!O13+'Rimba Luar Jawa'!O13</f>
        <v>-143862.41204738981</v>
      </c>
      <c r="P13" s="94">
        <f>'Jati Jawa'!P13+'Rimba Jawa'!P13+'Rimba Luar Jawa'!P13</f>
        <v>-171938.3589470007</v>
      </c>
      <c r="Q13" s="122">
        <f>+'Jati Jawa'!Q13+'Rimba Jawa'!Q13+'Rimba Luar Jawa'!Q13</f>
        <v>-237255.60689005675</v>
      </c>
      <c r="R13" s="122">
        <f>+'Jati Jawa'!R13+'Rimba Jawa'!R13+'Rimba Luar Jawa'!R13</f>
        <v>-283576.00834717584</v>
      </c>
      <c r="S13" s="122">
        <f>+'Jati Jawa'!S13+'Rimba Jawa'!S13+'Rimba Luar Jawa'!S13</f>
        <v>-291080.43419957085</v>
      </c>
      <c r="T13" s="122">
        <f>+'Jati Jawa'!T13+'Rimba Jawa'!T13+'Rimba Luar Jawa'!T13</f>
        <v>-198658.70918250579</v>
      </c>
      <c r="U13" s="94">
        <f>+'Jati Jawa'!U13+'Rimba Jawa'!U13+'Rimba Luar Jawa'!U13</f>
        <v>-222477.39544444124</v>
      </c>
      <c r="V13" s="95">
        <f>+'Jati Jawa'!V13+'Rimba Jawa'!V13+'Rimba Luar Jawa'!V13</f>
        <v>-248393.15235335752</v>
      </c>
      <c r="W13" s="95">
        <f>+'Jati Jawa'!W13+'Rimba Jawa'!W13+'Rimba Luar Jawa'!W13</f>
        <v>-272969.38996020216</v>
      </c>
      <c r="Y13" s="137">
        <f t="shared" si="3"/>
        <v>19.515832176067207</v>
      </c>
      <c r="Z13" s="137">
        <f t="shared" si="0"/>
        <v>37.988758496403847</v>
      </c>
      <c r="AA13" s="137">
        <f t="shared" si="0"/>
        <v>19.523416986551467</v>
      </c>
      <c r="AB13" s="137">
        <f t="shared" si="0"/>
        <v>2.6463542865049021</v>
      </c>
      <c r="AC13" s="137">
        <f t="shared" si="0"/>
        <v>-31.751266714718028</v>
      </c>
      <c r="AD13" s="137">
        <f t="shared" si="1"/>
        <v>11.989751851278484</v>
      </c>
      <c r="AE13" s="137">
        <f t="shared" si="2"/>
        <v>11.648714628802907</v>
      </c>
    </row>
    <row r="14" spans="1:31" ht="17.45" customHeight="1" x14ac:dyDescent="0.2">
      <c r="A14" s="90" t="s">
        <v>10</v>
      </c>
      <c r="B14" s="94">
        <f>+'Kayu Rimba Luar Jawa slh '!B15+'Kayu Rimba Jawa slh '!B14+'Kayu Jati Jawa slh'!B14</f>
        <v>8642977.8000000007</v>
      </c>
      <c r="C14" s="94">
        <f>+'Kayu Rimba Luar Jawa slh '!C15+'Kayu Rimba Jawa slh '!C14+'Kayu Jati Jawa slh'!C14</f>
        <v>8640252.7455536071</v>
      </c>
      <c r="D14" s="94">
        <f>+'Kayu Rimba Luar Jawa slh '!D15+'Kayu Rimba Jawa slh '!D14+'Kayu Jati Jawa slh'!D14</f>
        <v>8619007.1668181363</v>
      </c>
      <c r="E14" s="94">
        <f>+'Kayu Rimba Luar Jawa slh '!E15+'Kayu Rimba Jawa slh '!E14+'Kayu Jati Jawa slh'!E14</f>
        <v>8589076.0102068204</v>
      </c>
      <c r="F14" s="94">
        <f>+'Kayu Rimba Luar Jawa slh '!F15+'Kayu Rimba Jawa slh '!F14+'Kayu Jati Jawa slh'!F14</f>
        <v>8569181.9004384335</v>
      </c>
      <c r="G14" s="94">
        <f>+'Kayu Rimba Luar Jawa slh '!G15+'Kayu Rimba Jawa slh '!G14+'Kayu Jati Jawa slh'!G14</f>
        <v>8548707.6104384344</v>
      </c>
      <c r="H14" s="94">
        <f>+'Kayu Rimba Luar Jawa slh '!H15+'Kayu Rimba Jawa slh '!H14+'Kayu Jati Jawa slh'!H14</f>
        <v>8535616.3050000016</v>
      </c>
      <c r="I14" s="94">
        <f>+'Kayu Rimba Luar Jawa slh '!I15+'Kayu Rimba Jawa slh '!I14+'Kayu Jati Jawa slh'!I14</f>
        <v>8478434.2350000031</v>
      </c>
      <c r="J14" s="94">
        <f>+'Kayu Rimba Luar Jawa slh '!J15+'Kayu Rimba Jawa slh '!J14+'Kayu Jati Jawa slh'!J14</f>
        <v>8418105.075000003</v>
      </c>
      <c r="K14" s="94">
        <f>'Jati Jawa'!K14+'Rimba Jawa'!K14+'Rimba Luar Jawa'!K14</f>
        <v>8345375.3486639438</v>
      </c>
      <c r="L14" s="94">
        <f>'Jati Jawa'!L14+'Rimba Jawa'!L14+'Rimba Luar Jawa'!L14</f>
        <v>8282251.7864561249</v>
      </c>
      <c r="M14" s="94">
        <f>'Jati Jawa'!M14+'Rimba Jawa'!M14+'Rimba Luar Jawa'!M14</f>
        <v>8191498.894572394</v>
      </c>
      <c r="N14" s="94">
        <f>'Jati Jawa'!N14+'Rimba Jawa'!N14+'Rimba Luar Jawa'!N14</f>
        <v>8068944.1353588831</v>
      </c>
      <c r="O14" s="94">
        <f>'Jati Jawa'!O14+'Rimba Jawa'!O14+'Rimba Luar Jawa'!O14</f>
        <v>7925081.7233114932</v>
      </c>
      <c r="P14" s="94">
        <f>'Jati Jawa'!P14+'Rimba Jawa'!P14+'Rimba Luar Jawa'!P14</f>
        <v>7753143.3643644927</v>
      </c>
      <c r="Q14" s="122">
        <f>+'Jati Jawa'!Q14+'Rimba Jawa'!Q14+'Rimba Luar Jawa'!Q14</f>
        <v>7515887.7574744355</v>
      </c>
      <c r="R14" s="122">
        <f>+'Jati Jawa'!R14+'Rimba Jawa'!R14+'Rimba Luar Jawa'!R14</f>
        <v>7232311.7491272604</v>
      </c>
      <c r="S14" s="122">
        <f>+'Jati Jawa'!S14+'Rimba Jawa'!S14+'Rimba Luar Jawa'!S14</f>
        <v>6941231.3149276897</v>
      </c>
      <c r="T14" s="122">
        <f>+'Jati Jawa'!T14+'Rimba Jawa'!T14+'Rimba Luar Jawa'!T14</f>
        <v>6742572.6057451833</v>
      </c>
      <c r="U14" s="94">
        <f>+'Jati Jawa'!U14+'Rimba Jawa'!U14+'Rimba Luar Jawa'!U14</f>
        <v>6520095.2103007417</v>
      </c>
      <c r="V14" s="95">
        <f>+'Jati Jawa'!V14+'Rimba Jawa'!V14+'Rimba Luar Jawa'!V14</f>
        <v>6271702.0579473842</v>
      </c>
      <c r="W14" s="95">
        <f>+'Jati Jawa'!W14+'Rimba Jawa'!W14+'Rimba Luar Jawa'!W14</f>
        <v>5998732.6679871827</v>
      </c>
      <c r="Y14" s="137">
        <f t="shared" si="3"/>
        <v>-2.1695468255077657</v>
      </c>
      <c r="Z14" s="137">
        <f t="shared" si="0"/>
        <v>-3.0601214983402372</v>
      </c>
      <c r="AA14" s="137">
        <f t="shared" si="0"/>
        <v>-3.7730207993748053</v>
      </c>
      <c r="AB14" s="137">
        <f t="shared" si="0"/>
        <v>-4.0247218910978972</v>
      </c>
      <c r="AC14" s="137">
        <f t="shared" si="0"/>
        <v>-2.8620096373286827</v>
      </c>
      <c r="AD14" s="137">
        <f t="shared" si="1"/>
        <v>-3.2995921357209284</v>
      </c>
      <c r="AE14" s="137">
        <f t="shared" si="2"/>
        <v>-3.8096552940045285</v>
      </c>
    </row>
    <row r="15" spans="1:31" ht="17.45" customHeight="1" x14ac:dyDescent="0.2">
      <c r="A15" s="90"/>
      <c r="B15" s="91"/>
      <c r="C15" s="94"/>
      <c r="D15" s="94"/>
      <c r="E15" s="94"/>
      <c r="F15" s="94"/>
      <c r="G15" s="94"/>
      <c r="H15" s="94"/>
      <c r="I15" s="94"/>
      <c r="J15" s="94"/>
      <c r="K15" s="103"/>
      <c r="L15" s="103"/>
      <c r="M15" s="103"/>
      <c r="N15" s="103"/>
      <c r="O15" s="103"/>
      <c r="P15" s="103"/>
      <c r="Q15" s="124"/>
      <c r="R15" s="124"/>
      <c r="S15" s="124"/>
      <c r="T15" s="124"/>
      <c r="U15" s="103"/>
      <c r="V15" s="104"/>
      <c r="W15" s="104"/>
    </row>
    <row r="16" spans="1:31" ht="17.45" customHeight="1" x14ac:dyDescent="0.2">
      <c r="A16" s="90" t="s">
        <v>7</v>
      </c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1"/>
      <c r="N16" s="91"/>
      <c r="O16" s="91"/>
      <c r="P16" s="91"/>
      <c r="Q16" s="123"/>
      <c r="R16" s="123"/>
      <c r="S16" s="123"/>
      <c r="T16" s="123"/>
      <c r="U16" s="91"/>
      <c r="V16" s="93"/>
      <c r="W16" s="93"/>
    </row>
    <row r="17" spans="1:31" ht="17.45" customHeight="1" x14ac:dyDescent="0.2">
      <c r="A17" s="90" t="s">
        <v>147</v>
      </c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1"/>
      <c r="N17" s="91"/>
      <c r="O17" s="91"/>
      <c r="P17" s="91"/>
      <c r="Q17" s="123"/>
      <c r="R17" s="123"/>
      <c r="S17" s="123"/>
      <c r="T17" s="123"/>
      <c r="U17" s="91"/>
      <c r="V17" s="93"/>
      <c r="W17" s="93"/>
    </row>
    <row r="18" spans="1:31" ht="17.45" customHeight="1" x14ac:dyDescent="0.2">
      <c r="A18" s="90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1"/>
      <c r="N18" s="91"/>
      <c r="O18" s="91"/>
      <c r="P18" s="91"/>
      <c r="Q18" s="123"/>
      <c r="R18" s="123"/>
      <c r="S18" s="123"/>
      <c r="T18" s="123"/>
      <c r="U18" s="91"/>
      <c r="V18" s="93"/>
      <c r="W18" s="93"/>
    </row>
    <row r="19" spans="1:31" ht="17.45" customHeight="1" x14ac:dyDescent="0.2">
      <c r="A19" s="90" t="s">
        <v>2</v>
      </c>
      <c r="B19" s="94">
        <f>+'Kayu Rimba Luar Jawa slh '!B22+'Kayu Rimba Jawa slh '!B21+'Kayu Jati Jawa slh'!B21</f>
        <v>74108.901999999987</v>
      </c>
      <c r="C19" s="94">
        <f>+'Kayu Rimba Luar Jawa slh '!C22+'Kayu Rimba Jawa slh '!C21+'Kayu Jati Jawa slh'!C21</f>
        <v>83802.549727999998</v>
      </c>
      <c r="D19" s="94">
        <f>+'Kayu Rimba Luar Jawa slh '!D22+'Kayu Rimba Jawa slh '!D21+'Kayu Jati Jawa slh'!D21</f>
        <v>97018.889627658718</v>
      </c>
      <c r="E19" s="94">
        <f>+'Kayu Rimba Luar Jawa slh '!E22+'Kayu Rimba Jawa slh '!E21+'Kayu Jati Jawa slh'!E21</f>
        <v>106869.61655282456</v>
      </c>
      <c r="F19" s="94">
        <f>+'Kayu Rimba Luar Jawa slh '!F22+'Kayu Rimba Jawa slh '!F21+'Kayu Jati Jawa slh'!F21</f>
        <v>122616.50258925605</v>
      </c>
      <c r="G19" s="94">
        <f>+'Kayu Rimba Luar Jawa slh '!G22+'Kayu Rimba Jawa slh '!G21+'Kayu Jati Jawa slh'!G21</f>
        <v>137325.2292392214</v>
      </c>
      <c r="H19" s="94">
        <f>+'Kayu Rimba Luar Jawa slh '!H22+'Kayu Rimba Jawa slh '!H21+'Kayu Jati Jawa slh'!H21</f>
        <v>151455.57433786406</v>
      </c>
      <c r="I19" s="94">
        <f>+'Kayu Rimba Luar Jawa slh '!I22+'Kayu Rimba Jawa slh '!I21+'Kayu Jati Jawa slh'!I21</f>
        <v>172093.50537732209</v>
      </c>
      <c r="J19" s="94">
        <f>+'Kayu Rimba Luar Jawa slh '!J22+'Kayu Rimba Jawa slh '!J21+'Kayu Jati Jawa slh'!J21</f>
        <v>192878.96432275863</v>
      </c>
      <c r="K19" s="94">
        <f>'Jati Jawa'!K21+'Rimba Jawa'!K21+'Rimba Luar Jawa'!K21</f>
        <v>197640.93133466132</v>
      </c>
      <c r="L19" s="94">
        <f>'Jati Jawa'!L21+'Rimba Jawa'!L21+'Rimba Luar Jawa'!L21</f>
        <v>244516.24932857006</v>
      </c>
      <c r="M19" s="94">
        <f>'Jati Jawa'!M21+'Rimba Jawa'!M21+'Rimba Luar Jawa'!M21</f>
        <v>255163.72132394946</v>
      </c>
      <c r="N19" s="94">
        <f>'Jati Jawa'!N21+'Rimba Jawa'!N21+'Rimba Luar Jawa'!N21</f>
        <v>245748.70644995093</v>
      </c>
      <c r="O19" s="94">
        <f>'Jati Jawa'!O21+'Rimba Jawa'!O21+'Rimba Luar Jawa'!O21</f>
        <v>251003.76130518134</v>
      </c>
      <c r="P19" s="94">
        <f>'Jati Jawa'!P21+'Rimba Jawa'!P21+'Rimba Luar Jawa'!P21</f>
        <v>261590.3938212358</v>
      </c>
      <c r="Q19" s="122">
        <f>+'Jati Jawa'!Q21+'Rimba Jawa'!Q21+'Rimba Luar Jawa'!Q21</f>
        <v>280224.9530131761</v>
      </c>
      <c r="R19" s="122">
        <f>+'Jati Jawa'!R21+'Rimba Jawa'!R21+'Rimba Luar Jawa'!R21</f>
        <v>308313.83951715706</v>
      </c>
      <c r="S19" s="122">
        <f>+'Jati Jawa'!S21+'Rimba Jawa'!S21+'Rimba Luar Jawa'!S21</f>
        <v>423393.60660448088</v>
      </c>
      <c r="T19" s="122">
        <f>+'Jati Jawa'!T21+'Rimba Jawa'!T21+'Rimba Luar Jawa'!T21</f>
        <v>484239.60300677037</v>
      </c>
      <c r="U19" s="94">
        <f>+'Jati Jawa'!U21+'Rimba Jawa'!U21+'Rimba Luar Jawa'!U21</f>
        <v>522007.7509681994</v>
      </c>
      <c r="V19" s="176">
        <f>+'Jati Jawa'!V21+'Rimba Jawa'!V21+'Rimba Luar Jawa'!V21</f>
        <v>554233.32689818961</v>
      </c>
      <c r="W19" s="176">
        <f>+'Jati Jawa'!W21+'Rimba Jawa'!W21+'Rimba Luar Jawa'!W21</f>
        <v>553755.9849866915</v>
      </c>
      <c r="Y19" s="137">
        <f t="shared" ref="Y19:Y26" si="4">P19/O19*100-100</f>
        <v>4.2177186752124953</v>
      </c>
      <c r="Z19" s="137">
        <f t="shared" ref="Z19:Z26" si="5">Q19/P19*100-100</f>
        <v>7.1235640268482854</v>
      </c>
      <c r="AA19" s="137">
        <f t="shared" ref="AA19:AA26" si="6">R19/Q19*100-100</f>
        <v>10.023692109481857</v>
      </c>
      <c r="AB19" s="137">
        <f t="shared" ref="AB19:AB26" si="7">S19/R19*100-100</f>
        <v>37.32552754282699</v>
      </c>
      <c r="AC19" s="137">
        <f t="shared" ref="AC19:AC26" si="8">T19/S19*100-100</f>
        <v>14.371023901437809</v>
      </c>
      <c r="AD19" s="137">
        <f t="shared" ref="AD19:AD26" si="9">U19/T19*100-100</f>
        <v>7.799475244675719</v>
      </c>
      <c r="AE19" s="137">
        <f t="shared" ref="AE19:AE26" si="10">V19/U19*100-100</f>
        <v>6.1733903127337584</v>
      </c>
    </row>
    <row r="20" spans="1:31" ht="17.45" customHeight="1" x14ac:dyDescent="0.2">
      <c r="A20" s="90" t="s">
        <v>3</v>
      </c>
      <c r="B20" s="94">
        <f>+'Kayu Rimba Luar Jawa slh '!B23+'Kayu Rimba Jawa slh '!B22+'Kayu Jati Jawa slh'!B22</f>
        <v>689.56158800000003</v>
      </c>
      <c r="C20" s="94">
        <f>+'Kayu Rimba Luar Jawa slh '!C23+'Kayu Rimba Jawa slh '!C22+'Kayu Jati Jawa slh'!C22</f>
        <v>686.14114605873829</v>
      </c>
      <c r="D20" s="94">
        <f>+'Kayu Rimba Luar Jawa slh '!D23+'Kayu Rimba Jawa slh '!D22+'Kayu Jati Jawa slh'!D22</f>
        <v>705.83680281468526</v>
      </c>
      <c r="E20" s="94">
        <f>+'Kayu Rimba Luar Jawa slh '!E23+'Kayu Rimba Jawa slh '!E22+'Kayu Jati Jawa slh'!E22</f>
        <v>1101.4977792905615</v>
      </c>
      <c r="F20" s="94">
        <f>+'Kayu Rimba Luar Jawa slh '!F23+'Kayu Rimba Jawa slh '!F22+'Kayu Jati Jawa slh'!F22</f>
        <v>1497.9739930457763</v>
      </c>
      <c r="G20" s="94">
        <f>+'Kayu Rimba Luar Jawa slh '!G23+'Kayu Rimba Jawa slh '!G22+'Kayu Jati Jawa slh'!G22</f>
        <v>1672.1636760599999</v>
      </c>
      <c r="H20" s="94">
        <f>+'Kayu Rimba Luar Jawa slh '!H23+'Kayu Rimba Jawa slh '!H22+'Kayu Jati Jawa slh'!H22</f>
        <v>2091.3188228805002</v>
      </c>
      <c r="I20" s="94">
        <f>+'Kayu Rimba Luar Jawa slh '!I23+'Kayu Rimba Jawa slh '!I22+'Kayu Jati Jawa slh'!I22</f>
        <v>2951.4426514386</v>
      </c>
      <c r="J20" s="94">
        <f>+'Kayu Rimba Luar Jawa slh '!J23+'Kayu Rimba Jawa slh '!J22+'Kayu Jati Jawa slh'!J22</f>
        <v>3247.6473510884998</v>
      </c>
      <c r="K20" s="94">
        <f>'Jati Jawa'!K22+'Rimba Jawa'!K22+'Rimba Luar Jawa'!K22</f>
        <v>4046.3159272737958</v>
      </c>
      <c r="L20" s="94">
        <f>'Jati Jawa'!L22+'Rimba Jawa'!L22+'Rimba Luar Jawa'!L22</f>
        <v>4148.0219360651035</v>
      </c>
      <c r="M20" s="94">
        <f>'Jati Jawa'!M22+'Rimba Jawa'!M22+'Rimba Luar Jawa'!M22</f>
        <v>3363.0885132369003</v>
      </c>
      <c r="N20" s="94">
        <f>'Jati Jawa'!N22+'Rimba Jawa'!N22+'Rimba Luar Jawa'!N22</f>
        <v>3470.0660614083458</v>
      </c>
      <c r="O20" s="94">
        <f>'Jati Jawa'!O22+'Rimba Jawa'!O22+'Rimba Luar Jawa'!O22</f>
        <v>3412.1884524579286</v>
      </c>
      <c r="P20" s="94">
        <f>'Jati Jawa'!P22+'Rimba Jawa'!P22+'Rimba Luar Jawa'!P22</f>
        <v>3994.6146352811202</v>
      </c>
      <c r="Q20" s="122">
        <f>+'Jati Jawa'!Q22+'Rimba Jawa'!Q22+'Rimba Luar Jawa'!Q22</f>
        <v>3863.6904637878724</v>
      </c>
      <c r="R20" s="122">
        <f>+'Jati Jawa'!R22+'Rimba Jawa'!R22+'Rimba Luar Jawa'!R22</f>
        <v>5493.5605722992477</v>
      </c>
      <c r="S20" s="122">
        <f>+'Jati Jawa'!S22+'Rimba Jawa'!S22+'Rimba Luar Jawa'!S22</f>
        <v>6518.4083816844477</v>
      </c>
      <c r="T20" s="122">
        <f>+'Jati Jawa'!T22+'Rimba Jawa'!T22+'Rimba Luar Jawa'!T22</f>
        <v>6466.5155202480637</v>
      </c>
      <c r="U20" s="94">
        <f>+'Jati Jawa'!U22+'Rimba Jawa'!U22+'Rimba Luar Jawa'!U22</f>
        <v>7032.439445703707</v>
      </c>
      <c r="V20" s="176">
        <f>+'Jati Jawa'!V22+'Rimba Jawa'!V22+'Rimba Luar Jawa'!V22</f>
        <v>7006.6464841993093</v>
      </c>
      <c r="W20" s="176">
        <f>+'Jati Jawa'!W22+'Rimba Jawa'!W22+'Rimba Luar Jawa'!W22</f>
        <v>6287.4066752837043</v>
      </c>
      <c r="Y20" s="137">
        <f t="shared" si="4"/>
        <v>17.068992259312282</v>
      </c>
      <c r="Z20" s="137">
        <f t="shared" si="5"/>
        <v>-3.2775169433592737</v>
      </c>
      <c r="AA20" s="137">
        <f t="shared" si="6"/>
        <v>42.18428271589562</v>
      </c>
      <c r="AB20" s="137">
        <f t="shared" si="7"/>
        <v>18.655438415531393</v>
      </c>
      <c r="AC20" s="137">
        <f t="shared" si="8"/>
        <v>-0.79609712061295568</v>
      </c>
      <c r="AD20" s="137">
        <f t="shared" si="9"/>
        <v>8.7516054617608603</v>
      </c>
      <c r="AE20" s="137">
        <f t="shared" si="10"/>
        <v>-0.36677118521305374</v>
      </c>
    </row>
    <row r="21" spans="1:31" ht="17.45" customHeight="1" x14ac:dyDescent="0.2">
      <c r="A21" s="90" t="s">
        <v>4</v>
      </c>
      <c r="B21" s="94">
        <f>+'Kayu Rimba Luar Jawa slh '!B24+'Kayu Rimba Jawa slh '!B23+'Kayu Jati Jawa slh'!B23</f>
        <v>9.748017599999999</v>
      </c>
      <c r="C21" s="94">
        <f>+'Kayu Rimba Luar Jawa slh '!C24+'Kayu Rimba Jawa slh '!C23+'Kayu Jati Jawa slh'!C23</f>
        <v>14.1281126</v>
      </c>
      <c r="D21" s="94">
        <f>+'Kayu Rimba Luar Jawa slh '!D24+'Kayu Rimba Jawa slh '!D23+'Kayu Jati Jawa slh'!D23</f>
        <v>14.461035999999998</v>
      </c>
      <c r="E21" s="94">
        <f>+'Kayu Rimba Luar Jawa slh '!E24+'Kayu Rimba Jawa slh '!E23+'Kayu Jati Jawa slh'!E23</f>
        <v>24.626651500000001</v>
      </c>
      <c r="F21" s="94">
        <f>+'Kayu Rimba Luar Jawa slh '!F24+'Kayu Rimba Jawa slh '!F23+'Kayu Jati Jawa slh'!F23</f>
        <v>24.913307100000001</v>
      </c>
      <c r="G21" s="94">
        <f>+'Kayu Rimba Luar Jawa slh '!G24+'Kayu Rimba Jawa slh '!G23+'Kayu Jati Jawa slh'!G23</f>
        <v>32.925847499999996</v>
      </c>
      <c r="H21" s="94">
        <f>+'Kayu Rimba Luar Jawa slh '!H24+'Kayu Rimba Jawa slh '!H23+'Kayu Jati Jawa slh'!H23</f>
        <v>52.771709753099991</v>
      </c>
      <c r="I21" s="94">
        <f>+'Kayu Rimba Luar Jawa slh '!I24+'Kayu Rimba Jawa slh '!I23+'Kayu Jati Jawa slh'!I23</f>
        <v>53.242018629299999</v>
      </c>
      <c r="J21" s="94">
        <f>+'Kayu Rimba Luar Jawa slh '!J24+'Kayu Rimba Jawa slh '!J23+'Kayu Jati Jawa slh'!J23</f>
        <v>50.721026903200013</v>
      </c>
      <c r="K21" s="94">
        <f>'Jati Jawa'!K23+'Rimba Jawa'!K23+'Rimba Luar Jawa'!K23</f>
        <v>53.677050815569153</v>
      </c>
      <c r="L21" s="94">
        <f>'Jati Jawa'!L23+'Rimba Jawa'!L23+'Rimba Luar Jawa'!L23</f>
        <v>116.11617413028107</v>
      </c>
      <c r="M21" s="94">
        <f>'Jati Jawa'!M23+'Rimba Jawa'!M23+'Rimba Luar Jawa'!M23</f>
        <v>53.49145552352573</v>
      </c>
      <c r="N21" s="94">
        <f>'Jati Jawa'!N23+'Rimba Jawa'!N23+'Rimba Luar Jawa'!N23</f>
        <v>156.99325376599185</v>
      </c>
      <c r="O21" s="94">
        <f>'Jati Jawa'!O23+'Rimba Jawa'!O23+'Rimba Luar Jawa'!O23</f>
        <v>189.6357504740281</v>
      </c>
      <c r="P21" s="94">
        <f>'Jati Jawa'!P23+'Rimba Jawa'!P23+'Rimba Luar Jawa'!P23</f>
        <v>195.59029392913885</v>
      </c>
      <c r="Q21" s="122">
        <f>+'Jati Jawa'!Q23+'Rimba Jawa'!Q23+'Rimba Luar Jawa'!Q23</f>
        <v>220.39692739830195</v>
      </c>
      <c r="R21" s="122">
        <f>+'Jati Jawa'!R23+'Rimba Jawa'!R23+'Rimba Luar Jawa'!R23</f>
        <v>399.72037277514994</v>
      </c>
      <c r="S21" s="122">
        <f>+'Jati Jawa'!S23+'Rimba Jawa'!S23+'Rimba Luar Jawa'!S23</f>
        <v>436.70365544580443</v>
      </c>
      <c r="T21" s="122">
        <f>+'Jati Jawa'!T23+'Rimba Jawa'!T23+'Rimba Luar Jawa'!T23</f>
        <v>578.94473447848281</v>
      </c>
      <c r="U21" s="94">
        <f>+'Jati Jawa'!U23+'Rimba Jawa'!U23+'Rimba Luar Jawa'!U23</f>
        <v>473.21783610816522</v>
      </c>
      <c r="V21" s="176">
        <f>+'Jati Jawa'!V23+'Rimba Jawa'!V23+'Rimba Luar Jawa'!V23</f>
        <v>370.36277616234179</v>
      </c>
      <c r="W21" s="176">
        <f>+'Jati Jawa'!W23+'Rimba Jawa'!W23+'Rimba Luar Jawa'!W23</f>
        <v>409.175131093098</v>
      </c>
      <c r="Y21" s="137">
        <f t="shared" si="4"/>
        <v>3.1399899229055137</v>
      </c>
      <c r="Z21" s="137">
        <f t="shared" si="5"/>
        <v>12.682957303673973</v>
      </c>
      <c r="AA21" s="137">
        <f t="shared" si="6"/>
        <v>81.363859058150183</v>
      </c>
      <c r="AB21" s="137">
        <f t="shared" si="7"/>
        <v>9.2522886471584087</v>
      </c>
      <c r="AC21" s="137">
        <f t="shared" si="8"/>
        <v>32.57153386716513</v>
      </c>
      <c r="AD21" s="137">
        <f t="shared" si="9"/>
        <v>-18.262001893074824</v>
      </c>
      <c r="AE21" s="137">
        <f t="shared" si="10"/>
        <v>-21.735245820766878</v>
      </c>
    </row>
    <row r="22" spans="1:31" ht="17.45" customHeight="1" x14ac:dyDescent="0.2">
      <c r="A22" s="90" t="s">
        <v>13</v>
      </c>
      <c r="B22" s="94">
        <f>+'Kayu Rimba Luar Jawa slh '!B25+'Kayu Rimba Jawa slh '!B24+'Kayu Jati Jawa slh'!B24</f>
        <v>157.28270879999999</v>
      </c>
      <c r="C22" s="94">
        <f>+'Kayu Rimba Luar Jawa slh '!C25+'Kayu Rimba Jawa slh '!C24+'Kayu Jati Jawa slh'!C24</f>
        <v>214.51114239999998</v>
      </c>
      <c r="D22" s="94">
        <f>+'Kayu Rimba Luar Jawa slh '!D25+'Kayu Rimba Jawa slh '!D24+'Kayu Jati Jawa slh'!D24</f>
        <v>471.0122465</v>
      </c>
      <c r="E22" s="94">
        <f>+'Kayu Rimba Luar Jawa slh '!E25+'Kayu Rimba Jawa slh '!E24+'Kayu Jati Jawa slh'!E24</f>
        <v>679.50206460000004</v>
      </c>
      <c r="F22" s="94">
        <f>+'Kayu Rimba Luar Jawa slh '!F25+'Kayu Rimba Jawa slh '!F24+'Kayu Jati Jawa slh'!F24</f>
        <v>618.09135739999999</v>
      </c>
      <c r="G22" s="94">
        <f>+'Kayu Rimba Luar Jawa slh '!G25+'Kayu Rimba Jawa slh '!G24+'Kayu Jati Jawa slh'!G24</f>
        <v>721.73424720000003</v>
      </c>
      <c r="H22" s="94">
        <f>+'Kayu Rimba Luar Jawa slh '!H25+'Kayu Rimba Jawa slh '!H24+'Kayu Jati Jawa slh'!H24</f>
        <v>802.42726249179998</v>
      </c>
      <c r="I22" s="94">
        <f>+'Kayu Rimba Luar Jawa slh '!I25+'Kayu Rimba Jawa slh '!I24+'Kayu Jati Jawa slh'!I24</f>
        <v>1703.1215126497996</v>
      </c>
      <c r="J22" s="94">
        <f>+'Kayu Rimba Luar Jawa slh '!J25+'Kayu Rimba Jawa slh '!J24+'Kayu Jati Jawa slh'!J24</f>
        <v>2688.6094501683997</v>
      </c>
      <c r="K22" s="94">
        <f>'Jati Jawa'!K24+'Rimba Jawa'!K24+'Rimba Luar Jawa'!K24</f>
        <v>3061.1595917775767</v>
      </c>
      <c r="L22" s="94">
        <f>'Jati Jawa'!L24+'Rimba Jawa'!L24+'Rimba Luar Jawa'!L24</f>
        <v>2904.0729867510795</v>
      </c>
      <c r="M22" s="94">
        <f>'Jati Jawa'!M24+'Rimba Jawa'!M24+'Rimba Luar Jawa'!M24</f>
        <v>3510.4356586260765</v>
      </c>
      <c r="N22" s="94">
        <f>'Jati Jawa'!N24+'Rimba Jawa'!N24+'Rimba Luar Jawa'!N24</f>
        <v>4595.9861568879414</v>
      </c>
      <c r="O22" s="94">
        <f>'Jati Jawa'!O24+'Rimba Jawa'!O24+'Rimba Luar Jawa'!O24</f>
        <v>5460.4588386242931</v>
      </c>
      <c r="P22" s="94">
        <f>'Jati Jawa'!P24+'Rimba Jawa'!P24+'Rimba Luar Jawa'!P24</f>
        <v>6918.4262066709034</v>
      </c>
      <c r="Q22" s="122">
        <f>+'Jati Jawa'!Q24+'Rimba Jawa'!Q24+'Rimba Luar Jawa'!Q24</f>
        <v>9443.8927935409556</v>
      </c>
      <c r="R22" s="122">
        <f>+'Jati Jawa'!R24+'Rimba Jawa'!R24+'Rimba Luar Jawa'!R24</f>
        <v>15815.893237638662</v>
      </c>
      <c r="S22" s="122">
        <f>+'Jati Jawa'!S24+'Rimba Jawa'!S24+'Rimba Luar Jawa'!S24</f>
        <v>17965.878630425341</v>
      </c>
      <c r="T22" s="122">
        <f>+'Jati Jawa'!T24+'Rimba Jawa'!T24+'Rimba Luar Jawa'!T24</f>
        <v>14369.558562147638</v>
      </c>
      <c r="U22" s="94">
        <f>+'Jati Jawa'!U24+'Rimba Jawa'!U24+'Rimba Luar Jawa'!U24</f>
        <v>17198.025372721313</v>
      </c>
      <c r="V22" s="176">
        <f>+'Jati Jawa'!V24+'Rimba Jawa'!V24+'Rimba Luar Jawa'!V24</f>
        <v>19598.586265443402</v>
      </c>
      <c r="W22" s="176">
        <f>+'Jati Jawa'!W24+'Rimba Jawa'!W24+'Rimba Luar Jawa'!W24</f>
        <v>22991.707944502879</v>
      </c>
      <c r="Y22" s="137">
        <f t="shared" si="4"/>
        <v>26.700455238921464</v>
      </c>
      <c r="Z22" s="137">
        <f t="shared" si="5"/>
        <v>36.503483761016923</v>
      </c>
      <c r="AA22" s="137">
        <f t="shared" si="6"/>
        <v>67.472181052878568</v>
      </c>
      <c r="AB22" s="137">
        <f t="shared" si="7"/>
        <v>13.593828438789316</v>
      </c>
      <c r="AC22" s="137">
        <f t="shared" si="8"/>
        <v>-20.017501744597723</v>
      </c>
      <c r="AD22" s="137">
        <f t="shared" si="9"/>
        <v>19.683741837584591</v>
      </c>
      <c r="AE22" s="137">
        <f t="shared" si="10"/>
        <v>13.958351849682373</v>
      </c>
    </row>
    <row r="23" spans="1:31" ht="17.45" customHeight="1" x14ac:dyDescent="0.2">
      <c r="A23" s="90" t="s">
        <v>5</v>
      </c>
      <c r="B23" s="94">
        <f>+'Kayu Rimba Luar Jawa slh '!B26+'Kayu Rimba Jawa slh '!B25+'Kayu Jati Jawa slh'!B25</f>
        <v>349.11396880000001</v>
      </c>
      <c r="C23" s="94">
        <f>+'Kayu Rimba Luar Jawa slh '!C26+'Kayu Rimba Jawa slh '!C25+'Kayu Jati Jawa slh'!C25</f>
        <v>369.30280780000004</v>
      </c>
      <c r="D23" s="94">
        <f>+'Kayu Rimba Luar Jawa slh '!D26+'Kayu Rimba Jawa slh '!D25+'Kayu Jati Jawa slh'!D25</f>
        <v>393.44841499999995</v>
      </c>
      <c r="E23" s="94">
        <f>+'Kayu Rimba Luar Jawa slh '!E26+'Kayu Rimba Jawa slh '!E25+'Kayu Jati Jawa slh'!E25</f>
        <v>522.10190710000006</v>
      </c>
      <c r="F23" s="94">
        <f>+'Kayu Rimba Luar Jawa slh '!F26+'Kayu Rimba Jawa slh '!F25+'Kayu Jati Jawa slh'!F25</f>
        <v>631.13026880000007</v>
      </c>
      <c r="G23" s="94">
        <f>+'Kayu Rimba Luar Jawa slh '!G26+'Kayu Rimba Jawa slh '!G25+'Kayu Jati Jawa slh'!G25</f>
        <v>691.15638269999999</v>
      </c>
      <c r="H23" s="94">
        <f>+'Kayu Rimba Luar Jawa slh '!H26+'Kayu Rimba Jawa slh '!H25+'Kayu Jati Jawa slh'!H25</f>
        <v>743.994617264</v>
      </c>
      <c r="I23" s="94">
        <f>+'Kayu Rimba Luar Jawa slh '!I26+'Kayu Rimba Jawa slh '!I25+'Kayu Jati Jawa slh'!I25</f>
        <v>1004.0970223429999</v>
      </c>
      <c r="J23" s="94">
        <f>+'Kayu Rimba Luar Jawa slh '!J26+'Kayu Rimba Jawa slh '!J25+'Kayu Jati Jawa slh'!J25</f>
        <v>945.82704963219999</v>
      </c>
      <c r="K23" s="94">
        <f>'Jati Jawa'!K25+'Rimba Jawa'!K25+'Rimba Luar Jawa'!K25</f>
        <v>1023.0923685358252</v>
      </c>
      <c r="L23" s="94">
        <f>'Jati Jawa'!L25+'Rimba Jawa'!L25+'Rimba Luar Jawa'!L25</f>
        <v>1050.2409582796754</v>
      </c>
      <c r="M23" s="94">
        <f>'Jati Jawa'!M25+'Rimba Jawa'!M25+'Rimba Luar Jawa'!M25</f>
        <v>899.1432663539772</v>
      </c>
      <c r="N23" s="94">
        <f>'Jati Jawa'!N25+'Rimba Jawa'!N25+'Rimba Luar Jawa'!N25</f>
        <v>916.83355739555066</v>
      </c>
      <c r="O23" s="94">
        <f>'Jati Jawa'!O25+'Rimba Jawa'!O25+'Rimba Luar Jawa'!O25</f>
        <v>839.95020777826812</v>
      </c>
      <c r="P23" s="94">
        <f>'Jati Jawa'!P25+'Rimba Jawa'!P25+'Rimba Luar Jawa'!P25</f>
        <v>951.2079293059337</v>
      </c>
      <c r="Q23" s="122">
        <f>+'Jati Jawa'!Q25+'Rimba Jawa'!Q25+'Rimba Luar Jawa'!Q25</f>
        <v>1683.7399931012533</v>
      </c>
      <c r="R23" s="122">
        <f>+'Jati Jawa'!R25+'Rimba Jawa'!R25+'Rimba Luar Jawa'!R25</f>
        <v>2231.8436590876804</v>
      </c>
      <c r="S23" s="122">
        <f>+'Jati Jawa'!S25+'Rimba Jawa'!S25+'Rimba Luar Jawa'!S25</f>
        <v>3712.0010726705891</v>
      </c>
      <c r="T23" s="122">
        <f>+'Jati Jawa'!T25+'Rimba Jawa'!T25+'Rimba Luar Jawa'!T25</f>
        <v>3659.4818298190012</v>
      </c>
      <c r="U23" s="94">
        <f>+'Jati Jawa'!U25+'Rimba Jawa'!U25+'Rimba Luar Jawa'!U25</f>
        <v>4122.4475338592856</v>
      </c>
      <c r="V23" s="176">
        <f>+'Jati Jawa'!V25+'Rimba Jawa'!V25+'Rimba Luar Jawa'!V25</f>
        <v>4458.1093927264155</v>
      </c>
      <c r="W23" s="176">
        <f>+'Jati Jawa'!W25+'Rimba Jawa'!W25+'Rimba Luar Jawa'!W25</f>
        <v>4303.3459997269747</v>
      </c>
      <c r="Y23" s="137">
        <f t="shared" si="4"/>
        <v>13.245752009747179</v>
      </c>
      <c r="Z23" s="137">
        <f t="shared" si="5"/>
        <v>77.010718816213512</v>
      </c>
      <c r="AA23" s="137">
        <f t="shared" si="6"/>
        <v>32.552749725739062</v>
      </c>
      <c r="AB23" s="137">
        <f t="shared" si="7"/>
        <v>66.31994170182864</v>
      </c>
      <c r="AC23" s="137">
        <f t="shared" si="8"/>
        <v>-1.414849883483555</v>
      </c>
      <c r="AD23" s="137">
        <f t="shared" si="9"/>
        <v>12.651127278945467</v>
      </c>
      <c r="AE23" s="137">
        <f t="shared" si="10"/>
        <v>8.1422954715665128</v>
      </c>
    </row>
    <row r="24" spans="1:31" ht="17.45" customHeight="1" x14ac:dyDescent="0.2">
      <c r="A24" s="90" t="s">
        <v>99</v>
      </c>
      <c r="B24" s="94">
        <f>+'Kayu Rimba Luar Jawa slh '!B27+'Kayu Rimba Jawa slh '!B26+'Kayu Jati Jawa slh'!B26</f>
        <v>192.91292800000676</v>
      </c>
      <c r="C24" s="94">
        <f>+'Kayu Rimba Luar Jawa slh '!C27+'Kayu Rimba Jawa slh '!C26+'Kayu Jati Jawa slh'!C26</f>
        <v>116.45530845874617</v>
      </c>
      <c r="D24" s="94">
        <f>+'Kayu Rimba Luar Jawa slh '!D27+'Kayu Rimba Jawa slh '!D26+'Kayu Jati Jawa slh'!D26</f>
        <v>-144.16282268530603</v>
      </c>
      <c r="E24" s="94">
        <f>+'Kayu Rimba Luar Jawa slh '!E27+'Kayu Rimba Jawa slh '!E26+'Kayu Jati Jawa slh'!E26</f>
        <v>-75.479540909427328</v>
      </c>
      <c r="F24" s="94">
        <f>+'Kayu Rimba Luar Jawa slh '!F27+'Kayu Rimba Jawa slh '!F26+'Kayu Jati Jawa slh'!F26</f>
        <v>273.66656584577851</v>
      </c>
      <c r="G24" s="94">
        <f>+'Kayu Rimba Luar Jawa slh '!G27+'Kayu Rimba Jawa slh '!G26+'Kayu Jati Jawa slh'!G26</f>
        <v>292.16406266001161</v>
      </c>
      <c r="H24" s="94">
        <f>+'Kayu Rimba Luar Jawa slh '!H27+'Kayu Rimba Jawa slh '!H26+'Kayu Jati Jawa slh'!H26</f>
        <v>597.66865287777114</v>
      </c>
      <c r="I24" s="94">
        <f>+'Kayu Rimba Luar Jawa slh '!I27+'Kayu Rimba Jawa slh '!I26+'Kayu Jati Jawa slh'!I26</f>
        <v>297.46613507509358</v>
      </c>
      <c r="J24" s="94">
        <f>+'Kayu Rimba Luar Jawa slh '!J27+'Kayu Rimba Jawa slh '!J26+'Kayu Jati Jawa slh'!J26</f>
        <v>-336.06812180888733</v>
      </c>
      <c r="K24" s="94">
        <f>'Jati Jawa'!K26+'Rimba Jawa'!K26+'Rimba Luar Jawa'!K26</f>
        <v>15.741017775979799</v>
      </c>
      <c r="L24" s="94">
        <f>'Jati Jawa'!L26+'Rimba Jawa'!L26+'Rimba Luar Jawa'!L26</f>
        <v>309.82416516463945</v>
      </c>
      <c r="M24" s="94">
        <f>'Jati Jawa'!M26+'Rimba Jawa'!M26+'Rimba Luar Jawa'!M26</f>
        <v>-992.99895621964924</v>
      </c>
      <c r="N24" s="94">
        <f>'Jati Jawa'!N26+'Rimba Jawa'!N26+'Rimba Luar Jawa'!N26</f>
        <v>-1885.7603991091505</v>
      </c>
      <c r="O24" s="94">
        <f>'Jati Jawa'!O26+'Rimba Jawa'!O26+'Rimba Luar Jawa'!O26</f>
        <v>-2698.5848434706086</v>
      </c>
      <c r="P24" s="94">
        <f>'Jati Jawa'!P26+'Rimba Jawa'!P26+'Rimba Luar Jawa'!P26</f>
        <v>-3679.4292067665951</v>
      </c>
      <c r="Q24" s="122">
        <f>+'Jati Jawa'!Q26+'Rimba Jawa'!Q26+'Rimba Luar Jawa'!Q26</f>
        <v>-7043.5453954560062</v>
      </c>
      <c r="R24" s="122">
        <f>+'Jati Jawa'!R26+'Rimba Jawa'!R26+'Rimba Luar Jawa'!R26</f>
        <v>-12154.455951651978</v>
      </c>
      <c r="S24" s="122">
        <f>+'Jati Jawa'!S26+'Rimba Jawa'!S26+'Rimba Luar Jawa'!S26</f>
        <v>-14722.767665965594</v>
      </c>
      <c r="T24" s="122">
        <f>+'Jati Jawa'!T26+'Rimba Jawa'!T26+'Rimba Luar Jawa'!T26</f>
        <v>-10983.580137240067</v>
      </c>
      <c r="U24" s="94">
        <f>+'Jati Jawa'!U26+'Rimba Jawa'!U26+'Rimba Luar Jawa'!U26</f>
        <v>-13814.815624768718</v>
      </c>
      <c r="V24" s="176">
        <f>+'Jati Jawa'!V26+'Rimba Jawa'!V26+'Rimba Luar Jawa'!V26</f>
        <v>-16679.686397808146</v>
      </c>
      <c r="W24" s="176">
        <f>+'Jati Jawa'!W26+'Rimba Jawa'!W26+'Rimba Luar Jawa'!W26</f>
        <v>-20598.472137852968</v>
      </c>
      <c r="Y24" s="137">
        <f t="shared" si="4"/>
        <v>36.346619439044105</v>
      </c>
      <c r="Z24" s="137">
        <f t="shared" si="5"/>
        <v>91.430382258821197</v>
      </c>
      <c r="AA24" s="137">
        <f t="shared" si="6"/>
        <v>72.561618748040843</v>
      </c>
      <c r="AB24" s="137">
        <f t="shared" si="7"/>
        <v>21.130618470541577</v>
      </c>
      <c r="AC24" s="137">
        <f t="shared" si="8"/>
        <v>-25.397313966784594</v>
      </c>
      <c r="AD24" s="137">
        <f t="shared" si="9"/>
        <v>25.776982114686689</v>
      </c>
      <c r="AE24" s="137">
        <f t="shared" si="10"/>
        <v>20.737669259247824</v>
      </c>
    </row>
    <row r="25" spans="1:31" ht="17.45" customHeight="1" x14ac:dyDescent="0.2">
      <c r="A25" s="90" t="s">
        <v>100</v>
      </c>
      <c r="B25" s="94">
        <f>+'Kayu Rimba Luar Jawa slh '!B28+'Kayu Rimba Jawa slh '!B27+'Kayu Jati Jawa slh'!B27</f>
        <v>9500.7348000000002</v>
      </c>
      <c r="C25" s="94">
        <f>+'Kayu Rimba Luar Jawa slh '!C28+'Kayu Rimba Jawa slh '!C27+'Kayu Jati Jawa slh'!C27</f>
        <v>13099.884591200002</v>
      </c>
      <c r="D25" s="94">
        <f>+'Kayu Rimba Luar Jawa slh '!D28+'Kayu Rimba Jawa slh '!D27+'Kayu Jati Jawa slh'!D27</f>
        <v>9994.8897478511426</v>
      </c>
      <c r="E25" s="94">
        <f>+'Kayu Rimba Luar Jawa slh '!E28+'Kayu Rimba Jawa slh '!E27+'Kayu Jati Jawa slh'!E27</f>
        <v>15822.365577340932</v>
      </c>
      <c r="F25" s="94">
        <f>+'Kayu Rimba Luar Jawa slh '!F28+'Kayu Rimba Jawa slh '!F27+'Kayu Jati Jawa slh'!F27</f>
        <v>14435.060976019566</v>
      </c>
      <c r="G25" s="94">
        <f>+'Kayu Rimba Luar Jawa slh '!G28+'Kayu Rimba Jawa slh '!G27+'Kayu Jati Jawa slh'!G27</f>
        <v>13838.146204982646</v>
      </c>
      <c r="H25" s="94">
        <f>+'Kayu Rimba Luar Jawa slh '!H28+'Kayu Rimba Jawa slh '!H27+'Kayu Jati Jawa slh'!H27</f>
        <v>20040.262386580198</v>
      </c>
      <c r="I25" s="94">
        <f>+'Kayu Rimba Luar Jawa slh '!I28+'Kayu Rimba Jawa slh '!I27+'Kayu Jati Jawa slh'!I27</f>
        <v>20487.992810361458</v>
      </c>
      <c r="J25" s="94">
        <f>+'Kayu Rimba Luar Jawa slh '!J28+'Kayu Rimba Jawa slh '!J27+'Kayu Jati Jawa slh'!J27</f>
        <v>53635.504563310576</v>
      </c>
      <c r="K25" s="94">
        <f>'Jati Jawa'!K27+'Rimba Jawa'!K27+'Rimba Luar Jawa'!K27</f>
        <v>46859.576976132783</v>
      </c>
      <c r="L25" s="94">
        <f>'Jati Jawa'!L27+'Rimba Jawa'!L27+'Rimba Luar Jawa'!L27</f>
        <v>10337.647830214781</v>
      </c>
      <c r="M25" s="94">
        <f>'Jati Jawa'!M27+'Rimba Jawa'!M27+'Rimba Luar Jawa'!M27</f>
        <v>-8422.0159177789137</v>
      </c>
      <c r="N25" s="94">
        <f>'Jati Jawa'!N27+'Rimba Jawa'!N27+'Rimba Luar Jawa'!N27</f>
        <v>7140.8152543395927</v>
      </c>
      <c r="O25" s="94">
        <f>'Jati Jawa'!O27+'Rimba Jawa'!O27+'Rimba Luar Jawa'!O27</f>
        <v>13285.217359525101</v>
      </c>
      <c r="P25" s="94">
        <f>'Jati Jawa'!P27+'Rimba Jawa'!P27+'Rimba Luar Jawa'!P27</f>
        <v>22313.98839870685</v>
      </c>
      <c r="Q25" s="122">
        <f>+'Jati Jawa'!Q27+'Rimba Jawa'!Q27+'Rimba Luar Jawa'!Q27</f>
        <v>35132.43189943699</v>
      </c>
      <c r="R25" s="122">
        <f>+'Jati Jawa'!R27+'Rimba Jawa'!R27+'Rimba Luar Jawa'!R27</f>
        <v>127234.22303897579</v>
      </c>
      <c r="S25" s="122">
        <f>+'Jati Jawa'!S27+'Rimba Jawa'!S27+'Rimba Luar Jawa'!S27</f>
        <v>75568.764068255157</v>
      </c>
      <c r="T25" s="122">
        <f>+'Jati Jawa'!T27+'Rimba Jawa'!T27+'Rimba Luar Jawa'!T27</f>
        <v>48751.728098669148</v>
      </c>
      <c r="U25" s="94">
        <f>+'Jati Jawa'!U27+'Rimba Jawa'!U27+'Rimba Luar Jawa'!U27</f>
        <v>46040.391554758949</v>
      </c>
      <c r="V25" s="176">
        <f>+'Jati Jawa'!V27+'Rimba Jawa'!V27+'Rimba Luar Jawa'!V27</f>
        <v>16202.344486310099</v>
      </c>
      <c r="W25" s="176">
        <f>+'Jati Jawa'!W27+'Rimba Jawa'!W27+'Rimba Luar Jawa'!W27</f>
        <v>590.8264959369335</v>
      </c>
      <c r="Y25" s="137">
        <f t="shared" si="4"/>
        <v>67.961033642467214</v>
      </c>
      <c r="Z25" s="137">
        <f t="shared" si="5"/>
        <v>57.445774693837336</v>
      </c>
      <c r="AA25" s="137">
        <f t="shared" si="6"/>
        <v>262.15603691532317</v>
      </c>
      <c r="AB25" s="137">
        <f t="shared" si="7"/>
        <v>-40.606574030710199</v>
      </c>
      <c r="AC25" s="137">
        <f t="shared" si="8"/>
        <v>-35.486932068075575</v>
      </c>
      <c r="AD25" s="137">
        <f t="shared" si="9"/>
        <v>-5.5615188417991988</v>
      </c>
      <c r="AE25" s="137">
        <f t="shared" si="10"/>
        <v>-64.808412919252532</v>
      </c>
    </row>
    <row r="26" spans="1:31" ht="17.45" customHeight="1" x14ac:dyDescent="0.2">
      <c r="A26" s="90" t="s">
        <v>101</v>
      </c>
      <c r="B26" s="94">
        <f>+'Kayu Rimba Luar Jawa slh '!B29+'Kayu Rimba Jawa slh '!B28+'Kayu Jati Jawa slh'!B28</f>
        <v>83802.549727999998</v>
      </c>
      <c r="C26" s="94">
        <f>+'Kayu Rimba Luar Jawa slh '!C29+'Kayu Rimba Jawa slh '!C28+'Kayu Jati Jawa slh'!C28</f>
        <v>97018.889627658718</v>
      </c>
      <c r="D26" s="94">
        <f>+'Kayu Rimba Luar Jawa slh '!D29+'Kayu Rimba Jawa slh '!D28+'Kayu Jati Jawa slh'!D28</f>
        <v>106869.61655282456</v>
      </c>
      <c r="E26" s="94">
        <f>+'Kayu Rimba Luar Jawa slh '!E29+'Kayu Rimba Jawa slh '!E28+'Kayu Jati Jawa slh'!E28</f>
        <v>122616.50258925605</v>
      </c>
      <c r="F26" s="94">
        <f>+'Kayu Rimba Luar Jawa slh '!F29+'Kayu Rimba Jawa slh '!F28+'Kayu Jati Jawa slh'!F28</f>
        <v>137325.2292392214</v>
      </c>
      <c r="G26" s="94">
        <f>+'Kayu Rimba Luar Jawa slh '!G29+'Kayu Rimba Jawa slh '!G28+'Kayu Jati Jawa slh'!G28</f>
        <v>151455.57433786406</v>
      </c>
      <c r="H26" s="94">
        <f>+'Kayu Rimba Luar Jawa slh '!H29+'Kayu Rimba Jawa slh '!H28+'Kayu Jati Jawa slh'!H28</f>
        <v>172093.50537732209</v>
      </c>
      <c r="I26" s="94">
        <f>+'Kayu Rimba Luar Jawa slh '!I29+'Kayu Rimba Jawa slh '!I28+'Kayu Jati Jawa slh'!I28</f>
        <v>192878.96432275863</v>
      </c>
      <c r="J26" s="94">
        <f>+'Kayu Rimba Luar Jawa slh '!J29+'Kayu Rimba Jawa slh '!J28+'Kayu Jati Jawa slh'!J28</f>
        <v>246178.40076426032</v>
      </c>
      <c r="K26" s="94">
        <f>'Jati Jawa'!K28+'Rimba Jawa'!K28+'Rimba Luar Jawa'!K28</f>
        <v>244516.24932857006</v>
      </c>
      <c r="L26" s="94">
        <f>'Jati Jawa'!L28+'Rimba Jawa'!L28+'Rimba Luar Jawa'!L28</f>
        <v>255163.72132394946</v>
      </c>
      <c r="M26" s="94">
        <f>'Jati Jawa'!M28+'Rimba Jawa'!M28+'Rimba Luar Jawa'!M28</f>
        <v>245748.70644995093</v>
      </c>
      <c r="N26" s="94">
        <f>'Jati Jawa'!N28+'Rimba Jawa'!N28+'Rimba Luar Jawa'!N28</f>
        <v>251003.76130518134</v>
      </c>
      <c r="O26" s="94">
        <f>'Jati Jawa'!O28+'Rimba Jawa'!O28+'Rimba Luar Jawa'!O28</f>
        <v>261590.3938212358</v>
      </c>
      <c r="P26" s="94">
        <f>'Jati Jawa'!P28+'Rimba Jawa'!P28+'Rimba Luar Jawa'!P28</f>
        <v>280224.9530131761</v>
      </c>
      <c r="Q26" s="122">
        <f>+'Jati Jawa'!Q28+'Rimba Jawa'!Q28+'Rimba Luar Jawa'!Q28</f>
        <v>308313.83951715706</v>
      </c>
      <c r="R26" s="122">
        <f>+'Jati Jawa'!R28+'Rimba Jawa'!R28+'Rimba Luar Jawa'!R28</f>
        <v>423393.60660448088</v>
      </c>
      <c r="S26" s="122">
        <f>+'Jati Jawa'!S28+'Rimba Jawa'!S28+'Rimba Luar Jawa'!S28</f>
        <v>484239.60300677037</v>
      </c>
      <c r="T26" s="122">
        <f>+'Jati Jawa'!T28+'Rimba Jawa'!T28+'Rimba Luar Jawa'!T28</f>
        <v>522007.7509681994</v>
      </c>
      <c r="U26" s="94">
        <f>+'Jati Jawa'!U28+'Rimba Jawa'!U28+'Rimba Luar Jawa'!U28</f>
        <v>554233.32689818961</v>
      </c>
      <c r="V26" s="176">
        <f>+'Jati Jawa'!V28+'Rimba Jawa'!V28+'Rimba Luar Jawa'!V28</f>
        <v>553755.9849866915</v>
      </c>
      <c r="W26" s="176">
        <f>+'Jati Jawa'!W28+'Rimba Jawa'!W28+'Rimba Luar Jawa'!W28</f>
        <v>533748.3393447753</v>
      </c>
      <c r="Y26" s="137">
        <f t="shared" si="4"/>
        <v>7.1235640268482854</v>
      </c>
      <c r="Z26" s="137">
        <f t="shared" si="5"/>
        <v>10.023692109481857</v>
      </c>
      <c r="AA26" s="137">
        <f t="shared" si="6"/>
        <v>37.32552754282699</v>
      </c>
      <c r="AB26" s="137">
        <f t="shared" si="7"/>
        <v>14.371023901437809</v>
      </c>
      <c r="AC26" s="137">
        <f t="shared" si="8"/>
        <v>7.799475244675719</v>
      </c>
      <c r="AD26" s="137">
        <f t="shared" si="9"/>
        <v>6.1733903127337584</v>
      </c>
      <c r="AE26" s="137">
        <f t="shared" si="10"/>
        <v>-8.6126526199635123E-2</v>
      </c>
    </row>
    <row r="27" spans="1:31" ht="17.45" customHeight="1" thickBot="1" x14ac:dyDescent="0.25">
      <c r="A27" s="106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25"/>
      <c r="R27" s="125"/>
      <c r="S27" s="125"/>
      <c r="T27" s="171"/>
      <c r="U27" s="107"/>
      <c r="V27" s="177"/>
      <c r="W27" s="182"/>
    </row>
    <row r="28" spans="1:31" ht="17.45" customHeight="1" thickTop="1" x14ac:dyDescent="0.2"/>
    <row r="29" spans="1:31" ht="17.45" customHeight="1" x14ac:dyDescent="0.2"/>
    <row r="30" spans="1:31" ht="17.45" customHeight="1" x14ac:dyDescent="0.2"/>
    <row r="31" spans="1:31" ht="17.45" customHeight="1" x14ac:dyDescent="0.2">
      <c r="A31" s="79" t="s">
        <v>106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31" ht="17.45" customHeight="1" thickBot="1" x14ac:dyDescent="0.25">
      <c r="A32" s="56"/>
    </row>
    <row r="33" spans="1:12" ht="17.45" customHeight="1" thickTop="1" x14ac:dyDescent="0.2">
      <c r="A33" s="80" t="s">
        <v>0</v>
      </c>
      <c r="B33" s="81">
        <v>1990</v>
      </c>
      <c r="C33" s="81">
        <v>1991</v>
      </c>
      <c r="D33" s="81">
        <v>1992</v>
      </c>
      <c r="E33" s="81">
        <v>1993</v>
      </c>
      <c r="F33" s="81">
        <v>1994</v>
      </c>
      <c r="G33" s="81">
        <v>1995</v>
      </c>
      <c r="H33" s="81">
        <v>1996</v>
      </c>
      <c r="I33" s="81">
        <v>1997</v>
      </c>
      <c r="J33" s="81">
        <v>1998</v>
      </c>
      <c r="K33" s="81">
        <v>1999</v>
      </c>
      <c r="L33" s="82">
        <v>2000</v>
      </c>
    </row>
    <row r="34" spans="1:12" ht="17.45" customHeight="1" thickBot="1" x14ac:dyDescent="0.25">
      <c r="A34" s="8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</row>
    <row r="35" spans="1:12" ht="17.45" customHeight="1" thickTop="1" x14ac:dyDescent="0.2">
      <c r="A35" s="84" t="s">
        <v>1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77"/>
    </row>
    <row r="36" spans="1:12" ht="17.45" customHeight="1" x14ac:dyDescent="0.2">
      <c r="A36" s="84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77"/>
    </row>
    <row r="37" spans="1:12" ht="17.45" customHeight="1" x14ac:dyDescent="0.2">
      <c r="A37" s="84" t="s">
        <v>2</v>
      </c>
      <c r="B37" s="85">
        <f>'Kayu Rimba Luar Jawa slh '!B94+'Kayu Rimba Jawa slh '!B59+'Kayu Jati Jawa slh'!B58</f>
        <v>8644424.6000000015</v>
      </c>
      <c r="C37" s="85">
        <f>'Kayu Rimba Luar Jawa slh '!C94+'Kayu Rimba Jawa slh '!C59+'Kayu Jati Jawa slh'!C58</f>
        <v>8642977.8000000007</v>
      </c>
      <c r="D37" s="85">
        <f>'Kayu Rimba Luar Jawa slh '!D94+'Kayu Rimba Jawa slh '!D59+'Kayu Jati Jawa slh'!D58</f>
        <v>8640252.7455536071</v>
      </c>
      <c r="E37" s="85">
        <f>'Kayu Rimba Luar Jawa slh '!E94+'Kayu Rimba Jawa slh '!E59+'Kayu Jati Jawa slh'!E58</f>
        <v>8619007.1668181363</v>
      </c>
      <c r="F37" s="85">
        <f>'Kayu Rimba Luar Jawa slh '!F94+'Kayu Rimba Jawa slh '!F59+'Kayu Jati Jawa slh'!F58</f>
        <v>8589076.0102068204</v>
      </c>
      <c r="G37" s="85">
        <f>'Kayu Rimba Luar Jawa slh '!G94+'Kayu Rimba Jawa slh '!G59+'Kayu Jati Jawa slh'!G58</f>
        <v>8569181.9004384335</v>
      </c>
      <c r="H37" s="85">
        <f>'Kayu Rimba Luar Jawa slh '!H94+'Kayu Rimba Jawa slh '!H59+'Kayu Jati Jawa slh'!H58</f>
        <v>8548707.6150000039</v>
      </c>
      <c r="I37" s="85">
        <f>'Kayu Rimba Luar Jawa slh '!I94+'Kayu Rimba Jawa slh '!I59+'Kayu Jati Jawa slh'!I58</f>
        <v>8535616.3050000016</v>
      </c>
      <c r="J37" s="85">
        <f>'Kayu Rimba Luar Jawa slh '!J94+'Kayu Rimba Jawa slh '!J59+'Kayu Jati Jawa slh'!J58</f>
        <v>8478434.2350000031</v>
      </c>
      <c r="K37" s="85">
        <f>'Kayu Rimba Luar Jawa slh '!K94+'Kayu Rimba Jawa slh '!K59+'Kayu Jati Jawa slh'!K58</f>
        <v>8418105.075000003</v>
      </c>
      <c r="L37" s="86">
        <f>'Kayu Rimba Luar Jawa slh '!L94+'Kayu Rimba Jawa slh '!L59+'Kayu Jati Jawa slh'!L58</f>
        <v>8345375.3466639444</v>
      </c>
    </row>
    <row r="38" spans="1:12" ht="17.45" customHeight="1" x14ac:dyDescent="0.2">
      <c r="A38" s="84" t="s">
        <v>3</v>
      </c>
      <c r="B38" s="85">
        <f>'Kayu Rimba Luar Jawa slh '!B95+'Kayu Rimba Jawa slh '!B60+'Kayu Jati Jawa slh'!B59</f>
        <v>41982.9</v>
      </c>
      <c r="C38" s="85">
        <f>'Kayu Rimba Luar Jawa slh '!C95+'Kayu Rimba Jawa slh '!C60+'Kayu Jati Jawa slh'!C59</f>
        <v>43088.145553606788</v>
      </c>
      <c r="D38" s="85">
        <f>'Kayu Rimba Luar Jawa slh '!D95+'Kayu Rimba Jawa slh '!D60+'Kayu Jati Jawa slh'!D59</f>
        <v>44320.021264527517</v>
      </c>
      <c r="E38" s="85">
        <f>'Kayu Rimba Luar Jawa slh '!E95+'Kayu Rimba Jawa slh '!E60+'Kayu Jati Jawa slh'!E59</f>
        <v>45618.543388682301</v>
      </c>
      <c r="F38" s="85">
        <f>'Kayu Rimba Luar Jawa slh '!F95+'Kayu Rimba Jawa slh '!F60+'Kayu Jati Jawa slh'!F59</f>
        <v>47003.130231614057</v>
      </c>
      <c r="G38" s="85">
        <f>'Kayu Rimba Luar Jawa slh '!G95+'Kayu Rimba Jawa slh '!G60+'Kayu Jati Jawa slh'!G59</f>
        <v>48595.509999999995</v>
      </c>
      <c r="H38" s="85">
        <f>'Kayu Rimba Luar Jawa slh '!H95+'Kayu Rimba Jawa slh '!H60+'Kayu Jati Jawa slh'!H59</f>
        <v>54426.460000000006</v>
      </c>
      <c r="I38" s="85">
        <f>'Kayu Rimba Luar Jawa slh '!I95+'Kayu Rimba Jawa slh '!I60+'Kayu Jati Jawa slh'!I59</f>
        <v>55032.56</v>
      </c>
      <c r="J38" s="85">
        <f>'Kayu Rimba Luar Jawa slh '!J95+'Kayu Rimba Jawa slh '!J60+'Kayu Jati Jawa slh'!J59</f>
        <v>56761.47</v>
      </c>
      <c r="K38" s="85">
        <f>'Kayu Rimba Luar Jawa slh '!K95+'Kayu Rimba Jawa slh '!K60+'Kayu Jati Jawa slh'!K59</f>
        <v>60762.236570020184</v>
      </c>
      <c r="L38" s="86">
        <f>'Kayu Rimba Luar Jawa slh '!L95+'Kayu Rimba Jawa slh '!L60+'Kayu Jati Jawa slh'!L59</f>
        <v>62462.421771626345</v>
      </c>
    </row>
    <row r="39" spans="1:12" ht="17.45" customHeight="1" x14ac:dyDescent="0.2">
      <c r="A39" s="84" t="s">
        <v>4</v>
      </c>
      <c r="B39" s="85">
        <f>'Kayu Rimba Luar Jawa slh '!B96+'Kayu Rimba Jawa slh '!B61+'Kayu Jati Jawa slh'!B60</f>
        <v>789.99999999999989</v>
      </c>
      <c r="C39" s="85">
        <f>'Kayu Rimba Luar Jawa slh '!C96+'Kayu Rimba Jawa slh '!C61+'Kayu Jati Jawa slh'!C60</f>
        <v>1152.3</v>
      </c>
      <c r="D39" s="85">
        <f>'Kayu Rimba Luar Jawa slh '!D96+'Kayu Rimba Jawa slh '!D61+'Kayu Jati Jawa slh'!D60</f>
        <v>1131.1999999999998</v>
      </c>
      <c r="E39" s="85">
        <f>'Kayu Rimba Luar Jawa slh '!E96+'Kayu Rimba Jawa slh '!E61+'Kayu Jati Jawa slh'!E60</f>
        <v>1601.8</v>
      </c>
      <c r="F39" s="85">
        <f>'Kayu Rimba Luar Jawa slh '!F96+'Kayu Rimba Jawa slh '!F61+'Kayu Jati Jawa slh'!F60</f>
        <v>1367.46</v>
      </c>
      <c r="G39" s="85">
        <f>'Kayu Rimba Luar Jawa slh '!G96+'Kayu Rimba Jawa slh '!G61+'Kayu Jati Jawa slh'!G60</f>
        <v>1674.2</v>
      </c>
      <c r="H39" s="85">
        <f>'Kayu Rimba Luar Jawa slh '!H96+'Kayu Rimba Jawa slh '!H61+'Kayu Jati Jawa slh'!H60</f>
        <v>2654.0299999999997</v>
      </c>
      <c r="I39" s="85">
        <f>'Kayu Rimba Luar Jawa slh '!I96+'Kayu Rimba Jawa slh '!I61+'Kayu Jati Jawa slh'!I60</f>
        <v>2266.5899999999997</v>
      </c>
      <c r="J39" s="85">
        <f>'Kayu Rimba Luar Jawa slh '!J96+'Kayu Rimba Jawa slh '!J61+'Kayu Jati Jawa slh'!J60</f>
        <v>1681.4900000000002</v>
      </c>
      <c r="K39" s="85">
        <f>'Kayu Rimba Luar Jawa slh '!K96+'Kayu Rimba Jawa slh '!K61+'Kayu Jati Jawa slh'!K60</f>
        <v>1439.1996924109028</v>
      </c>
      <c r="L39" s="86">
        <f>'Kayu Rimba Luar Jawa slh '!L96+'Kayu Rimba Jawa slh '!L61+'Kayu Jati Jawa slh'!L60</f>
        <v>1486.6886802975939</v>
      </c>
    </row>
    <row r="40" spans="1:12" ht="17.45" customHeight="1" x14ac:dyDescent="0.2">
      <c r="A40" s="84" t="s">
        <v>13</v>
      </c>
      <c r="B40" s="85">
        <f>'Kayu Rimba Luar Jawa slh '!B97+'Kayu Rimba Jawa slh '!B62+'Kayu Jati Jawa slh'!B61</f>
        <v>15665.800000000001</v>
      </c>
      <c r="C40" s="85">
        <f>'Kayu Rimba Luar Jawa slh '!C97+'Kayu Rimba Jawa slh '!C62+'Kayu Jati Jawa slh'!C61</f>
        <v>18825.8</v>
      </c>
      <c r="D40" s="85">
        <f>'Kayu Rimba Luar Jawa slh '!D97+'Kayu Rimba Jawa slh '!D62+'Kayu Jati Jawa slh'!D61</f>
        <v>38007.4</v>
      </c>
      <c r="E40" s="85">
        <f>'Kayu Rimba Luar Jawa slh '!E97+'Kayu Rimba Jawa slh '!E62+'Kayu Jati Jawa slh'!E61</f>
        <v>47597.7</v>
      </c>
      <c r="F40" s="85">
        <f>'Kayu Rimba Luar Jawa slh '!F97+'Kayu Rimba Jawa slh '!F62+'Kayu Jati Jawa slh'!F61</f>
        <v>38563.299999999996</v>
      </c>
      <c r="G40" s="85">
        <f>'Kayu Rimba Luar Jawa slh '!G97+'Kayu Rimba Jawa slh '!G62+'Kayu Jati Jawa slh'!G61</f>
        <v>41077.1</v>
      </c>
      <c r="H40" s="85">
        <f>'Kayu Rimba Luar Jawa slh '!H97+'Kayu Rimba Jawa slh '!H62+'Kayu Jati Jawa slh'!H61</f>
        <v>40078.83</v>
      </c>
      <c r="I40" s="85">
        <f>'Kayu Rimba Luar Jawa slh '!I97+'Kayu Rimba Jawa slh '!I62+'Kayu Jati Jawa slh'!I61</f>
        <v>80250.98</v>
      </c>
      <c r="J40" s="85">
        <f>'Kayu Rimba Luar Jawa slh '!J97+'Kayu Rimba Jawa slh '!J62+'Kayu Jati Jawa slh'!J61</f>
        <v>93239.37999999999</v>
      </c>
      <c r="K40" s="85">
        <f>'Kayu Rimba Luar Jawa slh '!K97+'Kayu Rimba Jawa slh '!K62+'Kayu Jati Jawa slh'!K61</f>
        <v>109191.15284669014</v>
      </c>
      <c r="L40" s="86">
        <f>'Kayu Rimba Luar Jawa slh '!L97+'Kayu Rimba Jawa slh '!L62+'Kayu Jati Jawa slh'!L61</f>
        <v>100341.42034049337</v>
      </c>
    </row>
    <row r="41" spans="1:12" ht="17.45" customHeight="1" x14ac:dyDescent="0.2">
      <c r="A41" s="84" t="s">
        <v>5</v>
      </c>
      <c r="B41" s="85">
        <f>'Kayu Rimba Luar Jawa slh '!B98+'Kayu Rimba Jawa slh '!B63+'Kayu Jati Jawa slh'!B62</f>
        <v>28553.899999999998</v>
      </c>
      <c r="C41" s="85">
        <f>'Kayu Rimba Luar Jawa slh '!C98+'Kayu Rimba Jawa slh '!C63+'Kayu Jati Jawa slh'!C62</f>
        <v>28139.699999999997</v>
      </c>
      <c r="D41" s="85">
        <f>'Kayu Rimba Luar Jawa slh '!D98+'Kayu Rimba Jawa slh '!D63+'Kayu Jati Jawa slh'!D62</f>
        <v>28689.399999999998</v>
      </c>
      <c r="E41" s="85">
        <f>'Kayu Rimba Luar Jawa slh '!E98+'Kayu Rimba Jawa slh '!E63+'Kayu Jati Jawa slh'!E62</f>
        <v>29553.8</v>
      </c>
      <c r="F41" s="85">
        <f>'Kayu Rimba Luar Jawa slh '!F98+'Kayu Rimba Jawa slh '!F63+'Kayu Jati Jawa slh'!F62</f>
        <v>29701.4</v>
      </c>
      <c r="G41" s="85">
        <f>'Kayu Rimba Luar Jawa slh '!G98+'Kayu Rimba Jawa slh '!G63+'Kayu Jati Jawa slh'!G62</f>
        <v>29666.9</v>
      </c>
      <c r="H41" s="85">
        <f>'Kayu Rimba Luar Jawa slh '!H98+'Kayu Rimba Jawa slh '!H63+'Kayu Jati Jawa slh'!H62</f>
        <v>30092.97</v>
      </c>
      <c r="I41" s="85">
        <f>'Kayu Rimba Luar Jawa slh '!I98+'Kayu Rimba Jawa slh '!I63+'Kayu Jati Jawa slh'!I62</f>
        <v>34230.239999999998</v>
      </c>
      <c r="J41" s="85">
        <f>'Kayu Rimba Luar Jawa slh '!J98+'Kayu Rimba Jawa slh '!J63+'Kayu Jati Jawa slh'!J62</f>
        <v>25532.74</v>
      </c>
      <c r="K41" s="85">
        <f>'Kayu Rimba Luar Jawa slh '!K98+'Kayu Rimba Jawa slh '!K63+'Kayu Jati Jawa slh'!K62</f>
        <v>25740.011751800001</v>
      </c>
      <c r="L41" s="86">
        <f>'Kayu Rimba Luar Jawa slh '!L98+'Kayu Rimba Jawa slh '!L63+'Kayu Jati Jawa slh'!L62</f>
        <v>26264.207162751114</v>
      </c>
    </row>
    <row r="42" spans="1:12" ht="17.45" customHeight="1" x14ac:dyDescent="0.2">
      <c r="A42" s="84" t="s">
        <v>99</v>
      </c>
      <c r="B42" s="85">
        <f>'Kayu Rimba Luar Jawa slh '!B99+'Kayu Rimba Jawa slh '!B64+'Kayu Jati Jawa slh'!B63</f>
        <v>-1446.7999999992717</v>
      </c>
      <c r="C42" s="85">
        <f>'Kayu Rimba Luar Jawa slh '!C99+'Kayu Rimba Jawa slh '!C64+'Kayu Jati Jawa slh'!C63</f>
        <v>-2725.0544463924816</v>
      </c>
      <c r="D42" s="85">
        <f>'Kayu Rimba Luar Jawa slh '!D99+'Kayu Rimba Jawa slh '!D64+'Kayu Jati Jawa slh'!D63</f>
        <v>-21245.578735471739</v>
      </c>
      <c r="E42" s="85">
        <f>'Kayu Rimba Luar Jawa slh '!E99+'Kayu Rimba Jawa slh '!E64+'Kayu Jati Jawa slh'!E63</f>
        <v>-29931.156611316947</v>
      </c>
      <c r="F42" s="85">
        <f>'Kayu Rimba Luar Jawa slh '!F99+'Kayu Rimba Jawa slh '!F64+'Kayu Jati Jawa slh'!F63</f>
        <v>-19894.109768385788</v>
      </c>
      <c r="G42" s="85">
        <f>'Kayu Rimba Luar Jawa slh '!G99+'Kayu Rimba Jawa slh '!G64+'Kayu Jati Jawa slh'!G63</f>
        <v>-20474.289999999281</v>
      </c>
      <c r="H42" s="85">
        <f>'Kayu Rimba Luar Jawa slh '!H99+'Kayu Rimba Jawa slh '!H64+'Kayu Jati Jawa slh'!H63</f>
        <v>-13091.310000001482</v>
      </c>
      <c r="I42" s="85">
        <f>'Kayu Rimba Luar Jawa slh '!I99+'Kayu Rimba Jawa slh '!I64+'Kayu Jati Jawa slh'!I63</f>
        <v>-57182.070000000196</v>
      </c>
      <c r="J42" s="85">
        <f>'Kayu Rimba Luar Jawa slh '!J99+'Kayu Rimba Jawa slh '!J64+'Kayu Jati Jawa slh'!J63</f>
        <v>-60329.159999999574</v>
      </c>
      <c r="K42" s="85">
        <f>'Kayu Rimba Luar Jawa slh '!K99+'Kayu Rimba Jawa slh '!K64+'Kayu Jati Jawa slh'!K63</f>
        <v>-72729.72833605847</v>
      </c>
      <c r="L42" s="86">
        <f>'Kayu Rimba Luar Jawa slh '!L99+'Kayu Rimba Jawa slh '!L64+'Kayu Jati Jawa slh'!L63</f>
        <v>-62656.517051320741</v>
      </c>
    </row>
    <row r="43" spans="1:12" ht="17.45" customHeight="1" x14ac:dyDescent="0.2">
      <c r="A43" s="84" t="s">
        <v>10</v>
      </c>
      <c r="B43" s="85">
        <f>'Kayu Rimba Luar Jawa slh '!B100+'Kayu Rimba Jawa slh '!B65+'Kayu Jati Jawa slh'!B64</f>
        <v>8642977.8000000007</v>
      </c>
      <c r="C43" s="85">
        <f>'Kayu Rimba Luar Jawa slh '!C100+'Kayu Rimba Jawa slh '!C65+'Kayu Jati Jawa slh'!C64</f>
        <v>8640252.7455536071</v>
      </c>
      <c r="D43" s="85">
        <f>'Kayu Rimba Luar Jawa slh '!D100+'Kayu Rimba Jawa slh '!D65+'Kayu Jati Jawa slh'!D64</f>
        <v>8619007.1668181363</v>
      </c>
      <c r="E43" s="85">
        <f>'Kayu Rimba Luar Jawa slh '!E100+'Kayu Rimba Jawa slh '!E65+'Kayu Jati Jawa slh'!E64</f>
        <v>8589076.0102068204</v>
      </c>
      <c r="F43" s="85">
        <f>'Kayu Rimba Luar Jawa slh '!F100+'Kayu Rimba Jawa slh '!F65+'Kayu Jati Jawa slh'!F64</f>
        <v>8569181.9004384335</v>
      </c>
      <c r="G43" s="85">
        <f>'Kayu Rimba Luar Jawa slh '!G100+'Kayu Rimba Jawa slh '!G65+'Kayu Jati Jawa slh'!G64</f>
        <v>8548707.6104384344</v>
      </c>
      <c r="H43" s="85">
        <f>'Kayu Rimba Luar Jawa slh '!H100+'Kayu Rimba Jawa slh '!H65+'Kayu Jati Jawa slh'!H64</f>
        <v>8535616.3050000016</v>
      </c>
      <c r="I43" s="85">
        <f>'Kayu Rimba Luar Jawa slh '!I100+'Kayu Rimba Jawa slh '!I65+'Kayu Jati Jawa slh'!I64</f>
        <v>8478434.2350000031</v>
      </c>
      <c r="J43" s="85">
        <f>'Kayu Rimba Luar Jawa slh '!J100+'Kayu Rimba Jawa slh '!J65+'Kayu Jati Jawa slh'!J64</f>
        <v>8418105.075000003</v>
      </c>
      <c r="K43" s="85">
        <f>'Kayu Rimba Luar Jawa slh '!K100+'Kayu Rimba Jawa slh '!K65+'Kayu Jati Jawa slh'!K64</f>
        <v>8345375.3466639444</v>
      </c>
      <c r="L43" s="86">
        <f>'Kayu Rimba Luar Jawa slh '!L100+'Kayu Rimba Jawa slh '!L65+'Kayu Jati Jawa slh'!L64</f>
        <v>8282718.8296126239</v>
      </c>
    </row>
    <row r="44" spans="1:12" ht="17.45" customHeight="1" x14ac:dyDescent="0.2">
      <c r="A44" s="84"/>
      <c r="L44" s="77"/>
    </row>
    <row r="45" spans="1:12" ht="17.45" customHeight="1" x14ac:dyDescent="0.2">
      <c r="A45" s="84" t="s">
        <v>7</v>
      </c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6"/>
    </row>
    <row r="46" spans="1:12" ht="17.45" customHeight="1" x14ac:dyDescent="0.2">
      <c r="A46" s="84" t="s">
        <v>8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6"/>
    </row>
    <row r="47" spans="1:12" ht="17.45" customHeight="1" x14ac:dyDescent="0.2">
      <c r="A47" s="84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6"/>
    </row>
    <row r="48" spans="1:12" ht="17.45" customHeight="1" x14ac:dyDescent="0.2">
      <c r="A48" s="84" t="s">
        <v>2</v>
      </c>
      <c r="B48" s="85">
        <f>'Kayu Rimba Luar Jawa slh '!B107+'Kayu Rimba Jawa slh '!B72+'Kayu Jati Jawa slh'!B71</f>
        <v>122116.3957659</v>
      </c>
      <c r="C48" s="85">
        <f>'Kayu Rimba Luar Jawa slh '!C107+'Kayu Rimba Jawa slh '!C72+'Kayu Jati Jawa slh'!C71</f>
        <v>122375.51990590002</v>
      </c>
      <c r="D48" s="85">
        <f>'Kayu Rimba Luar Jawa slh '!D107+'Kayu Rimba Jawa slh '!D72+'Kayu Jati Jawa slh'!D71</f>
        <v>122643.99151651778</v>
      </c>
      <c r="E48" s="85">
        <f>'Kayu Rimba Luar Jawa slh '!E107+'Kayu Rimba Jawa slh '!E72+'Kayu Jati Jawa slh'!E71</f>
        <v>122691.98864856552</v>
      </c>
      <c r="F48" s="85">
        <f>'Kayu Rimba Luar Jawa slh '!F107+'Kayu Rimba Jawa slh '!F72+'Kayu Jati Jawa slh'!F71</f>
        <v>122616.50910765609</v>
      </c>
      <c r="G48" s="85">
        <f>'Kayu Rimba Luar Jawa slh '!G107+'Kayu Rimba Jawa slh '!G72+'Kayu Jati Jawa slh'!G71</f>
        <v>122703.8207705049</v>
      </c>
      <c r="H48" s="85">
        <f>'Kayu Rimba Luar Jawa slh '!H107+'Kayu Rimba Jawa slh '!H72+'Kayu Jati Jawa slh'!H71</f>
        <v>122811.37675218492</v>
      </c>
      <c r="I48" s="85">
        <f>'Kayu Rimba Luar Jawa slh '!I107+'Kayu Rimba Jawa slh '!I72+'Kayu Jati Jawa slh'!I71</f>
        <v>123249.65506478489</v>
      </c>
      <c r="J48" s="85">
        <f>'Kayu Rimba Luar Jawa slh '!J107+'Kayu Rimba Jawa slh '!J72+'Kayu Jati Jawa slh'!J71</f>
        <v>123065.56087820489</v>
      </c>
      <c r="K48" s="85">
        <f>'Kayu Rimba Luar Jawa slh '!K107+'Kayu Rimba Jawa slh '!K72+'Kayu Jati Jawa slh'!K71</f>
        <v>122822.63268813491</v>
      </c>
      <c r="L48" s="86">
        <f>'Kayu Rimba Luar Jawa slh '!L107+'Kayu Rimba Jawa slh '!L72+'Kayu Jati Jawa slh'!L71</f>
        <v>122397.70469050593</v>
      </c>
    </row>
    <row r="49" spans="1:12" ht="17.45" customHeight="1" x14ac:dyDescent="0.2">
      <c r="A49" s="84" t="s">
        <v>3</v>
      </c>
      <c r="B49" s="85">
        <f>'Kayu Rimba Luar Jawa slh '!B108+'Kayu Rimba Jawa slh '!B73+'Kayu Jati Jawa slh'!B72</f>
        <v>972.99424299999998</v>
      </c>
      <c r="C49" s="85">
        <f>'Kayu Rimba Luar Jawa slh '!C108+'Kayu Rimba Jawa slh '!C73+'Kayu Jati Jawa slh'!C72</f>
        <v>1011.8987770177528</v>
      </c>
      <c r="D49" s="85">
        <f>'Kayu Rimba Luar Jawa slh '!D108+'Kayu Rimba Jawa slh '!D73+'Kayu Jati Jawa slh'!D72</f>
        <v>1054.9103417477434</v>
      </c>
      <c r="E49" s="85">
        <f>'Kayu Rimba Luar Jawa slh '!E108+'Kayu Rimba Jawa slh '!E73+'Kayu Jati Jawa slh'!E72</f>
        <v>1101.4977792905615</v>
      </c>
      <c r="F49" s="85">
        <f>'Kayu Rimba Luar Jawa slh '!F108+'Kayu Rimba Jawa slh '!F73+'Kayu Jati Jawa slh'!F72</f>
        <v>1149.0030281688096</v>
      </c>
      <c r="G49" s="85">
        <f>'Kayu Rimba Luar Jawa slh '!G108+'Kayu Rimba Jawa slh '!G73+'Kayu Jati Jawa slh'!G72</f>
        <v>1201.74635448</v>
      </c>
      <c r="H49" s="85">
        <f>'Kayu Rimba Luar Jawa slh '!H108+'Kayu Rimba Jawa slh '!H73+'Kayu Jati Jawa slh'!H72</f>
        <v>1504.0029677899997</v>
      </c>
      <c r="I49" s="85">
        <f>'Kayu Rimba Luar Jawa slh '!I108+'Kayu Rimba Jawa slh '!I73+'Kayu Jati Jawa slh'!I72</f>
        <v>1488.56618374</v>
      </c>
      <c r="J49" s="85">
        <f>'Kayu Rimba Luar Jawa slh '!J108+'Kayu Rimba Jawa slh '!J73+'Kayu Jati Jawa slh'!J72</f>
        <v>1531.6135633599999</v>
      </c>
      <c r="K49" s="85">
        <f>'Kayu Rimba Luar Jawa slh '!K108+'Kayu Rimba Jawa slh '!K73+'Kayu Jati Jawa slh'!K72</f>
        <v>1573.5390089133502</v>
      </c>
      <c r="L49" s="86">
        <f>'Kayu Rimba Luar Jawa slh '!L108+'Kayu Rimba Jawa slh '!L73+'Kayu Jati Jawa slh'!L72</f>
        <v>1578.3994205470594</v>
      </c>
    </row>
    <row r="50" spans="1:12" ht="17.45" customHeight="1" x14ac:dyDescent="0.2">
      <c r="A50" s="84" t="s">
        <v>4</v>
      </c>
      <c r="B50" s="85">
        <f>'Kayu Rimba Luar Jawa slh '!B109+'Kayu Rimba Jawa slh '!B74+'Kayu Jati Jawa slh'!B73</f>
        <v>14.075114599999997</v>
      </c>
      <c r="C50" s="85">
        <f>'Kayu Rimba Luar Jawa slh '!C109+'Kayu Rimba Jawa slh '!C74+'Kayu Jati Jawa slh'!C73</f>
        <v>19.592987899999997</v>
      </c>
      <c r="D50" s="85">
        <f>'Kayu Rimba Luar Jawa slh '!D109+'Kayu Rimba Jawa slh '!D74+'Kayu Jati Jawa slh'!D73</f>
        <v>18.591909799999996</v>
      </c>
      <c r="E50" s="85">
        <f>'Kayu Rimba Luar Jawa slh '!E109+'Kayu Rimba Jawa slh '!E74+'Kayu Jati Jawa slh'!E73</f>
        <v>24.626651499999998</v>
      </c>
      <c r="F50" s="85">
        <f>'Kayu Rimba Luar Jawa slh '!F109+'Kayu Rimba Jawa slh '!F74+'Kayu Jati Jawa slh'!F73</f>
        <v>21.394791479999999</v>
      </c>
      <c r="G50" s="85">
        <f>'Kayu Rimba Luar Jawa slh '!G109+'Kayu Rimba Jawa slh '!G74+'Kayu Jati Jawa slh'!G73</f>
        <v>26.030518900000001</v>
      </c>
      <c r="H50" s="85">
        <f>'Kayu Rimba Luar Jawa slh '!H109+'Kayu Rimba Jawa slh '!H74+'Kayu Jati Jawa slh'!H73</f>
        <v>37.901667989999993</v>
      </c>
      <c r="I50" s="85">
        <f>'Kayu Rimba Luar Jawa slh '!I109+'Kayu Rimba Jawa slh '!I74+'Kayu Jati Jawa slh'!I73</f>
        <v>33.511563800000005</v>
      </c>
      <c r="J50" s="85">
        <f>'Kayu Rimba Luar Jawa slh '!J109+'Kayu Rimba Jawa slh '!J74+'Kayu Jati Jawa slh'!J73</f>
        <v>25.26309273</v>
      </c>
      <c r="K50" s="85">
        <f>'Kayu Rimba Luar Jawa slh '!K109+'Kayu Rimba Jawa slh '!K74+'Kayu Jati Jawa slh'!K73</f>
        <v>24.599245124788261</v>
      </c>
      <c r="L50" s="86">
        <f>'Kayu Rimba Luar Jawa slh '!L109+'Kayu Rimba Jawa slh '!L74+'Kayu Jati Jawa slh'!L73</f>
        <v>26.432726319498467</v>
      </c>
    </row>
    <row r="51" spans="1:12" ht="17.45" customHeight="1" x14ac:dyDescent="0.2">
      <c r="A51" s="84" t="s">
        <v>13</v>
      </c>
      <c r="B51" s="85">
        <f>'Kayu Rimba Luar Jawa slh '!B110+'Kayu Rimba Jawa slh '!B75+'Kayu Jati Jawa slh'!B74</f>
        <v>228.81886129999998</v>
      </c>
      <c r="C51" s="85">
        <f>'Kayu Rimba Luar Jawa slh '!C110+'Kayu Rimba Jawa slh '!C75+'Kayu Jati Jawa slh'!C74</f>
        <v>271.91000550000001</v>
      </c>
      <c r="D51" s="85">
        <f>'Kayu Rimba Luar Jawa slh '!D110+'Kayu Rimba Jawa slh '!D75+'Kayu Jati Jawa slh'!D74</f>
        <v>537.4648347000001</v>
      </c>
      <c r="E51" s="85">
        <f>'Kayu Rimba Luar Jawa slh '!E110+'Kayu Rimba Jawa slh '!E75+'Kayu Jati Jawa slh'!E74</f>
        <v>679.50206460000004</v>
      </c>
      <c r="F51" s="85">
        <f>'Kayu Rimba Luar Jawa slh '!F110+'Kayu Rimba Jawa slh '!F75+'Kayu Jati Jawa slh'!F74</f>
        <v>553.13990760000002</v>
      </c>
      <c r="G51" s="85">
        <f>'Kayu Rimba Luar Jawa slh '!G110+'Kayu Rimba Jawa slh '!G75+'Kayu Jati Jawa slh'!G74</f>
        <v>587.06076359999997</v>
      </c>
      <c r="H51" s="85">
        <f>'Kayu Rimba Luar Jawa slh '!H110+'Kayu Rimba Jawa slh '!H75+'Kayu Jati Jawa slh'!H74</f>
        <v>573.51452848000008</v>
      </c>
      <c r="I51" s="85">
        <f>'Kayu Rimba Luar Jawa slh '!I110+'Kayu Rimba Jawa slh '!I75+'Kayu Jati Jawa slh'!I74</f>
        <v>1115.3043559099997</v>
      </c>
      <c r="J51" s="85">
        <f>'Kayu Rimba Luar Jawa slh '!J110+'Kayu Rimba Jawa slh '!J75+'Kayu Jati Jawa slh'!J74</f>
        <v>1341.7982393899997</v>
      </c>
      <c r="K51" s="85">
        <f>'Kayu Rimba Luar Jawa slh '!K110+'Kayu Rimba Jawa slh '!K75+'Kayu Jati Jawa slh'!K74</f>
        <v>1561.3618325564717</v>
      </c>
      <c r="L51" s="86">
        <f>'Kayu Rimba Luar Jawa slh '!L110+'Kayu Rimba Jawa slh '!L75+'Kayu Jati Jawa slh'!L74</f>
        <v>1441.9488852294289</v>
      </c>
    </row>
    <row r="52" spans="1:12" ht="17.45" customHeight="1" x14ac:dyDescent="0.2">
      <c r="A52" s="84" t="s">
        <v>5</v>
      </c>
      <c r="B52" s="85">
        <f>'Kayu Rimba Luar Jawa slh '!B111+'Kayu Rimba Jawa slh '!B76+'Kayu Jati Jawa slh'!B75</f>
        <v>499.1263563</v>
      </c>
      <c r="C52" s="85">
        <f>'Kayu Rimba Luar Jawa slh '!C111+'Kayu Rimba Jawa slh '!C76+'Kayu Jati Jawa slh'!C75</f>
        <v>491.11014879999999</v>
      </c>
      <c r="D52" s="85">
        <f>'Kayu Rimba Luar Jawa slh '!D111+'Kayu Rimba Jawa slh '!D76+'Kayu Jati Jawa slh'!D75</f>
        <v>488.04028479999999</v>
      </c>
      <c r="E52" s="85">
        <f>'Kayu Rimba Luar Jawa slh '!E111+'Kayu Rimba Jawa slh '!E76+'Kayu Jati Jawa slh'!E75</f>
        <v>522.10190710000006</v>
      </c>
      <c r="F52" s="85">
        <f>'Kayu Rimba Luar Jawa slh '!F111+'Kayu Rimba Jawa slh '!F76+'Kayu Jati Jawa slh'!F75</f>
        <v>529.94624920000001</v>
      </c>
      <c r="G52" s="85">
        <f>'Kayu Rimba Luar Jawa slh '!G111+'Kayu Rimba Jawa slh '!G76+'Kayu Jati Jawa slh'!G75</f>
        <v>533.16012809999995</v>
      </c>
      <c r="H52" s="85">
        <f>'Kayu Rimba Luar Jawa slh '!H111+'Kayu Rimba Jawa slh '!H76+'Kayu Jati Jawa slh'!H75</f>
        <v>530.11179470000002</v>
      </c>
      <c r="I52" s="85">
        <f>'Kayu Rimba Luar Jawa slh '!I111+'Kayu Rimba Jawa slh '!I76+'Kayu Jati Jawa slh'!I75</f>
        <v>590.86757821000003</v>
      </c>
      <c r="J52" s="85">
        <f>'Kayu Rimba Luar Jawa slh '!J111+'Kayu Rimba Jawa slh '!J76+'Kayu Jati Jawa slh'!J75</f>
        <v>458.00660677000002</v>
      </c>
      <c r="K52" s="85">
        <f>'Kayu Rimba Luar Jawa slh '!K111+'Kayu Rimba Jawa slh '!K76+'Kayu Jati Jawa slh'!K75</f>
        <v>461.70441911066342</v>
      </c>
      <c r="L52" s="86">
        <f>'Kayu Rimba Luar Jawa slh '!L111+'Kayu Rimba Jawa slh '!L76+'Kayu Jati Jawa slh'!L75</f>
        <v>457.9534950693934</v>
      </c>
    </row>
    <row r="53" spans="1:12" ht="17.45" customHeight="1" x14ac:dyDescent="0.2">
      <c r="A53" s="84" t="s">
        <v>99</v>
      </c>
      <c r="B53" s="85">
        <f>'Kayu Rimba Luar Jawa slh '!B112+'Kayu Rimba Jawa slh '!B77+'Kayu Jati Jawa slh'!B76</f>
        <v>259.1241400000099</v>
      </c>
      <c r="C53" s="85">
        <f>'Kayu Rimba Luar Jawa slh '!C112+'Kayu Rimba Jawa slh '!C77+'Kayu Jati Jawa slh'!C76</f>
        <v>268.47161061776234</v>
      </c>
      <c r="D53" s="85">
        <f>'Kayu Rimba Luar Jawa slh '!D112+'Kayu Rimba Jawa slh '!D77+'Kayu Jati Jawa slh'!D76</f>
        <v>47.997132047752928</v>
      </c>
      <c r="E53" s="85">
        <f>'Kayu Rimba Luar Jawa slh '!E112+'Kayu Rimba Jawa slh '!E77+'Kayu Jati Jawa slh'!E76</f>
        <v>-75.479540909427328</v>
      </c>
      <c r="F53" s="85">
        <f>'Kayu Rimba Luar Jawa slh '!F112+'Kayu Rimba Jawa slh '!F77+'Kayu Jati Jawa slh'!F76</f>
        <v>87.31166284881138</v>
      </c>
      <c r="G53" s="85">
        <f>'Kayu Rimba Luar Jawa slh '!G112+'Kayu Rimba Jawa slh '!G77+'Kayu Jati Jawa slh'!G76</f>
        <v>107.55598168000961</v>
      </c>
      <c r="H53" s="85">
        <f>'Kayu Rimba Luar Jawa slh '!H112+'Kayu Rimba Jawa slh '!H77+'Kayu Jati Jawa slh'!H76</f>
        <v>438.27831259997947</v>
      </c>
      <c r="I53" s="85">
        <f>'Kayu Rimba Luar Jawa slh '!I112+'Kayu Rimba Jawa slh '!I77+'Kayu Jati Jawa slh'!I76</f>
        <v>-184.09418658000357</v>
      </c>
      <c r="J53" s="85">
        <f>'Kayu Rimba Luar Jawa slh '!J112+'Kayu Rimba Jawa slh '!J77+'Kayu Jati Jawa slh'!J76</f>
        <v>-242.92819006999378</v>
      </c>
      <c r="K53" s="85">
        <f>'Kayu Rimba Luar Jawa slh '!K112+'Kayu Rimba Jawa slh '!K77+'Kayu Jati Jawa slh'!K76</f>
        <v>-424.9279976289879</v>
      </c>
      <c r="L53" s="86">
        <f>'Kayu Rimba Luar Jawa slh '!L112+'Kayu Rimba Jawa slh '!L77+'Kayu Jati Jawa slh'!L76</f>
        <v>-295.07023343226655</v>
      </c>
    </row>
    <row r="54" spans="1:12" ht="17.45" customHeight="1" x14ac:dyDescent="0.2">
      <c r="A54" s="84" t="s">
        <v>100</v>
      </c>
      <c r="B54" s="85">
        <f>'Kayu Rimba Luar Jawa slh '!B113+'Kayu Rimba Jawa slh '!B78+'Kayu Jati Jawa slh'!B77</f>
        <v>0</v>
      </c>
      <c r="C54" s="85">
        <f>'Kayu Rimba Luar Jawa slh '!C113+'Kayu Rimba Jawa slh '!C78+'Kayu Jati Jawa slh'!C77</f>
        <v>0</v>
      </c>
      <c r="D54" s="85">
        <f>'Kayu Rimba Luar Jawa slh '!D113+'Kayu Rimba Jawa slh '!D78+'Kayu Jati Jawa slh'!D77</f>
        <v>0</v>
      </c>
      <c r="E54" s="85">
        <f>'Kayu Rimba Luar Jawa slh '!E113+'Kayu Rimba Jawa slh '!E78+'Kayu Jati Jawa slh'!E77</f>
        <v>0</v>
      </c>
      <c r="F54" s="85">
        <f>'Kayu Rimba Luar Jawa slh '!F113+'Kayu Rimba Jawa slh '!F78+'Kayu Jati Jawa slh'!F77</f>
        <v>0</v>
      </c>
      <c r="G54" s="85">
        <f>'Kayu Rimba Luar Jawa slh '!G113+'Kayu Rimba Jawa slh '!G78+'Kayu Jati Jawa slh'!G77</f>
        <v>0</v>
      </c>
      <c r="H54" s="85">
        <f>'Kayu Rimba Luar Jawa slh '!H113+'Kayu Rimba Jawa slh '!H78+'Kayu Jati Jawa slh'!H77</f>
        <v>0</v>
      </c>
      <c r="I54" s="85">
        <f>'Kayu Rimba Luar Jawa slh '!I113+'Kayu Rimba Jawa slh '!I78+'Kayu Jati Jawa slh'!I77</f>
        <v>0</v>
      </c>
      <c r="J54" s="85">
        <f>'Kayu Rimba Luar Jawa slh '!J113+'Kayu Rimba Jawa slh '!J78+'Kayu Jati Jawa slh'!J77</f>
        <v>0</v>
      </c>
      <c r="K54" s="85">
        <f>'Kayu Rimba Luar Jawa slh '!K113+'Kayu Rimba Jawa slh '!K78+'Kayu Jati Jawa slh'!K77</f>
        <v>0</v>
      </c>
      <c r="L54" s="86">
        <f>'Kayu Rimba Luar Jawa slh '!L113+'Kayu Rimba Jawa slh '!L78+'Kayu Jati Jawa slh'!L77</f>
        <v>0</v>
      </c>
    </row>
    <row r="55" spans="1:12" ht="17.45" customHeight="1" x14ac:dyDescent="0.2">
      <c r="A55" s="84" t="s">
        <v>101</v>
      </c>
      <c r="B55" s="85">
        <f>'Kayu Rimba Luar Jawa slh '!B114+'Kayu Rimba Jawa slh '!B79+'Kayu Jati Jawa slh'!B78</f>
        <v>122375.51990590002</v>
      </c>
      <c r="C55" s="85">
        <f>'Kayu Rimba Luar Jawa slh '!C114+'Kayu Rimba Jawa slh '!C79+'Kayu Jati Jawa slh'!C78</f>
        <v>122643.99151651778</v>
      </c>
      <c r="D55" s="85">
        <f>'Kayu Rimba Luar Jawa slh '!D114+'Kayu Rimba Jawa slh '!D79+'Kayu Jati Jawa slh'!D78</f>
        <v>122691.98864856552</v>
      </c>
      <c r="E55" s="85">
        <f>'Kayu Rimba Luar Jawa slh '!E114+'Kayu Rimba Jawa slh '!E79+'Kayu Jati Jawa slh'!E78</f>
        <v>122616.50910765609</v>
      </c>
      <c r="F55" s="85">
        <f>'Kayu Rimba Luar Jawa slh '!F114+'Kayu Rimba Jawa slh '!F79+'Kayu Jati Jawa slh'!F78</f>
        <v>122703.8207705049</v>
      </c>
      <c r="G55" s="85">
        <f>'Kayu Rimba Luar Jawa slh '!G114+'Kayu Rimba Jawa slh '!G79+'Kayu Jati Jawa slh'!G78</f>
        <v>122811.37675218492</v>
      </c>
      <c r="H55" s="85">
        <f>'Kayu Rimba Luar Jawa slh '!H114+'Kayu Rimba Jawa slh '!H79+'Kayu Jati Jawa slh'!H78</f>
        <v>123249.65506478489</v>
      </c>
      <c r="I55" s="85">
        <f>'Kayu Rimba Luar Jawa slh '!I114+'Kayu Rimba Jawa slh '!I79+'Kayu Jati Jawa slh'!I78</f>
        <v>123065.56087820489</v>
      </c>
      <c r="J55" s="85">
        <f>'Kayu Rimba Luar Jawa slh '!J114+'Kayu Rimba Jawa slh '!J79+'Kayu Jati Jawa slh'!J78</f>
        <v>122822.63268813491</v>
      </c>
      <c r="K55" s="85">
        <f>'Kayu Rimba Luar Jawa slh '!K114+'Kayu Rimba Jawa slh '!K79+'Kayu Jati Jawa slh'!K78</f>
        <v>122397.70469050593</v>
      </c>
      <c r="L55" s="86">
        <f>'Kayu Rimba Luar Jawa slh '!L114+'Kayu Rimba Jawa slh '!L79+'Kayu Jati Jawa slh'!L78</f>
        <v>122102.63445707365</v>
      </c>
    </row>
    <row r="56" spans="1:12" ht="17.45" customHeight="1" thickBot="1" x14ac:dyDescent="0.25">
      <c r="A56" s="83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5"/>
    </row>
    <row r="57" spans="1:12" ht="17.45" customHeight="1" thickTop="1" x14ac:dyDescent="0.2"/>
    <row r="58" spans="1:12" ht="17.45" customHeight="1" x14ac:dyDescent="0.2"/>
    <row r="59" spans="1:12" ht="17.45" customHeight="1" x14ac:dyDescent="0.2"/>
    <row r="60" spans="1:12" ht="17.45" customHeight="1" x14ac:dyDescent="0.2"/>
    <row r="61" spans="1:12" ht="17.45" customHeight="1" x14ac:dyDescent="0.2"/>
    <row r="62" spans="1:12" ht="17.45" customHeight="1" x14ac:dyDescent="0.2"/>
    <row r="63" spans="1:12" ht="17.45" customHeight="1" x14ac:dyDescent="0.2"/>
    <row r="64" spans="1:12" ht="17.45" customHeight="1" x14ac:dyDescent="0.2"/>
    <row r="65" ht="17.45" customHeight="1" x14ac:dyDescent="0.2"/>
    <row r="66" ht="17.45" customHeight="1" x14ac:dyDescent="0.2"/>
    <row r="67" ht="17.45" customHeight="1" x14ac:dyDescent="0.2"/>
    <row r="68" ht="17.45" customHeight="1" x14ac:dyDescent="0.2"/>
    <row r="69" ht="17.45" customHeight="1" x14ac:dyDescent="0.2"/>
    <row r="70" ht="17.45" customHeight="1" x14ac:dyDescent="0.2"/>
    <row r="71" ht="17.45" customHeight="1" x14ac:dyDescent="0.2"/>
    <row r="72" ht="17.45" customHeight="1" x14ac:dyDescent="0.2"/>
    <row r="73" ht="17.45" customHeight="1" x14ac:dyDescent="0.2"/>
    <row r="74" ht="17.45" customHeight="1" x14ac:dyDescent="0.2"/>
    <row r="75" ht="17.45" customHeight="1" x14ac:dyDescent="0.2"/>
    <row r="76" ht="17.45" customHeight="1" x14ac:dyDescent="0.2"/>
    <row r="77" ht="17.45" customHeight="1" x14ac:dyDescent="0.2"/>
    <row r="78" ht="17.45" customHeight="1" x14ac:dyDescent="0.2"/>
    <row r="79" ht="17.45" customHeight="1" x14ac:dyDescent="0.2"/>
    <row r="80" ht="17.45" customHeight="1" x14ac:dyDescent="0.2"/>
    <row r="81" ht="17.45" customHeight="1" x14ac:dyDescent="0.2"/>
    <row r="82" ht="17.45" customHeight="1" x14ac:dyDescent="0.2"/>
    <row r="83" ht="17.45" customHeight="1" x14ac:dyDescent="0.2"/>
    <row r="84" ht="17.45" customHeight="1" x14ac:dyDescent="0.2"/>
    <row r="85" ht="17.45" customHeight="1" x14ac:dyDescent="0.2"/>
    <row r="86" ht="17.45" customHeight="1" x14ac:dyDescent="0.2"/>
    <row r="87" ht="17.45" customHeight="1" x14ac:dyDescent="0.2"/>
    <row r="88" ht="17.45" customHeight="1" x14ac:dyDescent="0.2"/>
    <row r="89" ht="17.45" customHeight="1" x14ac:dyDescent="0.2"/>
    <row r="90" ht="17.45" customHeight="1" x14ac:dyDescent="0.2"/>
    <row r="91" ht="17.45" customHeight="1" x14ac:dyDescent="0.2"/>
    <row r="92" ht="17.45" customHeight="1" x14ac:dyDescent="0.2"/>
    <row r="93" ht="17.45" customHeight="1" x14ac:dyDescent="0.2"/>
    <row r="94" ht="17.45" customHeight="1" x14ac:dyDescent="0.2"/>
    <row r="95" ht="17.45" customHeight="1" x14ac:dyDescent="0.2"/>
    <row r="96" ht="17.45" customHeight="1" x14ac:dyDescent="0.2"/>
    <row r="97" ht="17.45" customHeight="1" x14ac:dyDescent="0.2"/>
    <row r="98" ht="17.45" customHeight="1" x14ac:dyDescent="0.2"/>
    <row r="99" ht="17.45" customHeight="1" x14ac:dyDescent="0.2"/>
    <row r="100" ht="17.45" customHeight="1" x14ac:dyDescent="0.2"/>
    <row r="101" ht="17.45" customHeight="1" x14ac:dyDescent="0.2"/>
    <row r="102" ht="17.45" customHeight="1" x14ac:dyDescent="0.2"/>
    <row r="103" ht="17.45" customHeight="1" x14ac:dyDescent="0.2"/>
    <row r="104" ht="17.45" customHeight="1" x14ac:dyDescent="0.2"/>
    <row r="105" ht="17.45" customHeight="1" x14ac:dyDescent="0.2"/>
    <row r="106" ht="17.45" customHeight="1" x14ac:dyDescent="0.2"/>
    <row r="107" ht="17.45" customHeight="1" x14ac:dyDescent="0.2"/>
    <row r="108" ht="17.45" customHeight="1" x14ac:dyDescent="0.2"/>
    <row r="109" ht="17.45" customHeight="1" x14ac:dyDescent="0.2"/>
    <row r="110" ht="17.45" customHeight="1" x14ac:dyDescent="0.2"/>
    <row r="111" ht="17.45" customHeight="1" x14ac:dyDescent="0.2"/>
    <row r="112" ht="17.45" customHeight="1" x14ac:dyDescent="0.2"/>
    <row r="113" ht="17.45" customHeight="1" x14ac:dyDescent="0.2"/>
    <row r="114" ht="17.45" customHeight="1" x14ac:dyDescent="0.2"/>
    <row r="115" ht="17.45" customHeight="1" x14ac:dyDescent="0.2"/>
    <row r="116" ht="17.45" customHeight="1" x14ac:dyDescent="0.2"/>
    <row r="117" ht="17.45" customHeight="1" x14ac:dyDescent="0.2"/>
  </sheetData>
  <mergeCells count="32">
    <mergeCell ref="A1:T1"/>
    <mergeCell ref="S4:S5"/>
    <mergeCell ref="N4:N5"/>
    <mergeCell ref="O4:O5"/>
    <mergeCell ref="G4:G5"/>
    <mergeCell ref="A4:A5"/>
    <mergeCell ref="Q4:Q5"/>
    <mergeCell ref="R4:R5"/>
    <mergeCell ref="A2:T2"/>
    <mergeCell ref="T4:T5"/>
    <mergeCell ref="B4:B5"/>
    <mergeCell ref="H4:H5"/>
    <mergeCell ref="I4:I5"/>
    <mergeCell ref="J4:J5"/>
    <mergeCell ref="P4:P5"/>
    <mergeCell ref="F4:F5"/>
    <mergeCell ref="C4:C5"/>
    <mergeCell ref="D4:D5"/>
    <mergeCell ref="E4:E5"/>
    <mergeCell ref="M4:M5"/>
    <mergeCell ref="K4:K5"/>
    <mergeCell ref="L4:L5"/>
    <mergeCell ref="AD4:AD5"/>
    <mergeCell ref="AE4:AE5"/>
    <mergeCell ref="U4:U5"/>
    <mergeCell ref="AC4:AC5"/>
    <mergeCell ref="Y4:Y5"/>
    <mergeCell ref="Z4:Z5"/>
    <mergeCell ref="AA4:AA5"/>
    <mergeCell ref="AB4:AB5"/>
    <mergeCell ref="V4:V5"/>
    <mergeCell ref="W4:W5"/>
  </mergeCells>
  <phoneticPr fontId="0" type="noConversion"/>
  <printOptions horizontalCentered="1"/>
  <pageMargins left="0.38" right="0.5" top="1.26" bottom="0.75" header="0.49" footer="0.511811023622047"/>
  <pageSetup paperSize="9" scale="90" orientation="portrait" r:id="rId1"/>
  <headerFooter alignWithMargins="0">
    <oddHeader>&amp;C&amp;"Times New Roman,Bold"&amp;12NERACA FISIK DAN MONETER SUMBER DAYA HUTAN INDONESIA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23</vt:i4>
      </vt:variant>
    </vt:vector>
  </HeadingPairs>
  <TitlesOfParts>
    <vt:vector size="42" baseType="lpstr">
      <vt:lpstr>Rekap Hutan Indonesia</vt:lpstr>
      <vt:lpstr>Data Penunjang</vt:lpstr>
      <vt:lpstr>1.luas kebakaran hutan</vt:lpstr>
      <vt:lpstr>2.realisasi reboisasi</vt:lpstr>
      <vt:lpstr>Rent Perhutani</vt:lpstr>
      <vt:lpstr>Rent Luar Jawa</vt:lpstr>
      <vt:lpstr>Jati Jawa</vt:lpstr>
      <vt:lpstr>Rimba Jawa</vt:lpstr>
      <vt:lpstr>Rimba Luar Jawa</vt:lpstr>
      <vt:lpstr>Indonesia</vt:lpstr>
      <vt:lpstr>Sheet1</vt:lpstr>
      <vt:lpstr>Jati Jawa Ha</vt:lpstr>
      <vt:lpstr>Rimba Jawa Ha</vt:lpstr>
      <vt:lpstr>Rimba Luar Jawa Ha</vt:lpstr>
      <vt:lpstr>Kayu Jati Jawa slh</vt:lpstr>
      <vt:lpstr>Kayu Rimba Jawa slh </vt:lpstr>
      <vt:lpstr>Kayu Rimba Luar Jawa slh </vt:lpstr>
      <vt:lpstr>Unit Rent Jati slh </vt:lpstr>
      <vt:lpstr>Hutan Indonesia</vt:lpstr>
      <vt:lpstr>'Data Penunjang'!Print_Area</vt:lpstr>
      <vt:lpstr>'Hutan Indonesia'!Print_Area</vt:lpstr>
      <vt:lpstr>Indonesia!Print_Area</vt:lpstr>
      <vt:lpstr>'Jati Jawa'!Print_Area</vt:lpstr>
      <vt:lpstr>'Kayu Jati Jawa slh'!Print_Area</vt:lpstr>
      <vt:lpstr>'Kayu Rimba Jawa slh '!Print_Area</vt:lpstr>
      <vt:lpstr>'Kayu Rimba Luar Jawa slh '!Print_Area</vt:lpstr>
      <vt:lpstr>'Rekap Hutan Indonesia'!Print_Area</vt:lpstr>
      <vt:lpstr>'Rent Perhutani'!Print_Area</vt:lpstr>
      <vt:lpstr>'Rimba Jawa'!Print_Area</vt:lpstr>
      <vt:lpstr>'Rimba Luar Jawa'!Print_Area</vt:lpstr>
      <vt:lpstr>'Unit Rent Jati slh '!Print_Area</vt:lpstr>
      <vt:lpstr>'Data Penunjang'!Print_Titles</vt:lpstr>
      <vt:lpstr>'Hutan Indonesia'!Print_Titles</vt:lpstr>
      <vt:lpstr>Indonesia!Print_Titles</vt:lpstr>
      <vt:lpstr>'Jati Jawa'!Print_Titles</vt:lpstr>
      <vt:lpstr>'Kayu Jati Jawa slh'!Print_Titles</vt:lpstr>
      <vt:lpstr>'Kayu Rimba Jawa slh '!Print_Titles</vt:lpstr>
      <vt:lpstr>'Kayu Rimba Luar Jawa slh '!Print_Titles</vt:lpstr>
      <vt:lpstr>'Rekap Hutan Indonesia'!Print_Titles</vt:lpstr>
      <vt:lpstr>'Rent Perhutani'!Print_Titles</vt:lpstr>
      <vt:lpstr>'Rimba Jawa'!Print_Titles</vt:lpstr>
      <vt:lpstr>'Rimba Luar Jawa'!Print_Titles</vt:lpstr>
    </vt:vector>
  </TitlesOfParts>
  <Company>BPS Pusat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Neraca Industri &amp; Pertanian</dc:creator>
  <cp:lastModifiedBy>BPS</cp:lastModifiedBy>
  <cp:lastPrinted>2019-11-21T01:19:18Z</cp:lastPrinted>
  <dcterms:created xsi:type="dcterms:W3CDTF">1999-04-09T06:39:25Z</dcterms:created>
  <dcterms:modified xsi:type="dcterms:W3CDTF">2026-08-07T03:43:41Z</dcterms:modified>
</cp:coreProperties>
</file>